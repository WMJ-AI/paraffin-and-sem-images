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尉明杰 研究生 毕设+小论文 数据库\模型\石蜡切片 模型 - 空\"/>
    </mc:Choice>
  </mc:AlternateContent>
  <xr:revisionPtr revIDLastSave="0" documentId="13_ncr:1_{1A47687B-17B6-4451-A190-B9480E7388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汇总(均值)" sheetId="1" r:id="rId1"/>
    <sheet name="1区域" sheetId="2" r:id="rId2"/>
    <sheet name="半径长度" sheetId="3" r:id="rId3"/>
    <sheet name="木质部长度" sheetId="4" r:id="rId4"/>
    <sheet name="韧皮部长度" sheetId="5" r:id="rId5"/>
    <sheet name="皮层长度" sheetId="6" r:id="rId6"/>
    <sheet name="相对树皮厚度" sheetId="7" r:id="rId7"/>
    <sheet name="相对韧皮部厚度" sheetId="8" r:id="rId8"/>
    <sheet name="相对木质部厚度" sheetId="9" r:id="rId9"/>
    <sheet name="2区域 " sheetId="10" r:id="rId10"/>
    <sheet name="导管总数量" sheetId="11" r:id="rId11"/>
    <sheet name="导管（腔）总面积" sheetId="12" r:id="rId12"/>
    <sheet name="局部韧皮部面积" sheetId="13" r:id="rId13"/>
    <sheet name="局部髓面积" sheetId="14" r:id="rId14"/>
    <sheet name="局部木质部面积" sheetId="15" r:id="rId15"/>
    <sheet name="导管密度" sheetId="16" r:id="rId16"/>
    <sheet name="平均导管腔面积" sheetId="17" r:id="rId17"/>
    <sheet name="导管腔面积占木质部比例" sheetId="18" r:id="rId18"/>
    <sheet name="3区域" sheetId="19" r:id="rId19"/>
    <sheet name="形成层连续性评分1（坏）-10（好）" sheetId="20" r:id="rId20"/>
  </sheets>
  <calcPr calcId="181029" forceFullCalc="1"/>
</workbook>
</file>

<file path=xl/calcChain.xml><?xml version="1.0" encoding="utf-8"?>
<calcChain xmlns="http://schemas.openxmlformats.org/spreadsheetml/2006/main">
  <c r="E64" i="20" l="1"/>
  <c r="E63" i="20"/>
  <c r="E62" i="20"/>
  <c r="E61" i="20"/>
  <c r="E60" i="20"/>
  <c r="E59" i="20"/>
  <c r="E58" i="20"/>
  <c r="E57" i="20"/>
  <c r="H57" i="1" s="1"/>
  <c r="E56" i="20"/>
  <c r="E55" i="20"/>
  <c r="E54" i="20"/>
  <c r="E53" i="20"/>
  <c r="E52" i="20"/>
  <c r="E51" i="20"/>
  <c r="E50" i="20"/>
  <c r="E49" i="20"/>
  <c r="H49" i="1" s="1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H25" i="1" s="1"/>
  <c r="E24" i="20"/>
  <c r="E23" i="20"/>
  <c r="E22" i="20"/>
  <c r="E21" i="20"/>
  <c r="E20" i="20"/>
  <c r="E19" i="20"/>
  <c r="E18" i="20"/>
  <c r="E17" i="20"/>
  <c r="H17" i="1" s="1"/>
  <c r="E16" i="20"/>
  <c r="E15" i="20"/>
  <c r="E14" i="20"/>
  <c r="E13" i="20"/>
  <c r="E12" i="20"/>
  <c r="E11" i="20"/>
  <c r="E10" i="20"/>
  <c r="E9" i="20"/>
  <c r="H9" i="1" s="1"/>
  <c r="E8" i="20"/>
  <c r="E7" i="20"/>
  <c r="E6" i="20"/>
  <c r="E5" i="20"/>
  <c r="E4" i="20"/>
  <c r="E3" i="20"/>
  <c r="E2" i="20"/>
  <c r="D64" i="18"/>
  <c r="C64" i="18"/>
  <c r="B64" i="18"/>
  <c r="D63" i="18"/>
  <c r="C63" i="18"/>
  <c r="B63" i="18"/>
  <c r="D62" i="18"/>
  <c r="C62" i="18"/>
  <c r="B62" i="18"/>
  <c r="E62" i="18" s="1"/>
  <c r="G62" i="1" s="1"/>
  <c r="D61" i="18"/>
  <c r="C61" i="18"/>
  <c r="B61" i="18"/>
  <c r="D60" i="18"/>
  <c r="C60" i="18"/>
  <c r="B60" i="18"/>
  <c r="D59" i="18"/>
  <c r="C59" i="18"/>
  <c r="B59" i="18"/>
  <c r="D58" i="18"/>
  <c r="C58" i="18"/>
  <c r="B58" i="18"/>
  <c r="D57" i="18"/>
  <c r="C57" i="18"/>
  <c r="B57" i="18"/>
  <c r="D56" i="18"/>
  <c r="C56" i="18"/>
  <c r="B56" i="18"/>
  <c r="D55" i="18"/>
  <c r="C55" i="18"/>
  <c r="B55" i="18"/>
  <c r="D54" i="18"/>
  <c r="C54" i="18"/>
  <c r="B54" i="18"/>
  <c r="E54" i="18" s="1"/>
  <c r="G54" i="1" s="1"/>
  <c r="D53" i="18"/>
  <c r="C53" i="18"/>
  <c r="B53" i="18"/>
  <c r="D52" i="18"/>
  <c r="C52" i="18"/>
  <c r="B52" i="18"/>
  <c r="D51" i="18"/>
  <c r="C51" i="18"/>
  <c r="B51" i="18"/>
  <c r="D50" i="18"/>
  <c r="C50" i="18"/>
  <c r="B50" i="18"/>
  <c r="D49" i="18"/>
  <c r="C49" i="18"/>
  <c r="B49" i="18"/>
  <c r="D48" i="18"/>
  <c r="C48" i="18"/>
  <c r="B48" i="18"/>
  <c r="D47" i="18"/>
  <c r="C47" i="18"/>
  <c r="B47" i="18"/>
  <c r="D46" i="18"/>
  <c r="C46" i="18"/>
  <c r="B46" i="18"/>
  <c r="E46" i="18" s="1"/>
  <c r="G46" i="1" s="1"/>
  <c r="D45" i="18"/>
  <c r="C45" i="18"/>
  <c r="B45" i="18"/>
  <c r="D44" i="18"/>
  <c r="C44" i="18"/>
  <c r="B44" i="18"/>
  <c r="D43" i="18"/>
  <c r="C43" i="18"/>
  <c r="B43" i="18"/>
  <c r="D42" i="18"/>
  <c r="C42" i="18"/>
  <c r="B42" i="18"/>
  <c r="D41" i="18"/>
  <c r="C41" i="18"/>
  <c r="B41" i="18"/>
  <c r="D40" i="18"/>
  <c r="C40" i="18"/>
  <c r="B40" i="18"/>
  <c r="D39" i="18"/>
  <c r="C39" i="18"/>
  <c r="B39" i="18"/>
  <c r="D38" i="18"/>
  <c r="C38" i="18"/>
  <c r="B38" i="18"/>
  <c r="E38" i="18" s="1"/>
  <c r="G38" i="1" s="1"/>
  <c r="D37" i="18"/>
  <c r="C37" i="18"/>
  <c r="B37" i="18"/>
  <c r="D36" i="18"/>
  <c r="C36" i="18"/>
  <c r="B36" i="18"/>
  <c r="D35" i="18"/>
  <c r="C35" i="18"/>
  <c r="B35" i="18"/>
  <c r="D34" i="18"/>
  <c r="C34" i="18"/>
  <c r="B34" i="18"/>
  <c r="D33" i="18"/>
  <c r="C33" i="18"/>
  <c r="B33" i="18"/>
  <c r="D32" i="18"/>
  <c r="C32" i="18"/>
  <c r="B32" i="18"/>
  <c r="D31" i="18"/>
  <c r="C31" i="18"/>
  <c r="B31" i="18"/>
  <c r="D30" i="18"/>
  <c r="C30" i="18"/>
  <c r="B30" i="18"/>
  <c r="E30" i="18" s="1"/>
  <c r="G30" i="1" s="1"/>
  <c r="D29" i="18"/>
  <c r="C29" i="18"/>
  <c r="B29" i="18"/>
  <c r="D28" i="18"/>
  <c r="C28" i="18"/>
  <c r="B28" i="18"/>
  <c r="D27" i="18"/>
  <c r="C27" i="18"/>
  <c r="B27" i="18"/>
  <c r="D26" i="18"/>
  <c r="C26" i="18"/>
  <c r="B26" i="18"/>
  <c r="D25" i="18"/>
  <c r="C25" i="18"/>
  <c r="B25" i="18"/>
  <c r="D24" i="18"/>
  <c r="C24" i="18"/>
  <c r="B24" i="18"/>
  <c r="D23" i="18"/>
  <c r="C23" i="18"/>
  <c r="B23" i="18"/>
  <c r="D22" i="18"/>
  <c r="C22" i="18"/>
  <c r="B22" i="18"/>
  <c r="E22" i="18" s="1"/>
  <c r="G22" i="1" s="1"/>
  <c r="D21" i="18"/>
  <c r="C21" i="18"/>
  <c r="B21" i="18"/>
  <c r="D20" i="18"/>
  <c r="C20" i="18"/>
  <c r="B20" i="18"/>
  <c r="D19" i="18"/>
  <c r="C19" i="18"/>
  <c r="B19" i="18"/>
  <c r="D18" i="18"/>
  <c r="C18" i="18"/>
  <c r="B18" i="18"/>
  <c r="D17" i="18"/>
  <c r="C17" i="18"/>
  <c r="B17" i="18"/>
  <c r="D16" i="18"/>
  <c r="C16" i="18"/>
  <c r="B16" i="18"/>
  <c r="D15" i="18"/>
  <c r="C15" i="18"/>
  <c r="B15" i="18"/>
  <c r="D14" i="18"/>
  <c r="C14" i="18"/>
  <c r="B14" i="18"/>
  <c r="E14" i="18" s="1"/>
  <c r="G14" i="1" s="1"/>
  <c r="D13" i="18"/>
  <c r="C13" i="18"/>
  <c r="B13" i="18"/>
  <c r="D12" i="18"/>
  <c r="C12" i="18"/>
  <c r="B12" i="18"/>
  <c r="D11" i="18"/>
  <c r="C11" i="18"/>
  <c r="B11" i="18"/>
  <c r="D10" i="18"/>
  <c r="C10" i="18"/>
  <c r="B10" i="18"/>
  <c r="D9" i="18"/>
  <c r="C9" i="18"/>
  <c r="B9" i="18"/>
  <c r="D8" i="18"/>
  <c r="C8" i="18"/>
  <c r="B8" i="18"/>
  <c r="D7" i="18"/>
  <c r="C7" i="18"/>
  <c r="B7" i="18"/>
  <c r="D6" i="18"/>
  <c r="C6" i="18"/>
  <c r="B6" i="18"/>
  <c r="E6" i="18" s="1"/>
  <c r="G6" i="1" s="1"/>
  <c r="D5" i="18"/>
  <c r="C5" i="18"/>
  <c r="B5" i="18"/>
  <c r="D4" i="18"/>
  <c r="C4" i="18"/>
  <c r="B4" i="18"/>
  <c r="D3" i="18"/>
  <c r="C3" i="18"/>
  <c r="B3" i="18"/>
  <c r="D2" i="18"/>
  <c r="C2" i="18"/>
  <c r="B2" i="18"/>
  <c r="D64" i="17"/>
  <c r="C64" i="17"/>
  <c r="B64" i="17"/>
  <c r="D63" i="17"/>
  <c r="C63" i="17"/>
  <c r="B63" i="17"/>
  <c r="D62" i="17"/>
  <c r="C62" i="17"/>
  <c r="B62" i="17"/>
  <c r="D61" i="17"/>
  <c r="C61" i="17"/>
  <c r="B61" i="17"/>
  <c r="E61" i="17" s="1"/>
  <c r="F61" i="1" s="1"/>
  <c r="D60" i="17"/>
  <c r="C60" i="17"/>
  <c r="B60" i="17"/>
  <c r="D59" i="17"/>
  <c r="C59" i="17"/>
  <c r="B59" i="17"/>
  <c r="D58" i="17"/>
  <c r="C58" i="17"/>
  <c r="B58" i="17"/>
  <c r="D57" i="17"/>
  <c r="C57" i="17"/>
  <c r="B57" i="17"/>
  <c r="D56" i="17"/>
  <c r="C56" i="17"/>
  <c r="B56" i="17"/>
  <c r="D55" i="17"/>
  <c r="C55" i="17"/>
  <c r="B55" i="17"/>
  <c r="D54" i="17"/>
  <c r="C54" i="17"/>
  <c r="B54" i="17"/>
  <c r="D53" i="17"/>
  <c r="C53" i="17"/>
  <c r="B53" i="17"/>
  <c r="E53" i="17" s="1"/>
  <c r="D52" i="17"/>
  <c r="C52" i="17"/>
  <c r="B52" i="17"/>
  <c r="D51" i="17"/>
  <c r="C51" i="17"/>
  <c r="B51" i="17"/>
  <c r="D50" i="17"/>
  <c r="C50" i="17"/>
  <c r="B50" i="17"/>
  <c r="D49" i="17"/>
  <c r="C49" i="17"/>
  <c r="B49" i="17"/>
  <c r="D48" i="17"/>
  <c r="C48" i="17"/>
  <c r="B48" i="17"/>
  <c r="D47" i="17"/>
  <c r="C47" i="17"/>
  <c r="B47" i="17"/>
  <c r="D46" i="17"/>
  <c r="C46" i="17"/>
  <c r="B46" i="17"/>
  <c r="D45" i="17"/>
  <c r="C45" i="17"/>
  <c r="B45" i="17"/>
  <c r="E45" i="17" s="1"/>
  <c r="F45" i="1" s="1"/>
  <c r="D44" i="17"/>
  <c r="C44" i="17"/>
  <c r="B44" i="17"/>
  <c r="D43" i="17"/>
  <c r="C43" i="17"/>
  <c r="B43" i="17"/>
  <c r="D42" i="17"/>
  <c r="C42" i="17"/>
  <c r="B42" i="17"/>
  <c r="D41" i="17"/>
  <c r="C41" i="17"/>
  <c r="B41" i="17"/>
  <c r="D40" i="17"/>
  <c r="C40" i="17"/>
  <c r="B40" i="17"/>
  <c r="D39" i="17"/>
  <c r="C39" i="17"/>
  <c r="B39" i="17"/>
  <c r="D38" i="17"/>
  <c r="C38" i="17"/>
  <c r="B38" i="17"/>
  <c r="E38" i="17" s="1"/>
  <c r="D37" i="17"/>
  <c r="C37" i="17"/>
  <c r="B37" i="17"/>
  <c r="E37" i="17" s="1"/>
  <c r="F37" i="1" s="1"/>
  <c r="D36" i="17"/>
  <c r="C36" i="17"/>
  <c r="B36" i="17"/>
  <c r="D35" i="17"/>
  <c r="C35" i="17"/>
  <c r="B35" i="17"/>
  <c r="D34" i="17"/>
  <c r="C34" i="17"/>
  <c r="B34" i="17"/>
  <c r="D33" i="17"/>
  <c r="C33" i="17"/>
  <c r="B33" i="17"/>
  <c r="D32" i="17"/>
  <c r="C32" i="17"/>
  <c r="B32" i="17"/>
  <c r="D31" i="17"/>
  <c r="C31" i="17"/>
  <c r="B31" i="17"/>
  <c r="D30" i="17"/>
  <c r="C30" i="17"/>
  <c r="B30" i="17"/>
  <c r="E30" i="17" s="1"/>
  <c r="D29" i="17"/>
  <c r="C29" i="17"/>
  <c r="B29" i="17"/>
  <c r="E29" i="17" s="1"/>
  <c r="F29" i="1" s="1"/>
  <c r="D28" i="17"/>
  <c r="C28" i="17"/>
  <c r="B28" i="17"/>
  <c r="D27" i="17"/>
  <c r="C27" i="17"/>
  <c r="B27" i="17"/>
  <c r="D26" i="17"/>
  <c r="C26" i="17"/>
  <c r="B26" i="17"/>
  <c r="D25" i="17"/>
  <c r="C25" i="17"/>
  <c r="B25" i="17"/>
  <c r="D24" i="17"/>
  <c r="C24" i="17"/>
  <c r="B24" i="17"/>
  <c r="D23" i="17"/>
  <c r="C23" i="17"/>
  <c r="B23" i="17"/>
  <c r="D22" i="17"/>
  <c r="C22" i="17"/>
  <c r="B22" i="17"/>
  <c r="E22" i="17" s="1"/>
  <c r="D21" i="17"/>
  <c r="C21" i="17"/>
  <c r="B21" i="17"/>
  <c r="E21" i="17" s="1"/>
  <c r="F21" i="1" s="1"/>
  <c r="D20" i="17"/>
  <c r="C20" i="17"/>
  <c r="B20" i="17"/>
  <c r="D19" i="17"/>
  <c r="C19" i="17"/>
  <c r="B19" i="17"/>
  <c r="D18" i="17"/>
  <c r="C18" i="17"/>
  <c r="B18" i="17"/>
  <c r="D17" i="17"/>
  <c r="C17" i="17"/>
  <c r="B17" i="17"/>
  <c r="D16" i="17"/>
  <c r="C16" i="17"/>
  <c r="B16" i="17"/>
  <c r="D15" i="17"/>
  <c r="C15" i="17"/>
  <c r="B15" i="17"/>
  <c r="D14" i="17"/>
  <c r="C14" i="17"/>
  <c r="B14" i="17"/>
  <c r="E14" i="17" s="1"/>
  <c r="D13" i="17"/>
  <c r="C13" i="17"/>
  <c r="B13" i="17"/>
  <c r="E13" i="17" s="1"/>
  <c r="F13" i="1" s="1"/>
  <c r="D12" i="17"/>
  <c r="C12" i="17"/>
  <c r="B12" i="17"/>
  <c r="D11" i="17"/>
  <c r="C11" i="17"/>
  <c r="B11" i="17"/>
  <c r="D10" i="17"/>
  <c r="C10" i="17"/>
  <c r="B10" i="17"/>
  <c r="D9" i="17"/>
  <c r="C9" i="17"/>
  <c r="B9" i="17"/>
  <c r="D8" i="17"/>
  <c r="C8" i="17"/>
  <c r="B8" i="17"/>
  <c r="D7" i="17"/>
  <c r="C7" i="17"/>
  <c r="B7" i="17"/>
  <c r="D6" i="17"/>
  <c r="C6" i="17"/>
  <c r="B6" i="17"/>
  <c r="E6" i="17" s="1"/>
  <c r="D5" i="17"/>
  <c r="C5" i="17"/>
  <c r="B5" i="17"/>
  <c r="E5" i="17" s="1"/>
  <c r="F5" i="1" s="1"/>
  <c r="D4" i="17"/>
  <c r="C4" i="17"/>
  <c r="B4" i="17"/>
  <c r="D3" i="17"/>
  <c r="C3" i="17"/>
  <c r="B3" i="17"/>
  <c r="D2" i="17"/>
  <c r="C2" i="17"/>
  <c r="B2" i="17"/>
  <c r="D64" i="16"/>
  <c r="C64" i="16"/>
  <c r="B64" i="16"/>
  <c r="D63" i="16"/>
  <c r="C63" i="16"/>
  <c r="B63" i="16"/>
  <c r="D62" i="16"/>
  <c r="C62" i="16"/>
  <c r="B62" i="16"/>
  <c r="D61" i="16"/>
  <c r="C61" i="16"/>
  <c r="B61" i="16"/>
  <c r="E61" i="16" s="1"/>
  <c r="D60" i="16"/>
  <c r="C60" i="16"/>
  <c r="B60" i="16"/>
  <c r="E60" i="16" s="1"/>
  <c r="E60" i="1" s="1"/>
  <c r="D59" i="16"/>
  <c r="C59" i="16"/>
  <c r="B59" i="16"/>
  <c r="D58" i="16"/>
  <c r="C58" i="16"/>
  <c r="B58" i="16"/>
  <c r="D57" i="16"/>
  <c r="C57" i="16"/>
  <c r="B57" i="16"/>
  <c r="D56" i="16"/>
  <c r="C56" i="16"/>
  <c r="B56" i="16"/>
  <c r="D55" i="16"/>
  <c r="C55" i="16"/>
  <c r="B55" i="16"/>
  <c r="D54" i="16"/>
  <c r="C54" i="16"/>
  <c r="B54" i="16"/>
  <c r="D53" i="16"/>
  <c r="C53" i="16"/>
  <c r="B53" i="16"/>
  <c r="D52" i="16"/>
  <c r="C52" i="16"/>
  <c r="B52" i="16"/>
  <c r="E52" i="16" s="1"/>
  <c r="E52" i="1" s="1"/>
  <c r="D51" i="16"/>
  <c r="C51" i="16"/>
  <c r="B51" i="16"/>
  <c r="D50" i="16"/>
  <c r="C50" i="16"/>
  <c r="B50" i="16"/>
  <c r="D49" i="16"/>
  <c r="C49" i="16"/>
  <c r="B49" i="16"/>
  <c r="D48" i="16"/>
  <c r="C48" i="16"/>
  <c r="B48" i="16"/>
  <c r="D47" i="16"/>
  <c r="C47" i="16"/>
  <c r="B47" i="16"/>
  <c r="D46" i="16"/>
  <c r="C46" i="16"/>
  <c r="B46" i="16"/>
  <c r="D45" i="16"/>
  <c r="C45" i="16"/>
  <c r="B45" i="16"/>
  <c r="D44" i="16"/>
  <c r="C44" i="16"/>
  <c r="B44" i="16"/>
  <c r="E44" i="16" s="1"/>
  <c r="E44" i="1" s="1"/>
  <c r="D43" i="16"/>
  <c r="C43" i="16"/>
  <c r="B43" i="16"/>
  <c r="D42" i="16"/>
  <c r="C42" i="16"/>
  <c r="B42" i="16"/>
  <c r="D41" i="16"/>
  <c r="C41" i="16"/>
  <c r="B41" i="16"/>
  <c r="D40" i="16"/>
  <c r="C40" i="16"/>
  <c r="B40" i="16"/>
  <c r="D39" i="16"/>
  <c r="C39" i="16"/>
  <c r="B39" i="16"/>
  <c r="D38" i="16"/>
  <c r="C38" i="16"/>
  <c r="B38" i="16"/>
  <c r="D37" i="16"/>
  <c r="C37" i="16"/>
  <c r="B37" i="16"/>
  <c r="D36" i="16"/>
  <c r="C36" i="16"/>
  <c r="B36" i="16"/>
  <c r="E36" i="16" s="1"/>
  <c r="E36" i="1" s="1"/>
  <c r="D35" i="16"/>
  <c r="C35" i="16"/>
  <c r="B35" i="16"/>
  <c r="D34" i="16"/>
  <c r="C34" i="16"/>
  <c r="B34" i="16"/>
  <c r="D33" i="16"/>
  <c r="C33" i="16"/>
  <c r="B33" i="16"/>
  <c r="D32" i="16"/>
  <c r="C32" i="16"/>
  <c r="B32" i="16"/>
  <c r="D31" i="16"/>
  <c r="C31" i="16"/>
  <c r="B31" i="16"/>
  <c r="D30" i="16"/>
  <c r="C30" i="16"/>
  <c r="B30" i="16"/>
  <c r="D29" i="16"/>
  <c r="C29" i="16"/>
  <c r="B29" i="16"/>
  <c r="D28" i="16"/>
  <c r="C28" i="16"/>
  <c r="B28" i="16"/>
  <c r="E28" i="16" s="1"/>
  <c r="E28" i="1" s="1"/>
  <c r="D27" i="16"/>
  <c r="C27" i="16"/>
  <c r="B27" i="16"/>
  <c r="D26" i="16"/>
  <c r="C26" i="16"/>
  <c r="B26" i="16"/>
  <c r="D25" i="16"/>
  <c r="C25" i="16"/>
  <c r="B25" i="16"/>
  <c r="D24" i="16"/>
  <c r="C24" i="16"/>
  <c r="B24" i="16"/>
  <c r="D23" i="16"/>
  <c r="C23" i="16"/>
  <c r="B23" i="16"/>
  <c r="D22" i="16"/>
  <c r="C22" i="16"/>
  <c r="B22" i="16"/>
  <c r="D21" i="16"/>
  <c r="C21" i="16"/>
  <c r="B21" i="16"/>
  <c r="D20" i="16"/>
  <c r="C20" i="16"/>
  <c r="B20" i="16"/>
  <c r="D19" i="16"/>
  <c r="C19" i="16"/>
  <c r="B19" i="16"/>
  <c r="D18" i="16"/>
  <c r="C18" i="16"/>
  <c r="B18" i="16"/>
  <c r="D17" i="16"/>
  <c r="C17" i="16"/>
  <c r="B17" i="16"/>
  <c r="D16" i="16"/>
  <c r="E16" i="16" s="1"/>
  <c r="C16" i="16"/>
  <c r="B16" i="16"/>
  <c r="D15" i="16"/>
  <c r="C15" i="16"/>
  <c r="B15" i="16"/>
  <c r="D14" i="16"/>
  <c r="E14" i="16" s="1"/>
  <c r="E14" i="1" s="1"/>
  <c r="C14" i="16"/>
  <c r="B14" i="16"/>
  <c r="D13" i="16"/>
  <c r="C13" i="16"/>
  <c r="B13" i="16"/>
  <c r="D12" i="16"/>
  <c r="C12" i="16"/>
  <c r="B12" i="16"/>
  <c r="D11" i="16"/>
  <c r="C11" i="16"/>
  <c r="B11" i="16"/>
  <c r="D10" i="16"/>
  <c r="C10" i="16"/>
  <c r="B10" i="16"/>
  <c r="D9" i="16"/>
  <c r="C9" i="16"/>
  <c r="B9" i="16"/>
  <c r="D8" i="16"/>
  <c r="E8" i="16" s="1"/>
  <c r="C8" i="16"/>
  <c r="B8" i="16"/>
  <c r="D7" i="16"/>
  <c r="C7" i="16"/>
  <c r="B7" i="16"/>
  <c r="D6" i="16"/>
  <c r="E6" i="16" s="1"/>
  <c r="E6" i="1" s="1"/>
  <c r="C6" i="16"/>
  <c r="B6" i="16"/>
  <c r="D5" i="16"/>
  <c r="C5" i="16"/>
  <c r="B5" i="16"/>
  <c r="D4" i="16"/>
  <c r="C4" i="16"/>
  <c r="B4" i="16"/>
  <c r="D3" i="16"/>
  <c r="C3" i="16"/>
  <c r="B3" i="16"/>
  <c r="D2" i="16"/>
  <c r="C2" i="16"/>
  <c r="B2" i="16"/>
  <c r="D64" i="9"/>
  <c r="C64" i="9"/>
  <c r="B64" i="9"/>
  <c r="D63" i="9"/>
  <c r="E63" i="9" s="1"/>
  <c r="C63" i="9"/>
  <c r="B63" i="9"/>
  <c r="D62" i="9"/>
  <c r="C62" i="9"/>
  <c r="B62" i="9"/>
  <c r="D61" i="9"/>
  <c r="E61" i="9" s="1"/>
  <c r="D61" i="1" s="1"/>
  <c r="C61" i="9"/>
  <c r="B61" i="9"/>
  <c r="D60" i="9"/>
  <c r="C60" i="9"/>
  <c r="B60" i="9"/>
  <c r="D59" i="9"/>
  <c r="C59" i="9"/>
  <c r="B59" i="9"/>
  <c r="D58" i="9"/>
  <c r="C58" i="9"/>
  <c r="B58" i="9"/>
  <c r="D57" i="9"/>
  <c r="C57" i="9"/>
  <c r="B57" i="9"/>
  <c r="D56" i="9"/>
  <c r="C56" i="9"/>
  <c r="B56" i="9"/>
  <c r="D55" i="9"/>
  <c r="E55" i="9" s="1"/>
  <c r="C55" i="9"/>
  <c r="B55" i="9"/>
  <c r="D54" i="9"/>
  <c r="C54" i="9"/>
  <c r="B54" i="9"/>
  <c r="D53" i="9"/>
  <c r="E53" i="9" s="1"/>
  <c r="D53" i="1" s="1"/>
  <c r="C53" i="9"/>
  <c r="B53" i="9"/>
  <c r="D52" i="9"/>
  <c r="C52" i="9"/>
  <c r="B52" i="9"/>
  <c r="D51" i="9"/>
  <c r="C51" i="9"/>
  <c r="B51" i="9"/>
  <c r="D50" i="9"/>
  <c r="C50" i="9"/>
  <c r="B50" i="9"/>
  <c r="D49" i="9"/>
  <c r="C49" i="9"/>
  <c r="B49" i="9"/>
  <c r="D48" i="9"/>
  <c r="C48" i="9"/>
  <c r="B48" i="9"/>
  <c r="D47" i="9"/>
  <c r="E47" i="9" s="1"/>
  <c r="C47" i="9"/>
  <c r="B47" i="9"/>
  <c r="D46" i="9"/>
  <c r="C46" i="9"/>
  <c r="B46" i="9"/>
  <c r="D45" i="9"/>
  <c r="E45" i="9" s="1"/>
  <c r="D45" i="1" s="1"/>
  <c r="C45" i="9"/>
  <c r="B45" i="9"/>
  <c r="D44" i="9"/>
  <c r="C44" i="9"/>
  <c r="B44" i="9"/>
  <c r="D43" i="9"/>
  <c r="C43" i="9"/>
  <c r="B43" i="9"/>
  <c r="D42" i="9"/>
  <c r="C42" i="9"/>
  <c r="B42" i="9"/>
  <c r="D41" i="9"/>
  <c r="C41" i="9"/>
  <c r="B41" i="9"/>
  <c r="D40" i="9"/>
  <c r="C40" i="9"/>
  <c r="B40" i="9"/>
  <c r="D39" i="9"/>
  <c r="E39" i="9" s="1"/>
  <c r="D39" i="1" s="1"/>
  <c r="C39" i="9"/>
  <c r="B39" i="9"/>
  <c r="D38" i="9"/>
  <c r="C38" i="9"/>
  <c r="B38" i="9"/>
  <c r="D37" i="9"/>
  <c r="E37" i="9" s="1"/>
  <c r="D37" i="1" s="1"/>
  <c r="C37" i="9"/>
  <c r="B37" i="9"/>
  <c r="D36" i="9"/>
  <c r="C36" i="9"/>
  <c r="B36" i="9"/>
  <c r="D35" i="9"/>
  <c r="C35" i="9"/>
  <c r="B35" i="9"/>
  <c r="D34" i="9"/>
  <c r="C34" i="9"/>
  <c r="B34" i="9"/>
  <c r="D33" i="9"/>
  <c r="C33" i="9"/>
  <c r="B33" i="9"/>
  <c r="D32" i="9"/>
  <c r="C32" i="9"/>
  <c r="B32" i="9"/>
  <c r="D31" i="9"/>
  <c r="E31" i="9" s="1"/>
  <c r="C31" i="9"/>
  <c r="B31" i="9"/>
  <c r="D30" i="9"/>
  <c r="C30" i="9"/>
  <c r="B30" i="9"/>
  <c r="D29" i="9"/>
  <c r="E29" i="9" s="1"/>
  <c r="D29" i="1" s="1"/>
  <c r="C29" i="9"/>
  <c r="B29" i="9"/>
  <c r="D28" i="9"/>
  <c r="C28" i="9"/>
  <c r="B28" i="9"/>
  <c r="E28" i="9" s="1"/>
  <c r="D27" i="9"/>
  <c r="C27" i="9"/>
  <c r="B27" i="9"/>
  <c r="D26" i="9"/>
  <c r="C26" i="9"/>
  <c r="B26" i="9"/>
  <c r="D25" i="9"/>
  <c r="C25" i="9"/>
  <c r="B25" i="9"/>
  <c r="D24" i="9"/>
  <c r="C24" i="9"/>
  <c r="B24" i="9"/>
  <c r="D23" i="9"/>
  <c r="E23" i="9" s="1"/>
  <c r="D23" i="1" s="1"/>
  <c r="C23" i="9"/>
  <c r="B23" i="9"/>
  <c r="D22" i="9"/>
  <c r="C22" i="9"/>
  <c r="B22" i="9"/>
  <c r="D21" i="9"/>
  <c r="E21" i="9" s="1"/>
  <c r="D21" i="1" s="1"/>
  <c r="C21" i="9"/>
  <c r="B21" i="9"/>
  <c r="D20" i="9"/>
  <c r="C20" i="9"/>
  <c r="B20" i="9"/>
  <c r="E20" i="9" s="1"/>
  <c r="D20" i="1" s="1"/>
  <c r="D19" i="9"/>
  <c r="C19" i="9"/>
  <c r="B19" i="9"/>
  <c r="D18" i="9"/>
  <c r="C18" i="9"/>
  <c r="B18" i="9"/>
  <c r="D17" i="9"/>
  <c r="C17" i="9"/>
  <c r="B17" i="9"/>
  <c r="D16" i="9"/>
  <c r="C16" i="9"/>
  <c r="B16" i="9"/>
  <c r="D15" i="9"/>
  <c r="C15" i="9"/>
  <c r="B15" i="9"/>
  <c r="D14" i="9"/>
  <c r="C14" i="9"/>
  <c r="B14" i="9"/>
  <c r="D13" i="9"/>
  <c r="C13" i="9"/>
  <c r="B13" i="9"/>
  <c r="D12" i="9"/>
  <c r="C12" i="9"/>
  <c r="B12" i="9"/>
  <c r="D11" i="9"/>
  <c r="C11" i="9"/>
  <c r="B11" i="9"/>
  <c r="E11" i="9" s="1"/>
  <c r="D11" i="1" s="1"/>
  <c r="D10" i="9"/>
  <c r="C10" i="9"/>
  <c r="B10" i="9"/>
  <c r="D9" i="9"/>
  <c r="C9" i="9"/>
  <c r="E9" i="9" s="1"/>
  <c r="D9" i="1" s="1"/>
  <c r="B9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B4" i="9"/>
  <c r="D3" i="9"/>
  <c r="C3" i="9"/>
  <c r="B3" i="9"/>
  <c r="D2" i="9"/>
  <c r="C2" i="9"/>
  <c r="B2" i="9"/>
  <c r="D64" i="8"/>
  <c r="C64" i="8"/>
  <c r="B64" i="8"/>
  <c r="D63" i="8"/>
  <c r="C63" i="8"/>
  <c r="B63" i="8"/>
  <c r="D62" i="8"/>
  <c r="C62" i="8"/>
  <c r="B62" i="8"/>
  <c r="D61" i="8"/>
  <c r="C61" i="8"/>
  <c r="B61" i="8"/>
  <c r="D60" i="8"/>
  <c r="C60" i="8"/>
  <c r="B60" i="8"/>
  <c r="D59" i="8"/>
  <c r="C59" i="8"/>
  <c r="B59" i="8"/>
  <c r="D58" i="8"/>
  <c r="C58" i="8"/>
  <c r="B58" i="8"/>
  <c r="E58" i="8" s="1"/>
  <c r="C58" i="1" s="1"/>
  <c r="D57" i="8"/>
  <c r="C57" i="8"/>
  <c r="B57" i="8"/>
  <c r="D56" i="8"/>
  <c r="C56" i="8"/>
  <c r="E56" i="8" s="1"/>
  <c r="C56" i="1" s="1"/>
  <c r="B56" i="8"/>
  <c r="D55" i="8"/>
  <c r="C55" i="8"/>
  <c r="B55" i="8"/>
  <c r="D54" i="8"/>
  <c r="C54" i="8"/>
  <c r="B54" i="8"/>
  <c r="D53" i="8"/>
  <c r="C53" i="8"/>
  <c r="B53" i="8"/>
  <c r="D52" i="8"/>
  <c r="C52" i="8"/>
  <c r="B52" i="8"/>
  <c r="D51" i="8"/>
  <c r="C51" i="8"/>
  <c r="B51" i="8"/>
  <c r="D50" i="8"/>
  <c r="C50" i="8"/>
  <c r="B50" i="8"/>
  <c r="D49" i="8"/>
  <c r="C49" i="8"/>
  <c r="B49" i="8"/>
  <c r="D48" i="8"/>
  <c r="C48" i="8"/>
  <c r="B48" i="8"/>
  <c r="D47" i="8"/>
  <c r="C47" i="8"/>
  <c r="B47" i="8"/>
  <c r="D46" i="8"/>
  <c r="C46" i="8"/>
  <c r="B46" i="8"/>
  <c r="E46" i="8" s="1"/>
  <c r="C46" i="1" s="1"/>
  <c r="D45" i="8"/>
  <c r="C45" i="8"/>
  <c r="B45" i="8"/>
  <c r="D44" i="8"/>
  <c r="C44" i="8"/>
  <c r="B44" i="8"/>
  <c r="D43" i="8"/>
  <c r="C43" i="8"/>
  <c r="B43" i="8"/>
  <c r="D42" i="8"/>
  <c r="C42" i="8"/>
  <c r="B42" i="8"/>
  <c r="D41" i="8"/>
  <c r="C41" i="8"/>
  <c r="B41" i="8"/>
  <c r="D40" i="8"/>
  <c r="C40" i="8"/>
  <c r="B40" i="8"/>
  <c r="D39" i="8"/>
  <c r="C39" i="8"/>
  <c r="B39" i="8"/>
  <c r="D38" i="8"/>
  <c r="C38" i="8"/>
  <c r="B38" i="8"/>
  <c r="D37" i="8"/>
  <c r="C37" i="8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7" i="8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E14" i="8" s="1"/>
  <c r="C14" i="1" s="1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E8" i="8" s="1"/>
  <c r="C8" i="1" s="1"/>
  <c r="D7" i="8"/>
  <c r="C7" i="8"/>
  <c r="B7" i="8"/>
  <c r="D6" i="8"/>
  <c r="C6" i="8"/>
  <c r="E6" i="8" s="1"/>
  <c r="C6" i="1" s="1"/>
  <c r="B6" i="8"/>
  <c r="D5" i="8"/>
  <c r="C5" i="8"/>
  <c r="B5" i="8"/>
  <c r="D4" i="8"/>
  <c r="C4" i="8"/>
  <c r="B4" i="8"/>
  <c r="D3" i="8"/>
  <c r="C3" i="8"/>
  <c r="B3" i="8"/>
  <c r="D2" i="8"/>
  <c r="C2" i="8"/>
  <c r="B2" i="8"/>
  <c r="D64" i="7"/>
  <c r="C64" i="7"/>
  <c r="B64" i="7"/>
  <c r="E64" i="7" s="1"/>
  <c r="B64" i="1" s="1"/>
  <c r="D63" i="7"/>
  <c r="C63" i="7"/>
  <c r="B63" i="7"/>
  <c r="D62" i="7"/>
  <c r="C62" i="7"/>
  <c r="B62" i="7"/>
  <c r="D61" i="7"/>
  <c r="C61" i="7"/>
  <c r="B61" i="7"/>
  <c r="D60" i="7"/>
  <c r="C60" i="7"/>
  <c r="B60" i="7"/>
  <c r="D59" i="7"/>
  <c r="C59" i="7"/>
  <c r="B59" i="7"/>
  <c r="D58" i="7"/>
  <c r="C58" i="7"/>
  <c r="B58" i="7"/>
  <c r="D57" i="7"/>
  <c r="C57" i="7"/>
  <c r="B57" i="7"/>
  <c r="D56" i="7"/>
  <c r="C56" i="7"/>
  <c r="B56" i="7"/>
  <c r="D55" i="7"/>
  <c r="C55" i="7"/>
  <c r="B55" i="7"/>
  <c r="E55" i="7" s="1"/>
  <c r="B55" i="1" s="1"/>
  <c r="D54" i="7"/>
  <c r="C54" i="7"/>
  <c r="B54" i="7"/>
  <c r="D53" i="7"/>
  <c r="C53" i="7"/>
  <c r="E53" i="7" s="1"/>
  <c r="B53" i="1" s="1"/>
  <c r="B53" i="7"/>
  <c r="D52" i="7"/>
  <c r="C52" i="7"/>
  <c r="B52" i="7"/>
  <c r="D51" i="7"/>
  <c r="C51" i="7"/>
  <c r="B51" i="7"/>
  <c r="D50" i="7"/>
  <c r="C50" i="7"/>
  <c r="B50" i="7"/>
  <c r="D49" i="7"/>
  <c r="C49" i="7"/>
  <c r="B49" i="7"/>
  <c r="D48" i="7"/>
  <c r="C48" i="7"/>
  <c r="B48" i="7"/>
  <c r="D47" i="7"/>
  <c r="C47" i="7"/>
  <c r="B47" i="7"/>
  <c r="E47" i="7" s="1"/>
  <c r="B47" i="1" s="1"/>
  <c r="D46" i="7"/>
  <c r="C46" i="7"/>
  <c r="B46" i="7"/>
  <c r="D45" i="7"/>
  <c r="C45" i="7"/>
  <c r="B45" i="7"/>
  <c r="D44" i="7"/>
  <c r="C44" i="7"/>
  <c r="B44" i="7"/>
  <c r="D43" i="7"/>
  <c r="C43" i="7"/>
  <c r="B43" i="7"/>
  <c r="D42" i="7"/>
  <c r="C42" i="7"/>
  <c r="B42" i="7"/>
  <c r="E42" i="7" s="1"/>
  <c r="B42" i="1" s="1"/>
  <c r="D41" i="7"/>
  <c r="C41" i="7"/>
  <c r="B41" i="7"/>
  <c r="D40" i="7"/>
  <c r="C40" i="7"/>
  <c r="B40" i="7"/>
  <c r="D39" i="7"/>
  <c r="C39" i="7"/>
  <c r="B39" i="7"/>
  <c r="D38" i="7"/>
  <c r="C38" i="7"/>
  <c r="B38" i="7"/>
  <c r="D37" i="7"/>
  <c r="C37" i="7"/>
  <c r="B37" i="7"/>
  <c r="D36" i="7"/>
  <c r="C36" i="7"/>
  <c r="B36" i="7"/>
  <c r="D35" i="7"/>
  <c r="C35" i="7"/>
  <c r="B35" i="7"/>
  <c r="D34" i="7"/>
  <c r="C34" i="7"/>
  <c r="B34" i="7"/>
  <c r="E34" i="7" s="1"/>
  <c r="B34" i="1" s="1"/>
  <c r="D33" i="7"/>
  <c r="C33" i="7"/>
  <c r="B33" i="7"/>
  <c r="D32" i="7"/>
  <c r="C32" i="7"/>
  <c r="B32" i="7"/>
  <c r="D31" i="7"/>
  <c r="C31" i="7"/>
  <c r="B31" i="7"/>
  <c r="D30" i="7"/>
  <c r="C30" i="7"/>
  <c r="B30" i="7"/>
  <c r="D29" i="7"/>
  <c r="C29" i="7"/>
  <c r="B29" i="7"/>
  <c r="D28" i="7"/>
  <c r="C28" i="7"/>
  <c r="B28" i="7"/>
  <c r="D27" i="7"/>
  <c r="C27" i="7"/>
  <c r="B27" i="7"/>
  <c r="D26" i="7"/>
  <c r="C26" i="7"/>
  <c r="B26" i="7"/>
  <c r="E26" i="7" s="1"/>
  <c r="B26" i="1" s="1"/>
  <c r="D25" i="7"/>
  <c r="C25" i="7"/>
  <c r="B25" i="7"/>
  <c r="D24" i="7"/>
  <c r="C24" i="7"/>
  <c r="B24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E18" i="7" s="1"/>
  <c r="B18" i="1" s="1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E10" i="7" s="1"/>
  <c r="B10" i="1" s="1"/>
  <c r="D9" i="7"/>
  <c r="C9" i="7"/>
  <c r="B9" i="7"/>
  <c r="D8" i="7"/>
  <c r="C8" i="7"/>
  <c r="B8" i="7"/>
  <c r="D7" i="7"/>
  <c r="C7" i="7"/>
  <c r="B7" i="7"/>
  <c r="D6" i="7"/>
  <c r="C6" i="7"/>
  <c r="B6" i="7"/>
  <c r="D5" i="7"/>
  <c r="C5" i="7"/>
  <c r="B5" i="7"/>
  <c r="D4" i="7"/>
  <c r="C4" i="7"/>
  <c r="B4" i="7"/>
  <c r="D3" i="7"/>
  <c r="C3" i="7"/>
  <c r="B3" i="7"/>
  <c r="D2" i="7"/>
  <c r="C2" i="7"/>
  <c r="B2" i="7"/>
  <c r="E2" i="7" s="1"/>
  <c r="B2" i="1" s="1"/>
  <c r="H64" i="1"/>
  <c r="H63" i="1"/>
  <c r="D63" i="1"/>
  <c r="H62" i="1"/>
  <c r="H61" i="1"/>
  <c r="E61" i="1"/>
  <c r="H60" i="1"/>
  <c r="H59" i="1"/>
  <c r="H58" i="1"/>
  <c r="H56" i="1"/>
  <c r="H55" i="1"/>
  <c r="D55" i="1"/>
  <c r="H54" i="1"/>
  <c r="H53" i="1"/>
  <c r="F53" i="1"/>
  <c r="H52" i="1"/>
  <c r="H51" i="1"/>
  <c r="H50" i="1"/>
  <c r="H48" i="1"/>
  <c r="H47" i="1"/>
  <c r="D47" i="1"/>
  <c r="H46" i="1"/>
  <c r="H45" i="1"/>
  <c r="H44" i="1"/>
  <c r="H43" i="1"/>
  <c r="H42" i="1"/>
  <c r="H41" i="1"/>
  <c r="H40" i="1"/>
  <c r="H39" i="1"/>
  <c r="H38" i="1"/>
  <c r="F38" i="1"/>
  <c r="H37" i="1"/>
  <c r="H36" i="1"/>
  <c r="H35" i="1"/>
  <c r="H34" i="1"/>
  <c r="H33" i="1"/>
  <c r="H32" i="1"/>
  <c r="H31" i="1"/>
  <c r="D31" i="1"/>
  <c r="H30" i="1"/>
  <c r="F30" i="1"/>
  <c r="H29" i="1"/>
  <c r="H28" i="1"/>
  <c r="D28" i="1"/>
  <c r="H27" i="1"/>
  <c r="H26" i="1"/>
  <c r="H24" i="1"/>
  <c r="H23" i="1"/>
  <c r="H22" i="1"/>
  <c r="F22" i="1"/>
  <c r="H21" i="1"/>
  <c r="H20" i="1"/>
  <c r="H19" i="1"/>
  <c r="H18" i="1"/>
  <c r="H16" i="1"/>
  <c r="E16" i="1"/>
  <c r="H15" i="1"/>
  <c r="H14" i="1"/>
  <c r="F14" i="1"/>
  <c r="H13" i="1"/>
  <c r="H12" i="1"/>
  <c r="H11" i="1"/>
  <c r="H10" i="1"/>
  <c r="H8" i="1"/>
  <c r="E8" i="1"/>
  <c r="H7" i="1"/>
  <c r="H6" i="1"/>
  <c r="F6" i="1"/>
  <c r="H5" i="1"/>
  <c r="H4" i="1"/>
  <c r="H3" i="1"/>
  <c r="H2" i="1"/>
  <c r="E39" i="7" l="1"/>
  <c r="B39" i="1" s="1"/>
  <c r="E45" i="7"/>
  <c r="B45" i="1" s="1"/>
  <c r="E61" i="7"/>
  <c r="B61" i="1" s="1"/>
  <c r="E24" i="8"/>
  <c r="C24" i="1" s="1"/>
  <c r="E40" i="8"/>
  <c r="C40" i="1" s="1"/>
  <c r="E23" i="7"/>
  <c r="B23" i="1" s="1"/>
  <c r="E36" i="9"/>
  <c r="D36" i="1" s="1"/>
  <c r="E44" i="9"/>
  <c r="D44" i="1" s="1"/>
  <c r="E52" i="9"/>
  <c r="D52" i="1" s="1"/>
  <c r="E60" i="9"/>
  <c r="D60" i="1" s="1"/>
  <c r="E5" i="16"/>
  <c r="E5" i="1" s="1"/>
  <c r="E13" i="16"/>
  <c r="E13" i="1" s="1"/>
  <c r="E21" i="16"/>
  <c r="E21" i="1" s="1"/>
  <c r="E29" i="16"/>
  <c r="E29" i="1" s="1"/>
  <c r="E37" i="16"/>
  <c r="E37" i="1" s="1"/>
  <c r="E45" i="16"/>
  <c r="E45" i="1" s="1"/>
  <c r="E53" i="16"/>
  <c r="E53" i="1" s="1"/>
  <c r="E59" i="7"/>
  <c r="B59" i="1" s="1"/>
  <c r="E15" i="9"/>
  <c r="D15" i="1" s="1"/>
  <c r="E30" i="8"/>
  <c r="C30" i="1" s="1"/>
  <c r="E62" i="8"/>
  <c r="C62" i="1" s="1"/>
  <c r="E20" i="8"/>
  <c r="C20" i="1" s="1"/>
  <c r="E15" i="7"/>
  <c r="B15" i="1" s="1"/>
  <c r="E5" i="9"/>
  <c r="D5" i="1" s="1"/>
  <c r="E7" i="7"/>
  <c r="B7" i="1" s="1"/>
  <c r="E31" i="7"/>
  <c r="B31" i="1" s="1"/>
  <c r="E2" i="8"/>
  <c r="C2" i="1" s="1"/>
  <c r="E52" i="8"/>
  <c r="C52" i="1" s="1"/>
  <c r="E57" i="7"/>
  <c r="B57" i="1" s="1"/>
  <c r="E42" i="8"/>
  <c r="C42" i="1" s="1"/>
  <c r="E4" i="7"/>
  <c r="B4" i="1" s="1"/>
  <c r="E9" i="7"/>
  <c r="B9" i="1" s="1"/>
  <c r="E12" i="7"/>
  <c r="B12" i="1" s="1"/>
  <c r="E17" i="7"/>
  <c r="B17" i="1" s="1"/>
  <c r="E20" i="7"/>
  <c r="B20" i="1" s="1"/>
  <c r="E25" i="7"/>
  <c r="B25" i="1" s="1"/>
  <c r="E28" i="7"/>
  <c r="B28" i="1" s="1"/>
  <c r="E33" i="7"/>
  <c r="B33" i="1" s="1"/>
  <c r="E36" i="7"/>
  <c r="B36" i="1" s="1"/>
  <c r="E41" i="7"/>
  <c r="B41" i="1" s="1"/>
  <c r="E49" i="7"/>
  <c r="B49" i="1" s="1"/>
  <c r="E4" i="8"/>
  <c r="C4" i="1" s="1"/>
  <c r="E27" i="8"/>
  <c r="C27" i="1" s="1"/>
  <c r="E32" i="8"/>
  <c r="C32" i="1" s="1"/>
  <c r="E22" i="9"/>
  <c r="D22" i="1" s="1"/>
  <c r="E30" i="9"/>
  <c r="D30" i="1" s="1"/>
  <c r="E38" i="9"/>
  <c r="D38" i="1" s="1"/>
  <c r="E46" i="9"/>
  <c r="D46" i="1" s="1"/>
  <c r="E54" i="9"/>
  <c r="D54" i="1" s="1"/>
  <c r="E62" i="9"/>
  <c r="D62" i="1" s="1"/>
  <c r="E7" i="16"/>
  <c r="E7" i="1" s="1"/>
  <c r="E15" i="16"/>
  <c r="E15" i="1" s="1"/>
  <c r="E12" i="8"/>
  <c r="C12" i="1" s="1"/>
  <c r="E17" i="8"/>
  <c r="C17" i="1" s="1"/>
  <c r="E22" i="8"/>
  <c r="C22" i="1" s="1"/>
  <c r="E50" i="8"/>
  <c r="C50" i="1" s="1"/>
  <c r="E60" i="8"/>
  <c r="C60" i="1" s="1"/>
  <c r="E7" i="9"/>
  <c r="D7" i="1" s="1"/>
  <c r="E12" i="9"/>
  <c r="D12" i="1" s="1"/>
  <c r="E19" i="9"/>
  <c r="D19" i="1" s="1"/>
  <c r="E27" i="9"/>
  <c r="D27" i="1" s="1"/>
  <c r="E35" i="9"/>
  <c r="D35" i="1" s="1"/>
  <c r="E43" i="9"/>
  <c r="D43" i="1" s="1"/>
  <c r="E51" i="9"/>
  <c r="D51" i="1" s="1"/>
  <c r="E59" i="9"/>
  <c r="D59" i="1" s="1"/>
  <c r="E4" i="16"/>
  <c r="E4" i="1" s="1"/>
  <c r="E12" i="16"/>
  <c r="E12" i="1" s="1"/>
  <c r="E20" i="16"/>
  <c r="E20" i="1" s="1"/>
  <c r="E46" i="17"/>
  <c r="F46" i="1" s="1"/>
  <c r="E54" i="17"/>
  <c r="F54" i="1" s="1"/>
  <c r="E62" i="17"/>
  <c r="F62" i="1" s="1"/>
  <c r="E7" i="18"/>
  <c r="G7" i="1" s="1"/>
  <c r="E15" i="18"/>
  <c r="G15" i="1" s="1"/>
  <c r="E23" i="18"/>
  <c r="G23" i="1" s="1"/>
  <c r="E31" i="18"/>
  <c r="G31" i="1" s="1"/>
  <c r="E39" i="18"/>
  <c r="G39" i="1" s="1"/>
  <c r="E47" i="18"/>
  <c r="G47" i="1" s="1"/>
  <c r="E55" i="18"/>
  <c r="G55" i="1" s="1"/>
  <c r="E63" i="18"/>
  <c r="G63" i="1" s="1"/>
  <c r="E28" i="8"/>
  <c r="C28" i="1" s="1"/>
  <c r="E33" i="8"/>
  <c r="C33" i="1" s="1"/>
  <c r="E38" i="8"/>
  <c r="C38" i="1" s="1"/>
  <c r="E43" i="8"/>
  <c r="C43" i="1" s="1"/>
  <c r="E48" i="8"/>
  <c r="C48" i="1" s="1"/>
  <c r="E17" i="9"/>
  <c r="D17" i="1" s="1"/>
  <c r="E25" i="9"/>
  <c r="D25" i="1" s="1"/>
  <c r="E33" i="9"/>
  <c r="D33" i="1" s="1"/>
  <c r="E41" i="9"/>
  <c r="D41" i="1" s="1"/>
  <c r="E49" i="9"/>
  <c r="D49" i="1" s="1"/>
  <c r="E57" i="9"/>
  <c r="D57" i="1" s="1"/>
  <c r="E2" i="16"/>
  <c r="E2" i="1" s="1"/>
  <c r="E10" i="16"/>
  <c r="E10" i="1" s="1"/>
  <c r="E18" i="16"/>
  <c r="E18" i="1" s="1"/>
  <c r="E24" i="16"/>
  <c r="E24" i="1" s="1"/>
  <c r="E5" i="7"/>
  <c r="B5" i="1" s="1"/>
  <c r="E8" i="7"/>
  <c r="B8" i="1" s="1"/>
  <c r="E13" i="7"/>
  <c r="B13" i="1" s="1"/>
  <c r="E16" i="7"/>
  <c r="B16" i="1" s="1"/>
  <c r="E21" i="7"/>
  <c r="B21" i="1" s="1"/>
  <c r="E24" i="7"/>
  <c r="B24" i="1" s="1"/>
  <c r="E29" i="7"/>
  <c r="B29" i="1" s="1"/>
  <c r="E32" i="7"/>
  <c r="B32" i="1" s="1"/>
  <c r="E37" i="7"/>
  <c r="B37" i="1" s="1"/>
  <c r="E40" i="7"/>
  <c r="B40" i="1" s="1"/>
  <c r="E58" i="7"/>
  <c r="B58" i="1" s="1"/>
  <c r="E63" i="7"/>
  <c r="B63" i="1" s="1"/>
  <c r="E10" i="8"/>
  <c r="C10" i="1" s="1"/>
  <c r="E18" i="8"/>
  <c r="C18" i="1" s="1"/>
  <c r="E36" i="8"/>
  <c r="C36" i="1" s="1"/>
  <c r="E3" i="9"/>
  <c r="D3" i="1" s="1"/>
  <c r="E13" i="9"/>
  <c r="D13" i="1" s="1"/>
  <c r="E18" i="9"/>
  <c r="D18" i="1" s="1"/>
  <c r="E26" i="9"/>
  <c r="D26" i="1" s="1"/>
  <c r="E34" i="9"/>
  <c r="D34" i="1" s="1"/>
  <c r="E42" i="9"/>
  <c r="D42" i="1" s="1"/>
  <c r="E50" i="9"/>
  <c r="D50" i="1" s="1"/>
  <c r="E58" i="9"/>
  <c r="D58" i="1" s="1"/>
  <c r="E3" i="16"/>
  <c r="E3" i="1" s="1"/>
  <c r="E11" i="16"/>
  <c r="E11" i="1" s="1"/>
  <c r="E19" i="16"/>
  <c r="E19" i="1" s="1"/>
  <c r="E43" i="7"/>
  <c r="B43" i="1" s="1"/>
  <c r="E48" i="7"/>
  <c r="B48" i="1" s="1"/>
  <c r="E64" i="18"/>
  <c r="G64" i="1" s="1"/>
  <c r="E3" i="7"/>
  <c r="B3" i="1" s="1"/>
  <c r="E6" i="7"/>
  <c r="B6" i="1" s="1"/>
  <c r="E11" i="7"/>
  <c r="B11" i="1" s="1"/>
  <c r="E14" i="7"/>
  <c r="B14" i="1" s="1"/>
  <c r="E19" i="7"/>
  <c r="B19" i="1" s="1"/>
  <c r="E22" i="7"/>
  <c r="B22" i="1" s="1"/>
  <c r="E27" i="7"/>
  <c r="B27" i="1" s="1"/>
  <c r="E30" i="7"/>
  <c r="B30" i="1" s="1"/>
  <c r="E35" i="7"/>
  <c r="B35" i="1" s="1"/>
  <c r="E38" i="7"/>
  <c r="B38" i="1" s="1"/>
  <c r="E51" i="7"/>
  <c r="B51" i="1" s="1"/>
  <c r="E11" i="8"/>
  <c r="C11" i="1" s="1"/>
  <c r="E16" i="8"/>
  <c r="C16" i="1" s="1"/>
  <c r="E26" i="8"/>
  <c r="C26" i="1" s="1"/>
  <c r="E34" i="8"/>
  <c r="C34" i="1" s="1"/>
  <c r="E44" i="8"/>
  <c r="C44" i="1" s="1"/>
  <c r="E54" i="8"/>
  <c r="C54" i="1" s="1"/>
  <c r="E59" i="8"/>
  <c r="C59" i="1" s="1"/>
  <c r="E64" i="8"/>
  <c r="C64" i="1" s="1"/>
  <c r="E24" i="9"/>
  <c r="D24" i="1" s="1"/>
  <c r="E32" i="9"/>
  <c r="D32" i="1" s="1"/>
  <c r="E40" i="9"/>
  <c r="D40" i="1" s="1"/>
  <c r="E48" i="9"/>
  <c r="D48" i="1" s="1"/>
  <c r="E56" i="9"/>
  <c r="D56" i="1" s="1"/>
  <c r="E64" i="9"/>
  <c r="D64" i="1" s="1"/>
  <c r="E9" i="16"/>
  <c r="E9" i="1" s="1"/>
  <c r="E17" i="16"/>
  <c r="E17" i="1" s="1"/>
  <c r="E25" i="16"/>
  <c r="E25" i="1" s="1"/>
  <c r="E56" i="7"/>
  <c r="B56" i="1" s="1"/>
  <c r="E9" i="8"/>
  <c r="C9" i="1" s="1"/>
  <c r="E25" i="8"/>
  <c r="C25" i="1" s="1"/>
  <c r="E41" i="8"/>
  <c r="C41" i="1" s="1"/>
  <c r="E57" i="8"/>
  <c r="C57" i="1" s="1"/>
  <c r="E10" i="9"/>
  <c r="D10" i="1" s="1"/>
  <c r="E23" i="16"/>
  <c r="E23" i="1" s="1"/>
  <c r="E54" i="7"/>
  <c r="B54" i="1" s="1"/>
  <c r="E7" i="8"/>
  <c r="C7" i="1" s="1"/>
  <c r="E23" i="8"/>
  <c r="C23" i="1" s="1"/>
  <c r="E39" i="8"/>
  <c r="C39" i="1" s="1"/>
  <c r="E55" i="8"/>
  <c r="C55" i="1" s="1"/>
  <c r="E8" i="9"/>
  <c r="D8" i="1" s="1"/>
  <c r="E52" i="7"/>
  <c r="B52" i="1" s="1"/>
  <c r="E5" i="8"/>
  <c r="C5" i="1" s="1"/>
  <c r="E21" i="8"/>
  <c r="C21" i="1" s="1"/>
  <c r="E37" i="8"/>
  <c r="C37" i="1" s="1"/>
  <c r="E53" i="8"/>
  <c r="C53" i="1" s="1"/>
  <c r="E6" i="9"/>
  <c r="D6" i="1" s="1"/>
  <c r="E50" i="7"/>
  <c r="B50" i="1" s="1"/>
  <c r="E3" i="8"/>
  <c r="C3" i="1" s="1"/>
  <c r="E19" i="8"/>
  <c r="C19" i="1" s="1"/>
  <c r="E35" i="8"/>
  <c r="C35" i="1" s="1"/>
  <c r="E51" i="8"/>
  <c r="C51" i="1" s="1"/>
  <c r="E4" i="9"/>
  <c r="D4" i="1" s="1"/>
  <c r="E49" i="8"/>
  <c r="C49" i="1" s="1"/>
  <c r="E2" i="9"/>
  <c r="D2" i="1" s="1"/>
  <c r="E46" i="7"/>
  <c r="B46" i="1" s="1"/>
  <c r="E62" i="7"/>
  <c r="B62" i="1" s="1"/>
  <c r="E15" i="8"/>
  <c r="C15" i="1" s="1"/>
  <c r="E31" i="8"/>
  <c r="C31" i="1" s="1"/>
  <c r="E47" i="8"/>
  <c r="C47" i="1" s="1"/>
  <c r="E63" i="8"/>
  <c r="C63" i="1" s="1"/>
  <c r="E16" i="9"/>
  <c r="D16" i="1" s="1"/>
  <c r="E44" i="7"/>
  <c r="B44" i="1" s="1"/>
  <c r="E60" i="7"/>
  <c r="B60" i="1" s="1"/>
  <c r="E13" i="8"/>
  <c r="C13" i="1" s="1"/>
  <c r="E29" i="8"/>
  <c r="C29" i="1" s="1"/>
  <c r="E45" i="8"/>
  <c r="C45" i="1" s="1"/>
  <c r="E61" i="8"/>
  <c r="C61" i="1" s="1"/>
  <c r="E14" i="9"/>
  <c r="D14" i="1" s="1"/>
  <c r="E31" i="16"/>
  <c r="E31" i="1" s="1"/>
  <c r="E39" i="16"/>
  <c r="E39" i="1" s="1"/>
  <c r="E47" i="16"/>
  <c r="E47" i="1" s="1"/>
  <c r="E55" i="16"/>
  <c r="E55" i="1" s="1"/>
  <c r="E63" i="16"/>
  <c r="E63" i="1" s="1"/>
  <c r="E8" i="17"/>
  <c r="F8" i="1" s="1"/>
  <c r="E16" i="17"/>
  <c r="F16" i="1" s="1"/>
  <c r="E24" i="17"/>
  <c r="F24" i="1" s="1"/>
  <c r="E32" i="17"/>
  <c r="F32" i="1" s="1"/>
  <c r="E40" i="17"/>
  <c r="F40" i="1" s="1"/>
  <c r="E48" i="17"/>
  <c r="F48" i="1" s="1"/>
  <c r="E56" i="17"/>
  <c r="F56" i="1" s="1"/>
  <c r="E64" i="17"/>
  <c r="F64" i="1" s="1"/>
  <c r="E9" i="18"/>
  <c r="G9" i="1" s="1"/>
  <c r="E17" i="18"/>
  <c r="G17" i="1" s="1"/>
  <c r="E25" i="18"/>
  <c r="G25" i="1" s="1"/>
  <c r="E33" i="18"/>
  <c r="G33" i="1" s="1"/>
  <c r="E41" i="18"/>
  <c r="G41" i="1" s="1"/>
  <c r="E49" i="18"/>
  <c r="G49" i="1" s="1"/>
  <c r="E57" i="18"/>
  <c r="G57" i="1" s="1"/>
  <c r="E26" i="16"/>
  <c r="E26" i="1" s="1"/>
  <c r="E34" i="16"/>
  <c r="E34" i="1" s="1"/>
  <c r="E42" i="16"/>
  <c r="E42" i="1" s="1"/>
  <c r="E50" i="16"/>
  <c r="E50" i="1" s="1"/>
  <c r="E58" i="16"/>
  <c r="E58" i="1" s="1"/>
  <c r="E3" i="17"/>
  <c r="F3" i="1" s="1"/>
  <c r="E11" i="17"/>
  <c r="F11" i="1" s="1"/>
  <c r="E19" i="17"/>
  <c r="F19" i="1" s="1"/>
  <c r="E27" i="17"/>
  <c r="F27" i="1" s="1"/>
  <c r="E35" i="17"/>
  <c r="F35" i="1" s="1"/>
  <c r="E43" i="17"/>
  <c r="F43" i="1" s="1"/>
  <c r="E51" i="17"/>
  <c r="F51" i="1" s="1"/>
  <c r="E59" i="17"/>
  <c r="F59" i="1" s="1"/>
  <c r="E4" i="18"/>
  <c r="G4" i="1" s="1"/>
  <c r="E12" i="18"/>
  <c r="G12" i="1" s="1"/>
  <c r="E20" i="18"/>
  <c r="G20" i="1" s="1"/>
  <c r="E28" i="18"/>
  <c r="G28" i="1" s="1"/>
  <c r="E36" i="18"/>
  <c r="G36" i="1" s="1"/>
  <c r="E44" i="18"/>
  <c r="G44" i="1" s="1"/>
  <c r="E52" i="18"/>
  <c r="G52" i="1" s="1"/>
  <c r="E60" i="18"/>
  <c r="G60" i="1" s="1"/>
  <c r="E22" i="16"/>
  <c r="E22" i="1" s="1"/>
  <c r="E32" i="16"/>
  <c r="E32" i="1" s="1"/>
  <c r="E40" i="16"/>
  <c r="E40" i="1" s="1"/>
  <c r="E48" i="16"/>
  <c r="E48" i="1" s="1"/>
  <c r="E56" i="16"/>
  <c r="E56" i="1" s="1"/>
  <c r="E64" i="16"/>
  <c r="E64" i="1" s="1"/>
  <c r="E9" i="17"/>
  <c r="F9" i="1" s="1"/>
  <c r="E17" i="17"/>
  <c r="F17" i="1" s="1"/>
  <c r="E25" i="17"/>
  <c r="F25" i="1" s="1"/>
  <c r="E33" i="17"/>
  <c r="F33" i="1" s="1"/>
  <c r="E41" i="17"/>
  <c r="F41" i="1" s="1"/>
  <c r="E49" i="17"/>
  <c r="F49" i="1" s="1"/>
  <c r="E57" i="17"/>
  <c r="F57" i="1" s="1"/>
  <c r="E2" i="18"/>
  <c r="G2" i="1" s="1"/>
  <c r="E10" i="18"/>
  <c r="G10" i="1" s="1"/>
  <c r="E18" i="18"/>
  <c r="G18" i="1" s="1"/>
  <c r="E26" i="18"/>
  <c r="G26" i="1" s="1"/>
  <c r="E34" i="18"/>
  <c r="G34" i="1" s="1"/>
  <c r="E42" i="18"/>
  <c r="G42" i="1" s="1"/>
  <c r="E50" i="18"/>
  <c r="G50" i="1" s="1"/>
  <c r="E58" i="18"/>
  <c r="G58" i="1" s="1"/>
  <c r="E27" i="16"/>
  <c r="E27" i="1" s="1"/>
  <c r="E35" i="16"/>
  <c r="E35" i="1" s="1"/>
  <c r="E43" i="16"/>
  <c r="E43" i="1" s="1"/>
  <c r="E51" i="16"/>
  <c r="E51" i="1" s="1"/>
  <c r="E59" i="16"/>
  <c r="E59" i="1" s="1"/>
  <c r="E4" i="17"/>
  <c r="F4" i="1" s="1"/>
  <c r="E12" i="17"/>
  <c r="F12" i="1" s="1"/>
  <c r="E20" i="17"/>
  <c r="F20" i="1" s="1"/>
  <c r="E28" i="17"/>
  <c r="F28" i="1" s="1"/>
  <c r="E36" i="17"/>
  <c r="F36" i="1" s="1"/>
  <c r="E44" i="17"/>
  <c r="F44" i="1" s="1"/>
  <c r="E52" i="17"/>
  <c r="F52" i="1" s="1"/>
  <c r="E60" i="17"/>
  <c r="F60" i="1" s="1"/>
  <c r="E5" i="18"/>
  <c r="G5" i="1" s="1"/>
  <c r="E13" i="18"/>
  <c r="G13" i="1" s="1"/>
  <c r="E21" i="18"/>
  <c r="G21" i="1" s="1"/>
  <c r="E29" i="18"/>
  <c r="G29" i="1" s="1"/>
  <c r="E37" i="18"/>
  <c r="G37" i="1" s="1"/>
  <c r="E45" i="18"/>
  <c r="G45" i="1" s="1"/>
  <c r="E53" i="18"/>
  <c r="G53" i="1" s="1"/>
  <c r="E61" i="18"/>
  <c r="G61" i="1" s="1"/>
  <c r="E30" i="16"/>
  <c r="E30" i="1" s="1"/>
  <c r="E38" i="16"/>
  <c r="E38" i="1" s="1"/>
  <c r="E46" i="16"/>
  <c r="E46" i="1" s="1"/>
  <c r="E54" i="16"/>
  <c r="E54" i="1" s="1"/>
  <c r="E62" i="16"/>
  <c r="E62" i="1" s="1"/>
  <c r="E7" i="17"/>
  <c r="F7" i="1" s="1"/>
  <c r="E15" i="17"/>
  <c r="F15" i="1" s="1"/>
  <c r="E23" i="17"/>
  <c r="F23" i="1" s="1"/>
  <c r="E31" i="17"/>
  <c r="F31" i="1" s="1"/>
  <c r="E39" i="17"/>
  <c r="F39" i="1" s="1"/>
  <c r="E47" i="17"/>
  <c r="F47" i="1" s="1"/>
  <c r="E55" i="17"/>
  <c r="F55" i="1" s="1"/>
  <c r="E63" i="17"/>
  <c r="F63" i="1" s="1"/>
  <c r="E8" i="18"/>
  <c r="G8" i="1" s="1"/>
  <c r="E16" i="18"/>
  <c r="G16" i="1" s="1"/>
  <c r="E24" i="18"/>
  <c r="G24" i="1" s="1"/>
  <c r="E32" i="18"/>
  <c r="G32" i="1" s="1"/>
  <c r="E40" i="18"/>
  <c r="G40" i="1" s="1"/>
  <c r="E48" i="18"/>
  <c r="G48" i="1" s="1"/>
  <c r="E56" i="18"/>
  <c r="G56" i="1" s="1"/>
  <c r="E33" i="16"/>
  <c r="E33" i="1" s="1"/>
  <c r="E41" i="16"/>
  <c r="E41" i="1" s="1"/>
  <c r="E49" i="16"/>
  <c r="E49" i="1" s="1"/>
  <c r="E57" i="16"/>
  <c r="E57" i="1" s="1"/>
  <c r="E2" i="17"/>
  <c r="F2" i="1" s="1"/>
  <c r="E10" i="17"/>
  <c r="F10" i="1" s="1"/>
  <c r="E18" i="17"/>
  <c r="F18" i="1" s="1"/>
  <c r="E26" i="17"/>
  <c r="F26" i="1" s="1"/>
  <c r="E34" i="17"/>
  <c r="F34" i="1" s="1"/>
  <c r="E42" i="17"/>
  <c r="F42" i="1" s="1"/>
  <c r="E50" i="17"/>
  <c r="F50" i="1" s="1"/>
  <c r="E58" i="17"/>
  <c r="F58" i="1" s="1"/>
  <c r="E3" i="18"/>
  <c r="G3" i="1" s="1"/>
  <c r="E11" i="18"/>
  <c r="G11" i="1" s="1"/>
  <c r="E19" i="18"/>
  <c r="G19" i="1" s="1"/>
  <c r="E27" i="18"/>
  <c r="G27" i="1" s="1"/>
  <c r="E35" i="18"/>
  <c r="G35" i="1" s="1"/>
  <c r="E43" i="18"/>
  <c r="G43" i="1" s="1"/>
  <c r="E51" i="18"/>
  <c r="G51" i="1" s="1"/>
  <c r="E59" i="18"/>
  <c r="G59" i="1" s="1"/>
</calcChain>
</file>

<file path=xl/sharedStrings.xml><?xml version="1.0" encoding="utf-8"?>
<sst xmlns="http://schemas.openxmlformats.org/spreadsheetml/2006/main" count="89" uniqueCount="67">
  <si>
    <t>样本序号</t>
  </si>
  <si>
    <t>相对树皮厚度</t>
  </si>
  <si>
    <t>相对韧皮部厚度</t>
  </si>
  <si>
    <t>相对木质部厚度</t>
  </si>
  <si>
    <t>导管密度</t>
  </si>
  <si>
    <t>平均导管腔面积</t>
  </si>
  <si>
    <t>导管腔面积占木质部比例</t>
  </si>
  <si>
    <t>形成层连续性评分1（坏）-10（好）</t>
  </si>
  <si>
    <t>半径长度1</t>
  </si>
  <si>
    <t>半径长度2</t>
  </si>
  <si>
    <t>半径长度3</t>
  </si>
  <si>
    <t>木质部长度1</t>
  </si>
  <si>
    <t>木质部长度2</t>
  </si>
  <si>
    <t>木质部长度3</t>
  </si>
  <si>
    <t>韧皮部长度1</t>
  </si>
  <si>
    <t>韧皮部长度2</t>
  </si>
  <si>
    <t>韧皮部长度3</t>
  </si>
  <si>
    <t>皮层长度1</t>
  </si>
  <si>
    <t>皮层长度2</t>
  </si>
  <si>
    <t>皮层长度3</t>
  </si>
  <si>
    <t>相对树皮厚度1</t>
  </si>
  <si>
    <t>相对树皮厚度2</t>
  </si>
  <si>
    <t>相对树皮厚度3</t>
  </si>
  <si>
    <t>平均</t>
  </si>
  <si>
    <t>相对树皮厚度=（皮层长度+韧皮部长度）/半径长度</t>
  </si>
  <si>
    <t>相对韧皮部厚度1</t>
  </si>
  <si>
    <t>相对韧皮部厚度2</t>
  </si>
  <si>
    <t>相对韧皮部厚度3</t>
  </si>
  <si>
    <t>相对韧皮部厚度=韧皮部长度/半径长度</t>
  </si>
  <si>
    <t>相对木质部厚度1</t>
  </si>
  <si>
    <t>相对木质部厚度2</t>
  </si>
  <si>
    <t>相对木质部厚度3</t>
  </si>
  <si>
    <t>相对木质部厚度=木质部长度/半径长度</t>
  </si>
  <si>
    <t>导管总数量1</t>
  </si>
  <si>
    <t>导管总数量2</t>
  </si>
  <si>
    <t>导管总数量3</t>
  </si>
  <si>
    <t>导管（腔）总面积1</t>
  </si>
  <si>
    <t>导管（腔）总面积2</t>
  </si>
  <si>
    <t>导管（腔）总面积3</t>
  </si>
  <si>
    <t>局部韧皮部面积1</t>
  </si>
  <si>
    <t>局部韧皮部面积2</t>
  </si>
  <si>
    <t>局部韧皮部面积3</t>
  </si>
  <si>
    <t>局部髓面积1</t>
  </si>
  <si>
    <t>局部髓面积2</t>
  </si>
  <si>
    <t>局部髓面积3</t>
  </si>
  <si>
    <t>局部木质部面积1</t>
  </si>
  <si>
    <t>局部木质部面积2</t>
  </si>
  <si>
    <t>局部木质部面积3</t>
  </si>
  <si>
    <t>1.当图内没有 韧皮部、髓 时，木质部面积＝整张图面积
2.当图内有 韧皮部、髓（两者都有或有任意一个）时，木质部面积＝整张图面积-多余的两个（韧皮部、髓） 或 木质部面积＝整张图面积-多余的二者之一（韧皮部 或 髓）</t>
  </si>
  <si>
    <t>导管密度1</t>
  </si>
  <si>
    <t>导管密度2</t>
  </si>
  <si>
    <t>导管密度3</t>
  </si>
  <si>
    <t>导管密度=导管总数量/局部木质部面积</t>
  </si>
  <si>
    <t>单位 vessels·mm⁻²</t>
  </si>
  <si>
    <t>需要换算一下单位，因为前面的“局部木质部面积”单位是μm2，换算成mm2，再算</t>
  </si>
  <si>
    <t>平均导管腔面积1</t>
  </si>
  <si>
    <t>平均导管腔面积2</t>
  </si>
  <si>
    <t>平均导管腔面积3</t>
  </si>
  <si>
    <t>平均导管腔面积=导管（腔）总面积/导管总数量</t>
  </si>
  <si>
    <t>单位 μm²·vessel⁻¹，不需要换算单位</t>
  </si>
  <si>
    <t>导管腔面积占木质部比例1</t>
  </si>
  <si>
    <t>导管腔面积占木质部比例2</t>
  </si>
  <si>
    <t>导管腔面积占木质部比例3</t>
  </si>
  <si>
    <t>导管腔面积占木质部比例=导管（腔）总面积/局部木质部面积</t>
  </si>
  <si>
    <t>形成层连续性评分1</t>
  </si>
  <si>
    <t>形成层连续性评分2</t>
  </si>
  <si>
    <t>形成层连续性评分3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</si>
</sst>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activeCell="F6" sqref="F6"/>
    </sheetView>
  </sheetViews>
  <sheetFormatPr defaultColWidth="9" defaultRowHeight="13.5" x14ac:dyDescent="0.15"/>
  <cols>
    <col min="1" max="6" width="15.625" style="1" customWidth="1"/>
    <col min="7" max="7" width="28.875" style="1" customWidth="1"/>
    <col min="8" max="9" width="33.125" style="1" customWidth="1"/>
    <col min="10" max="10" width="9" style="1" customWidth="1"/>
    <col min="11" max="16384" width="9" style="1"/>
  </cols>
  <sheetData>
    <row r="1" spans="1: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 s="2">
        <v>1</v>
      </c>
      <c r="B2" s="2" t="str">
        <f>相对树皮厚度!E2</f>
        <v/>
      </c>
      <c r="C2" s="2" t="str">
        <f>相对韧皮部厚度!E2</f>
        <v/>
      </c>
      <c r="D2" s="2" t="str">
        <f>相对木质部厚度!E2</f>
        <v/>
      </c>
      <c r="E2" s="2" t="str">
        <f>导管密度!E2</f>
        <v/>
      </c>
      <c r="F2" s="2" t="str">
        <f>平均导管腔面积!E2</f>
        <v/>
      </c>
      <c r="G2" s="2" t="str">
        <f>导管腔面积占木质部比例!E2</f>
        <v/>
      </c>
      <c r="H2" s="2" t="str">
        <f>'形成层连续性评分1（坏）-10（好）'!E2</f>
        <v/>
      </c>
    </row>
    <row r="3" spans="1:8" x14ac:dyDescent="0.15">
      <c r="A3" s="2">
        <v>2</v>
      </c>
      <c r="B3" s="2" t="str">
        <f>相对树皮厚度!E3</f>
        <v/>
      </c>
      <c r="C3" s="2" t="str">
        <f>相对韧皮部厚度!E3</f>
        <v/>
      </c>
      <c r="D3" s="2" t="str">
        <f>相对木质部厚度!E3</f>
        <v/>
      </c>
      <c r="E3" s="2" t="str">
        <f>导管密度!E3</f>
        <v/>
      </c>
      <c r="F3" s="2" t="str">
        <f>平均导管腔面积!E3</f>
        <v/>
      </c>
      <c r="G3" s="2" t="str">
        <f>导管腔面积占木质部比例!E3</f>
        <v/>
      </c>
      <c r="H3" s="2" t="str">
        <f>'形成层连续性评分1（坏）-10（好）'!E3</f>
        <v/>
      </c>
    </row>
    <row r="4" spans="1:8" x14ac:dyDescent="0.15">
      <c r="A4" s="2">
        <v>3</v>
      </c>
      <c r="B4" s="2" t="str">
        <f>相对树皮厚度!E4</f>
        <v/>
      </c>
      <c r="C4" s="2" t="str">
        <f>相对韧皮部厚度!E4</f>
        <v/>
      </c>
      <c r="D4" s="2" t="str">
        <f>相对木质部厚度!E4</f>
        <v/>
      </c>
      <c r="E4" s="2" t="str">
        <f>导管密度!E4</f>
        <v/>
      </c>
      <c r="F4" s="2" t="str">
        <f>平均导管腔面积!E4</f>
        <v/>
      </c>
      <c r="G4" s="2" t="str">
        <f>导管腔面积占木质部比例!E4</f>
        <v/>
      </c>
      <c r="H4" s="2" t="str">
        <f>'形成层连续性评分1（坏）-10（好）'!E4</f>
        <v/>
      </c>
    </row>
    <row r="5" spans="1:8" x14ac:dyDescent="0.15">
      <c r="A5" s="2">
        <v>4</v>
      </c>
      <c r="B5" s="2" t="str">
        <f>相对树皮厚度!E5</f>
        <v/>
      </c>
      <c r="C5" s="2" t="str">
        <f>相对韧皮部厚度!E5</f>
        <v/>
      </c>
      <c r="D5" s="2" t="str">
        <f>相对木质部厚度!E5</f>
        <v/>
      </c>
      <c r="E5" s="2" t="str">
        <f>导管密度!E5</f>
        <v/>
      </c>
      <c r="F5" s="2" t="str">
        <f>平均导管腔面积!E5</f>
        <v/>
      </c>
      <c r="G5" s="2" t="str">
        <f>导管腔面积占木质部比例!E5</f>
        <v/>
      </c>
      <c r="H5" s="2" t="str">
        <f>'形成层连续性评分1（坏）-10（好）'!E5</f>
        <v/>
      </c>
    </row>
    <row r="6" spans="1:8" x14ac:dyDescent="0.15">
      <c r="A6" s="2">
        <v>5</v>
      </c>
      <c r="B6" s="2" t="str">
        <f>相对树皮厚度!E6</f>
        <v/>
      </c>
      <c r="C6" s="2" t="str">
        <f>相对韧皮部厚度!E6</f>
        <v/>
      </c>
      <c r="D6" s="2" t="str">
        <f>相对木质部厚度!E6</f>
        <v/>
      </c>
      <c r="E6" s="2" t="str">
        <f>导管密度!E6</f>
        <v/>
      </c>
      <c r="F6" s="2" t="str">
        <f>平均导管腔面积!E6</f>
        <v/>
      </c>
      <c r="G6" s="2" t="str">
        <f>导管腔面积占木质部比例!E6</f>
        <v/>
      </c>
      <c r="H6" s="2" t="str">
        <f>'形成层连续性评分1（坏）-10（好）'!E6</f>
        <v/>
      </c>
    </row>
    <row r="7" spans="1:8" x14ac:dyDescent="0.15">
      <c r="A7" s="2">
        <v>6</v>
      </c>
      <c r="B7" s="2" t="str">
        <f>相对树皮厚度!E7</f>
        <v/>
      </c>
      <c r="C7" s="2" t="str">
        <f>相对韧皮部厚度!E7</f>
        <v/>
      </c>
      <c r="D7" s="2" t="str">
        <f>相对木质部厚度!E7</f>
        <v/>
      </c>
      <c r="E7" s="2" t="str">
        <f>导管密度!E7</f>
        <v/>
      </c>
      <c r="F7" s="2" t="str">
        <f>平均导管腔面积!E7</f>
        <v/>
      </c>
      <c r="G7" s="2" t="str">
        <f>导管腔面积占木质部比例!E7</f>
        <v/>
      </c>
      <c r="H7" s="2" t="str">
        <f>'形成层连续性评分1（坏）-10（好）'!E7</f>
        <v/>
      </c>
    </row>
    <row r="8" spans="1:8" x14ac:dyDescent="0.15">
      <c r="A8" s="2">
        <v>7</v>
      </c>
      <c r="B8" s="2" t="str">
        <f>相对树皮厚度!E8</f>
        <v/>
      </c>
      <c r="C8" s="2" t="str">
        <f>相对韧皮部厚度!E8</f>
        <v/>
      </c>
      <c r="D8" s="2" t="str">
        <f>相对木质部厚度!E8</f>
        <v/>
      </c>
      <c r="E8" s="2" t="str">
        <f>导管密度!E8</f>
        <v/>
      </c>
      <c r="F8" s="2" t="str">
        <f>平均导管腔面积!E8</f>
        <v/>
      </c>
      <c r="G8" s="2" t="str">
        <f>导管腔面积占木质部比例!E8</f>
        <v/>
      </c>
      <c r="H8" s="2" t="str">
        <f>'形成层连续性评分1（坏）-10（好）'!E8</f>
        <v/>
      </c>
    </row>
    <row r="9" spans="1:8" x14ac:dyDescent="0.15">
      <c r="A9" s="2">
        <v>8</v>
      </c>
      <c r="B9" s="2" t="str">
        <f>相对树皮厚度!E9</f>
        <v/>
      </c>
      <c r="C9" s="2" t="str">
        <f>相对韧皮部厚度!E9</f>
        <v/>
      </c>
      <c r="D9" s="2" t="str">
        <f>相对木质部厚度!E9</f>
        <v/>
      </c>
      <c r="E9" s="2" t="str">
        <f>导管密度!E9</f>
        <v/>
      </c>
      <c r="F9" s="2" t="str">
        <f>平均导管腔面积!E9</f>
        <v/>
      </c>
      <c r="G9" s="2" t="str">
        <f>导管腔面积占木质部比例!E9</f>
        <v/>
      </c>
      <c r="H9" s="2" t="str">
        <f>'形成层连续性评分1（坏）-10（好）'!E9</f>
        <v/>
      </c>
    </row>
    <row r="10" spans="1:8" x14ac:dyDescent="0.15">
      <c r="A10" s="2">
        <v>9</v>
      </c>
      <c r="B10" s="2" t="str">
        <f>相对树皮厚度!E10</f>
        <v/>
      </c>
      <c r="C10" s="2" t="str">
        <f>相对韧皮部厚度!E10</f>
        <v/>
      </c>
      <c r="D10" s="2" t="str">
        <f>相对木质部厚度!E10</f>
        <v/>
      </c>
      <c r="E10" s="2" t="str">
        <f>导管密度!E10</f>
        <v/>
      </c>
      <c r="F10" s="2" t="str">
        <f>平均导管腔面积!E10</f>
        <v/>
      </c>
      <c r="G10" s="2" t="str">
        <f>导管腔面积占木质部比例!E10</f>
        <v/>
      </c>
      <c r="H10" s="2" t="str">
        <f>'形成层连续性评分1（坏）-10（好）'!E10</f>
        <v/>
      </c>
    </row>
    <row r="11" spans="1:8" x14ac:dyDescent="0.15">
      <c r="A11" s="2">
        <v>10</v>
      </c>
      <c r="B11" s="2" t="str">
        <f>相对树皮厚度!E11</f>
        <v/>
      </c>
      <c r="C11" s="2" t="str">
        <f>相对韧皮部厚度!E11</f>
        <v/>
      </c>
      <c r="D11" s="2" t="str">
        <f>相对木质部厚度!E11</f>
        <v/>
      </c>
      <c r="E11" s="2" t="str">
        <f>导管密度!E11</f>
        <v/>
      </c>
      <c r="F11" s="2" t="str">
        <f>平均导管腔面积!E11</f>
        <v/>
      </c>
      <c r="G11" s="2" t="str">
        <f>导管腔面积占木质部比例!E11</f>
        <v/>
      </c>
      <c r="H11" s="2" t="str">
        <f>'形成层连续性评分1（坏）-10（好）'!E11</f>
        <v/>
      </c>
    </row>
    <row r="12" spans="1:8" x14ac:dyDescent="0.15">
      <c r="A12" s="2">
        <v>11</v>
      </c>
      <c r="B12" s="2" t="str">
        <f>相对树皮厚度!E12</f>
        <v/>
      </c>
      <c r="C12" s="2" t="str">
        <f>相对韧皮部厚度!E12</f>
        <v/>
      </c>
      <c r="D12" s="2" t="str">
        <f>相对木质部厚度!E12</f>
        <v/>
      </c>
      <c r="E12" s="2" t="str">
        <f>导管密度!E12</f>
        <v/>
      </c>
      <c r="F12" s="2" t="str">
        <f>平均导管腔面积!E12</f>
        <v/>
      </c>
      <c r="G12" s="2" t="str">
        <f>导管腔面积占木质部比例!E12</f>
        <v/>
      </c>
      <c r="H12" s="2" t="str">
        <f>'形成层连续性评分1（坏）-10（好）'!E12</f>
        <v/>
      </c>
    </row>
    <row r="13" spans="1:8" x14ac:dyDescent="0.15">
      <c r="A13" s="2">
        <v>12</v>
      </c>
      <c r="B13" s="2" t="str">
        <f>相对树皮厚度!E13</f>
        <v/>
      </c>
      <c r="C13" s="2" t="str">
        <f>相对韧皮部厚度!E13</f>
        <v/>
      </c>
      <c r="D13" s="2" t="str">
        <f>相对木质部厚度!E13</f>
        <v/>
      </c>
      <c r="E13" s="2" t="str">
        <f>导管密度!E13</f>
        <v/>
      </c>
      <c r="F13" s="2" t="str">
        <f>平均导管腔面积!E13</f>
        <v/>
      </c>
      <c r="G13" s="2" t="str">
        <f>导管腔面积占木质部比例!E13</f>
        <v/>
      </c>
      <c r="H13" s="2" t="str">
        <f>'形成层连续性评分1（坏）-10（好）'!E13</f>
        <v/>
      </c>
    </row>
    <row r="14" spans="1:8" x14ac:dyDescent="0.15">
      <c r="A14" s="2">
        <v>13</v>
      </c>
      <c r="B14" s="2" t="str">
        <f>相对树皮厚度!E14</f>
        <v/>
      </c>
      <c r="C14" s="2" t="str">
        <f>相对韧皮部厚度!E14</f>
        <v/>
      </c>
      <c r="D14" s="2" t="str">
        <f>相对木质部厚度!E14</f>
        <v/>
      </c>
      <c r="E14" s="2" t="str">
        <f>导管密度!E14</f>
        <v/>
      </c>
      <c r="F14" s="2" t="str">
        <f>平均导管腔面积!E14</f>
        <v/>
      </c>
      <c r="G14" s="2" t="str">
        <f>导管腔面积占木质部比例!E14</f>
        <v/>
      </c>
      <c r="H14" s="2" t="str">
        <f>'形成层连续性评分1（坏）-10（好）'!E14</f>
        <v/>
      </c>
    </row>
    <row r="15" spans="1:8" x14ac:dyDescent="0.15">
      <c r="A15" s="2">
        <v>14</v>
      </c>
      <c r="B15" s="2" t="str">
        <f>相对树皮厚度!E15</f>
        <v/>
      </c>
      <c r="C15" s="2" t="str">
        <f>相对韧皮部厚度!E15</f>
        <v/>
      </c>
      <c r="D15" s="2" t="str">
        <f>相对木质部厚度!E15</f>
        <v/>
      </c>
      <c r="E15" s="2" t="str">
        <f>导管密度!E15</f>
        <v/>
      </c>
      <c r="F15" s="2" t="str">
        <f>平均导管腔面积!E15</f>
        <v/>
      </c>
      <c r="G15" s="2" t="str">
        <f>导管腔面积占木质部比例!E15</f>
        <v/>
      </c>
      <c r="H15" s="2" t="str">
        <f>'形成层连续性评分1（坏）-10（好）'!E15</f>
        <v/>
      </c>
    </row>
    <row r="16" spans="1:8" x14ac:dyDescent="0.15">
      <c r="A16" s="2">
        <v>15</v>
      </c>
      <c r="B16" s="2" t="str">
        <f>相对树皮厚度!E16</f>
        <v/>
      </c>
      <c r="C16" s="2" t="str">
        <f>相对韧皮部厚度!E16</f>
        <v/>
      </c>
      <c r="D16" s="2" t="str">
        <f>相对木质部厚度!E16</f>
        <v/>
      </c>
      <c r="E16" s="2" t="str">
        <f>导管密度!E16</f>
        <v/>
      </c>
      <c r="F16" s="2" t="str">
        <f>平均导管腔面积!E16</f>
        <v/>
      </c>
      <c r="G16" s="2" t="str">
        <f>导管腔面积占木质部比例!E16</f>
        <v/>
      </c>
      <c r="H16" s="2" t="str">
        <f>'形成层连续性评分1（坏）-10（好）'!E16</f>
        <v/>
      </c>
    </row>
    <row r="17" spans="1:8" x14ac:dyDescent="0.15">
      <c r="A17" s="2">
        <v>16</v>
      </c>
      <c r="B17" s="2" t="str">
        <f>相对树皮厚度!E17</f>
        <v/>
      </c>
      <c r="C17" s="2" t="str">
        <f>相对韧皮部厚度!E17</f>
        <v/>
      </c>
      <c r="D17" s="2" t="str">
        <f>相对木质部厚度!E17</f>
        <v/>
      </c>
      <c r="E17" s="2" t="str">
        <f>导管密度!E17</f>
        <v/>
      </c>
      <c r="F17" s="2" t="str">
        <f>平均导管腔面积!E17</f>
        <v/>
      </c>
      <c r="G17" s="2" t="str">
        <f>导管腔面积占木质部比例!E17</f>
        <v/>
      </c>
      <c r="H17" s="2" t="str">
        <f>'形成层连续性评分1（坏）-10（好）'!E17</f>
        <v/>
      </c>
    </row>
    <row r="18" spans="1:8" x14ac:dyDescent="0.15">
      <c r="A18" s="2">
        <v>17</v>
      </c>
      <c r="B18" s="2" t="str">
        <f>相对树皮厚度!E18</f>
        <v/>
      </c>
      <c r="C18" s="2" t="str">
        <f>相对韧皮部厚度!E18</f>
        <v/>
      </c>
      <c r="D18" s="2" t="str">
        <f>相对木质部厚度!E18</f>
        <v/>
      </c>
      <c r="E18" s="2" t="str">
        <f>导管密度!E18</f>
        <v/>
      </c>
      <c r="F18" s="2" t="str">
        <f>平均导管腔面积!E18</f>
        <v/>
      </c>
      <c r="G18" s="2" t="str">
        <f>导管腔面积占木质部比例!E18</f>
        <v/>
      </c>
      <c r="H18" s="2" t="str">
        <f>'形成层连续性评分1（坏）-10（好）'!E18</f>
        <v/>
      </c>
    </row>
    <row r="19" spans="1:8" x14ac:dyDescent="0.15">
      <c r="A19" s="2">
        <v>18</v>
      </c>
      <c r="B19" s="2" t="str">
        <f>相对树皮厚度!E19</f>
        <v/>
      </c>
      <c r="C19" s="2" t="str">
        <f>相对韧皮部厚度!E19</f>
        <v/>
      </c>
      <c r="D19" s="2" t="str">
        <f>相对木质部厚度!E19</f>
        <v/>
      </c>
      <c r="E19" s="2" t="str">
        <f>导管密度!E19</f>
        <v/>
      </c>
      <c r="F19" s="2" t="str">
        <f>平均导管腔面积!E19</f>
        <v/>
      </c>
      <c r="G19" s="2" t="str">
        <f>导管腔面积占木质部比例!E19</f>
        <v/>
      </c>
      <c r="H19" s="2" t="str">
        <f>'形成层连续性评分1（坏）-10（好）'!E19</f>
        <v/>
      </c>
    </row>
    <row r="20" spans="1:8" x14ac:dyDescent="0.15">
      <c r="A20" s="2">
        <v>19</v>
      </c>
      <c r="B20" s="2" t="str">
        <f>相对树皮厚度!E20</f>
        <v/>
      </c>
      <c r="C20" s="2" t="str">
        <f>相对韧皮部厚度!E20</f>
        <v/>
      </c>
      <c r="D20" s="2" t="str">
        <f>相对木质部厚度!E20</f>
        <v/>
      </c>
      <c r="E20" s="2" t="str">
        <f>导管密度!E20</f>
        <v/>
      </c>
      <c r="F20" s="2" t="str">
        <f>平均导管腔面积!E20</f>
        <v/>
      </c>
      <c r="G20" s="2" t="str">
        <f>导管腔面积占木质部比例!E20</f>
        <v/>
      </c>
      <c r="H20" s="2" t="str">
        <f>'形成层连续性评分1（坏）-10（好）'!E20</f>
        <v/>
      </c>
    </row>
    <row r="21" spans="1:8" x14ac:dyDescent="0.15">
      <c r="A21" s="2">
        <v>20</v>
      </c>
      <c r="B21" s="2" t="str">
        <f>相对树皮厚度!E21</f>
        <v/>
      </c>
      <c r="C21" s="2" t="str">
        <f>相对韧皮部厚度!E21</f>
        <v/>
      </c>
      <c r="D21" s="2" t="str">
        <f>相对木质部厚度!E21</f>
        <v/>
      </c>
      <c r="E21" s="2" t="str">
        <f>导管密度!E21</f>
        <v/>
      </c>
      <c r="F21" s="2" t="str">
        <f>平均导管腔面积!E21</f>
        <v/>
      </c>
      <c r="G21" s="2" t="str">
        <f>导管腔面积占木质部比例!E21</f>
        <v/>
      </c>
      <c r="H21" s="2" t="str">
        <f>'形成层连续性评分1（坏）-10（好）'!E21</f>
        <v/>
      </c>
    </row>
    <row r="22" spans="1:8" x14ac:dyDescent="0.15">
      <c r="A22" s="2">
        <v>21</v>
      </c>
      <c r="B22" s="2" t="str">
        <f>相对树皮厚度!E22</f>
        <v/>
      </c>
      <c r="C22" s="2" t="str">
        <f>相对韧皮部厚度!E22</f>
        <v/>
      </c>
      <c r="D22" s="2" t="str">
        <f>相对木质部厚度!E22</f>
        <v/>
      </c>
      <c r="E22" s="2" t="str">
        <f>导管密度!E22</f>
        <v/>
      </c>
      <c r="F22" s="2" t="str">
        <f>平均导管腔面积!E22</f>
        <v/>
      </c>
      <c r="G22" s="2" t="str">
        <f>导管腔面积占木质部比例!E22</f>
        <v/>
      </c>
      <c r="H22" s="2" t="str">
        <f>'形成层连续性评分1（坏）-10（好）'!E22</f>
        <v/>
      </c>
    </row>
    <row r="23" spans="1:8" x14ac:dyDescent="0.15">
      <c r="A23" s="2">
        <v>22</v>
      </c>
      <c r="B23" s="2" t="str">
        <f>相对树皮厚度!E23</f>
        <v/>
      </c>
      <c r="C23" s="2" t="str">
        <f>相对韧皮部厚度!E23</f>
        <v/>
      </c>
      <c r="D23" s="2" t="str">
        <f>相对木质部厚度!E23</f>
        <v/>
      </c>
      <c r="E23" s="2" t="str">
        <f>导管密度!E23</f>
        <v/>
      </c>
      <c r="F23" s="2" t="str">
        <f>平均导管腔面积!E23</f>
        <v/>
      </c>
      <c r="G23" s="2" t="str">
        <f>导管腔面积占木质部比例!E23</f>
        <v/>
      </c>
      <c r="H23" s="2" t="str">
        <f>'形成层连续性评分1（坏）-10（好）'!E23</f>
        <v/>
      </c>
    </row>
    <row r="24" spans="1:8" x14ac:dyDescent="0.15">
      <c r="A24" s="2">
        <v>23</v>
      </c>
      <c r="B24" s="2" t="str">
        <f>相对树皮厚度!E24</f>
        <v/>
      </c>
      <c r="C24" s="2" t="str">
        <f>相对韧皮部厚度!E24</f>
        <v/>
      </c>
      <c r="D24" s="2" t="str">
        <f>相对木质部厚度!E24</f>
        <v/>
      </c>
      <c r="E24" s="2" t="str">
        <f>导管密度!E24</f>
        <v/>
      </c>
      <c r="F24" s="2" t="str">
        <f>平均导管腔面积!E24</f>
        <v/>
      </c>
      <c r="G24" s="2" t="str">
        <f>导管腔面积占木质部比例!E24</f>
        <v/>
      </c>
      <c r="H24" s="2" t="str">
        <f>'形成层连续性评分1（坏）-10（好）'!E24</f>
        <v/>
      </c>
    </row>
    <row r="25" spans="1:8" x14ac:dyDescent="0.15">
      <c r="A25" s="2">
        <v>24</v>
      </c>
      <c r="B25" s="2" t="str">
        <f>相对树皮厚度!E25</f>
        <v/>
      </c>
      <c r="C25" s="2" t="str">
        <f>相对韧皮部厚度!E25</f>
        <v/>
      </c>
      <c r="D25" s="2" t="str">
        <f>相对木质部厚度!E25</f>
        <v/>
      </c>
      <c r="E25" s="2" t="str">
        <f>导管密度!E25</f>
        <v/>
      </c>
      <c r="F25" s="2" t="str">
        <f>平均导管腔面积!E25</f>
        <v/>
      </c>
      <c r="G25" s="2" t="str">
        <f>导管腔面积占木质部比例!E25</f>
        <v/>
      </c>
      <c r="H25" s="2" t="str">
        <f>'形成层连续性评分1（坏）-10（好）'!E25</f>
        <v/>
      </c>
    </row>
    <row r="26" spans="1:8" x14ac:dyDescent="0.15">
      <c r="A26" s="2">
        <v>25</v>
      </c>
      <c r="B26" s="2" t="str">
        <f>相对树皮厚度!E26</f>
        <v/>
      </c>
      <c r="C26" s="2" t="str">
        <f>相对韧皮部厚度!E26</f>
        <v/>
      </c>
      <c r="D26" s="2" t="str">
        <f>相对木质部厚度!E26</f>
        <v/>
      </c>
      <c r="E26" s="2" t="str">
        <f>导管密度!E26</f>
        <v/>
      </c>
      <c r="F26" s="2" t="str">
        <f>平均导管腔面积!E26</f>
        <v/>
      </c>
      <c r="G26" s="2" t="str">
        <f>导管腔面积占木质部比例!E26</f>
        <v/>
      </c>
      <c r="H26" s="2" t="str">
        <f>'形成层连续性评分1（坏）-10（好）'!E26</f>
        <v/>
      </c>
    </row>
    <row r="27" spans="1:8" x14ac:dyDescent="0.15">
      <c r="A27" s="2">
        <v>26</v>
      </c>
      <c r="B27" s="2" t="str">
        <f>相对树皮厚度!E27</f>
        <v/>
      </c>
      <c r="C27" s="2" t="str">
        <f>相对韧皮部厚度!E27</f>
        <v/>
      </c>
      <c r="D27" s="2" t="str">
        <f>相对木质部厚度!E27</f>
        <v/>
      </c>
      <c r="E27" s="2" t="str">
        <f>导管密度!E27</f>
        <v/>
      </c>
      <c r="F27" s="2" t="str">
        <f>平均导管腔面积!E27</f>
        <v/>
      </c>
      <c r="G27" s="2" t="str">
        <f>导管腔面积占木质部比例!E27</f>
        <v/>
      </c>
      <c r="H27" s="2" t="str">
        <f>'形成层连续性评分1（坏）-10（好）'!E27</f>
        <v/>
      </c>
    </row>
    <row r="28" spans="1:8" x14ac:dyDescent="0.15">
      <c r="A28" s="2">
        <v>27</v>
      </c>
      <c r="B28" s="2" t="str">
        <f>相对树皮厚度!E28</f>
        <v/>
      </c>
      <c r="C28" s="2" t="str">
        <f>相对韧皮部厚度!E28</f>
        <v/>
      </c>
      <c r="D28" s="2" t="str">
        <f>相对木质部厚度!E28</f>
        <v/>
      </c>
      <c r="E28" s="2" t="str">
        <f>导管密度!E28</f>
        <v/>
      </c>
      <c r="F28" s="2" t="str">
        <f>平均导管腔面积!E28</f>
        <v/>
      </c>
      <c r="G28" s="2" t="str">
        <f>导管腔面积占木质部比例!E28</f>
        <v/>
      </c>
      <c r="H28" s="2" t="str">
        <f>'形成层连续性评分1（坏）-10（好）'!E28</f>
        <v/>
      </c>
    </row>
    <row r="29" spans="1:8" x14ac:dyDescent="0.15">
      <c r="A29" s="2">
        <v>28</v>
      </c>
      <c r="B29" s="2" t="str">
        <f>相对树皮厚度!E29</f>
        <v/>
      </c>
      <c r="C29" s="2" t="str">
        <f>相对韧皮部厚度!E29</f>
        <v/>
      </c>
      <c r="D29" s="2" t="str">
        <f>相对木质部厚度!E29</f>
        <v/>
      </c>
      <c r="E29" s="2" t="str">
        <f>导管密度!E29</f>
        <v/>
      </c>
      <c r="F29" s="2" t="str">
        <f>平均导管腔面积!E29</f>
        <v/>
      </c>
      <c r="G29" s="2" t="str">
        <f>导管腔面积占木质部比例!E29</f>
        <v/>
      </c>
      <c r="H29" s="2" t="str">
        <f>'形成层连续性评分1（坏）-10（好）'!E29</f>
        <v/>
      </c>
    </row>
    <row r="30" spans="1:8" x14ac:dyDescent="0.15">
      <c r="A30" s="2">
        <v>29</v>
      </c>
      <c r="B30" s="2" t="str">
        <f>相对树皮厚度!E30</f>
        <v/>
      </c>
      <c r="C30" s="2" t="str">
        <f>相对韧皮部厚度!E30</f>
        <v/>
      </c>
      <c r="D30" s="2" t="str">
        <f>相对木质部厚度!E30</f>
        <v/>
      </c>
      <c r="E30" s="2" t="str">
        <f>导管密度!E30</f>
        <v/>
      </c>
      <c r="F30" s="2" t="str">
        <f>平均导管腔面积!E30</f>
        <v/>
      </c>
      <c r="G30" s="2" t="str">
        <f>导管腔面积占木质部比例!E30</f>
        <v/>
      </c>
      <c r="H30" s="2" t="str">
        <f>'形成层连续性评分1（坏）-10（好）'!E30</f>
        <v/>
      </c>
    </row>
    <row r="31" spans="1:8" x14ac:dyDescent="0.15">
      <c r="A31" s="2">
        <v>30</v>
      </c>
      <c r="B31" s="2" t="str">
        <f>相对树皮厚度!E31</f>
        <v/>
      </c>
      <c r="C31" s="2" t="str">
        <f>相对韧皮部厚度!E31</f>
        <v/>
      </c>
      <c r="D31" s="2" t="str">
        <f>相对木质部厚度!E31</f>
        <v/>
      </c>
      <c r="E31" s="2" t="str">
        <f>导管密度!E31</f>
        <v/>
      </c>
      <c r="F31" s="2" t="str">
        <f>平均导管腔面积!E31</f>
        <v/>
      </c>
      <c r="G31" s="2" t="str">
        <f>导管腔面积占木质部比例!E31</f>
        <v/>
      </c>
      <c r="H31" s="2" t="str">
        <f>'形成层连续性评分1（坏）-10（好）'!E31</f>
        <v/>
      </c>
    </row>
    <row r="32" spans="1:8" x14ac:dyDescent="0.15">
      <c r="A32" s="2">
        <v>31</v>
      </c>
      <c r="B32" s="2" t="str">
        <f>相对树皮厚度!E32</f>
        <v/>
      </c>
      <c r="C32" s="2" t="str">
        <f>相对韧皮部厚度!E32</f>
        <v/>
      </c>
      <c r="D32" s="2" t="str">
        <f>相对木质部厚度!E32</f>
        <v/>
      </c>
      <c r="E32" s="2" t="str">
        <f>导管密度!E32</f>
        <v/>
      </c>
      <c r="F32" s="2" t="str">
        <f>平均导管腔面积!E32</f>
        <v/>
      </c>
      <c r="G32" s="2" t="str">
        <f>导管腔面积占木质部比例!E32</f>
        <v/>
      </c>
      <c r="H32" s="2" t="str">
        <f>'形成层连续性评分1（坏）-10（好）'!E32</f>
        <v/>
      </c>
    </row>
    <row r="33" spans="1:8" x14ac:dyDescent="0.15">
      <c r="A33" s="2">
        <v>32</v>
      </c>
      <c r="B33" s="2" t="str">
        <f>相对树皮厚度!E33</f>
        <v/>
      </c>
      <c r="C33" s="2" t="str">
        <f>相对韧皮部厚度!E33</f>
        <v/>
      </c>
      <c r="D33" s="2" t="str">
        <f>相对木质部厚度!E33</f>
        <v/>
      </c>
      <c r="E33" s="2" t="str">
        <f>导管密度!E33</f>
        <v/>
      </c>
      <c r="F33" s="2" t="str">
        <f>平均导管腔面积!E33</f>
        <v/>
      </c>
      <c r="G33" s="2" t="str">
        <f>导管腔面积占木质部比例!E33</f>
        <v/>
      </c>
      <c r="H33" s="2" t="str">
        <f>'形成层连续性评分1（坏）-10（好）'!E33</f>
        <v/>
      </c>
    </row>
    <row r="34" spans="1:8" x14ac:dyDescent="0.15">
      <c r="A34" s="2">
        <v>33</v>
      </c>
      <c r="B34" s="2" t="str">
        <f>相对树皮厚度!E34</f>
        <v/>
      </c>
      <c r="C34" s="2" t="str">
        <f>相对韧皮部厚度!E34</f>
        <v/>
      </c>
      <c r="D34" s="2" t="str">
        <f>相对木质部厚度!E34</f>
        <v/>
      </c>
      <c r="E34" s="2" t="str">
        <f>导管密度!E34</f>
        <v/>
      </c>
      <c r="F34" s="2" t="str">
        <f>平均导管腔面积!E34</f>
        <v/>
      </c>
      <c r="G34" s="2" t="str">
        <f>导管腔面积占木质部比例!E34</f>
        <v/>
      </c>
      <c r="H34" s="2" t="str">
        <f>'形成层连续性评分1（坏）-10（好）'!E34</f>
        <v/>
      </c>
    </row>
    <row r="35" spans="1:8" x14ac:dyDescent="0.15">
      <c r="A35" s="2">
        <v>34</v>
      </c>
      <c r="B35" s="2" t="str">
        <f>相对树皮厚度!E35</f>
        <v/>
      </c>
      <c r="C35" s="2" t="str">
        <f>相对韧皮部厚度!E35</f>
        <v/>
      </c>
      <c r="D35" s="2" t="str">
        <f>相对木质部厚度!E35</f>
        <v/>
      </c>
      <c r="E35" s="2" t="str">
        <f>导管密度!E35</f>
        <v/>
      </c>
      <c r="F35" s="2" t="str">
        <f>平均导管腔面积!E35</f>
        <v/>
      </c>
      <c r="G35" s="2" t="str">
        <f>导管腔面积占木质部比例!E35</f>
        <v/>
      </c>
      <c r="H35" s="2" t="str">
        <f>'形成层连续性评分1（坏）-10（好）'!E35</f>
        <v/>
      </c>
    </row>
    <row r="36" spans="1:8" x14ac:dyDescent="0.15">
      <c r="A36" s="2">
        <v>35</v>
      </c>
      <c r="B36" s="2" t="str">
        <f>相对树皮厚度!E36</f>
        <v/>
      </c>
      <c r="C36" s="2" t="str">
        <f>相对韧皮部厚度!E36</f>
        <v/>
      </c>
      <c r="D36" s="2" t="str">
        <f>相对木质部厚度!E36</f>
        <v/>
      </c>
      <c r="E36" s="2" t="str">
        <f>导管密度!E36</f>
        <v/>
      </c>
      <c r="F36" s="2" t="str">
        <f>平均导管腔面积!E36</f>
        <v/>
      </c>
      <c r="G36" s="2" t="str">
        <f>导管腔面积占木质部比例!E36</f>
        <v/>
      </c>
      <c r="H36" s="2" t="str">
        <f>'形成层连续性评分1（坏）-10（好）'!E36</f>
        <v/>
      </c>
    </row>
    <row r="37" spans="1:8" x14ac:dyDescent="0.15">
      <c r="A37" s="2">
        <v>36</v>
      </c>
      <c r="B37" s="2" t="str">
        <f>相对树皮厚度!E37</f>
        <v/>
      </c>
      <c r="C37" s="2" t="str">
        <f>相对韧皮部厚度!E37</f>
        <v/>
      </c>
      <c r="D37" s="2" t="str">
        <f>相对木质部厚度!E37</f>
        <v/>
      </c>
      <c r="E37" s="2" t="str">
        <f>导管密度!E37</f>
        <v/>
      </c>
      <c r="F37" s="2" t="str">
        <f>平均导管腔面积!E37</f>
        <v/>
      </c>
      <c r="G37" s="2" t="str">
        <f>导管腔面积占木质部比例!E37</f>
        <v/>
      </c>
      <c r="H37" s="2" t="str">
        <f>'形成层连续性评分1（坏）-10（好）'!E37</f>
        <v/>
      </c>
    </row>
    <row r="38" spans="1:8" x14ac:dyDescent="0.15">
      <c r="A38" s="2">
        <v>37</v>
      </c>
      <c r="B38" s="2" t="str">
        <f>相对树皮厚度!E38</f>
        <v/>
      </c>
      <c r="C38" s="2" t="str">
        <f>相对韧皮部厚度!E38</f>
        <v/>
      </c>
      <c r="D38" s="2" t="str">
        <f>相对木质部厚度!E38</f>
        <v/>
      </c>
      <c r="E38" s="2" t="str">
        <f>导管密度!E38</f>
        <v/>
      </c>
      <c r="F38" s="2" t="str">
        <f>平均导管腔面积!E38</f>
        <v/>
      </c>
      <c r="G38" s="2" t="str">
        <f>导管腔面积占木质部比例!E38</f>
        <v/>
      </c>
      <c r="H38" s="2" t="str">
        <f>'形成层连续性评分1（坏）-10（好）'!E38</f>
        <v/>
      </c>
    </row>
    <row r="39" spans="1:8" x14ac:dyDescent="0.15">
      <c r="A39" s="2">
        <v>38</v>
      </c>
      <c r="B39" s="2" t="str">
        <f>相对树皮厚度!E39</f>
        <v/>
      </c>
      <c r="C39" s="2" t="str">
        <f>相对韧皮部厚度!E39</f>
        <v/>
      </c>
      <c r="D39" s="2" t="str">
        <f>相对木质部厚度!E39</f>
        <v/>
      </c>
      <c r="E39" s="2" t="str">
        <f>导管密度!E39</f>
        <v/>
      </c>
      <c r="F39" s="2" t="str">
        <f>平均导管腔面积!E39</f>
        <v/>
      </c>
      <c r="G39" s="2" t="str">
        <f>导管腔面积占木质部比例!E39</f>
        <v/>
      </c>
      <c r="H39" s="2" t="str">
        <f>'形成层连续性评分1（坏）-10（好）'!E39</f>
        <v/>
      </c>
    </row>
    <row r="40" spans="1:8" x14ac:dyDescent="0.15">
      <c r="A40" s="2">
        <v>39</v>
      </c>
      <c r="B40" s="2" t="str">
        <f>相对树皮厚度!E40</f>
        <v/>
      </c>
      <c r="C40" s="2" t="str">
        <f>相对韧皮部厚度!E40</f>
        <v/>
      </c>
      <c r="D40" s="2" t="str">
        <f>相对木质部厚度!E40</f>
        <v/>
      </c>
      <c r="E40" s="2" t="str">
        <f>导管密度!E40</f>
        <v/>
      </c>
      <c r="F40" s="2" t="str">
        <f>平均导管腔面积!E40</f>
        <v/>
      </c>
      <c r="G40" s="2" t="str">
        <f>导管腔面积占木质部比例!E40</f>
        <v/>
      </c>
      <c r="H40" s="2" t="str">
        <f>'形成层连续性评分1（坏）-10（好）'!E40</f>
        <v/>
      </c>
    </row>
    <row r="41" spans="1:8" x14ac:dyDescent="0.15">
      <c r="A41" s="2">
        <v>40</v>
      </c>
      <c r="B41" s="2" t="str">
        <f>相对树皮厚度!E41</f>
        <v/>
      </c>
      <c r="C41" s="2" t="str">
        <f>相对韧皮部厚度!E41</f>
        <v/>
      </c>
      <c r="D41" s="2" t="str">
        <f>相对木质部厚度!E41</f>
        <v/>
      </c>
      <c r="E41" s="2" t="str">
        <f>导管密度!E41</f>
        <v/>
      </c>
      <c r="F41" s="2" t="str">
        <f>平均导管腔面积!E41</f>
        <v/>
      </c>
      <c r="G41" s="2" t="str">
        <f>导管腔面积占木质部比例!E41</f>
        <v/>
      </c>
      <c r="H41" s="2" t="str">
        <f>'形成层连续性评分1（坏）-10（好）'!E41</f>
        <v/>
      </c>
    </row>
    <row r="42" spans="1:8" x14ac:dyDescent="0.15">
      <c r="A42" s="2">
        <v>41</v>
      </c>
      <c r="B42" s="2" t="str">
        <f>相对树皮厚度!E42</f>
        <v/>
      </c>
      <c r="C42" s="2" t="str">
        <f>相对韧皮部厚度!E42</f>
        <v/>
      </c>
      <c r="D42" s="2" t="str">
        <f>相对木质部厚度!E42</f>
        <v/>
      </c>
      <c r="E42" s="2" t="str">
        <f>导管密度!E42</f>
        <v/>
      </c>
      <c r="F42" s="2" t="str">
        <f>平均导管腔面积!E42</f>
        <v/>
      </c>
      <c r="G42" s="2" t="str">
        <f>导管腔面积占木质部比例!E42</f>
        <v/>
      </c>
      <c r="H42" s="2" t="str">
        <f>'形成层连续性评分1（坏）-10（好）'!E42</f>
        <v/>
      </c>
    </row>
    <row r="43" spans="1:8" x14ac:dyDescent="0.15">
      <c r="A43" s="2">
        <v>42</v>
      </c>
      <c r="B43" s="2" t="str">
        <f>相对树皮厚度!E43</f>
        <v/>
      </c>
      <c r="C43" s="2" t="str">
        <f>相对韧皮部厚度!E43</f>
        <v/>
      </c>
      <c r="D43" s="2" t="str">
        <f>相对木质部厚度!E43</f>
        <v/>
      </c>
      <c r="E43" s="2" t="str">
        <f>导管密度!E43</f>
        <v/>
      </c>
      <c r="F43" s="2" t="str">
        <f>平均导管腔面积!E43</f>
        <v/>
      </c>
      <c r="G43" s="2" t="str">
        <f>导管腔面积占木质部比例!E43</f>
        <v/>
      </c>
      <c r="H43" s="2" t="str">
        <f>'形成层连续性评分1（坏）-10（好）'!E43</f>
        <v/>
      </c>
    </row>
    <row r="44" spans="1:8" x14ac:dyDescent="0.15">
      <c r="A44" s="2">
        <v>43</v>
      </c>
      <c r="B44" s="2" t="str">
        <f>相对树皮厚度!E44</f>
        <v/>
      </c>
      <c r="C44" s="2" t="str">
        <f>相对韧皮部厚度!E44</f>
        <v/>
      </c>
      <c r="D44" s="2" t="str">
        <f>相对木质部厚度!E44</f>
        <v/>
      </c>
      <c r="E44" s="2" t="str">
        <f>导管密度!E44</f>
        <v/>
      </c>
      <c r="F44" s="2" t="str">
        <f>平均导管腔面积!E44</f>
        <v/>
      </c>
      <c r="G44" s="2" t="str">
        <f>导管腔面积占木质部比例!E44</f>
        <v/>
      </c>
      <c r="H44" s="2" t="str">
        <f>'形成层连续性评分1（坏）-10（好）'!E44</f>
        <v/>
      </c>
    </row>
    <row r="45" spans="1:8" x14ac:dyDescent="0.15">
      <c r="A45" s="2">
        <v>44</v>
      </c>
      <c r="B45" s="2" t="str">
        <f>相对树皮厚度!E45</f>
        <v/>
      </c>
      <c r="C45" s="2" t="str">
        <f>相对韧皮部厚度!E45</f>
        <v/>
      </c>
      <c r="D45" s="2" t="str">
        <f>相对木质部厚度!E45</f>
        <v/>
      </c>
      <c r="E45" s="2" t="str">
        <f>导管密度!E45</f>
        <v/>
      </c>
      <c r="F45" s="2" t="str">
        <f>平均导管腔面积!E45</f>
        <v/>
      </c>
      <c r="G45" s="2" t="str">
        <f>导管腔面积占木质部比例!E45</f>
        <v/>
      </c>
      <c r="H45" s="2" t="str">
        <f>'形成层连续性评分1（坏）-10（好）'!E45</f>
        <v/>
      </c>
    </row>
    <row r="46" spans="1:8" x14ac:dyDescent="0.15">
      <c r="A46" s="2">
        <v>45</v>
      </c>
      <c r="B46" s="2" t="str">
        <f>相对树皮厚度!E46</f>
        <v/>
      </c>
      <c r="C46" s="2" t="str">
        <f>相对韧皮部厚度!E46</f>
        <v/>
      </c>
      <c r="D46" s="2" t="str">
        <f>相对木质部厚度!E46</f>
        <v/>
      </c>
      <c r="E46" s="2" t="str">
        <f>导管密度!E46</f>
        <v/>
      </c>
      <c r="F46" s="2" t="str">
        <f>平均导管腔面积!E46</f>
        <v/>
      </c>
      <c r="G46" s="2" t="str">
        <f>导管腔面积占木质部比例!E46</f>
        <v/>
      </c>
      <c r="H46" s="2" t="str">
        <f>'形成层连续性评分1（坏）-10（好）'!E46</f>
        <v/>
      </c>
    </row>
    <row r="47" spans="1:8" x14ac:dyDescent="0.15">
      <c r="A47" s="2">
        <v>46</v>
      </c>
      <c r="B47" s="2" t="str">
        <f>相对树皮厚度!E47</f>
        <v/>
      </c>
      <c r="C47" s="2" t="str">
        <f>相对韧皮部厚度!E47</f>
        <v/>
      </c>
      <c r="D47" s="2" t="str">
        <f>相对木质部厚度!E47</f>
        <v/>
      </c>
      <c r="E47" s="2" t="str">
        <f>导管密度!E47</f>
        <v/>
      </c>
      <c r="F47" s="2" t="str">
        <f>平均导管腔面积!E47</f>
        <v/>
      </c>
      <c r="G47" s="2" t="str">
        <f>导管腔面积占木质部比例!E47</f>
        <v/>
      </c>
      <c r="H47" s="2" t="str">
        <f>'形成层连续性评分1（坏）-10（好）'!E47</f>
        <v/>
      </c>
    </row>
    <row r="48" spans="1:8" x14ac:dyDescent="0.15">
      <c r="A48" s="2">
        <v>47</v>
      </c>
      <c r="B48" s="2" t="str">
        <f>相对树皮厚度!E48</f>
        <v/>
      </c>
      <c r="C48" s="2" t="str">
        <f>相对韧皮部厚度!E48</f>
        <v/>
      </c>
      <c r="D48" s="2" t="str">
        <f>相对木质部厚度!E48</f>
        <v/>
      </c>
      <c r="E48" s="2" t="str">
        <f>导管密度!E48</f>
        <v/>
      </c>
      <c r="F48" s="2" t="str">
        <f>平均导管腔面积!E48</f>
        <v/>
      </c>
      <c r="G48" s="2" t="str">
        <f>导管腔面积占木质部比例!E48</f>
        <v/>
      </c>
      <c r="H48" s="2" t="str">
        <f>'形成层连续性评分1（坏）-10（好）'!E48</f>
        <v/>
      </c>
    </row>
    <row r="49" spans="1:8" x14ac:dyDescent="0.15">
      <c r="A49" s="2">
        <v>48</v>
      </c>
      <c r="B49" s="2" t="str">
        <f>相对树皮厚度!E49</f>
        <v/>
      </c>
      <c r="C49" s="2" t="str">
        <f>相对韧皮部厚度!E49</f>
        <v/>
      </c>
      <c r="D49" s="2" t="str">
        <f>相对木质部厚度!E49</f>
        <v/>
      </c>
      <c r="E49" s="2" t="str">
        <f>导管密度!E49</f>
        <v/>
      </c>
      <c r="F49" s="2" t="str">
        <f>平均导管腔面积!E49</f>
        <v/>
      </c>
      <c r="G49" s="2" t="str">
        <f>导管腔面积占木质部比例!E49</f>
        <v/>
      </c>
      <c r="H49" s="2" t="str">
        <f>'形成层连续性评分1（坏）-10（好）'!E49</f>
        <v/>
      </c>
    </row>
    <row r="50" spans="1:8" x14ac:dyDescent="0.15">
      <c r="A50" s="2">
        <v>49</v>
      </c>
      <c r="B50" s="2" t="str">
        <f>相对树皮厚度!E50</f>
        <v/>
      </c>
      <c r="C50" s="2" t="str">
        <f>相对韧皮部厚度!E50</f>
        <v/>
      </c>
      <c r="D50" s="2" t="str">
        <f>相对木质部厚度!E50</f>
        <v/>
      </c>
      <c r="E50" s="2" t="str">
        <f>导管密度!E50</f>
        <v/>
      </c>
      <c r="F50" s="2" t="str">
        <f>平均导管腔面积!E50</f>
        <v/>
      </c>
      <c r="G50" s="2" t="str">
        <f>导管腔面积占木质部比例!E50</f>
        <v/>
      </c>
      <c r="H50" s="2" t="str">
        <f>'形成层连续性评分1（坏）-10（好）'!E50</f>
        <v/>
      </c>
    </row>
    <row r="51" spans="1:8" x14ac:dyDescent="0.15">
      <c r="A51" s="2">
        <v>50</v>
      </c>
      <c r="B51" s="2" t="str">
        <f>相对树皮厚度!E51</f>
        <v/>
      </c>
      <c r="C51" s="2" t="str">
        <f>相对韧皮部厚度!E51</f>
        <v/>
      </c>
      <c r="D51" s="2" t="str">
        <f>相对木质部厚度!E51</f>
        <v/>
      </c>
      <c r="E51" s="2" t="str">
        <f>导管密度!E51</f>
        <v/>
      </c>
      <c r="F51" s="2" t="str">
        <f>平均导管腔面积!E51</f>
        <v/>
      </c>
      <c r="G51" s="2" t="str">
        <f>导管腔面积占木质部比例!E51</f>
        <v/>
      </c>
      <c r="H51" s="2" t="str">
        <f>'形成层连续性评分1（坏）-10（好）'!E51</f>
        <v/>
      </c>
    </row>
    <row r="52" spans="1:8" x14ac:dyDescent="0.15">
      <c r="A52" s="2">
        <v>51</v>
      </c>
      <c r="B52" s="2" t="str">
        <f>相对树皮厚度!E52</f>
        <v/>
      </c>
      <c r="C52" s="2" t="str">
        <f>相对韧皮部厚度!E52</f>
        <v/>
      </c>
      <c r="D52" s="2" t="str">
        <f>相对木质部厚度!E52</f>
        <v/>
      </c>
      <c r="E52" s="2" t="str">
        <f>导管密度!E52</f>
        <v/>
      </c>
      <c r="F52" s="2" t="str">
        <f>平均导管腔面积!E52</f>
        <v/>
      </c>
      <c r="G52" s="2" t="str">
        <f>导管腔面积占木质部比例!E52</f>
        <v/>
      </c>
      <c r="H52" s="2" t="str">
        <f>'形成层连续性评分1（坏）-10（好）'!E52</f>
        <v/>
      </c>
    </row>
    <row r="53" spans="1:8" x14ac:dyDescent="0.15">
      <c r="A53" s="2">
        <v>52</v>
      </c>
      <c r="B53" s="2" t="str">
        <f>相对树皮厚度!E53</f>
        <v/>
      </c>
      <c r="C53" s="2" t="str">
        <f>相对韧皮部厚度!E53</f>
        <v/>
      </c>
      <c r="D53" s="2" t="str">
        <f>相对木质部厚度!E53</f>
        <v/>
      </c>
      <c r="E53" s="2" t="str">
        <f>导管密度!E53</f>
        <v/>
      </c>
      <c r="F53" s="2" t="str">
        <f>平均导管腔面积!E53</f>
        <v/>
      </c>
      <c r="G53" s="2" t="str">
        <f>导管腔面积占木质部比例!E53</f>
        <v/>
      </c>
      <c r="H53" s="2" t="str">
        <f>'形成层连续性评分1（坏）-10（好）'!E53</f>
        <v/>
      </c>
    </row>
    <row r="54" spans="1:8" x14ac:dyDescent="0.15">
      <c r="A54" s="2">
        <v>53</v>
      </c>
      <c r="B54" s="2" t="str">
        <f>相对树皮厚度!E54</f>
        <v/>
      </c>
      <c r="C54" s="2" t="str">
        <f>相对韧皮部厚度!E54</f>
        <v/>
      </c>
      <c r="D54" s="2" t="str">
        <f>相对木质部厚度!E54</f>
        <v/>
      </c>
      <c r="E54" s="2" t="str">
        <f>导管密度!E54</f>
        <v/>
      </c>
      <c r="F54" s="2" t="str">
        <f>平均导管腔面积!E54</f>
        <v/>
      </c>
      <c r="G54" s="2" t="str">
        <f>导管腔面积占木质部比例!E54</f>
        <v/>
      </c>
      <c r="H54" s="2" t="str">
        <f>'形成层连续性评分1（坏）-10（好）'!E54</f>
        <v/>
      </c>
    </row>
    <row r="55" spans="1:8" x14ac:dyDescent="0.15">
      <c r="A55" s="2">
        <v>54</v>
      </c>
      <c r="B55" s="2" t="str">
        <f>相对树皮厚度!E55</f>
        <v/>
      </c>
      <c r="C55" s="2" t="str">
        <f>相对韧皮部厚度!E55</f>
        <v/>
      </c>
      <c r="D55" s="2" t="str">
        <f>相对木质部厚度!E55</f>
        <v/>
      </c>
      <c r="E55" s="2" t="str">
        <f>导管密度!E55</f>
        <v/>
      </c>
      <c r="F55" s="2" t="str">
        <f>平均导管腔面积!E55</f>
        <v/>
      </c>
      <c r="G55" s="2" t="str">
        <f>导管腔面积占木质部比例!E55</f>
        <v/>
      </c>
      <c r="H55" s="2" t="str">
        <f>'形成层连续性评分1（坏）-10（好）'!E55</f>
        <v/>
      </c>
    </row>
    <row r="56" spans="1:8" x14ac:dyDescent="0.15">
      <c r="A56" s="2">
        <v>55</v>
      </c>
      <c r="B56" s="2" t="str">
        <f>相对树皮厚度!E56</f>
        <v/>
      </c>
      <c r="C56" s="2" t="str">
        <f>相对韧皮部厚度!E56</f>
        <v/>
      </c>
      <c r="D56" s="2" t="str">
        <f>相对木质部厚度!E56</f>
        <v/>
      </c>
      <c r="E56" s="2" t="str">
        <f>导管密度!E56</f>
        <v/>
      </c>
      <c r="F56" s="2" t="str">
        <f>平均导管腔面积!E56</f>
        <v/>
      </c>
      <c r="G56" s="2" t="str">
        <f>导管腔面积占木质部比例!E56</f>
        <v/>
      </c>
      <c r="H56" s="2" t="str">
        <f>'形成层连续性评分1（坏）-10（好）'!E56</f>
        <v/>
      </c>
    </row>
    <row r="57" spans="1:8" x14ac:dyDescent="0.15">
      <c r="A57" s="2">
        <v>56</v>
      </c>
      <c r="B57" s="2" t="str">
        <f>相对树皮厚度!E57</f>
        <v/>
      </c>
      <c r="C57" s="2" t="str">
        <f>相对韧皮部厚度!E57</f>
        <v/>
      </c>
      <c r="D57" s="2" t="str">
        <f>相对木质部厚度!E57</f>
        <v/>
      </c>
      <c r="E57" s="2" t="str">
        <f>导管密度!E57</f>
        <v/>
      </c>
      <c r="F57" s="2" t="str">
        <f>平均导管腔面积!E57</f>
        <v/>
      </c>
      <c r="G57" s="2" t="str">
        <f>导管腔面积占木质部比例!E57</f>
        <v/>
      </c>
      <c r="H57" s="2" t="str">
        <f>'形成层连续性评分1（坏）-10（好）'!E57</f>
        <v/>
      </c>
    </row>
    <row r="58" spans="1:8" x14ac:dyDescent="0.15">
      <c r="A58" s="2">
        <v>57</v>
      </c>
      <c r="B58" s="2" t="str">
        <f>相对树皮厚度!E58</f>
        <v/>
      </c>
      <c r="C58" s="2" t="str">
        <f>相对韧皮部厚度!E58</f>
        <v/>
      </c>
      <c r="D58" s="2" t="str">
        <f>相对木质部厚度!E58</f>
        <v/>
      </c>
      <c r="E58" s="2" t="str">
        <f>导管密度!E58</f>
        <v/>
      </c>
      <c r="F58" s="2" t="str">
        <f>平均导管腔面积!E58</f>
        <v/>
      </c>
      <c r="G58" s="2" t="str">
        <f>导管腔面积占木质部比例!E58</f>
        <v/>
      </c>
      <c r="H58" s="2" t="str">
        <f>'形成层连续性评分1（坏）-10（好）'!E58</f>
        <v/>
      </c>
    </row>
    <row r="59" spans="1:8" x14ac:dyDescent="0.15">
      <c r="A59" s="2">
        <v>58</v>
      </c>
      <c r="B59" s="2" t="str">
        <f>相对树皮厚度!E59</f>
        <v/>
      </c>
      <c r="C59" s="2" t="str">
        <f>相对韧皮部厚度!E59</f>
        <v/>
      </c>
      <c r="D59" s="2" t="str">
        <f>相对木质部厚度!E59</f>
        <v/>
      </c>
      <c r="E59" s="2" t="str">
        <f>导管密度!E59</f>
        <v/>
      </c>
      <c r="F59" s="2" t="str">
        <f>平均导管腔面积!E59</f>
        <v/>
      </c>
      <c r="G59" s="2" t="str">
        <f>导管腔面积占木质部比例!E59</f>
        <v/>
      </c>
      <c r="H59" s="2" t="str">
        <f>'形成层连续性评分1（坏）-10（好）'!E59</f>
        <v/>
      </c>
    </row>
    <row r="60" spans="1:8" x14ac:dyDescent="0.15">
      <c r="A60" s="2">
        <v>59</v>
      </c>
      <c r="B60" s="2" t="str">
        <f>相对树皮厚度!E60</f>
        <v/>
      </c>
      <c r="C60" s="2" t="str">
        <f>相对韧皮部厚度!E60</f>
        <v/>
      </c>
      <c r="D60" s="2" t="str">
        <f>相对木质部厚度!E60</f>
        <v/>
      </c>
      <c r="E60" s="2" t="str">
        <f>导管密度!E60</f>
        <v/>
      </c>
      <c r="F60" s="2" t="str">
        <f>平均导管腔面积!E60</f>
        <v/>
      </c>
      <c r="G60" s="2" t="str">
        <f>导管腔面积占木质部比例!E60</f>
        <v/>
      </c>
      <c r="H60" s="2" t="str">
        <f>'形成层连续性评分1（坏）-10（好）'!E60</f>
        <v/>
      </c>
    </row>
    <row r="61" spans="1:8" x14ac:dyDescent="0.15">
      <c r="A61" s="2">
        <v>60</v>
      </c>
      <c r="B61" s="2" t="str">
        <f>相对树皮厚度!E61</f>
        <v/>
      </c>
      <c r="C61" s="2" t="str">
        <f>相对韧皮部厚度!E61</f>
        <v/>
      </c>
      <c r="D61" s="2" t="str">
        <f>相对木质部厚度!E61</f>
        <v/>
      </c>
      <c r="E61" s="2" t="str">
        <f>导管密度!E61</f>
        <v/>
      </c>
      <c r="F61" s="2" t="str">
        <f>平均导管腔面积!E61</f>
        <v/>
      </c>
      <c r="G61" s="2" t="str">
        <f>导管腔面积占木质部比例!E61</f>
        <v/>
      </c>
      <c r="H61" s="2" t="str">
        <f>'形成层连续性评分1（坏）-10（好）'!E61</f>
        <v/>
      </c>
    </row>
    <row r="62" spans="1:8" x14ac:dyDescent="0.15">
      <c r="A62" s="2">
        <v>61</v>
      </c>
      <c r="B62" s="2" t="str">
        <f>相对树皮厚度!E62</f>
        <v/>
      </c>
      <c r="C62" s="2" t="str">
        <f>相对韧皮部厚度!E62</f>
        <v/>
      </c>
      <c r="D62" s="2" t="str">
        <f>相对木质部厚度!E62</f>
        <v/>
      </c>
      <c r="E62" s="2" t="str">
        <f>导管密度!E62</f>
        <v/>
      </c>
      <c r="F62" s="2" t="str">
        <f>平均导管腔面积!E62</f>
        <v/>
      </c>
      <c r="G62" s="2" t="str">
        <f>导管腔面积占木质部比例!E62</f>
        <v/>
      </c>
      <c r="H62" s="2" t="str">
        <f>'形成层连续性评分1（坏）-10（好）'!E62</f>
        <v/>
      </c>
    </row>
    <row r="63" spans="1:8" x14ac:dyDescent="0.15">
      <c r="A63" s="2">
        <v>62</v>
      </c>
      <c r="B63" s="2" t="str">
        <f>相对树皮厚度!E63</f>
        <v/>
      </c>
      <c r="C63" s="2" t="str">
        <f>相对韧皮部厚度!E63</f>
        <v/>
      </c>
      <c r="D63" s="2" t="str">
        <f>相对木质部厚度!E63</f>
        <v/>
      </c>
      <c r="E63" s="2" t="str">
        <f>导管密度!E63</f>
        <v/>
      </c>
      <c r="F63" s="2" t="str">
        <f>平均导管腔面积!E63</f>
        <v/>
      </c>
      <c r="G63" s="2" t="str">
        <f>导管腔面积占木质部比例!E63</f>
        <v/>
      </c>
      <c r="H63" s="2" t="str">
        <f>'形成层连续性评分1（坏）-10（好）'!E63</f>
        <v/>
      </c>
    </row>
    <row r="64" spans="1:8" x14ac:dyDescent="0.15">
      <c r="A64" s="2">
        <v>63</v>
      </c>
      <c r="B64" s="2" t="str">
        <f>相对树皮厚度!E64</f>
        <v/>
      </c>
      <c r="C64" s="2" t="str">
        <f>相对韧皮部厚度!E64</f>
        <v/>
      </c>
      <c r="D64" s="2" t="str">
        <f>相对木质部厚度!E64</f>
        <v/>
      </c>
      <c r="E64" s="2" t="str">
        <f>导管密度!E64</f>
        <v/>
      </c>
      <c r="F64" s="2" t="str">
        <f>平均导管腔面积!E64</f>
        <v/>
      </c>
      <c r="G64" s="2" t="str">
        <f>导管腔面积占木质部比例!E64</f>
        <v/>
      </c>
      <c r="H64" s="2" t="str">
        <f>'形成层连续性评分1（坏）-10（好）'!E64</f>
        <v/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8" sqref="C38"/>
    </sheetView>
  </sheetViews>
  <sheetFormatPr defaultColWidth="9" defaultRowHeight="13.5" x14ac:dyDescent="0.15"/>
  <cols>
    <col min="1" max="8" width="15.625" style="1" customWidth="1"/>
    <col min="9" max="10" width="33.125" style="1" customWidth="1"/>
    <col min="11" max="11" width="9" style="1" customWidth="1"/>
    <col min="12" max="16384" width="9" style="1"/>
  </cols>
  <sheetData>
    <row r="1" s="1" customFormat="1" x14ac:dyDescent="0.15"/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4"/>
  <sheetViews>
    <sheetView workbookViewId="0">
      <selection activeCell="E1" sqref="E1:E12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8</v>
      </c>
      <c r="C1" s="2" t="s">
        <v>9</v>
      </c>
      <c r="D1" s="2" t="s">
        <v>10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4"/>
  <sheetViews>
    <sheetView workbookViewId="0">
      <selection sqref="A1:XFD1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11</v>
      </c>
      <c r="C1" s="2" t="s">
        <v>12</v>
      </c>
      <c r="D1" s="2" t="s">
        <v>13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4"/>
  <sheetViews>
    <sheetView workbookViewId="0">
      <selection sqref="A1:XFD1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14</v>
      </c>
      <c r="C1" s="2" t="s">
        <v>15</v>
      </c>
      <c r="D1" s="2" t="s">
        <v>16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4"/>
  <sheetViews>
    <sheetView workbookViewId="0">
      <selection activeCell="H18" sqref="H18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17</v>
      </c>
      <c r="C1" s="2" t="s">
        <v>18</v>
      </c>
      <c r="D1" s="2" t="s">
        <v>19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4"/>
  <sheetViews>
    <sheetView workbookViewId="0">
      <selection activeCell="J7" sqref="J7:N16"/>
    </sheetView>
  </sheetViews>
  <sheetFormatPr defaultColWidth="9" defaultRowHeight="13.5" x14ac:dyDescent="0.15"/>
  <cols>
    <col min="1" max="1" width="9" style="1" customWidth="1"/>
    <col min="2" max="2" width="24.75" style="1" customWidth="1"/>
    <col min="3" max="3" width="24.25" style="1" customWidth="1"/>
    <col min="4" max="4" width="24.87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14" x14ac:dyDescent="0.15">
      <c r="A2" s="2">
        <v>1</v>
      </c>
      <c r="B2" s="2" t="str">
        <f>IF(OR(半径长度!B2="",半径长度!B2=0),"",(皮层长度!B2+韧皮部长度!B2)/半径长度!B2)</f>
        <v/>
      </c>
      <c r="C2" s="2" t="str">
        <f>IF(OR(半径长度!C2="",半径长度!C2=0),"",(皮层长度!C2+韧皮部长度!C2)/半径长度!C2)</f>
        <v/>
      </c>
      <c r="D2" s="2" t="str">
        <f>IF(OR(半径长度!D2="",半径长度!D2=0),"",(皮层长度!D2+韧皮部长度!D2)/半径长度!D2)</f>
        <v/>
      </c>
      <c r="E2" s="2" t="str">
        <f t="shared" ref="E2:E33" si="0">IF(COUNT(B2:D2)=0,"",AVERAGE(B2:D2))</f>
        <v/>
      </c>
    </row>
    <row r="3" spans="1:14" x14ac:dyDescent="0.15">
      <c r="A3" s="2">
        <v>2</v>
      </c>
      <c r="B3" s="2" t="str">
        <f>IF(OR(半径长度!B3="",半径长度!B3=0),"",(皮层长度!B3+韧皮部长度!B3)/半径长度!B3)</f>
        <v/>
      </c>
      <c r="C3" s="2" t="str">
        <f>IF(OR(半径长度!C3="",半径长度!C3=0),"",(皮层长度!C3+韧皮部长度!C3)/半径长度!C3)</f>
        <v/>
      </c>
      <c r="D3" s="2" t="str">
        <f>IF(OR(半径长度!D3="",半径长度!D3=0),"",(皮层长度!D3+韧皮部长度!D3)/半径长度!D3)</f>
        <v/>
      </c>
      <c r="E3" s="2" t="str">
        <f t="shared" si="0"/>
        <v/>
      </c>
    </row>
    <row r="4" spans="1:14" x14ac:dyDescent="0.15">
      <c r="A4" s="2">
        <v>3</v>
      </c>
      <c r="B4" s="2" t="str">
        <f>IF(OR(半径长度!B4="",半径长度!B4=0),"",(皮层长度!B4+韧皮部长度!B4)/半径长度!B4)</f>
        <v/>
      </c>
      <c r="C4" s="2" t="str">
        <f>IF(OR(半径长度!C4="",半径长度!C4=0),"",(皮层长度!C4+韧皮部长度!C4)/半径长度!C4)</f>
        <v/>
      </c>
      <c r="D4" s="2" t="str">
        <f>IF(OR(半径长度!D4="",半径长度!D4=0),"",(皮层长度!D4+韧皮部长度!D4)/半径长度!D4)</f>
        <v/>
      </c>
      <c r="E4" s="2" t="str">
        <f t="shared" si="0"/>
        <v/>
      </c>
    </row>
    <row r="5" spans="1:14" x14ac:dyDescent="0.15">
      <c r="A5" s="2">
        <v>4</v>
      </c>
      <c r="B5" s="2" t="str">
        <f>IF(OR(半径长度!B5="",半径长度!B5=0),"",(皮层长度!B5+韧皮部长度!B5)/半径长度!B5)</f>
        <v/>
      </c>
      <c r="C5" s="2" t="str">
        <f>IF(OR(半径长度!C5="",半径长度!C5=0),"",(皮层长度!C5+韧皮部长度!C5)/半径长度!C5)</f>
        <v/>
      </c>
      <c r="D5" s="2" t="str">
        <f>IF(OR(半径长度!D5="",半径长度!D5=0),"",(皮层长度!D5+韧皮部长度!D5)/半径长度!D5)</f>
        <v/>
      </c>
      <c r="E5" s="2" t="str">
        <f t="shared" si="0"/>
        <v/>
      </c>
    </row>
    <row r="6" spans="1:14" x14ac:dyDescent="0.15">
      <c r="A6" s="2">
        <v>5</v>
      </c>
      <c r="B6" s="2" t="str">
        <f>IF(OR(半径长度!B6="",半径长度!B6=0),"",(皮层长度!B6+韧皮部长度!B6)/半径长度!B6)</f>
        <v/>
      </c>
      <c r="C6" s="2" t="str">
        <f>IF(OR(半径长度!C6="",半径长度!C6=0),"",(皮层长度!C6+韧皮部长度!C6)/半径长度!C6)</f>
        <v/>
      </c>
      <c r="D6" s="2" t="str">
        <f>IF(OR(半径长度!D6="",半径长度!D6=0),"",(皮层长度!D6+韧皮部长度!D6)/半径长度!D6)</f>
        <v/>
      </c>
      <c r="E6" s="2" t="str">
        <f t="shared" si="0"/>
        <v/>
      </c>
    </row>
    <row r="7" spans="1:14" x14ac:dyDescent="0.15">
      <c r="A7" s="2">
        <v>6</v>
      </c>
      <c r="B7" s="2" t="str">
        <f>IF(OR(半径长度!B7="",半径长度!B7=0),"",(皮层长度!B7+韧皮部长度!B7)/半径长度!B7)</f>
        <v/>
      </c>
      <c r="C7" s="2" t="str">
        <f>IF(OR(半径长度!C7="",半径长度!C7=0),"",(皮层长度!C7+韧皮部长度!C7)/半径长度!C7)</f>
        <v/>
      </c>
      <c r="D7" s="2" t="str">
        <f>IF(OR(半径长度!D7="",半径长度!D7=0),"",(皮层长度!D7+韧皮部长度!D7)/半径长度!D7)</f>
        <v/>
      </c>
      <c r="E7" s="2" t="str">
        <f t="shared" si="0"/>
        <v/>
      </c>
      <c r="J7" s="3" t="s">
        <v>24</v>
      </c>
      <c r="K7" s="4"/>
      <c r="L7" s="4"/>
      <c r="M7" s="4"/>
      <c r="N7" s="4"/>
    </row>
    <row r="8" spans="1:14" x14ac:dyDescent="0.15">
      <c r="A8" s="2">
        <v>7</v>
      </c>
      <c r="B8" s="2" t="str">
        <f>IF(OR(半径长度!B8="",半径长度!B8=0),"",(皮层长度!B8+韧皮部长度!B8)/半径长度!B8)</f>
        <v/>
      </c>
      <c r="C8" s="2" t="str">
        <f>IF(OR(半径长度!C8="",半径长度!C8=0),"",(皮层长度!C8+韧皮部长度!C8)/半径长度!C8)</f>
        <v/>
      </c>
      <c r="D8" s="2" t="str">
        <f>IF(OR(半径长度!D8="",半径长度!D8=0),"",(皮层长度!D8+韧皮部长度!D8)/半径长度!D8)</f>
        <v/>
      </c>
      <c r="E8" s="2" t="str">
        <f t="shared" si="0"/>
        <v/>
      </c>
      <c r="J8" s="4"/>
      <c r="K8" s="4"/>
      <c r="L8" s="4"/>
      <c r="M8" s="4"/>
      <c r="N8" s="4"/>
    </row>
    <row r="9" spans="1:14" x14ac:dyDescent="0.15">
      <c r="A9" s="2">
        <v>8</v>
      </c>
      <c r="B9" s="2" t="str">
        <f>IF(OR(半径长度!B9="",半径长度!B9=0),"",(皮层长度!B9+韧皮部长度!B9)/半径长度!B9)</f>
        <v/>
      </c>
      <c r="C9" s="2" t="str">
        <f>IF(OR(半径长度!C9="",半径长度!C9=0),"",(皮层长度!C9+韧皮部长度!C9)/半径长度!C9)</f>
        <v/>
      </c>
      <c r="D9" s="2" t="str">
        <f>IF(OR(半径长度!D9="",半径长度!D9=0),"",(皮层长度!D9+韧皮部长度!D9)/半径长度!D9)</f>
        <v/>
      </c>
      <c r="E9" s="2" t="str">
        <f t="shared" si="0"/>
        <v/>
      </c>
      <c r="J9" s="4"/>
      <c r="K9" s="4"/>
      <c r="L9" s="4"/>
      <c r="M9" s="4"/>
      <c r="N9" s="4"/>
    </row>
    <row r="10" spans="1:14" x14ac:dyDescent="0.15">
      <c r="A10" s="2">
        <v>9</v>
      </c>
      <c r="B10" s="2" t="str">
        <f>IF(OR(半径长度!B10="",半径长度!B10=0),"",(皮层长度!B10+韧皮部长度!B10)/半径长度!B10)</f>
        <v/>
      </c>
      <c r="C10" s="2" t="str">
        <f>IF(OR(半径长度!C10="",半径长度!C10=0),"",(皮层长度!C10+韧皮部长度!C10)/半径长度!C10)</f>
        <v/>
      </c>
      <c r="D10" s="2" t="str">
        <f>IF(OR(半径长度!D10="",半径长度!D10=0),"",(皮层长度!D10+韧皮部长度!D10)/半径长度!D10)</f>
        <v/>
      </c>
      <c r="E10" s="2" t="str">
        <f t="shared" si="0"/>
        <v/>
      </c>
      <c r="J10" s="4"/>
      <c r="K10" s="4"/>
      <c r="L10" s="4"/>
      <c r="M10" s="4"/>
      <c r="N10" s="4"/>
    </row>
    <row r="11" spans="1:14" x14ac:dyDescent="0.15">
      <c r="A11" s="2">
        <v>10</v>
      </c>
      <c r="B11" s="2" t="str">
        <f>IF(OR(半径长度!B11="",半径长度!B11=0),"",(皮层长度!B11+韧皮部长度!B11)/半径长度!B11)</f>
        <v/>
      </c>
      <c r="C11" s="2" t="str">
        <f>IF(OR(半径长度!C11="",半径长度!C11=0),"",(皮层长度!C11+韧皮部长度!C11)/半径长度!C11)</f>
        <v/>
      </c>
      <c r="D11" s="2" t="str">
        <f>IF(OR(半径长度!D11="",半径长度!D11=0),"",(皮层长度!D11+韧皮部长度!D11)/半径长度!D11)</f>
        <v/>
      </c>
      <c r="E11" s="2" t="str">
        <f t="shared" si="0"/>
        <v/>
      </c>
      <c r="J11" s="4"/>
      <c r="K11" s="4"/>
      <c r="L11" s="4"/>
      <c r="M11" s="4"/>
      <c r="N11" s="4"/>
    </row>
    <row r="12" spans="1:14" x14ac:dyDescent="0.15">
      <c r="A12" s="2">
        <v>11</v>
      </c>
      <c r="B12" s="2" t="str">
        <f>IF(OR(半径长度!B12="",半径长度!B12=0),"",(皮层长度!B12+韧皮部长度!B12)/半径长度!B12)</f>
        <v/>
      </c>
      <c r="C12" s="2" t="str">
        <f>IF(OR(半径长度!C12="",半径长度!C12=0),"",(皮层长度!C12+韧皮部长度!C12)/半径长度!C12)</f>
        <v/>
      </c>
      <c r="D12" s="2" t="str">
        <f>IF(OR(半径长度!D12="",半径长度!D12=0),"",(皮层长度!D12+韧皮部长度!D12)/半径长度!D12)</f>
        <v/>
      </c>
      <c r="E12" s="2" t="str">
        <f t="shared" si="0"/>
        <v/>
      </c>
      <c r="J12" s="4"/>
      <c r="K12" s="4"/>
      <c r="L12" s="4"/>
      <c r="M12" s="4"/>
      <c r="N12" s="4"/>
    </row>
    <row r="13" spans="1:14" x14ac:dyDescent="0.15">
      <c r="A13" s="2">
        <v>12</v>
      </c>
      <c r="B13" s="2" t="str">
        <f>IF(OR(半径长度!B13="",半径长度!B13=0),"",(皮层长度!B13+韧皮部长度!B13)/半径长度!B13)</f>
        <v/>
      </c>
      <c r="C13" s="2" t="str">
        <f>IF(OR(半径长度!C13="",半径长度!C13=0),"",(皮层长度!C13+韧皮部长度!C13)/半径长度!C13)</f>
        <v/>
      </c>
      <c r="D13" s="2" t="str">
        <f>IF(OR(半径长度!D13="",半径长度!D13=0),"",(皮层长度!D13+韧皮部长度!D13)/半径长度!D13)</f>
        <v/>
      </c>
      <c r="E13" s="2" t="str">
        <f t="shared" si="0"/>
        <v/>
      </c>
      <c r="J13" s="4"/>
      <c r="K13" s="4"/>
      <c r="L13" s="4"/>
      <c r="M13" s="4"/>
      <c r="N13" s="4"/>
    </row>
    <row r="14" spans="1:14" x14ac:dyDescent="0.15">
      <c r="A14" s="2">
        <v>13</v>
      </c>
      <c r="B14" s="2" t="str">
        <f>IF(OR(半径长度!B14="",半径长度!B14=0),"",(皮层长度!B14+韧皮部长度!B14)/半径长度!B14)</f>
        <v/>
      </c>
      <c r="C14" s="2" t="str">
        <f>IF(OR(半径长度!C14="",半径长度!C14=0),"",(皮层长度!C14+韧皮部长度!C14)/半径长度!C14)</f>
        <v/>
      </c>
      <c r="D14" s="2" t="str">
        <f>IF(OR(半径长度!D14="",半径长度!D14=0),"",(皮层长度!D14+韧皮部长度!D14)/半径长度!D14)</f>
        <v/>
      </c>
      <c r="E14" s="2" t="str">
        <f t="shared" si="0"/>
        <v/>
      </c>
      <c r="J14" s="4"/>
      <c r="K14" s="4"/>
      <c r="L14" s="4"/>
      <c r="M14" s="4"/>
      <c r="N14" s="4"/>
    </row>
    <row r="15" spans="1:14" x14ac:dyDescent="0.15">
      <c r="A15" s="2">
        <v>14</v>
      </c>
      <c r="B15" s="2" t="str">
        <f>IF(OR(半径长度!B15="",半径长度!B15=0),"",(皮层长度!B15+韧皮部长度!B15)/半径长度!B15)</f>
        <v/>
      </c>
      <c r="C15" s="2" t="str">
        <f>IF(OR(半径长度!C15="",半径长度!C15=0),"",(皮层长度!C15+韧皮部长度!C15)/半径长度!C15)</f>
        <v/>
      </c>
      <c r="D15" s="2" t="str">
        <f>IF(OR(半径长度!D15="",半径长度!D15=0),"",(皮层长度!D15+韧皮部长度!D15)/半径长度!D15)</f>
        <v/>
      </c>
      <c r="E15" s="2" t="str">
        <f t="shared" si="0"/>
        <v/>
      </c>
      <c r="J15" s="4"/>
      <c r="K15" s="4"/>
      <c r="L15" s="4"/>
      <c r="M15" s="4"/>
      <c r="N15" s="4"/>
    </row>
    <row r="16" spans="1:14" x14ac:dyDescent="0.15">
      <c r="A16" s="2">
        <v>15</v>
      </c>
      <c r="B16" s="2" t="str">
        <f>IF(OR(半径长度!B16="",半径长度!B16=0),"",(皮层长度!B16+韧皮部长度!B16)/半径长度!B16)</f>
        <v/>
      </c>
      <c r="C16" s="2" t="str">
        <f>IF(OR(半径长度!C16="",半径长度!C16=0),"",(皮层长度!C16+韧皮部长度!C16)/半径长度!C16)</f>
        <v/>
      </c>
      <c r="D16" s="2" t="str">
        <f>IF(OR(半径长度!D16="",半径长度!D16=0),"",(皮层长度!D16+韧皮部长度!D16)/半径长度!D16)</f>
        <v/>
      </c>
      <c r="E16" s="2" t="str">
        <f t="shared" si="0"/>
        <v/>
      </c>
      <c r="J16" s="4"/>
      <c r="K16" s="4"/>
      <c r="L16" s="4"/>
      <c r="M16" s="4"/>
      <c r="N16" s="4"/>
    </row>
    <row r="17" spans="1:5" x14ac:dyDescent="0.15">
      <c r="A17" s="2">
        <v>16</v>
      </c>
      <c r="B17" s="2" t="str">
        <f>IF(OR(半径长度!B17="",半径长度!B17=0),"",(皮层长度!B17+韧皮部长度!B17)/半径长度!B17)</f>
        <v/>
      </c>
      <c r="C17" s="2" t="str">
        <f>IF(OR(半径长度!C17="",半径长度!C17=0),"",(皮层长度!C17+韧皮部长度!C17)/半径长度!C17)</f>
        <v/>
      </c>
      <c r="D17" s="2" t="str">
        <f>IF(OR(半径长度!D17="",半径长度!D17=0),"",(皮层长度!D17+韧皮部长度!D17)/半径长度!D17)</f>
        <v/>
      </c>
      <c r="E17" s="2" t="str">
        <f t="shared" si="0"/>
        <v/>
      </c>
    </row>
    <row r="18" spans="1:5" x14ac:dyDescent="0.15">
      <c r="A18" s="2">
        <v>17</v>
      </c>
      <c r="B18" s="2" t="str">
        <f>IF(OR(半径长度!B18="",半径长度!B18=0),"",(皮层长度!B18+韧皮部长度!B18)/半径长度!B18)</f>
        <v/>
      </c>
      <c r="C18" s="2" t="str">
        <f>IF(OR(半径长度!C18="",半径长度!C18=0),"",(皮层长度!C18+韧皮部长度!C18)/半径长度!C18)</f>
        <v/>
      </c>
      <c r="D18" s="2" t="str">
        <f>IF(OR(半径长度!D18="",半径长度!D18=0),"",(皮层长度!D18+韧皮部长度!D18)/半径长度!D18)</f>
        <v/>
      </c>
      <c r="E18" s="2" t="str">
        <f t="shared" si="0"/>
        <v/>
      </c>
    </row>
    <row r="19" spans="1:5" x14ac:dyDescent="0.15">
      <c r="A19" s="2">
        <v>18</v>
      </c>
      <c r="B19" s="2" t="str">
        <f>IF(OR(半径长度!B19="",半径长度!B19=0),"",(皮层长度!B19+韧皮部长度!B19)/半径长度!B19)</f>
        <v/>
      </c>
      <c r="C19" s="2" t="str">
        <f>IF(OR(半径长度!C19="",半径长度!C19=0),"",(皮层长度!C19+韧皮部长度!C19)/半径长度!C19)</f>
        <v/>
      </c>
      <c r="D19" s="2" t="str">
        <f>IF(OR(半径长度!D19="",半径长度!D19=0),"",(皮层长度!D19+韧皮部长度!D19)/半径长度!D19)</f>
        <v/>
      </c>
      <c r="E19" s="2" t="str">
        <f t="shared" si="0"/>
        <v/>
      </c>
    </row>
    <row r="20" spans="1:5" x14ac:dyDescent="0.15">
      <c r="A20" s="2">
        <v>19</v>
      </c>
      <c r="B20" s="2" t="str">
        <f>IF(OR(半径长度!B20="",半径长度!B20=0),"",(皮层长度!B20+韧皮部长度!B20)/半径长度!B20)</f>
        <v/>
      </c>
      <c r="C20" s="2" t="str">
        <f>IF(OR(半径长度!C20="",半径长度!C20=0),"",(皮层长度!C20+韧皮部长度!C20)/半径长度!C20)</f>
        <v/>
      </c>
      <c r="D20" s="2" t="str">
        <f>IF(OR(半径长度!D20="",半径长度!D20=0),"",(皮层长度!D20+韧皮部长度!D20)/半径长度!D20)</f>
        <v/>
      </c>
      <c r="E20" s="2" t="str">
        <f t="shared" si="0"/>
        <v/>
      </c>
    </row>
    <row r="21" spans="1:5" x14ac:dyDescent="0.15">
      <c r="A21" s="2">
        <v>20</v>
      </c>
      <c r="B21" s="2" t="str">
        <f>IF(OR(半径长度!B21="",半径长度!B21=0),"",(皮层长度!B21+韧皮部长度!B21)/半径长度!B21)</f>
        <v/>
      </c>
      <c r="C21" s="2" t="str">
        <f>IF(OR(半径长度!C21="",半径长度!C21=0),"",(皮层长度!C21+韧皮部长度!C21)/半径长度!C21)</f>
        <v/>
      </c>
      <c r="D21" s="2" t="str">
        <f>IF(OR(半径长度!D21="",半径长度!D21=0),"",(皮层长度!D21+韧皮部长度!D21)/半径长度!D21)</f>
        <v/>
      </c>
      <c r="E21" s="2" t="str">
        <f t="shared" si="0"/>
        <v/>
      </c>
    </row>
    <row r="22" spans="1:5" x14ac:dyDescent="0.15">
      <c r="A22" s="2">
        <v>21</v>
      </c>
      <c r="B22" s="2" t="str">
        <f>IF(OR(半径长度!B22="",半径长度!B22=0),"",(皮层长度!B22+韧皮部长度!B22)/半径长度!B22)</f>
        <v/>
      </c>
      <c r="C22" s="2" t="str">
        <f>IF(OR(半径长度!C22="",半径长度!C22=0),"",(皮层长度!C22+韧皮部长度!C22)/半径长度!C22)</f>
        <v/>
      </c>
      <c r="D22" s="2" t="str">
        <f>IF(OR(半径长度!D22="",半径长度!D22=0),"",(皮层长度!D22+韧皮部长度!D22)/半径长度!D22)</f>
        <v/>
      </c>
      <c r="E22" s="2" t="str">
        <f t="shared" si="0"/>
        <v/>
      </c>
    </row>
    <row r="23" spans="1:5" x14ac:dyDescent="0.15">
      <c r="A23" s="2">
        <v>22</v>
      </c>
      <c r="B23" s="2" t="str">
        <f>IF(OR(半径长度!B23="",半径长度!B23=0),"",(皮层长度!B23+韧皮部长度!B23)/半径长度!B23)</f>
        <v/>
      </c>
      <c r="C23" s="2" t="str">
        <f>IF(OR(半径长度!C23="",半径长度!C23=0),"",(皮层长度!C23+韧皮部长度!C23)/半径长度!C23)</f>
        <v/>
      </c>
      <c r="D23" s="2" t="str">
        <f>IF(OR(半径长度!D23="",半径长度!D23=0),"",(皮层长度!D23+韧皮部长度!D23)/半径长度!D23)</f>
        <v/>
      </c>
      <c r="E23" s="2" t="str">
        <f t="shared" si="0"/>
        <v/>
      </c>
    </row>
    <row r="24" spans="1:5" x14ac:dyDescent="0.15">
      <c r="A24" s="2">
        <v>23</v>
      </c>
      <c r="B24" s="2" t="str">
        <f>IF(OR(半径长度!B24="",半径长度!B24=0),"",(皮层长度!B24+韧皮部长度!B24)/半径长度!B24)</f>
        <v/>
      </c>
      <c r="C24" s="2" t="str">
        <f>IF(OR(半径长度!C24="",半径长度!C24=0),"",(皮层长度!C24+韧皮部长度!C24)/半径长度!C24)</f>
        <v/>
      </c>
      <c r="D24" s="2" t="str">
        <f>IF(OR(半径长度!D24="",半径长度!D24=0),"",(皮层长度!D24+韧皮部长度!D24)/半径长度!D24)</f>
        <v/>
      </c>
      <c r="E24" s="2" t="str">
        <f t="shared" si="0"/>
        <v/>
      </c>
    </row>
    <row r="25" spans="1:5" x14ac:dyDescent="0.15">
      <c r="A25" s="2">
        <v>24</v>
      </c>
      <c r="B25" s="2" t="str">
        <f>IF(OR(半径长度!B25="",半径长度!B25=0),"",(皮层长度!B25+韧皮部长度!B25)/半径长度!B25)</f>
        <v/>
      </c>
      <c r="C25" s="2" t="str">
        <f>IF(OR(半径长度!C25="",半径长度!C25=0),"",(皮层长度!C25+韧皮部长度!C25)/半径长度!C25)</f>
        <v/>
      </c>
      <c r="D25" s="2" t="str">
        <f>IF(OR(半径长度!D25="",半径长度!D25=0),"",(皮层长度!D25+韧皮部长度!D25)/半径长度!D25)</f>
        <v/>
      </c>
      <c r="E25" s="2" t="str">
        <f t="shared" si="0"/>
        <v/>
      </c>
    </row>
    <row r="26" spans="1:5" x14ac:dyDescent="0.15">
      <c r="A26" s="2">
        <v>25</v>
      </c>
      <c r="B26" s="2" t="str">
        <f>IF(OR(半径长度!B26="",半径长度!B26=0),"",(皮层长度!B26+韧皮部长度!B26)/半径长度!B26)</f>
        <v/>
      </c>
      <c r="C26" s="2" t="str">
        <f>IF(OR(半径长度!C26="",半径长度!C26=0),"",(皮层长度!C26+韧皮部长度!C26)/半径长度!C26)</f>
        <v/>
      </c>
      <c r="D26" s="2" t="str">
        <f>IF(OR(半径长度!D26="",半径长度!D26=0),"",(皮层长度!D26+韧皮部长度!D26)/半径长度!D26)</f>
        <v/>
      </c>
      <c r="E26" s="2" t="str">
        <f t="shared" si="0"/>
        <v/>
      </c>
    </row>
    <row r="27" spans="1:5" x14ac:dyDescent="0.15">
      <c r="A27" s="2">
        <v>26</v>
      </c>
      <c r="B27" s="2" t="str">
        <f>IF(OR(半径长度!B27="",半径长度!B27=0),"",(皮层长度!B27+韧皮部长度!B27)/半径长度!B27)</f>
        <v/>
      </c>
      <c r="C27" s="2" t="str">
        <f>IF(OR(半径长度!C27="",半径长度!C27=0),"",(皮层长度!C27+韧皮部长度!C27)/半径长度!C27)</f>
        <v/>
      </c>
      <c r="D27" s="2" t="str">
        <f>IF(OR(半径长度!D27="",半径长度!D27=0),"",(皮层长度!D27+韧皮部长度!D27)/半径长度!D27)</f>
        <v/>
      </c>
      <c r="E27" s="2" t="str">
        <f t="shared" si="0"/>
        <v/>
      </c>
    </row>
    <row r="28" spans="1:5" x14ac:dyDescent="0.15">
      <c r="A28" s="2">
        <v>27</v>
      </c>
      <c r="B28" s="2" t="str">
        <f>IF(OR(半径长度!B28="",半径长度!B28=0),"",(皮层长度!B28+韧皮部长度!B28)/半径长度!B28)</f>
        <v/>
      </c>
      <c r="C28" s="2" t="str">
        <f>IF(OR(半径长度!C28="",半径长度!C28=0),"",(皮层长度!C28+韧皮部长度!C28)/半径长度!C28)</f>
        <v/>
      </c>
      <c r="D28" s="2" t="str">
        <f>IF(OR(半径长度!D28="",半径长度!D28=0),"",(皮层长度!D28+韧皮部长度!D28)/半径长度!D28)</f>
        <v/>
      </c>
      <c r="E28" s="2" t="str">
        <f t="shared" si="0"/>
        <v/>
      </c>
    </row>
    <row r="29" spans="1:5" x14ac:dyDescent="0.15">
      <c r="A29" s="2">
        <v>28</v>
      </c>
      <c r="B29" s="2" t="str">
        <f>IF(OR(半径长度!B29="",半径长度!B29=0),"",(皮层长度!B29+韧皮部长度!B29)/半径长度!B29)</f>
        <v/>
      </c>
      <c r="C29" s="2" t="str">
        <f>IF(OR(半径长度!C29="",半径长度!C29=0),"",(皮层长度!C29+韧皮部长度!C29)/半径长度!C29)</f>
        <v/>
      </c>
      <c r="D29" s="2" t="str">
        <f>IF(OR(半径长度!D29="",半径长度!D29=0),"",(皮层长度!D29+韧皮部长度!D29)/半径长度!D29)</f>
        <v/>
      </c>
      <c r="E29" s="2" t="str">
        <f t="shared" si="0"/>
        <v/>
      </c>
    </row>
    <row r="30" spans="1:5" x14ac:dyDescent="0.15">
      <c r="A30" s="2">
        <v>29</v>
      </c>
      <c r="B30" s="2" t="str">
        <f>IF(OR(半径长度!B30="",半径长度!B30=0),"",(皮层长度!B30+韧皮部长度!B30)/半径长度!B30)</f>
        <v/>
      </c>
      <c r="C30" s="2" t="str">
        <f>IF(OR(半径长度!C30="",半径长度!C30=0),"",(皮层长度!C30+韧皮部长度!C30)/半径长度!C30)</f>
        <v/>
      </c>
      <c r="D30" s="2" t="str">
        <f>IF(OR(半径长度!D30="",半径长度!D30=0),"",(皮层长度!D30+韧皮部长度!D30)/半径长度!D30)</f>
        <v/>
      </c>
      <c r="E30" s="2" t="str">
        <f t="shared" si="0"/>
        <v/>
      </c>
    </row>
    <row r="31" spans="1:5" x14ac:dyDescent="0.15">
      <c r="A31" s="2">
        <v>30</v>
      </c>
      <c r="B31" s="2" t="str">
        <f>IF(OR(半径长度!B31="",半径长度!B31=0),"",(皮层长度!B31+韧皮部长度!B31)/半径长度!B31)</f>
        <v/>
      </c>
      <c r="C31" s="2" t="str">
        <f>IF(OR(半径长度!C31="",半径长度!C31=0),"",(皮层长度!C31+韧皮部长度!C31)/半径长度!C31)</f>
        <v/>
      </c>
      <c r="D31" s="2" t="str">
        <f>IF(OR(半径长度!D31="",半径长度!D31=0),"",(皮层长度!D31+韧皮部长度!D31)/半径长度!D31)</f>
        <v/>
      </c>
      <c r="E31" s="2" t="str">
        <f t="shared" si="0"/>
        <v/>
      </c>
    </row>
    <row r="32" spans="1:5" x14ac:dyDescent="0.15">
      <c r="A32" s="2">
        <v>31</v>
      </c>
      <c r="B32" s="2" t="str">
        <f>IF(OR(半径长度!B32="",半径长度!B32=0),"",(皮层长度!B32+韧皮部长度!B32)/半径长度!B32)</f>
        <v/>
      </c>
      <c r="C32" s="2" t="str">
        <f>IF(OR(半径长度!C32="",半径长度!C32=0),"",(皮层长度!C32+韧皮部长度!C32)/半径长度!C32)</f>
        <v/>
      </c>
      <c r="D32" s="2" t="str">
        <f>IF(OR(半径长度!D32="",半径长度!D32=0),"",(皮层长度!D32+韧皮部长度!D32)/半径长度!D32)</f>
        <v/>
      </c>
      <c r="E32" s="2" t="str">
        <f t="shared" si="0"/>
        <v/>
      </c>
    </row>
    <row r="33" spans="1:5" x14ac:dyDescent="0.15">
      <c r="A33" s="2">
        <v>32</v>
      </c>
      <c r="B33" s="2" t="str">
        <f>IF(OR(半径长度!B33="",半径长度!B33=0),"",(皮层长度!B33+韧皮部长度!B33)/半径长度!B33)</f>
        <v/>
      </c>
      <c r="C33" s="2" t="str">
        <f>IF(OR(半径长度!C33="",半径长度!C33=0),"",(皮层长度!C33+韧皮部长度!C33)/半径长度!C33)</f>
        <v/>
      </c>
      <c r="D33" s="2" t="str">
        <f>IF(OR(半径长度!D33="",半径长度!D33=0),"",(皮层长度!D33+韧皮部长度!D33)/半径长度!D33)</f>
        <v/>
      </c>
      <c r="E33" s="2" t="str">
        <f t="shared" si="0"/>
        <v/>
      </c>
    </row>
    <row r="34" spans="1:5" x14ac:dyDescent="0.15">
      <c r="A34" s="2">
        <v>33</v>
      </c>
      <c r="B34" s="2" t="str">
        <f>IF(OR(半径长度!B34="",半径长度!B34=0),"",(皮层长度!B34+韧皮部长度!B34)/半径长度!B34)</f>
        <v/>
      </c>
      <c r="C34" s="2" t="str">
        <f>IF(OR(半径长度!C34="",半径长度!C34=0),"",(皮层长度!C34+韧皮部长度!C34)/半径长度!C34)</f>
        <v/>
      </c>
      <c r="D34" s="2" t="str">
        <f>IF(OR(半径长度!D34="",半径长度!D34=0),"",(皮层长度!D34+韧皮部长度!D34)/半径长度!D34)</f>
        <v/>
      </c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 t="str">
        <f>IF(OR(半径长度!B35="",半径长度!B35=0),"",(皮层长度!B35+韧皮部长度!B35)/半径长度!B35)</f>
        <v/>
      </c>
      <c r="C35" s="2" t="str">
        <f>IF(OR(半径长度!C35="",半径长度!C35=0),"",(皮层长度!C35+韧皮部长度!C35)/半径长度!C35)</f>
        <v/>
      </c>
      <c r="D35" s="2" t="str">
        <f>IF(OR(半径长度!D35="",半径长度!D35=0),"",(皮层长度!D35+韧皮部长度!D35)/半径长度!D35)</f>
        <v/>
      </c>
      <c r="E35" s="2" t="str">
        <f t="shared" si="1"/>
        <v/>
      </c>
    </row>
    <row r="36" spans="1:5" x14ac:dyDescent="0.15">
      <c r="A36" s="2">
        <v>35</v>
      </c>
      <c r="B36" s="2" t="str">
        <f>IF(OR(半径长度!B36="",半径长度!B36=0),"",(皮层长度!B36+韧皮部长度!B36)/半径长度!B36)</f>
        <v/>
      </c>
      <c r="C36" s="2" t="str">
        <f>IF(OR(半径长度!C36="",半径长度!C36=0),"",(皮层长度!C36+韧皮部长度!C36)/半径长度!C36)</f>
        <v/>
      </c>
      <c r="D36" s="2" t="str">
        <f>IF(OR(半径长度!D36="",半径长度!D36=0),"",(皮层长度!D36+韧皮部长度!D36)/半径长度!D36)</f>
        <v/>
      </c>
      <c r="E36" s="2" t="str">
        <f t="shared" si="1"/>
        <v/>
      </c>
    </row>
    <row r="37" spans="1:5" x14ac:dyDescent="0.15">
      <c r="A37" s="2">
        <v>36</v>
      </c>
      <c r="B37" s="2" t="str">
        <f>IF(OR(半径长度!B37="",半径长度!B37=0),"",(皮层长度!B37+韧皮部长度!B37)/半径长度!B37)</f>
        <v/>
      </c>
      <c r="C37" s="2" t="str">
        <f>IF(OR(半径长度!C37="",半径长度!C37=0),"",(皮层长度!C37+韧皮部长度!C37)/半径长度!C37)</f>
        <v/>
      </c>
      <c r="D37" s="2" t="str">
        <f>IF(OR(半径长度!D37="",半径长度!D37=0),"",(皮层长度!D37+韧皮部长度!D37)/半径长度!D37)</f>
        <v/>
      </c>
      <c r="E37" s="2" t="str">
        <f t="shared" si="1"/>
        <v/>
      </c>
    </row>
    <row r="38" spans="1:5" x14ac:dyDescent="0.15">
      <c r="A38" s="2">
        <v>37</v>
      </c>
      <c r="B38" s="2" t="str">
        <f>IF(OR(半径长度!B38="",半径长度!B38=0),"",(皮层长度!B38+韧皮部长度!B38)/半径长度!B38)</f>
        <v/>
      </c>
      <c r="C38" s="2" t="str">
        <f>IF(OR(半径长度!C38="",半径长度!C38=0),"",(皮层长度!C38+韧皮部长度!C38)/半径长度!C38)</f>
        <v/>
      </c>
      <c r="D38" s="2" t="str">
        <f>IF(OR(半径长度!D38="",半径长度!D38=0),"",(皮层长度!D38+韧皮部长度!D38)/半径长度!D38)</f>
        <v/>
      </c>
      <c r="E38" s="2" t="str">
        <f t="shared" si="1"/>
        <v/>
      </c>
    </row>
    <row r="39" spans="1:5" x14ac:dyDescent="0.15">
      <c r="A39" s="2">
        <v>38</v>
      </c>
      <c r="B39" s="2" t="str">
        <f>IF(OR(半径长度!B39="",半径长度!B39=0),"",(皮层长度!B39+韧皮部长度!B39)/半径长度!B39)</f>
        <v/>
      </c>
      <c r="C39" s="2" t="str">
        <f>IF(OR(半径长度!C39="",半径长度!C39=0),"",(皮层长度!C39+韧皮部长度!C39)/半径长度!C39)</f>
        <v/>
      </c>
      <c r="D39" s="2" t="str">
        <f>IF(OR(半径长度!D39="",半径长度!D39=0),"",(皮层长度!D39+韧皮部长度!D39)/半径长度!D39)</f>
        <v/>
      </c>
      <c r="E39" s="2" t="str">
        <f t="shared" si="1"/>
        <v/>
      </c>
    </row>
    <row r="40" spans="1:5" x14ac:dyDescent="0.15">
      <c r="A40" s="2">
        <v>39</v>
      </c>
      <c r="B40" s="2" t="str">
        <f>IF(OR(半径长度!B40="",半径长度!B40=0),"",(皮层长度!B40+韧皮部长度!B40)/半径长度!B40)</f>
        <v/>
      </c>
      <c r="C40" s="2" t="str">
        <f>IF(OR(半径长度!C40="",半径长度!C40=0),"",(皮层长度!C40+韧皮部长度!C40)/半径长度!C40)</f>
        <v/>
      </c>
      <c r="D40" s="2" t="str">
        <f>IF(OR(半径长度!D40="",半径长度!D40=0),"",(皮层长度!D40+韧皮部长度!D40)/半径长度!D40)</f>
        <v/>
      </c>
      <c r="E40" s="2" t="str">
        <f t="shared" si="1"/>
        <v/>
      </c>
    </row>
    <row r="41" spans="1:5" x14ac:dyDescent="0.15">
      <c r="A41" s="2">
        <v>40</v>
      </c>
      <c r="B41" s="2" t="str">
        <f>IF(OR(半径长度!B41="",半径长度!B41=0),"",(皮层长度!B41+韧皮部长度!B41)/半径长度!B41)</f>
        <v/>
      </c>
      <c r="C41" s="2" t="str">
        <f>IF(OR(半径长度!C41="",半径长度!C41=0),"",(皮层长度!C41+韧皮部长度!C41)/半径长度!C41)</f>
        <v/>
      </c>
      <c r="D41" s="2" t="str">
        <f>IF(OR(半径长度!D41="",半径长度!D41=0),"",(皮层长度!D41+韧皮部长度!D41)/半径长度!D41)</f>
        <v/>
      </c>
      <c r="E41" s="2" t="str">
        <f t="shared" si="1"/>
        <v/>
      </c>
    </row>
    <row r="42" spans="1:5" x14ac:dyDescent="0.15">
      <c r="A42" s="2">
        <v>41</v>
      </c>
      <c r="B42" s="2" t="str">
        <f>IF(OR(半径长度!B42="",半径长度!B42=0),"",(皮层长度!B42+韧皮部长度!B42)/半径长度!B42)</f>
        <v/>
      </c>
      <c r="C42" s="2" t="str">
        <f>IF(OR(半径长度!C42="",半径长度!C42=0),"",(皮层长度!C42+韧皮部长度!C42)/半径长度!C42)</f>
        <v/>
      </c>
      <c r="D42" s="2" t="str">
        <f>IF(OR(半径长度!D42="",半径长度!D42=0),"",(皮层长度!D42+韧皮部长度!D42)/半径长度!D42)</f>
        <v/>
      </c>
      <c r="E42" s="2" t="str">
        <f t="shared" si="1"/>
        <v/>
      </c>
    </row>
    <row r="43" spans="1:5" x14ac:dyDescent="0.15">
      <c r="A43" s="2">
        <v>42</v>
      </c>
      <c r="B43" s="2" t="str">
        <f>IF(OR(半径长度!B43="",半径长度!B43=0),"",(皮层长度!B43+韧皮部长度!B43)/半径长度!B43)</f>
        <v/>
      </c>
      <c r="C43" s="2" t="str">
        <f>IF(OR(半径长度!C43="",半径长度!C43=0),"",(皮层长度!C43+韧皮部长度!C43)/半径长度!C43)</f>
        <v/>
      </c>
      <c r="D43" s="2" t="str">
        <f>IF(OR(半径长度!D43="",半径长度!D43=0),"",(皮层长度!D43+韧皮部长度!D43)/半径长度!D43)</f>
        <v/>
      </c>
      <c r="E43" s="2" t="str">
        <f t="shared" si="1"/>
        <v/>
      </c>
    </row>
    <row r="44" spans="1:5" x14ac:dyDescent="0.15">
      <c r="A44" s="2">
        <v>43</v>
      </c>
      <c r="B44" s="2" t="str">
        <f>IF(OR(半径长度!B44="",半径长度!B44=0),"",(皮层长度!B44+韧皮部长度!B44)/半径长度!B44)</f>
        <v/>
      </c>
      <c r="C44" s="2" t="str">
        <f>IF(OR(半径长度!C44="",半径长度!C44=0),"",(皮层长度!C44+韧皮部长度!C44)/半径长度!C44)</f>
        <v/>
      </c>
      <c r="D44" s="2" t="str">
        <f>IF(OR(半径长度!D44="",半径长度!D44=0),"",(皮层长度!D44+韧皮部长度!D44)/半径长度!D44)</f>
        <v/>
      </c>
      <c r="E44" s="2" t="str">
        <f t="shared" si="1"/>
        <v/>
      </c>
    </row>
    <row r="45" spans="1:5" x14ac:dyDescent="0.15">
      <c r="A45" s="2">
        <v>44</v>
      </c>
      <c r="B45" s="2" t="str">
        <f>IF(OR(半径长度!B45="",半径长度!B45=0),"",(皮层长度!B45+韧皮部长度!B45)/半径长度!B45)</f>
        <v/>
      </c>
      <c r="C45" s="2" t="str">
        <f>IF(OR(半径长度!C45="",半径长度!C45=0),"",(皮层长度!C45+韧皮部长度!C45)/半径长度!C45)</f>
        <v/>
      </c>
      <c r="D45" s="2" t="str">
        <f>IF(OR(半径长度!D45="",半径长度!D45=0),"",(皮层长度!D45+韧皮部长度!D45)/半径长度!D45)</f>
        <v/>
      </c>
      <c r="E45" s="2" t="str">
        <f t="shared" si="1"/>
        <v/>
      </c>
    </row>
    <row r="46" spans="1:5" x14ac:dyDescent="0.15">
      <c r="A46" s="2">
        <v>45</v>
      </c>
      <c r="B46" s="2" t="str">
        <f>IF(OR(半径长度!B46="",半径长度!B46=0),"",(皮层长度!B46+韧皮部长度!B46)/半径长度!B46)</f>
        <v/>
      </c>
      <c r="C46" s="2" t="str">
        <f>IF(OR(半径长度!C46="",半径长度!C46=0),"",(皮层长度!C46+韧皮部长度!C46)/半径长度!C46)</f>
        <v/>
      </c>
      <c r="D46" s="2" t="str">
        <f>IF(OR(半径长度!D46="",半径长度!D46=0),"",(皮层长度!D46+韧皮部长度!D46)/半径长度!D46)</f>
        <v/>
      </c>
      <c r="E46" s="2" t="str">
        <f t="shared" si="1"/>
        <v/>
      </c>
    </row>
    <row r="47" spans="1:5" x14ac:dyDescent="0.15">
      <c r="A47" s="2">
        <v>46</v>
      </c>
      <c r="B47" s="2" t="str">
        <f>IF(OR(半径长度!B47="",半径长度!B47=0),"",(皮层长度!B47+韧皮部长度!B47)/半径长度!B47)</f>
        <v/>
      </c>
      <c r="C47" s="2" t="str">
        <f>IF(OR(半径长度!C47="",半径长度!C47=0),"",(皮层长度!C47+韧皮部长度!C47)/半径长度!C47)</f>
        <v/>
      </c>
      <c r="D47" s="2" t="str">
        <f>IF(OR(半径长度!D47="",半径长度!D47=0),"",(皮层长度!D47+韧皮部长度!D47)/半径长度!D47)</f>
        <v/>
      </c>
      <c r="E47" s="2" t="str">
        <f t="shared" si="1"/>
        <v/>
      </c>
    </row>
    <row r="48" spans="1:5" x14ac:dyDescent="0.15">
      <c r="A48" s="2">
        <v>47</v>
      </c>
      <c r="B48" s="2" t="str">
        <f>IF(OR(半径长度!B48="",半径长度!B48=0),"",(皮层长度!B48+韧皮部长度!B48)/半径长度!B48)</f>
        <v/>
      </c>
      <c r="C48" s="2" t="str">
        <f>IF(OR(半径长度!C48="",半径长度!C48=0),"",(皮层长度!C48+韧皮部长度!C48)/半径长度!C48)</f>
        <v/>
      </c>
      <c r="D48" s="2" t="str">
        <f>IF(OR(半径长度!D48="",半径长度!D48=0),"",(皮层长度!D48+韧皮部长度!D48)/半径长度!D48)</f>
        <v/>
      </c>
      <c r="E48" s="2" t="str">
        <f t="shared" si="1"/>
        <v/>
      </c>
    </row>
    <row r="49" spans="1:5" x14ac:dyDescent="0.15">
      <c r="A49" s="2">
        <v>48</v>
      </c>
      <c r="B49" s="2" t="str">
        <f>IF(OR(半径长度!B49="",半径长度!B49=0),"",(皮层长度!B49+韧皮部长度!B49)/半径长度!B49)</f>
        <v/>
      </c>
      <c r="C49" s="2" t="str">
        <f>IF(OR(半径长度!C49="",半径长度!C49=0),"",(皮层长度!C49+韧皮部长度!C49)/半径长度!C49)</f>
        <v/>
      </c>
      <c r="D49" s="2" t="str">
        <f>IF(OR(半径长度!D49="",半径长度!D49=0),"",(皮层长度!D49+韧皮部长度!D49)/半径长度!D49)</f>
        <v/>
      </c>
      <c r="E49" s="2" t="str">
        <f t="shared" si="1"/>
        <v/>
      </c>
    </row>
    <row r="50" spans="1:5" x14ac:dyDescent="0.15">
      <c r="A50" s="2">
        <v>49</v>
      </c>
      <c r="B50" s="2" t="str">
        <f>IF(OR(半径长度!B50="",半径长度!B50=0),"",(皮层长度!B50+韧皮部长度!B50)/半径长度!B50)</f>
        <v/>
      </c>
      <c r="C50" s="2" t="str">
        <f>IF(OR(半径长度!C50="",半径长度!C50=0),"",(皮层长度!C50+韧皮部长度!C50)/半径长度!C50)</f>
        <v/>
      </c>
      <c r="D50" s="2" t="str">
        <f>IF(OR(半径长度!D50="",半径长度!D50=0),"",(皮层长度!D50+韧皮部长度!D50)/半径长度!D50)</f>
        <v/>
      </c>
      <c r="E50" s="2" t="str">
        <f t="shared" si="1"/>
        <v/>
      </c>
    </row>
    <row r="51" spans="1:5" x14ac:dyDescent="0.15">
      <c r="A51" s="2">
        <v>50</v>
      </c>
      <c r="B51" s="2" t="str">
        <f>IF(OR(半径长度!B51="",半径长度!B51=0),"",(皮层长度!B51+韧皮部长度!B51)/半径长度!B51)</f>
        <v/>
      </c>
      <c r="C51" s="2" t="str">
        <f>IF(OR(半径长度!C51="",半径长度!C51=0),"",(皮层长度!C51+韧皮部长度!C51)/半径长度!C51)</f>
        <v/>
      </c>
      <c r="D51" s="2" t="str">
        <f>IF(OR(半径长度!D51="",半径长度!D51=0),"",(皮层长度!D51+韧皮部长度!D51)/半径长度!D51)</f>
        <v/>
      </c>
      <c r="E51" s="2" t="str">
        <f t="shared" si="1"/>
        <v/>
      </c>
    </row>
    <row r="52" spans="1:5" x14ac:dyDescent="0.15">
      <c r="A52" s="2">
        <v>51</v>
      </c>
      <c r="B52" s="2" t="str">
        <f>IF(OR(半径长度!B52="",半径长度!B52=0),"",(皮层长度!B52+韧皮部长度!B52)/半径长度!B52)</f>
        <v/>
      </c>
      <c r="C52" s="2" t="str">
        <f>IF(OR(半径长度!C52="",半径长度!C52=0),"",(皮层长度!C52+韧皮部长度!C52)/半径长度!C52)</f>
        <v/>
      </c>
      <c r="D52" s="2" t="str">
        <f>IF(OR(半径长度!D52="",半径长度!D52=0),"",(皮层长度!D52+韧皮部长度!D52)/半径长度!D52)</f>
        <v/>
      </c>
      <c r="E52" s="2" t="str">
        <f t="shared" si="1"/>
        <v/>
      </c>
    </row>
    <row r="53" spans="1:5" x14ac:dyDescent="0.15">
      <c r="A53" s="2">
        <v>52</v>
      </c>
      <c r="B53" s="2" t="str">
        <f>IF(OR(半径长度!B53="",半径长度!B53=0),"",(皮层长度!B53+韧皮部长度!B53)/半径长度!B53)</f>
        <v/>
      </c>
      <c r="C53" s="2" t="str">
        <f>IF(OR(半径长度!C53="",半径长度!C53=0),"",(皮层长度!C53+韧皮部长度!C53)/半径长度!C53)</f>
        <v/>
      </c>
      <c r="D53" s="2" t="str">
        <f>IF(OR(半径长度!D53="",半径长度!D53=0),"",(皮层长度!D53+韧皮部长度!D53)/半径长度!D53)</f>
        <v/>
      </c>
      <c r="E53" s="2" t="str">
        <f t="shared" si="1"/>
        <v/>
      </c>
    </row>
    <row r="54" spans="1:5" x14ac:dyDescent="0.15">
      <c r="A54" s="2">
        <v>53</v>
      </c>
      <c r="B54" s="2" t="str">
        <f>IF(OR(半径长度!B54="",半径长度!B54=0),"",(皮层长度!B54+韧皮部长度!B54)/半径长度!B54)</f>
        <v/>
      </c>
      <c r="C54" s="2" t="str">
        <f>IF(OR(半径长度!C54="",半径长度!C54=0),"",(皮层长度!C54+韧皮部长度!C54)/半径长度!C54)</f>
        <v/>
      </c>
      <c r="D54" s="2" t="str">
        <f>IF(OR(半径长度!D54="",半径长度!D54=0),"",(皮层长度!D54+韧皮部长度!D54)/半径长度!D54)</f>
        <v/>
      </c>
      <c r="E54" s="2" t="str">
        <f t="shared" si="1"/>
        <v/>
      </c>
    </row>
    <row r="55" spans="1:5" x14ac:dyDescent="0.15">
      <c r="A55" s="2">
        <v>54</v>
      </c>
      <c r="B55" s="2" t="str">
        <f>IF(OR(半径长度!B55="",半径长度!B55=0),"",(皮层长度!B55+韧皮部长度!B55)/半径长度!B55)</f>
        <v/>
      </c>
      <c r="C55" s="2" t="str">
        <f>IF(OR(半径长度!C55="",半径长度!C55=0),"",(皮层长度!C55+韧皮部长度!C55)/半径长度!C55)</f>
        <v/>
      </c>
      <c r="D55" s="2" t="str">
        <f>IF(OR(半径长度!D55="",半径长度!D55=0),"",(皮层长度!D55+韧皮部长度!D55)/半径长度!D55)</f>
        <v/>
      </c>
      <c r="E55" s="2" t="str">
        <f t="shared" si="1"/>
        <v/>
      </c>
    </row>
    <row r="56" spans="1:5" x14ac:dyDescent="0.15">
      <c r="A56" s="2">
        <v>55</v>
      </c>
      <c r="B56" s="2" t="str">
        <f>IF(OR(半径长度!B56="",半径长度!B56=0),"",(皮层长度!B56+韧皮部长度!B56)/半径长度!B56)</f>
        <v/>
      </c>
      <c r="C56" s="2" t="str">
        <f>IF(OR(半径长度!C56="",半径长度!C56=0),"",(皮层长度!C56+韧皮部长度!C56)/半径长度!C56)</f>
        <v/>
      </c>
      <c r="D56" s="2" t="str">
        <f>IF(OR(半径长度!D56="",半径长度!D56=0),"",(皮层长度!D56+韧皮部长度!D56)/半径长度!D56)</f>
        <v/>
      </c>
      <c r="E56" s="2" t="str">
        <f t="shared" si="1"/>
        <v/>
      </c>
    </row>
    <row r="57" spans="1:5" x14ac:dyDescent="0.15">
      <c r="A57" s="2">
        <v>56</v>
      </c>
      <c r="B57" s="2" t="str">
        <f>IF(OR(半径长度!B57="",半径长度!B57=0),"",(皮层长度!B57+韧皮部长度!B57)/半径长度!B57)</f>
        <v/>
      </c>
      <c r="C57" s="2" t="str">
        <f>IF(OR(半径长度!C57="",半径长度!C57=0),"",(皮层长度!C57+韧皮部长度!C57)/半径长度!C57)</f>
        <v/>
      </c>
      <c r="D57" s="2" t="str">
        <f>IF(OR(半径长度!D57="",半径长度!D57=0),"",(皮层长度!D57+韧皮部长度!D57)/半径长度!D57)</f>
        <v/>
      </c>
      <c r="E57" s="2" t="str">
        <f t="shared" si="1"/>
        <v/>
      </c>
    </row>
    <row r="58" spans="1:5" x14ac:dyDescent="0.15">
      <c r="A58" s="2">
        <v>57</v>
      </c>
      <c r="B58" s="2" t="str">
        <f>IF(OR(半径长度!B58="",半径长度!B58=0),"",(皮层长度!B58+韧皮部长度!B58)/半径长度!B58)</f>
        <v/>
      </c>
      <c r="C58" s="2" t="str">
        <f>IF(OR(半径长度!C58="",半径长度!C58=0),"",(皮层长度!C58+韧皮部长度!C58)/半径长度!C58)</f>
        <v/>
      </c>
      <c r="D58" s="2" t="str">
        <f>IF(OR(半径长度!D58="",半径长度!D58=0),"",(皮层长度!D58+韧皮部长度!D58)/半径长度!D58)</f>
        <v/>
      </c>
      <c r="E58" s="2" t="str">
        <f t="shared" si="1"/>
        <v/>
      </c>
    </row>
    <row r="59" spans="1:5" x14ac:dyDescent="0.15">
      <c r="A59" s="2">
        <v>58</v>
      </c>
      <c r="B59" s="2" t="str">
        <f>IF(OR(半径长度!B59="",半径长度!B59=0),"",(皮层长度!B59+韧皮部长度!B59)/半径长度!B59)</f>
        <v/>
      </c>
      <c r="C59" s="2" t="str">
        <f>IF(OR(半径长度!C59="",半径长度!C59=0),"",(皮层长度!C59+韧皮部长度!C59)/半径长度!C59)</f>
        <v/>
      </c>
      <c r="D59" s="2" t="str">
        <f>IF(OR(半径长度!D59="",半径长度!D59=0),"",(皮层长度!D59+韧皮部长度!D59)/半径长度!D59)</f>
        <v/>
      </c>
      <c r="E59" s="2" t="str">
        <f t="shared" si="1"/>
        <v/>
      </c>
    </row>
    <row r="60" spans="1:5" x14ac:dyDescent="0.15">
      <c r="A60" s="2">
        <v>59</v>
      </c>
      <c r="B60" s="2" t="str">
        <f>IF(OR(半径长度!B60="",半径长度!B60=0),"",(皮层长度!B60+韧皮部长度!B60)/半径长度!B60)</f>
        <v/>
      </c>
      <c r="C60" s="2" t="str">
        <f>IF(OR(半径长度!C60="",半径长度!C60=0),"",(皮层长度!C60+韧皮部长度!C60)/半径长度!C60)</f>
        <v/>
      </c>
      <c r="D60" s="2" t="str">
        <f>IF(OR(半径长度!D60="",半径长度!D60=0),"",(皮层长度!D60+韧皮部长度!D60)/半径长度!D60)</f>
        <v/>
      </c>
      <c r="E60" s="2" t="str">
        <f t="shared" si="1"/>
        <v/>
      </c>
    </row>
    <row r="61" spans="1:5" x14ac:dyDescent="0.15">
      <c r="A61" s="2">
        <v>60</v>
      </c>
      <c r="B61" s="2" t="str">
        <f>IF(OR(半径长度!B61="",半径长度!B61=0),"",(皮层长度!B61+韧皮部长度!B61)/半径长度!B61)</f>
        <v/>
      </c>
      <c r="C61" s="2" t="str">
        <f>IF(OR(半径长度!C61="",半径长度!C61=0),"",(皮层长度!C61+韧皮部长度!C61)/半径长度!C61)</f>
        <v/>
      </c>
      <c r="D61" s="2" t="str">
        <f>IF(OR(半径长度!D61="",半径长度!D61=0),"",(皮层长度!D61+韧皮部长度!D61)/半径长度!D61)</f>
        <v/>
      </c>
      <c r="E61" s="2" t="str">
        <f t="shared" si="1"/>
        <v/>
      </c>
    </row>
    <row r="62" spans="1:5" x14ac:dyDescent="0.15">
      <c r="A62" s="2">
        <v>61</v>
      </c>
      <c r="B62" s="2" t="str">
        <f>IF(OR(半径长度!B62="",半径长度!B62=0),"",(皮层长度!B62+韧皮部长度!B62)/半径长度!B62)</f>
        <v/>
      </c>
      <c r="C62" s="2" t="str">
        <f>IF(OR(半径长度!C62="",半径长度!C62=0),"",(皮层长度!C62+韧皮部长度!C62)/半径长度!C62)</f>
        <v/>
      </c>
      <c r="D62" s="2" t="str">
        <f>IF(OR(半径长度!D62="",半径长度!D62=0),"",(皮层长度!D62+韧皮部长度!D62)/半径长度!D62)</f>
        <v/>
      </c>
      <c r="E62" s="2" t="str">
        <f t="shared" si="1"/>
        <v/>
      </c>
    </row>
    <row r="63" spans="1:5" x14ac:dyDescent="0.15">
      <c r="A63" s="2">
        <v>62</v>
      </c>
      <c r="B63" s="2" t="str">
        <f>IF(OR(半径长度!B63="",半径长度!B63=0),"",(皮层长度!B63+韧皮部长度!B63)/半径长度!B63)</f>
        <v/>
      </c>
      <c r="C63" s="2" t="str">
        <f>IF(OR(半径长度!C63="",半径长度!C63=0),"",(皮层长度!C63+韧皮部长度!C63)/半径长度!C63)</f>
        <v/>
      </c>
      <c r="D63" s="2" t="str">
        <f>IF(OR(半径长度!D63="",半径长度!D63=0),"",(皮层长度!D63+韧皮部长度!D63)/半径长度!D63)</f>
        <v/>
      </c>
      <c r="E63" s="2" t="str">
        <f t="shared" si="1"/>
        <v/>
      </c>
    </row>
    <row r="64" spans="1:5" x14ac:dyDescent="0.15">
      <c r="A64" s="2">
        <v>63</v>
      </c>
      <c r="B64" s="2" t="str">
        <f>IF(OR(半径长度!B64="",半径长度!B64=0),"",(皮层长度!B64+韧皮部长度!B64)/半径长度!B64)</f>
        <v/>
      </c>
      <c r="C64" s="2" t="str">
        <f>IF(OR(半径长度!C64="",半径长度!C64=0),"",(皮层长度!C64+韧皮部长度!C64)/半径长度!C64)</f>
        <v/>
      </c>
      <c r="D64" s="2" t="str">
        <f>IF(OR(半径长度!D64="",半径长度!D64=0),"",(皮层长度!D64+韧皮部长度!D64)/半径长度!D64)</f>
        <v/>
      </c>
      <c r="E64" s="2" t="str">
        <f t="shared" si="1"/>
        <v/>
      </c>
    </row>
  </sheetData>
  <mergeCells count="1">
    <mergeCell ref="J7:N16"/>
  </mergeCells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4"/>
  <sheetViews>
    <sheetView workbookViewId="0">
      <selection activeCell="M22" sqref="M22"/>
    </sheetView>
  </sheetViews>
  <sheetFormatPr defaultColWidth="9" defaultRowHeight="13.5" x14ac:dyDescent="0.15"/>
  <cols>
    <col min="1" max="1" width="9" style="1" customWidth="1"/>
    <col min="2" max="4" width="20.62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25</v>
      </c>
      <c r="C1" s="2" t="s">
        <v>26</v>
      </c>
      <c r="D1" s="2" t="s">
        <v>27</v>
      </c>
      <c r="E1" s="2" t="s">
        <v>23</v>
      </c>
    </row>
    <row r="2" spans="1:14" x14ac:dyDescent="0.15">
      <c r="A2" s="2">
        <v>1</v>
      </c>
      <c r="B2" s="2" t="str">
        <f>IF(OR(半径长度!B2="",半径长度!B2=0),"",(韧皮部长度!B2)/半径长度!B2)</f>
        <v/>
      </c>
      <c r="C2" s="2" t="str">
        <f>IF(OR(半径长度!C2="",半径长度!C2=0),"",(韧皮部长度!C2)/半径长度!C2)</f>
        <v/>
      </c>
      <c r="D2" s="2" t="str">
        <f>IF(OR(半径长度!D2="",半径长度!D2=0),"",(韧皮部长度!D2)/半径长度!D2)</f>
        <v/>
      </c>
      <c r="E2" s="2" t="str">
        <f t="shared" ref="E2:E33" si="0">IF(COUNT(B2:D2)=0,"",AVERAGE(B2:D2))</f>
        <v/>
      </c>
    </row>
    <row r="3" spans="1:14" x14ac:dyDescent="0.15">
      <c r="A3" s="2">
        <v>2</v>
      </c>
      <c r="B3" s="2" t="str">
        <f>IF(OR(半径长度!B3="",半径长度!B3=0),"",(韧皮部长度!B3)/半径长度!B3)</f>
        <v/>
      </c>
      <c r="C3" s="2" t="str">
        <f>IF(OR(半径长度!C3="",半径长度!C3=0),"",(韧皮部长度!C3)/半径长度!C3)</f>
        <v/>
      </c>
      <c r="D3" s="2" t="str">
        <f>IF(OR(半径长度!D3="",半径长度!D3=0),"",(韧皮部长度!D3)/半径长度!D3)</f>
        <v/>
      </c>
      <c r="E3" s="2" t="str">
        <f t="shared" si="0"/>
        <v/>
      </c>
    </row>
    <row r="4" spans="1:14" x14ac:dyDescent="0.15">
      <c r="A4" s="2">
        <v>3</v>
      </c>
      <c r="B4" s="2" t="str">
        <f>IF(OR(半径长度!B4="",半径长度!B4=0),"",(韧皮部长度!B4)/半径长度!B4)</f>
        <v/>
      </c>
      <c r="C4" s="2" t="str">
        <f>IF(OR(半径长度!C4="",半径长度!C4=0),"",(韧皮部长度!C4)/半径长度!C4)</f>
        <v/>
      </c>
      <c r="D4" s="2" t="str">
        <f>IF(OR(半径长度!D4="",半径长度!D4=0),"",(韧皮部长度!D4)/半径长度!D4)</f>
        <v/>
      </c>
      <c r="E4" s="2" t="str">
        <f t="shared" si="0"/>
        <v/>
      </c>
    </row>
    <row r="5" spans="1:14" x14ac:dyDescent="0.15">
      <c r="A5" s="2">
        <v>4</v>
      </c>
      <c r="B5" s="2" t="str">
        <f>IF(OR(半径长度!B5="",半径长度!B5=0),"",(韧皮部长度!B5)/半径长度!B5)</f>
        <v/>
      </c>
      <c r="C5" s="2" t="str">
        <f>IF(OR(半径长度!C5="",半径长度!C5=0),"",(韧皮部长度!C5)/半径长度!C5)</f>
        <v/>
      </c>
      <c r="D5" s="2" t="str">
        <f>IF(OR(半径长度!D5="",半径长度!D5=0),"",(韧皮部长度!D5)/半径长度!D5)</f>
        <v/>
      </c>
      <c r="E5" s="2" t="str">
        <f t="shared" si="0"/>
        <v/>
      </c>
    </row>
    <row r="6" spans="1:14" x14ac:dyDescent="0.15">
      <c r="A6" s="2">
        <v>5</v>
      </c>
      <c r="B6" s="2" t="str">
        <f>IF(OR(半径长度!B6="",半径长度!B6=0),"",(韧皮部长度!B6)/半径长度!B6)</f>
        <v/>
      </c>
      <c r="C6" s="2" t="str">
        <f>IF(OR(半径长度!C6="",半径长度!C6=0),"",(韧皮部长度!C6)/半径长度!C6)</f>
        <v/>
      </c>
      <c r="D6" s="2" t="str">
        <f>IF(OR(半径长度!D6="",半径长度!D6=0),"",(韧皮部长度!D6)/半径长度!D6)</f>
        <v/>
      </c>
      <c r="E6" s="2" t="str">
        <f t="shared" si="0"/>
        <v/>
      </c>
    </row>
    <row r="7" spans="1:14" x14ac:dyDescent="0.15">
      <c r="A7" s="2">
        <v>6</v>
      </c>
      <c r="B7" s="2" t="str">
        <f>IF(OR(半径长度!B7="",半径长度!B7=0),"",(韧皮部长度!B7)/半径长度!B7)</f>
        <v/>
      </c>
      <c r="C7" s="2" t="str">
        <f>IF(OR(半径长度!C7="",半径长度!C7=0),"",(韧皮部长度!C7)/半径长度!C7)</f>
        <v/>
      </c>
      <c r="D7" s="2" t="str">
        <f>IF(OR(半径长度!D7="",半径长度!D7=0),"",(韧皮部长度!D7)/半径长度!D7)</f>
        <v/>
      </c>
      <c r="E7" s="2" t="str">
        <f t="shared" si="0"/>
        <v/>
      </c>
      <c r="J7" s="3" t="s">
        <v>28</v>
      </c>
      <c r="K7" s="4"/>
      <c r="L7" s="4"/>
      <c r="M7" s="4"/>
      <c r="N7" s="4"/>
    </row>
    <row r="8" spans="1:14" x14ac:dyDescent="0.15">
      <c r="A8" s="2">
        <v>7</v>
      </c>
      <c r="B8" s="2" t="str">
        <f>IF(OR(半径长度!B8="",半径长度!B8=0),"",(韧皮部长度!B8)/半径长度!B8)</f>
        <v/>
      </c>
      <c r="C8" s="2" t="str">
        <f>IF(OR(半径长度!C8="",半径长度!C8=0),"",(韧皮部长度!C8)/半径长度!C8)</f>
        <v/>
      </c>
      <c r="D8" s="2" t="str">
        <f>IF(OR(半径长度!D8="",半径长度!D8=0),"",(韧皮部长度!D8)/半径长度!D8)</f>
        <v/>
      </c>
      <c r="E8" s="2" t="str">
        <f t="shared" si="0"/>
        <v/>
      </c>
      <c r="J8" s="4"/>
      <c r="K8" s="4"/>
      <c r="L8" s="4"/>
      <c r="M8" s="4"/>
      <c r="N8" s="4"/>
    </row>
    <row r="9" spans="1:14" x14ac:dyDescent="0.15">
      <c r="A9" s="2">
        <v>8</v>
      </c>
      <c r="B9" s="2" t="str">
        <f>IF(OR(半径长度!B9="",半径长度!B9=0),"",(韧皮部长度!B9)/半径长度!B9)</f>
        <v/>
      </c>
      <c r="C9" s="2" t="str">
        <f>IF(OR(半径长度!C9="",半径长度!C9=0),"",(韧皮部长度!C9)/半径长度!C9)</f>
        <v/>
      </c>
      <c r="D9" s="2" t="str">
        <f>IF(OR(半径长度!D9="",半径长度!D9=0),"",(韧皮部长度!D9)/半径长度!D9)</f>
        <v/>
      </c>
      <c r="E9" s="2" t="str">
        <f t="shared" si="0"/>
        <v/>
      </c>
      <c r="J9" s="4"/>
      <c r="K9" s="4"/>
      <c r="L9" s="4"/>
      <c r="M9" s="4"/>
      <c r="N9" s="4"/>
    </row>
    <row r="10" spans="1:14" x14ac:dyDescent="0.15">
      <c r="A10" s="2">
        <v>9</v>
      </c>
      <c r="B10" s="2" t="str">
        <f>IF(OR(半径长度!B10="",半径长度!B10=0),"",(韧皮部长度!B10)/半径长度!B10)</f>
        <v/>
      </c>
      <c r="C10" s="2" t="str">
        <f>IF(OR(半径长度!C10="",半径长度!C10=0),"",(韧皮部长度!C10)/半径长度!C10)</f>
        <v/>
      </c>
      <c r="D10" s="2" t="str">
        <f>IF(OR(半径长度!D10="",半径长度!D10=0),"",(韧皮部长度!D10)/半径长度!D10)</f>
        <v/>
      </c>
      <c r="E10" s="2" t="str">
        <f t="shared" si="0"/>
        <v/>
      </c>
      <c r="J10" s="4"/>
      <c r="K10" s="4"/>
      <c r="L10" s="4"/>
      <c r="M10" s="4"/>
      <c r="N10" s="4"/>
    </row>
    <row r="11" spans="1:14" x14ac:dyDescent="0.15">
      <c r="A11" s="2">
        <v>10</v>
      </c>
      <c r="B11" s="2" t="str">
        <f>IF(OR(半径长度!B11="",半径长度!B11=0),"",(韧皮部长度!B11)/半径长度!B11)</f>
        <v/>
      </c>
      <c r="C11" s="2" t="str">
        <f>IF(OR(半径长度!C11="",半径长度!C11=0),"",(韧皮部长度!C11)/半径长度!C11)</f>
        <v/>
      </c>
      <c r="D11" s="2" t="str">
        <f>IF(OR(半径长度!D11="",半径长度!D11=0),"",(韧皮部长度!D11)/半径长度!D11)</f>
        <v/>
      </c>
      <c r="E11" s="2" t="str">
        <f t="shared" si="0"/>
        <v/>
      </c>
      <c r="J11" s="4"/>
      <c r="K11" s="4"/>
      <c r="L11" s="4"/>
      <c r="M11" s="4"/>
      <c r="N11" s="4"/>
    </row>
    <row r="12" spans="1:14" x14ac:dyDescent="0.15">
      <c r="A12" s="2">
        <v>11</v>
      </c>
      <c r="B12" s="2" t="str">
        <f>IF(OR(半径长度!B12="",半径长度!B12=0),"",(韧皮部长度!B12)/半径长度!B12)</f>
        <v/>
      </c>
      <c r="C12" s="2" t="str">
        <f>IF(OR(半径长度!C12="",半径长度!C12=0),"",(韧皮部长度!C12)/半径长度!C12)</f>
        <v/>
      </c>
      <c r="D12" s="2" t="str">
        <f>IF(OR(半径长度!D12="",半径长度!D12=0),"",(韧皮部长度!D12)/半径长度!D12)</f>
        <v/>
      </c>
      <c r="E12" s="2" t="str">
        <f t="shared" si="0"/>
        <v/>
      </c>
      <c r="J12" s="4"/>
      <c r="K12" s="4"/>
      <c r="L12" s="4"/>
      <c r="M12" s="4"/>
      <c r="N12" s="4"/>
    </row>
    <row r="13" spans="1:14" x14ac:dyDescent="0.15">
      <c r="A13" s="2">
        <v>12</v>
      </c>
      <c r="B13" s="2" t="str">
        <f>IF(OR(半径长度!B13="",半径长度!B13=0),"",(韧皮部长度!B13)/半径长度!B13)</f>
        <v/>
      </c>
      <c r="C13" s="2" t="str">
        <f>IF(OR(半径长度!C13="",半径长度!C13=0),"",(韧皮部长度!C13)/半径长度!C13)</f>
        <v/>
      </c>
      <c r="D13" s="2" t="str">
        <f>IF(OR(半径长度!D13="",半径长度!D13=0),"",(韧皮部长度!D13)/半径长度!D13)</f>
        <v/>
      </c>
      <c r="E13" s="2" t="str">
        <f t="shared" si="0"/>
        <v/>
      </c>
      <c r="J13" s="4"/>
      <c r="K13" s="4"/>
      <c r="L13" s="4"/>
      <c r="M13" s="4"/>
      <c r="N13" s="4"/>
    </row>
    <row r="14" spans="1:14" x14ac:dyDescent="0.15">
      <c r="A14" s="2">
        <v>13</v>
      </c>
      <c r="B14" s="2" t="str">
        <f>IF(OR(半径长度!B14="",半径长度!B14=0),"",(韧皮部长度!B14)/半径长度!B14)</f>
        <v/>
      </c>
      <c r="C14" s="2" t="str">
        <f>IF(OR(半径长度!C14="",半径长度!C14=0),"",(韧皮部长度!C14)/半径长度!C14)</f>
        <v/>
      </c>
      <c r="D14" s="2" t="str">
        <f>IF(OR(半径长度!D14="",半径长度!D14=0),"",(韧皮部长度!D14)/半径长度!D14)</f>
        <v/>
      </c>
      <c r="E14" s="2" t="str">
        <f t="shared" si="0"/>
        <v/>
      </c>
      <c r="J14" s="4"/>
      <c r="K14" s="4"/>
      <c r="L14" s="4"/>
      <c r="M14" s="4"/>
      <c r="N14" s="4"/>
    </row>
    <row r="15" spans="1:14" x14ac:dyDescent="0.15">
      <c r="A15" s="2">
        <v>14</v>
      </c>
      <c r="B15" s="2" t="str">
        <f>IF(OR(半径长度!B15="",半径长度!B15=0),"",(韧皮部长度!B15)/半径长度!B15)</f>
        <v/>
      </c>
      <c r="C15" s="2" t="str">
        <f>IF(OR(半径长度!C15="",半径长度!C15=0),"",(韧皮部长度!C15)/半径长度!C15)</f>
        <v/>
      </c>
      <c r="D15" s="2" t="str">
        <f>IF(OR(半径长度!D15="",半径长度!D15=0),"",(韧皮部长度!D15)/半径长度!D15)</f>
        <v/>
      </c>
      <c r="E15" s="2" t="str">
        <f t="shared" si="0"/>
        <v/>
      </c>
      <c r="J15" s="4"/>
      <c r="K15" s="4"/>
      <c r="L15" s="4"/>
      <c r="M15" s="4"/>
      <c r="N15" s="4"/>
    </row>
    <row r="16" spans="1:14" x14ac:dyDescent="0.15">
      <c r="A16" s="2">
        <v>15</v>
      </c>
      <c r="B16" s="2" t="str">
        <f>IF(OR(半径长度!B16="",半径长度!B16=0),"",(韧皮部长度!B16)/半径长度!B16)</f>
        <v/>
      </c>
      <c r="C16" s="2" t="str">
        <f>IF(OR(半径长度!C16="",半径长度!C16=0),"",(韧皮部长度!C16)/半径长度!C16)</f>
        <v/>
      </c>
      <c r="D16" s="2" t="str">
        <f>IF(OR(半径长度!D16="",半径长度!D16=0),"",(韧皮部长度!D16)/半径长度!D16)</f>
        <v/>
      </c>
      <c r="E16" s="2" t="str">
        <f t="shared" si="0"/>
        <v/>
      </c>
      <c r="J16" s="4"/>
      <c r="K16" s="4"/>
      <c r="L16" s="4"/>
      <c r="M16" s="4"/>
      <c r="N16" s="4"/>
    </row>
    <row r="17" spans="1:5" x14ac:dyDescent="0.15">
      <c r="A17" s="2">
        <v>16</v>
      </c>
      <c r="B17" s="2" t="str">
        <f>IF(OR(半径长度!B17="",半径长度!B17=0),"",(韧皮部长度!B17)/半径长度!B17)</f>
        <v/>
      </c>
      <c r="C17" s="2" t="str">
        <f>IF(OR(半径长度!C17="",半径长度!C17=0),"",(韧皮部长度!C17)/半径长度!C17)</f>
        <v/>
      </c>
      <c r="D17" s="2" t="str">
        <f>IF(OR(半径长度!D17="",半径长度!D17=0),"",(韧皮部长度!D17)/半径长度!D17)</f>
        <v/>
      </c>
      <c r="E17" s="2" t="str">
        <f t="shared" si="0"/>
        <v/>
      </c>
    </row>
    <row r="18" spans="1:5" x14ac:dyDescent="0.15">
      <c r="A18" s="2">
        <v>17</v>
      </c>
      <c r="B18" s="2" t="str">
        <f>IF(OR(半径长度!B18="",半径长度!B18=0),"",(韧皮部长度!B18)/半径长度!B18)</f>
        <v/>
      </c>
      <c r="C18" s="2" t="str">
        <f>IF(OR(半径长度!C18="",半径长度!C18=0),"",(韧皮部长度!C18)/半径长度!C18)</f>
        <v/>
      </c>
      <c r="D18" s="2" t="str">
        <f>IF(OR(半径长度!D18="",半径长度!D18=0),"",(韧皮部长度!D18)/半径长度!D18)</f>
        <v/>
      </c>
      <c r="E18" s="2" t="str">
        <f t="shared" si="0"/>
        <v/>
      </c>
    </row>
    <row r="19" spans="1:5" x14ac:dyDescent="0.15">
      <c r="A19" s="2">
        <v>18</v>
      </c>
      <c r="B19" s="2" t="str">
        <f>IF(OR(半径长度!B19="",半径长度!B19=0),"",(韧皮部长度!B19)/半径长度!B19)</f>
        <v/>
      </c>
      <c r="C19" s="2" t="str">
        <f>IF(OR(半径长度!C19="",半径长度!C19=0),"",(韧皮部长度!C19)/半径长度!C19)</f>
        <v/>
      </c>
      <c r="D19" s="2" t="str">
        <f>IF(OR(半径长度!D19="",半径长度!D19=0),"",(韧皮部长度!D19)/半径长度!D19)</f>
        <v/>
      </c>
      <c r="E19" s="2" t="str">
        <f t="shared" si="0"/>
        <v/>
      </c>
    </row>
    <row r="20" spans="1:5" x14ac:dyDescent="0.15">
      <c r="A20" s="2">
        <v>19</v>
      </c>
      <c r="B20" s="2" t="str">
        <f>IF(OR(半径长度!B20="",半径长度!B20=0),"",(韧皮部长度!B20)/半径长度!B20)</f>
        <v/>
      </c>
      <c r="C20" s="2" t="str">
        <f>IF(OR(半径长度!C20="",半径长度!C20=0),"",(韧皮部长度!C20)/半径长度!C20)</f>
        <v/>
      </c>
      <c r="D20" s="2" t="str">
        <f>IF(OR(半径长度!D20="",半径长度!D20=0),"",(韧皮部长度!D20)/半径长度!D20)</f>
        <v/>
      </c>
      <c r="E20" s="2" t="str">
        <f t="shared" si="0"/>
        <v/>
      </c>
    </row>
    <row r="21" spans="1:5" x14ac:dyDescent="0.15">
      <c r="A21" s="2">
        <v>20</v>
      </c>
      <c r="B21" s="2" t="str">
        <f>IF(OR(半径长度!B21="",半径长度!B21=0),"",(韧皮部长度!B21)/半径长度!B21)</f>
        <v/>
      </c>
      <c r="C21" s="2" t="str">
        <f>IF(OR(半径长度!C21="",半径长度!C21=0),"",(韧皮部长度!C21)/半径长度!C21)</f>
        <v/>
      </c>
      <c r="D21" s="2" t="str">
        <f>IF(OR(半径长度!D21="",半径长度!D21=0),"",(韧皮部长度!D21)/半径长度!D21)</f>
        <v/>
      </c>
      <c r="E21" s="2" t="str">
        <f t="shared" si="0"/>
        <v/>
      </c>
    </row>
    <row r="22" spans="1:5" x14ac:dyDescent="0.15">
      <c r="A22" s="2">
        <v>21</v>
      </c>
      <c r="B22" s="2" t="str">
        <f>IF(OR(半径长度!B22="",半径长度!B22=0),"",(韧皮部长度!B22)/半径长度!B22)</f>
        <v/>
      </c>
      <c r="C22" s="2" t="str">
        <f>IF(OR(半径长度!C22="",半径长度!C22=0),"",(韧皮部长度!C22)/半径长度!C22)</f>
        <v/>
      </c>
      <c r="D22" s="2" t="str">
        <f>IF(OR(半径长度!D22="",半径长度!D22=0),"",(韧皮部长度!D22)/半径长度!D22)</f>
        <v/>
      </c>
      <c r="E22" s="2" t="str">
        <f t="shared" si="0"/>
        <v/>
      </c>
    </row>
    <row r="23" spans="1:5" x14ac:dyDescent="0.15">
      <c r="A23" s="2">
        <v>22</v>
      </c>
      <c r="B23" s="2" t="str">
        <f>IF(OR(半径长度!B23="",半径长度!B23=0),"",(韧皮部长度!B23)/半径长度!B23)</f>
        <v/>
      </c>
      <c r="C23" s="2" t="str">
        <f>IF(OR(半径长度!C23="",半径长度!C23=0),"",(韧皮部长度!C23)/半径长度!C23)</f>
        <v/>
      </c>
      <c r="D23" s="2" t="str">
        <f>IF(OR(半径长度!D23="",半径长度!D23=0),"",(韧皮部长度!D23)/半径长度!D23)</f>
        <v/>
      </c>
      <c r="E23" s="2" t="str">
        <f t="shared" si="0"/>
        <v/>
      </c>
    </row>
    <row r="24" spans="1:5" x14ac:dyDescent="0.15">
      <c r="A24" s="2">
        <v>23</v>
      </c>
      <c r="B24" s="2" t="str">
        <f>IF(OR(半径长度!B24="",半径长度!B24=0),"",(韧皮部长度!B24)/半径长度!B24)</f>
        <v/>
      </c>
      <c r="C24" s="2" t="str">
        <f>IF(OR(半径长度!C24="",半径长度!C24=0),"",(韧皮部长度!C24)/半径长度!C24)</f>
        <v/>
      </c>
      <c r="D24" s="2" t="str">
        <f>IF(OR(半径长度!D24="",半径长度!D24=0),"",(韧皮部长度!D24)/半径长度!D24)</f>
        <v/>
      </c>
      <c r="E24" s="2" t="str">
        <f t="shared" si="0"/>
        <v/>
      </c>
    </row>
    <row r="25" spans="1:5" x14ac:dyDescent="0.15">
      <c r="A25" s="2">
        <v>24</v>
      </c>
      <c r="B25" s="2" t="str">
        <f>IF(OR(半径长度!B25="",半径长度!B25=0),"",(韧皮部长度!B25)/半径长度!B25)</f>
        <v/>
      </c>
      <c r="C25" s="2" t="str">
        <f>IF(OR(半径长度!C25="",半径长度!C25=0),"",(韧皮部长度!C25)/半径长度!C25)</f>
        <v/>
      </c>
      <c r="D25" s="2" t="str">
        <f>IF(OR(半径长度!D25="",半径长度!D25=0),"",(韧皮部长度!D25)/半径长度!D25)</f>
        <v/>
      </c>
      <c r="E25" s="2" t="str">
        <f t="shared" si="0"/>
        <v/>
      </c>
    </row>
    <row r="26" spans="1:5" x14ac:dyDescent="0.15">
      <c r="A26" s="2">
        <v>25</v>
      </c>
      <c r="B26" s="2" t="str">
        <f>IF(OR(半径长度!B26="",半径长度!B26=0),"",(韧皮部长度!B26)/半径长度!B26)</f>
        <v/>
      </c>
      <c r="C26" s="2" t="str">
        <f>IF(OR(半径长度!C26="",半径长度!C26=0),"",(韧皮部长度!C26)/半径长度!C26)</f>
        <v/>
      </c>
      <c r="D26" s="2" t="str">
        <f>IF(OR(半径长度!D26="",半径长度!D26=0),"",(韧皮部长度!D26)/半径长度!D26)</f>
        <v/>
      </c>
      <c r="E26" s="2" t="str">
        <f t="shared" si="0"/>
        <v/>
      </c>
    </row>
    <row r="27" spans="1:5" x14ac:dyDescent="0.15">
      <c r="A27" s="2">
        <v>26</v>
      </c>
      <c r="B27" s="2" t="str">
        <f>IF(OR(半径长度!B27="",半径长度!B27=0),"",(韧皮部长度!B27)/半径长度!B27)</f>
        <v/>
      </c>
      <c r="C27" s="2" t="str">
        <f>IF(OR(半径长度!C27="",半径长度!C27=0),"",(韧皮部长度!C27)/半径长度!C27)</f>
        <v/>
      </c>
      <c r="D27" s="2" t="str">
        <f>IF(OR(半径长度!D27="",半径长度!D27=0),"",(韧皮部长度!D27)/半径长度!D27)</f>
        <v/>
      </c>
      <c r="E27" s="2" t="str">
        <f t="shared" si="0"/>
        <v/>
      </c>
    </row>
    <row r="28" spans="1:5" x14ac:dyDescent="0.15">
      <c r="A28" s="2">
        <v>27</v>
      </c>
      <c r="B28" s="2" t="str">
        <f>IF(OR(半径长度!B28="",半径长度!B28=0),"",(韧皮部长度!B28)/半径长度!B28)</f>
        <v/>
      </c>
      <c r="C28" s="2" t="str">
        <f>IF(OR(半径长度!C28="",半径长度!C28=0),"",(韧皮部长度!C28)/半径长度!C28)</f>
        <v/>
      </c>
      <c r="D28" s="2" t="str">
        <f>IF(OR(半径长度!D28="",半径长度!D28=0),"",(韧皮部长度!D28)/半径长度!D28)</f>
        <v/>
      </c>
      <c r="E28" s="2" t="str">
        <f t="shared" si="0"/>
        <v/>
      </c>
    </row>
    <row r="29" spans="1:5" x14ac:dyDescent="0.15">
      <c r="A29" s="2">
        <v>28</v>
      </c>
      <c r="B29" s="2" t="str">
        <f>IF(OR(半径长度!B29="",半径长度!B29=0),"",(韧皮部长度!B29)/半径长度!B29)</f>
        <v/>
      </c>
      <c r="C29" s="2" t="str">
        <f>IF(OR(半径长度!C29="",半径长度!C29=0),"",(韧皮部长度!C29)/半径长度!C29)</f>
        <v/>
      </c>
      <c r="D29" s="2" t="str">
        <f>IF(OR(半径长度!D29="",半径长度!D29=0),"",(韧皮部长度!D29)/半径长度!D29)</f>
        <v/>
      </c>
      <c r="E29" s="2" t="str">
        <f t="shared" si="0"/>
        <v/>
      </c>
    </row>
    <row r="30" spans="1:5" x14ac:dyDescent="0.15">
      <c r="A30" s="2">
        <v>29</v>
      </c>
      <c r="B30" s="2" t="str">
        <f>IF(OR(半径长度!B30="",半径长度!B30=0),"",(韧皮部长度!B30)/半径长度!B30)</f>
        <v/>
      </c>
      <c r="C30" s="2" t="str">
        <f>IF(OR(半径长度!C30="",半径长度!C30=0),"",(韧皮部长度!C30)/半径长度!C30)</f>
        <v/>
      </c>
      <c r="D30" s="2" t="str">
        <f>IF(OR(半径长度!D30="",半径长度!D30=0),"",(韧皮部长度!D30)/半径长度!D30)</f>
        <v/>
      </c>
      <c r="E30" s="2" t="str">
        <f t="shared" si="0"/>
        <v/>
      </c>
    </row>
    <row r="31" spans="1:5" x14ac:dyDescent="0.15">
      <c r="A31" s="2">
        <v>30</v>
      </c>
      <c r="B31" s="2" t="str">
        <f>IF(OR(半径长度!B31="",半径长度!B31=0),"",(韧皮部长度!B31)/半径长度!B31)</f>
        <v/>
      </c>
      <c r="C31" s="2" t="str">
        <f>IF(OR(半径长度!C31="",半径长度!C31=0),"",(韧皮部长度!C31)/半径长度!C31)</f>
        <v/>
      </c>
      <c r="D31" s="2" t="str">
        <f>IF(OR(半径长度!D31="",半径长度!D31=0),"",(韧皮部长度!D31)/半径长度!D31)</f>
        <v/>
      </c>
      <c r="E31" s="2" t="str">
        <f t="shared" si="0"/>
        <v/>
      </c>
    </row>
    <row r="32" spans="1:5" x14ac:dyDescent="0.15">
      <c r="A32" s="2">
        <v>31</v>
      </c>
      <c r="B32" s="2" t="str">
        <f>IF(OR(半径长度!B32="",半径长度!B32=0),"",(韧皮部长度!B32)/半径长度!B32)</f>
        <v/>
      </c>
      <c r="C32" s="2" t="str">
        <f>IF(OR(半径长度!C32="",半径长度!C32=0),"",(韧皮部长度!C32)/半径长度!C32)</f>
        <v/>
      </c>
      <c r="D32" s="2" t="str">
        <f>IF(OR(半径长度!D32="",半径长度!D32=0),"",(韧皮部长度!D32)/半径长度!D32)</f>
        <v/>
      </c>
      <c r="E32" s="2" t="str">
        <f t="shared" si="0"/>
        <v/>
      </c>
    </row>
    <row r="33" spans="1:5" x14ac:dyDescent="0.15">
      <c r="A33" s="2">
        <v>32</v>
      </c>
      <c r="B33" s="2" t="str">
        <f>IF(OR(半径长度!B33="",半径长度!B33=0),"",(韧皮部长度!B33)/半径长度!B33)</f>
        <v/>
      </c>
      <c r="C33" s="2" t="str">
        <f>IF(OR(半径长度!C33="",半径长度!C33=0),"",(韧皮部长度!C33)/半径长度!C33)</f>
        <v/>
      </c>
      <c r="D33" s="2" t="str">
        <f>IF(OR(半径长度!D33="",半径长度!D33=0),"",(韧皮部长度!D33)/半径长度!D33)</f>
        <v/>
      </c>
      <c r="E33" s="2" t="str">
        <f t="shared" si="0"/>
        <v/>
      </c>
    </row>
    <row r="34" spans="1:5" x14ac:dyDescent="0.15">
      <c r="A34" s="2">
        <v>33</v>
      </c>
      <c r="B34" s="2" t="str">
        <f>IF(OR(半径长度!B34="",半径长度!B34=0),"",(韧皮部长度!B34)/半径长度!B34)</f>
        <v/>
      </c>
      <c r="C34" s="2" t="str">
        <f>IF(OR(半径长度!C34="",半径长度!C34=0),"",(韧皮部长度!C34)/半径长度!C34)</f>
        <v/>
      </c>
      <c r="D34" s="2" t="str">
        <f>IF(OR(半径长度!D34="",半径长度!D34=0),"",(韧皮部长度!D34)/半径长度!D34)</f>
        <v/>
      </c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 t="str">
        <f>IF(OR(半径长度!B35="",半径长度!B35=0),"",(韧皮部长度!B35)/半径长度!B35)</f>
        <v/>
      </c>
      <c r="C35" s="2" t="str">
        <f>IF(OR(半径长度!C35="",半径长度!C35=0),"",(韧皮部长度!C35)/半径长度!C35)</f>
        <v/>
      </c>
      <c r="D35" s="2" t="str">
        <f>IF(OR(半径长度!D35="",半径长度!D35=0),"",(韧皮部长度!D35)/半径长度!D35)</f>
        <v/>
      </c>
      <c r="E35" s="2" t="str">
        <f t="shared" si="1"/>
        <v/>
      </c>
    </row>
    <row r="36" spans="1:5" x14ac:dyDescent="0.15">
      <c r="A36" s="2">
        <v>35</v>
      </c>
      <c r="B36" s="2" t="str">
        <f>IF(OR(半径长度!B36="",半径长度!B36=0),"",(韧皮部长度!B36)/半径长度!B36)</f>
        <v/>
      </c>
      <c r="C36" s="2" t="str">
        <f>IF(OR(半径长度!C36="",半径长度!C36=0),"",(韧皮部长度!C36)/半径长度!C36)</f>
        <v/>
      </c>
      <c r="D36" s="2" t="str">
        <f>IF(OR(半径长度!D36="",半径长度!D36=0),"",(韧皮部长度!D36)/半径长度!D36)</f>
        <v/>
      </c>
      <c r="E36" s="2" t="str">
        <f t="shared" si="1"/>
        <v/>
      </c>
    </row>
    <row r="37" spans="1:5" x14ac:dyDescent="0.15">
      <c r="A37" s="2">
        <v>36</v>
      </c>
      <c r="B37" s="2" t="str">
        <f>IF(OR(半径长度!B37="",半径长度!B37=0),"",(韧皮部长度!B37)/半径长度!B37)</f>
        <v/>
      </c>
      <c r="C37" s="2" t="str">
        <f>IF(OR(半径长度!C37="",半径长度!C37=0),"",(韧皮部长度!C37)/半径长度!C37)</f>
        <v/>
      </c>
      <c r="D37" s="2" t="str">
        <f>IF(OR(半径长度!D37="",半径长度!D37=0),"",(韧皮部长度!D37)/半径长度!D37)</f>
        <v/>
      </c>
      <c r="E37" s="2" t="str">
        <f t="shared" si="1"/>
        <v/>
      </c>
    </row>
    <row r="38" spans="1:5" x14ac:dyDescent="0.15">
      <c r="A38" s="2">
        <v>37</v>
      </c>
      <c r="B38" s="2" t="str">
        <f>IF(OR(半径长度!B38="",半径长度!B38=0),"",(韧皮部长度!B38)/半径长度!B38)</f>
        <v/>
      </c>
      <c r="C38" s="2" t="str">
        <f>IF(OR(半径长度!C38="",半径长度!C38=0),"",(韧皮部长度!C38)/半径长度!C38)</f>
        <v/>
      </c>
      <c r="D38" s="2" t="str">
        <f>IF(OR(半径长度!D38="",半径长度!D38=0),"",(韧皮部长度!D38)/半径长度!D38)</f>
        <v/>
      </c>
      <c r="E38" s="2" t="str">
        <f t="shared" si="1"/>
        <v/>
      </c>
    </row>
    <row r="39" spans="1:5" x14ac:dyDescent="0.15">
      <c r="A39" s="2">
        <v>38</v>
      </c>
      <c r="B39" s="2" t="str">
        <f>IF(OR(半径长度!B39="",半径长度!B39=0),"",(韧皮部长度!B39)/半径长度!B39)</f>
        <v/>
      </c>
      <c r="C39" s="2" t="str">
        <f>IF(OR(半径长度!C39="",半径长度!C39=0),"",(韧皮部长度!C39)/半径长度!C39)</f>
        <v/>
      </c>
      <c r="D39" s="2" t="str">
        <f>IF(OR(半径长度!D39="",半径长度!D39=0),"",(韧皮部长度!D39)/半径长度!D39)</f>
        <v/>
      </c>
      <c r="E39" s="2" t="str">
        <f t="shared" si="1"/>
        <v/>
      </c>
    </row>
    <row r="40" spans="1:5" x14ac:dyDescent="0.15">
      <c r="A40" s="2">
        <v>39</v>
      </c>
      <c r="B40" s="2" t="str">
        <f>IF(OR(半径长度!B40="",半径长度!B40=0),"",(韧皮部长度!B40)/半径长度!B40)</f>
        <v/>
      </c>
      <c r="C40" s="2" t="str">
        <f>IF(OR(半径长度!C40="",半径长度!C40=0),"",(韧皮部长度!C40)/半径长度!C40)</f>
        <v/>
      </c>
      <c r="D40" s="2" t="str">
        <f>IF(OR(半径长度!D40="",半径长度!D40=0),"",(韧皮部长度!D40)/半径长度!D40)</f>
        <v/>
      </c>
      <c r="E40" s="2" t="str">
        <f t="shared" si="1"/>
        <v/>
      </c>
    </row>
    <row r="41" spans="1:5" x14ac:dyDescent="0.15">
      <c r="A41" s="2">
        <v>40</v>
      </c>
      <c r="B41" s="2" t="str">
        <f>IF(OR(半径长度!B41="",半径长度!B41=0),"",(韧皮部长度!B41)/半径长度!B41)</f>
        <v/>
      </c>
      <c r="C41" s="2" t="str">
        <f>IF(OR(半径长度!C41="",半径长度!C41=0),"",(韧皮部长度!C41)/半径长度!C41)</f>
        <v/>
      </c>
      <c r="D41" s="2" t="str">
        <f>IF(OR(半径长度!D41="",半径长度!D41=0),"",(韧皮部长度!D41)/半径长度!D41)</f>
        <v/>
      </c>
      <c r="E41" s="2" t="str">
        <f t="shared" si="1"/>
        <v/>
      </c>
    </row>
    <row r="42" spans="1:5" x14ac:dyDescent="0.15">
      <c r="A42" s="2">
        <v>41</v>
      </c>
      <c r="B42" s="2" t="str">
        <f>IF(OR(半径长度!B42="",半径长度!B42=0),"",(韧皮部长度!B42)/半径长度!B42)</f>
        <v/>
      </c>
      <c r="C42" s="2" t="str">
        <f>IF(OR(半径长度!C42="",半径长度!C42=0),"",(韧皮部长度!C42)/半径长度!C42)</f>
        <v/>
      </c>
      <c r="D42" s="2" t="str">
        <f>IF(OR(半径长度!D42="",半径长度!D42=0),"",(韧皮部长度!D42)/半径长度!D42)</f>
        <v/>
      </c>
      <c r="E42" s="2" t="str">
        <f t="shared" si="1"/>
        <v/>
      </c>
    </row>
    <row r="43" spans="1:5" x14ac:dyDescent="0.15">
      <c r="A43" s="2">
        <v>42</v>
      </c>
      <c r="B43" s="2" t="str">
        <f>IF(OR(半径长度!B43="",半径长度!B43=0),"",(韧皮部长度!B43)/半径长度!B43)</f>
        <v/>
      </c>
      <c r="C43" s="2" t="str">
        <f>IF(OR(半径长度!C43="",半径长度!C43=0),"",(韧皮部长度!C43)/半径长度!C43)</f>
        <v/>
      </c>
      <c r="D43" s="2" t="str">
        <f>IF(OR(半径长度!D43="",半径长度!D43=0),"",(韧皮部长度!D43)/半径长度!D43)</f>
        <v/>
      </c>
      <c r="E43" s="2" t="str">
        <f t="shared" si="1"/>
        <v/>
      </c>
    </row>
    <row r="44" spans="1:5" x14ac:dyDescent="0.15">
      <c r="A44" s="2">
        <v>43</v>
      </c>
      <c r="B44" s="2" t="str">
        <f>IF(OR(半径长度!B44="",半径长度!B44=0),"",(韧皮部长度!B44)/半径长度!B44)</f>
        <v/>
      </c>
      <c r="C44" s="2" t="str">
        <f>IF(OR(半径长度!C44="",半径长度!C44=0),"",(韧皮部长度!C44)/半径长度!C44)</f>
        <v/>
      </c>
      <c r="D44" s="2" t="str">
        <f>IF(OR(半径长度!D44="",半径长度!D44=0),"",(韧皮部长度!D44)/半径长度!D44)</f>
        <v/>
      </c>
      <c r="E44" s="2" t="str">
        <f t="shared" si="1"/>
        <v/>
      </c>
    </row>
    <row r="45" spans="1:5" x14ac:dyDescent="0.15">
      <c r="A45" s="2">
        <v>44</v>
      </c>
      <c r="B45" s="2" t="str">
        <f>IF(OR(半径长度!B45="",半径长度!B45=0),"",(韧皮部长度!B45)/半径长度!B45)</f>
        <v/>
      </c>
      <c r="C45" s="2" t="str">
        <f>IF(OR(半径长度!C45="",半径长度!C45=0),"",(韧皮部长度!C45)/半径长度!C45)</f>
        <v/>
      </c>
      <c r="D45" s="2" t="str">
        <f>IF(OR(半径长度!D45="",半径长度!D45=0),"",(韧皮部长度!D45)/半径长度!D45)</f>
        <v/>
      </c>
      <c r="E45" s="2" t="str">
        <f t="shared" si="1"/>
        <v/>
      </c>
    </row>
    <row r="46" spans="1:5" x14ac:dyDescent="0.15">
      <c r="A46" s="2">
        <v>45</v>
      </c>
      <c r="B46" s="2" t="str">
        <f>IF(OR(半径长度!B46="",半径长度!B46=0),"",(韧皮部长度!B46)/半径长度!B46)</f>
        <v/>
      </c>
      <c r="C46" s="2" t="str">
        <f>IF(OR(半径长度!C46="",半径长度!C46=0),"",(韧皮部长度!C46)/半径长度!C46)</f>
        <v/>
      </c>
      <c r="D46" s="2" t="str">
        <f>IF(OR(半径长度!D46="",半径长度!D46=0),"",(韧皮部长度!D46)/半径长度!D46)</f>
        <v/>
      </c>
      <c r="E46" s="2" t="str">
        <f t="shared" si="1"/>
        <v/>
      </c>
    </row>
    <row r="47" spans="1:5" x14ac:dyDescent="0.15">
      <c r="A47" s="2">
        <v>46</v>
      </c>
      <c r="B47" s="2" t="str">
        <f>IF(OR(半径长度!B47="",半径长度!B47=0),"",(韧皮部长度!B47)/半径长度!B47)</f>
        <v/>
      </c>
      <c r="C47" s="2" t="str">
        <f>IF(OR(半径长度!C47="",半径长度!C47=0),"",(韧皮部长度!C47)/半径长度!C47)</f>
        <v/>
      </c>
      <c r="D47" s="2" t="str">
        <f>IF(OR(半径长度!D47="",半径长度!D47=0),"",(韧皮部长度!D47)/半径长度!D47)</f>
        <v/>
      </c>
      <c r="E47" s="2" t="str">
        <f t="shared" si="1"/>
        <v/>
      </c>
    </row>
    <row r="48" spans="1:5" x14ac:dyDescent="0.15">
      <c r="A48" s="2">
        <v>47</v>
      </c>
      <c r="B48" s="2" t="str">
        <f>IF(OR(半径长度!B48="",半径长度!B48=0),"",(韧皮部长度!B48)/半径长度!B48)</f>
        <v/>
      </c>
      <c r="C48" s="2" t="str">
        <f>IF(OR(半径长度!C48="",半径长度!C48=0),"",(韧皮部长度!C48)/半径长度!C48)</f>
        <v/>
      </c>
      <c r="D48" s="2" t="str">
        <f>IF(OR(半径长度!D48="",半径长度!D48=0),"",(韧皮部长度!D48)/半径长度!D48)</f>
        <v/>
      </c>
      <c r="E48" s="2" t="str">
        <f t="shared" si="1"/>
        <v/>
      </c>
    </row>
    <row r="49" spans="1:5" x14ac:dyDescent="0.15">
      <c r="A49" s="2">
        <v>48</v>
      </c>
      <c r="B49" s="2" t="str">
        <f>IF(OR(半径长度!B49="",半径长度!B49=0),"",(韧皮部长度!B49)/半径长度!B49)</f>
        <v/>
      </c>
      <c r="C49" s="2" t="str">
        <f>IF(OR(半径长度!C49="",半径长度!C49=0),"",(韧皮部长度!C49)/半径长度!C49)</f>
        <v/>
      </c>
      <c r="D49" s="2" t="str">
        <f>IF(OR(半径长度!D49="",半径长度!D49=0),"",(韧皮部长度!D49)/半径长度!D49)</f>
        <v/>
      </c>
      <c r="E49" s="2" t="str">
        <f t="shared" si="1"/>
        <v/>
      </c>
    </row>
    <row r="50" spans="1:5" x14ac:dyDescent="0.15">
      <c r="A50" s="2">
        <v>49</v>
      </c>
      <c r="B50" s="2" t="str">
        <f>IF(OR(半径长度!B50="",半径长度!B50=0),"",(韧皮部长度!B50)/半径长度!B50)</f>
        <v/>
      </c>
      <c r="C50" s="2" t="str">
        <f>IF(OR(半径长度!C50="",半径长度!C50=0),"",(韧皮部长度!C50)/半径长度!C50)</f>
        <v/>
      </c>
      <c r="D50" s="2" t="str">
        <f>IF(OR(半径长度!D50="",半径长度!D50=0),"",(韧皮部长度!D50)/半径长度!D50)</f>
        <v/>
      </c>
      <c r="E50" s="2" t="str">
        <f t="shared" si="1"/>
        <v/>
      </c>
    </row>
    <row r="51" spans="1:5" x14ac:dyDescent="0.15">
      <c r="A51" s="2">
        <v>50</v>
      </c>
      <c r="B51" s="2" t="str">
        <f>IF(OR(半径长度!B51="",半径长度!B51=0),"",(韧皮部长度!B51)/半径长度!B51)</f>
        <v/>
      </c>
      <c r="C51" s="2" t="str">
        <f>IF(OR(半径长度!C51="",半径长度!C51=0),"",(韧皮部长度!C51)/半径长度!C51)</f>
        <v/>
      </c>
      <c r="D51" s="2" t="str">
        <f>IF(OR(半径长度!D51="",半径长度!D51=0),"",(韧皮部长度!D51)/半径长度!D51)</f>
        <v/>
      </c>
      <c r="E51" s="2" t="str">
        <f t="shared" si="1"/>
        <v/>
      </c>
    </row>
    <row r="52" spans="1:5" x14ac:dyDescent="0.15">
      <c r="A52" s="2">
        <v>51</v>
      </c>
      <c r="B52" s="2" t="str">
        <f>IF(OR(半径长度!B52="",半径长度!B52=0),"",(韧皮部长度!B52)/半径长度!B52)</f>
        <v/>
      </c>
      <c r="C52" s="2" t="str">
        <f>IF(OR(半径长度!C52="",半径长度!C52=0),"",(韧皮部长度!C52)/半径长度!C52)</f>
        <v/>
      </c>
      <c r="D52" s="2" t="str">
        <f>IF(OR(半径长度!D52="",半径长度!D52=0),"",(韧皮部长度!D52)/半径长度!D52)</f>
        <v/>
      </c>
      <c r="E52" s="2" t="str">
        <f t="shared" si="1"/>
        <v/>
      </c>
    </row>
    <row r="53" spans="1:5" x14ac:dyDescent="0.15">
      <c r="A53" s="2">
        <v>52</v>
      </c>
      <c r="B53" s="2" t="str">
        <f>IF(OR(半径长度!B53="",半径长度!B53=0),"",(韧皮部长度!B53)/半径长度!B53)</f>
        <v/>
      </c>
      <c r="C53" s="2" t="str">
        <f>IF(OR(半径长度!C53="",半径长度!C53=0),"",(韧皮部长度!C53)/半径长度!C53)</f>
        <v/>
      </c>
      <c r="D53" s="2" t="str">
        <f>IF(OR(半径长度!D53="",半径长度!D53=0),"",(韧皮部长度!D53)/半径长度!D53)</f>
        <v/>
      </c>
      <c r="E53" s="2" t="str">
        <f t="shared" si="1"/>
        <v/>
      </c>
    </row>
    <row r="54" spans="1:5" x14ac:dyDescent="0.15">
      <c r="A54" s="2">
        <v>53</v>
      </c>
      <c r="B54" s="2" t="str">
        <f>IF(OR(半径长度!B54="",半径长度!B54=0),"",(韧皮部长度!B54)/半径长度!B54)</f>
        <v/>
      </c>
      <c r="C54" s="2" t="str">
        <f>IF(OR(半径长度!C54="",半径长度!C54=0),"",(韧皮部长度!C54)/半径长度!C54)</f>
        <v/>
      </c>
      <c r="D54" s="2" t="str">
        <f>IF(OR(半径长度!D54="",半径长度!D54=0),"",(韧皮部长度!D54)/半径长度!D54)</f>
        <v/>
      </c>
      <c r="E54" s="2" t="str">
        <f t="shared" si="1"/>
        <v/>
      </c>
    </row>
    <row r="55" spans="1:5" x14ac:dyDescent="0.15">
      <c r="A55" s="2">
        <v>54</v>
      </c>
      <c r="B55" s="2" t="str">
        <f>IF(OR(半径长度!B55="",半径长度!B55=0),"",(韧皮部长度!B55)/半径长度!B55)</f>
        <v/>
      </c>
      <c r="C55" s="2" t="str">
        <f>IF(OR(半径长度!C55="",半径长度!C55=0),"",(韧皮部长度!C55)/半径长度!C55)</f>
        <v/>
      </c>
      <c r="D55" s="2" t="str">
        <f>IF(OR(半径长度!D55="",半径长度!D55=0),"",(韧皮部长度!D55)/半径长度!D55)</f>
        <v/>
      </c>
      <c r="E55" s="2" t="str">
        <f t="shared" si="1"/>
        <v/>
      </c>
    </row>
    <row r="56" spans="1:5" x14ac:dyDescent="0.15">
      <c r="A56" s="2">
        <v>55</v>
      </c>
      <c r="B56" s="2" t="str">
        <f>IF(OR(半径长度!B56="",半径长度!B56=0),"",(韧皮部长度!B56)/半径长度!B56)</f>
        <v/>
      </c>
      <c r="C56" s="2" t="str">
        <f>IF(OR(半径长度!C56="",半径长度!C56=0),"",(韧皮部长度!C56)/半径长度!C56)</f>
        <v/>
      </c>
      <c r="D56" s="2" t="str">
        <f>IF(OR(半径长度!D56="",半径长度!D56=0),"",(韧皮部长度!D56)/半径长度!D56)</f>
        <v/>
      </c>
      <c r="E56" s="2" t="str">
        <f t="shared" si="1"/>
        <v/>
      </c>
    </row>
    <row r="57" spans="1:5" x14ac:dyDescent="0.15">
      <c r="A57" s="2">
        <v>56</v>
      </c>
      <c r="B57" s="2" t="str">
        <f>IF(OR(半径长度!B57="",半径长度!B57=0),"",(韧皮部长度!B57)/半径长度!B57)</f>
        <v/>
      </c>
      <c r="C57" s="2" t="str">
        <f>IF(OR(半径长度!C57="",半径长度!C57=0),"",(韧皮部长度!C57)/半径长度!C57)</f>
        <v/>
      </c>
      <c r="D57" s="2" t="str">
        <f>IF(OR(半径长度!D57="",半径长度!D57=0),"",(韧皮部长度!D57)/半径长度!D57)</f>
        <v/>
      </c>
      <c r="E57" s="2" t="str">
        <f t="shared" si="1"/>
        <v/>
      </c>
    </row>
    <row r="58" spans="1:5" x14ac:dyDescent="0.15">
      <c r="A58" s="2">
        <v>57</v>
      </c>
      <c r="B58" s="2" t="str">
        <f>IF(OR(半径长度!B58="",半径长度!B58=0),"",(韧皮部长度!B58)/半径长度!B58)</f>
        <v/>
      </c>
      <c r="C58" s="2" t="str">
        <f>IF(OR(半径长度!C58="",半径长度!C58=0),"",(韧皮部长度!C58)/半径长度!C58)</f>
        <v/>
      </c>
      <c r="D58" s="2" t="str">
        <f>IF(OR(半径长度!D58="",半径长度!D58=0),"",(韧皮部长度!D58)/半径长度!D58)</f>
        <v/>
      </c>
      <c r="E58" s="2" t="str">
        <f t="shared" si="1"/>
        <v/>
      </c>
    </row>
    <row r="59" spans="1:5" x14ac:dyDescent="0.15">
      <c r="A59" s="2">
        <v>58</v>
      </c>
      <c r="B59" s="2" t="str">
        <f>IF(OR(半径长度!B59="",半径长度!B59=0),"",(韧皮部长度!B59)/半径长度!B59)</f>
        <v/>
      </c>
      <c r="C59" s="2" t="str">
        <f>IF(OR(半径长度!C59="",半径长度!C59=0),"",(韧皮部长度!C59)/半径长度!C59)</f>
        <v/>
      </c>
      <c r="D59" s="2" t="str">
        <f>IF(OR(半径长度!D59="",半径长度!D59=0),"",(韧皮部长度!D59)/半径长度!D59)</f>
        <v/>
      </c>
      <c r="E59" s="2" t="str">
        <f t="shared" si="1"/>
        <v/>
      </c>
    </row>
    <row r="60" spans="1:5" x14ac:dyDescent="0.15">
      <c r="A60" s="2">
        <v>59</v>
      </c>
      <c r="B60" s="2" t="str">
        <f>IF(OR(半径长度!B60="",半径长度!B60=0),"",(韧皮部长度!B60)/半径长度!B60)</f>
        <v/>
      </c>
      <c r="C60" s="2" t="str">
        <f>IF(OR(半径长度!C60="",半径长度!C60=0),"",(韧皮部长度!C60)/半径长度!C60)</f>
        <v/>
      </c>
      <c r="D60" s="2" t="str">
        <f>IF(OR(半径长度!D60="",半径长度!D60=0),"",(韧皮部长度!D60)/半径长度!D60)</f>
        <v/>
      </c>
      <c r="E60" s="2" t="str">
        <f t="shared" si="1"/>
        <v/>
      </c>
    </row>
    <row r="61" spans="1:5" x14ac:dyDescent="0.15">
      <c r="A61" s="2">
        <v>60</v>
      </c>
      <c r="B61" s="2" t="str">
        <f>IF(OR(半径长度!B61="",半径长度!B61=0),"",(韧皮部长度!B61)/半径长度!B61)</f>
        <v/>
      </c>
      <c r="C61" s="2" t="str">
        <f>IF(OR(半径长度!C61="",半径长度!C61=0),"",(韧皮部长度!C61)/半径长度!C61)</f>
        <v/>
      </c>
      <c r="D61" s="2" t="str">
        <f>IF(OR(半径长度!D61="",半径长度!D61=0),"",(韧皮部长度!D61)/半径长度!D61)</f>
        <v/>
      </c>
      <c r="E61" s="2" t="str">
        <f t="shared" si="1"/>
        <v/>
      </c>
    </row>
    <row r="62" spans="1:5" x14ac:dyDescent="0.15">
      <c r="A62" s="2">
        <v>61</v>
      </c>
      <c r="B62" s="2" t="str">
        <f>IF(OR(半径长度!B62="",半径长度!B62=0),"",(韧皮部长度!B62)/半径长度!B62)</f>
        <v/>
      </c>
      <c r="C62" s="2" t="str">
        <f>IF(OR(半径长度!C62="",半径长度!C62=0),"",(韧皮部长度!C62)/半径长度!C62)</f>
        <v/>
      </c>
      <c r="D62" s="2" t="str">
        <f>IF(OR(半径长度!D62="",半径长度!D62=0),"",(韧皮部长度!D62)/半径长度!D62)</f>
        <v/>
      </c>
      <c r="E62" s="2" t="str">
        <f t="shared" si="1"/>
        <v/>
      </c>
    </row>
    <row r="63" spans="1:5" x14ac:dyDescent="0.15">
      <c r="A63" s="2">
        <v>62</v>
      </c>
      <c r="B63" s="2" t="str">
        <f>IF(OR(半径长度!B63="",半径长度!B63=0),"",(韧皮部长度!B63)/半径长度!B63)</f>
        <v/>
      </c>
      <c r="C63" s="2" t="str">
        <f>IF(OR(半径长度!C63="",半径长度!C63=0),"",(韧皮部长度!C63)/半径长度!C63)</f>
        <v/>
      </c>
      <c r="D63" s="2" t="str">
        <f>IF(OR(半径长度!D63="",半径长度!D63=0),"",(韧皮部长度!D63)/半径长度!D63)</f>
        <v/>
      </c>
      <c r="E63" s="2" t="str">
        <f t="shared" si="1"/>
        <v/>
      </c>
    </row>
    <row r="64" spans="1:5" x14ac:dyDescent="0.15">
      <c r="A64" s="2">
        <v>63</v>
      </c>
      <c r="B64" s="2" t="str">
        <f>IF(OR(半径长度!B64="",半径长度!B64=0),"",(韧皮部长度!B64)/半径长度!B64)</f>
        <v/>
      </c>
      <c r="C64" s="2" t="str">
        <f>IF(OR(半径长度!C64="",半径长度!C64=0),"",(韧皮部长度!C64)/半径长度!C64)</f>
        <v/>
      </c>
      <c r="D64" s="2" t="str">
        <f>IF(OR(半径长度!D64="",半径长度!D64=0),"",(韧皮部长度!D64)/半径长度!D64)</f>
        <v/>
      </c>
      <c r="E64" s="2" t="str">
        <f t="shared" si="1"/>
        <v/>
      </c>
    </row>
  </sheetData>
  <mergeCells count="1">
    <mergeCell ref="J7:N16"/>
  </mergeCells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4"/>
  <sheetViews>
    <sheetView workbookViewId="0">
      <selection activeCell="H31" sqref="H31"/>
    </sheetView>
  </sheetViews>
  <sheetFormatPr defaultColWidth="9" defaultRowHeight="13.5" x14ac:dyDescent="0.15"/>
  <cols>
    <col min="1" max="1" width="9" style="1" customWidth="1"/>
    <col min="2" max="4" width="20.62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29</v>
      </c>
      <c r="C1" s="2" t="s">
        <v>30</v>
      </c>
      <c r="D1" s="2" t="s">
        <v>31</v>
      </c>
      <c r="E1" s="2" t="s">
        <v>23</v>
      </c>
    </row>
    <row r="2" spans="1:14" x14ac:dyDescent="0.15">
      <c r="A2" s="2">
        <v>1</v>
      </c>
      <c r="B2" s="2" t="str">
        <f>IF(OR(半径长度!B2="",半径长度!B2=0),"",(木质部长度!B2)/半径长度!B2)</f>
        <v/>
      </c>
      <c r="C2" s="2" t="str">
        <f>IF(OR(半径长度!C2="",半径长度!C2=0),"",(木质部长度!C2)/半径长度!C2)</f>
        <v/>
      </c>
      <c r="D2" s="2" t="str">
        <f>IF(OR(半径长度!D2="",半径长度!D2=0),"",(木质部长度!D2)/半径长度!D2)</f>
        <v/>
      </c>
      <c r="E2" s="2" t="str">
        <f t="shared" ref="E2:E33" si="0">IF(COUNT(B2:D2)=0,"",AVERAGE(B2:D2))</f>
        <v/>
      </c>
    </row>
    <row r="3" spans="1:14" x14ac:dyDescent="0.15">
      <c r="A3" s="2">
        <v>2</v>
      </c>
      <c r="B3" s="2" t="str">
        <f>IF(OR(半径长度!B3="",半径长度!B3=0),"",(木质部长度!B3)/半径长度!B3)</f>
        <v/>
      </c>
      <c r="C3" s="2" t="str">
        <f>IF(OR(半径长度!C3="",半径长度!C3=0),"",(木质部长度!C3)/半径长度!C3)</f>
        <v/>
      </c>
      <c r="D3" s="2" t="str">
        <f>IF(OR(半径长度!D3="",半径长度!D3=0),"",(木质部长度!D3)/半径长度!D3)</f>
        <v/>
      </c>
      <c r="E3" s="2" t="str">
        <f t="shared" si="0"/>
        <v/>
      </c>
    </row>
    <row r="4" spans="1:14" x14ac:dyDescent="0.15">
      <c r="A4" s="2">
        <v>3</v>
      </c>
      <c r="B4" s="2" t="str">
        <f>IF(OR(半径长度!B4="",半径长度!B4=0),"",(木质部长度!B4)/半径长度!B4)</f>
        <v/>
      </c>
      <c r="C4" s="2" t="str">
        <f>IF(OR(半径长度!C4="",半径长度!C4=0),"",(木质部长度!C4)/半径长度!C4)</f>
        <v/>
      </c>
      <c r="D4" s="2" t="str">
        <f>IF(OR(半径长度!D4="",半径长度!D4=0),"",(木质部长度!D4)/半径长度!D4)</f>
        <v/>
      </c>
      <c r="E4" s="2" t="str">
        <f t="shared" si="0"/>
        <v/>
      </c>
    </row>
    <row r="5" spans="1:14" x14ac:dyDescent="0.15">
      <c r="A5" s="2">
        <v>4</v>
      </c>
      <c r="B5" s="2" t="str">
        <f>IF(OR(半径长度!B5="",半径长度!B5=0),"",(木质部长度!B5)/半径长度!B5)</f>
        <v/>
      </c>
      <c r="C5" s="2" t="str">
        <f>IF(OR(半径长度!C5="",半径长度!C5=0),"",(木质部长度!C5)/半径长度!C5)</f>
        <v/>
      </c>
      <c r="D5" s="2" t="str">
        <f>IF(OR(半径长度!D5="",半径长度!D5=0),"",(木质部长度!D5)/半径长度!D5)</f>
        <v/>
      </c>
      <c r="E5" s="2" t="str">
        <f t="shared" si="0"/>
        <v/>
      </c>
    </row>
    <row r="6" spans="1:14" x14ac:dyDescent="0.15">
      <c r="A6" s="2">
        <v>5</v>
      </c>
      <c r="B6" s="2" t="str">
        <f>IF(OR(半径长度!B6="",半径长度!B6=0),"",(木质部长度!B6)/半径长度!B6)</f>
        <v/>
      </c>
      <c r="C6" s="2" t="str">
        <f>IF(OR(半径长度!C6="",半径长度!C6=0),"",(木质部长度!C6)/半径长度!C6)</f>
        <v/>
      </c>
      <c r="D6" s="2" t="str">
        <f>IF(OR(半径长度!D6="",半径长度!D6=0),"",(木质部长度!D6)/半径长度!D6)</f>
        <v/>
      </c>
      <c r="E6" s="2" t="str">
        <f t="shared" si="0"/>
        <v/>
      </c>
    </row>
    <row r="7" spans="1:14" x14ac:dyDescent="0.15">
      <c r="A7" s="2">
        <v>6</v>
      </c>
      <c r="B7" s="2" t="str">
        <f>IF(OR(半径长度!B7="",半径长度!B7=0),"",(木质部长度!B7)/半径长度!B7)</f>
        <v/>
      </c>
      <c r="C7" s="2" t="str">
        <f>IF(OR(半径长度!C7="",半径长度!C7=0),"",(木质部长度!C7)/半径长度!C7)</f>
        <v/>
      </c>
      <c r="D7" s="2" t="str">
        <f>IF(OR(半径长度!D7="",半径长度!D7=0),"",(木质部长度!D7)/半径长度!D7)</f>
        <v/>
      </c>
      <c r="E7" s="2" t="str">
        <f t="shared" si="0"/>
        <v/>
      </c>
      <c r="J7" s="3" t="s">
        <v>32</v>
      </c>
      <c r="K7" s="4"/>
      <c r="L7" s="4"/>
      <c r="M7" s="4"/>
      <c r="N7" s="4"/>
    </row>
    <row r="8" spans="1:14" x14ac:dyDescent="0.15">
      <c r="A8" s="2">
        <v>7</v>
      </c>
      <c r="B8" s="2" t="str">
        <f>IF(OR(半径长度!B8="",半径长度!B8=0),"",(木质部长度!B8)/半径长度!B8)</f>
        <v/>
      </c>
      <c r="C8" s="2" t="str">
        <f>IF(OR(半径长度!C8="",半径长度!C8=0),"",(木质部长度!C8)/半径长度!C8)</f>
        <v/>
      </c>
      <c r="D8" s="2" t="str">
        <f>IF(OR(半径长度!D8="",半径长度!D8=0),"",(木质部长度!D8)/半径长度!D8)</f>
        <v/>
      </c>
      <c r="E8" s="2" t="str">
        <f t="shared" si="0"/>
        <v/>
      </c>
      <c r="J8" s="4"/>
      <c r="K8" s="4"/>
      <c r="L8" s="4"/>
      <c r="M8" s="4"/>
      <c r="N8" s="4"/>
    </row>
    <row r="9" spans="1:14" x14ac:dyDescent="0.15">
      <c r="A9" s="2">
        <v>8</v>
      </c>
      <c r="B9" s="2" t="str">
        <f>IF(OR(半径长度!B9="",半径长度!B9=0),"",(木质部长度!B9)/半径长度!B9)</f>
        <v/>
      </c>
      <c r="C9" s="2" t="str">
        <f>IF(OR(半径长度!C9="",半径长度!C9=0),"",(木质部长度!C9)/半径长度!C9)</f>
        <v/>
      </c>
      <c r="D9" s="2" t="str">
        <f>IF(OR(半径长度!D9="",半径长度!D9=0),"",(木质部长度!D9)/半径长度!D9)</f>
        <v/>
      </c>
      <c r="E9" s="2" t="str">
        <f t="shared" si="0"/>
        <v/>
      </c>
      <c r="J9" s="4"/>
      <c r="K9" s="4"/>
      <c r="L9" s="4"/>
      <c r="M9" s="4"/>
      <c r="N9" s="4"/>
    </row>
    <row r="10" spans="1:14" x14ac:dyDescent="0.15">
      <c r="A10" s="2">
        <v>9</v>
      </c>
      <c r="B10" s="2" t="str">
        <f>IF(OR(半径长度!B10="",半径长度!B10=0),"",(木质部长度!B10)/半径长度!B10)</f>
        <v/>
      </c>
      <c r="C10" s="2" t="str">
        <f>IF(OR(半径长度!C10="",半径长度!C10=0),"",(木质部长度!C10)/半径长度!C10)</f>
        <v/>
      </c>
      <c r="D10" s="2" t="str">
        <f>IF(OR(半径长度!D10="",半径长度!D10=0),"",(木质部长度!D10)/半径长度!D10)</f>
        <v/>
      </c>
      <c r="E10" s="2" t="str">
        <f t="shared" si="0"/>
        <v/>
      </c>
      <c r="J10" s="4"/>
      <c r="K10" s="4"/>
      <c r="L10" s="4"/>
      <c r="M10" s="4"/>
      <c r="N10" s="4"/>
    </row>
    <row r="11" spans="1:14" x14ac:dyDescent="0.15">
      <c r="A11" s="2">
        <v>10</v>
      </c>
      <c r="B11" s="2" t="str">
        <f>IF(OR(半径长度!B11="",半径长度!B11=0),"",(木质部长度!B11)/半径长度!B11)</f>
        <v/>
      </c>
      <c r="C11" s="2" t="str">
        <f>IF(OR(半径长度!C11="",半径长度!C11=0),"",(木质部长度!C11)/半径长度!C11)</f>
        <v/>
      </c>
      <c r="D11" s="2" t="str">
        <f>IF(OR(半径长度!D11="",半径长度!D11=0),"",(木质部长度!D11)/半径长度!D11)</f>
        <v/>
      </c>
      <c r="E11" s="2" t="str">
        <f t="shared" si="0"/>
        <v/>
      </c>
      <c r="J11" s="4"/>
      <c r="K11" s="4"/>
      <c r="L11" s="4"/>
      <c r="M11" s="4"/>
      <c r="N11" s="4"/>
    </row>
    <row r="12" spans="1:14" x14ac:dyDescent="0.15">
      <c r="A12" s="2">
        <v>11</v>
      </c>
      <c r="B12" s="2" t="str">
        <f>IF(OR(半径长度!B12="",半径长度!B12=0),"",(木质部长度!B12)/半径长度!B12)</f>
        <v/>
      </c>
      <c r="C12" s="2" t="str">
        <f>IF(OR(半径长度!C12="",半径长度!C12=0),"",(木质部长度!C12)/半径长度!C12)</f>
        <v/>
      </c>
      <c r="D12" s="2" t="str">
        <f>IF(OR(半径长度!D12="",半径长度!D12=0),"",(木质部长度!D12)/半径长度!D12)</f>
        <v/>
      </c>
      <c r="E12" s="2" t="str">
        <f t="shared" si="0"/>
        <v/>
      </c>
      <c r="J12" s="4"/>
      <c r="K12" s="4"/>
      <c r="L12" s="4"/>
      <c r="M12" s="4"/>
      <c r="N12" s="4"/>
    </row>
    <row r="13" spans="1:14" x14ac:dyDescent="0.15">
      <c r="A13" s="2">
        <v>12</v>
      </c>
      <c r="B13" s="2" t="str">
        <f>IF(OR(半径长度!B13="",半径长度!B13=0),"",(木质部长度!B13)/半径长度!B13)</f>
        <v/>
      </c>
      <c r="C13" s="2" t="str">
        <f>IF(OR(半径长度!C13="",半径长度!C13=0),"",(木质部长度!C13)/半径长度!C13)</f>
        <v/>
      </c>
      <c r="D13" s="2" t="str">
        <f>IF(OR(半径长度!D13="",半径长度!D13=0),"",(木质部长度!D13)/半径长度!D13)</f>
        <v/>
      </c>
      <c r="E13" s="2" t="str">
        <f t="shared" si="0"/>
        <v/>
      </c>
      <c r="J13" s="4"/>
      <c r="K13" s="4"/>
      <c r="L13" s="4"/>
      <c r="M13" s="4"/>
      <c r="N13" s="4"/>
    </row>
    <row r="14" spans="1:14" x14ac:dyDescent="0.15">
      <c r="A14" s="2">
        <v>13</v>
      </c>
      <c r="B14" s="2" t="str">
        <f>IF(OR(半径长度!B14="",半径长度!B14=0),"",(木质部长度!B14)/半径长度!B14)</f>
        <v/>
      </c>
      <c r="C14" s="2" t="str">
        <f>IF(OR(半径长度!C14="",半径长度!C14=0),"",(木质部长度!C14)/半径长度!C14)</f>
        <v/>
      </c>
      <c r="D14" s="2" t="str">
        <f>IF(OR(半径长度!D14="",半径长度!D14=0),"",(木质部长度!D14)/半径长度!D14)</f>
        <v/>
      </c>
      <c r="E14" s="2" t="str">
        <f t="shared" si="0"/>
        <v/>
      </c>
      <c r="J14" s="4"/>
      <c r="K14" s="4"/>
      <c r="L14" s="4"/>
      <c r="M14" s="4"/>
      <c r="N14" s="4"/>
    </row>
    <row r="15" spans="1:14" x14ac:dyDescent="0.15">
      <c r="A15" s="2">
        <v>14</v>
      </c>
      <c r="B15" s="2" t="str">
        <f>IF(OR(半径长度!B15="",半径长度!B15=0),"",(木质部长度!B15)/半径长度!B15)</f>
        <v/>
      </c>
      <c r="C15" s="2" t="str">
        <f>IF(OR(半径长度!C15="",半径长度!C15=0),"",(木质部长度!C15)/半径长度!C15)</f>
        <v/>
      </c>
      <c r="D15" s="2" t="str">
        <f>IF(OR(半径长度!D15="",半径长度!D15=0),"",(木质部长度!D15)/半径长度!D15)</f>
        <v/>
      </c>
      <c r="E15" s="2" t="str">
        <f t="shared" si="0"/>
        <v/>
      </c>
      <c r="J15" s="4"/>
      <c r="K15" s="4"/>
      <c r="L15" s="4"/>
      <c r="M15" s="4"/>
      <c r="N15" s="4"/>
    </row>
    <row r="16" spans="1:14" x14ac:dyDescent="0.15">
      <c r="A16" s="2">
        <v>15</v>
      </c>
      <c r="B16" s="2" t="str">
        <f>IF(OR(半径长度!B16="",半径长度!B16=0),"",(木质部长度!B16)/半径长度!B16)</f>
        <v/>
      </c>
      <c r="C16" s="2" t="str">
        <f>IF(OR(半径长度!C16="",半径长度!C16=0),"",(木质部长度!C16)/半径长度!C16)</f>
        <v/>
      </c>
      <c r="D16" s="2" t="str">
        <f>IF(OR(半径长度!D16="",半径长度!D16=0),"",(木质部长度!D16)/半径长度!D16)</f>
        <v/>
      </c>
      <c r="E16" s="2" t="str">
        <f t="shared" si="0"/>
        <v/>
      </c>
      <c r="J16" s="4"/>
      <c r="K16" s="4"/>
      <c r="L16" s="4"/>
      <c r="M16" s="4"/>
      <c r="N16" s="4"/>
    </row>
    <row r="17" spans="1:5" x14ac:dyDescent="0.15">
      <c r="A17" s="2">
        <v>16</v>
      </c>
      <c r="B17" s="2" t="str">
        <f>IF(OR(半径长度!B17="",半径长度!B17=0),"",(木质部长度!B17)/半径长度!B17)</f>
        <v/>
      </c>
      <c r="C17" s="2" t="str">
        <f>IF(OR(半径长度!C17="",半径长度!C17=0),"",(木质部长度!C17)/半径长度!C17)</f>
        <v/>
      </c>
      <c r="D17" s="2" t="str">
        <f>IF(OR(半径长度!D17="",半径长度!D17=0),"",(木质部长度!D17)/半径长度!D17)</f>
        <v/>
      </c>
      <c r="E17" s="2" t="str">
        <f t="shared" si="0"/>
        <v/>
      </c>
    </row>
    <row r="18" spans="1:5" x14ac:dyDescent="0.15">
      <c r="A18" s="2">
        <v>17</v>
      </c>
      <c r="B18" s="2" t="str">
        <f>IF(OR(半径长度!B18="",半径长度!B18=0),"",(木质部长度!B18)/半径长度!B18)</f>
        <v/>
      </c>
      <c r="C18" s="2" t="str">
        <f>IF(OR(半径长度!C18="",半径长度!C18=0),"",(木质部长度!C18)/半径长度!C18)</f>
        <v/>
      </c>
      <c r="D18" s="2" t="str">
        <f>IF(OR(半径长度!D18="",半径长度!D18=0),"",(木质部长度!D18)/半径长度!D18)</f>
        <v/>
      </c>
      <c r="E18" s="2" t="str">
        <f t="shared" si="0"/>
        <v/>
      </c>
    </row>
    <row r="19" spans="1:5" x14ac:dyDescent="0.15">
      <c r="A19" s="2">
        <v>18</v>
      </c>
      <c r="B19" s="2" t="str">
        <f>IF(OR(半径长度!B19="",半径长度!B19=0),"",(木质部长度!B19)/半径长度!B19)</f>
        <v/>
      </c>
      <c r="C19" s="2" t="str">
        <f>IF(OR(半径长度!C19="",半径长度!C19=0),"",(木质部长度!C19)/半径长度!C19)</f>
        <v/>
      </c>
      <c r="D19" s="2" t="str">
        <f>IF(OR(半径长度!D19="",半径长度!D19=0),"",(木质部长度!D19)/半径长度!D19)</f>
        <v/>
      </c>
      <c r="E19" s="2" t="str">
        <f t="shared" si="0"/>
        <v/>
      </c>
    </row>
    <row r="20" spans="1:5" x14ac:dyDescent="0.15">
      <c r="A20" s="2">
        <v>19</v>
      </c>
      <c r="B20" s="2" t="str">
        <f>IF(OR(半径长度!B20="",半径长度!B20=0),"",(木质部长度!B20)/半径长度!B20)</f>
        <v/>
      </c>
      <c r="C20" s="2" t="str">
        <f>IF(OR(半径长度!C20="",半径长度!C20=0),"",(木质部长度!C20)/半径长度!C20)</f>
        <v/>
      </c>
      <c r="D20" s="2" t="str">
        <f>IF(OR(半径长度!D20="",半径长度!D20=0),"",(木质部长度!D20)/半径长度!D20)</f>
        <v/>
      </c>
      <c r="E20" s="2" t="str">
        <f t="shared" si="0"/>
        <v/>
      </c>
    </row>
    <row r="21" spans="1:5" x14ac:dyDescent="0.15">
      <c r="A21" s="2">
        <v>20</v>
      </c>
      <c r="B21" s="2" t="str">
        <f>IF(OR(半径长度!B21="",半径长度!B21=0),"",(木质部长度!B21)/半径长度!B21)</f>
        <v/>
      </c>
      <c r="C21" s="2" t="str">
        <f>IF(OR(半径长度!C21="",半径长度!C21=0),"",(木质部长度!C21)/半径长度!C21)</f>
        <v/>
      </c>
      <c r="D21" s="2" t="str">
        <f>IF(OR(半径长度!D21="",半径长度!D21=0),"",(木质部长度!D21)/半径长度!D21)</f>
        <v/>
      </c>
      <c r="E21" s="2" t="str">
        <f t="shared" si="0"/>
        <v/>
      </c>
    </row>
    <row r="22" spans="1:5" x14ac:dyDescent="0.15">
      <c r="A22" s="2">
        <v>21</v>
      </c>
      <c r="B22" s="2" t="str">
        <f>IF(OR(半径长度!B22="",半径长度!B22=0),"",(木质部长度!B22)/半径长度!B22)</f>
        <v/>
      </c>
      <c r="C22" s="2" t="str">
        <f>IF(OR(半径长度!C22="",半径长度!C22=0),"",(木质部长度!C22)/半径长度!C22)</f>
        <v/>
      </c>
      <c r="D22" s="2" t="str">
        <f>IF(OR(半径长度!D22="",半径长度!D22=0),"",(木质部长度!D22)/半径长度!D22)</f>
        <v/>
      </c>
      <c r="E22" s="2" t="str">
        <f t="shared" si="0"/>
        <v/>
      </c>
    </row>
    <row r="23" spans="1:5" x14ac:dyDescent="0.15">
      <c r="A23" s="2">
        <v>22</v>
      </c>
      <c r="B23" s="2" t="str">
        <f>IF(OR(半径长度!B23="",半径长度!B23=0),"",(木质部长度!B23)/半径长度!B23)</f>
        <v/>
      </c>
      <c r="C23" s="2" t="str">
        <f>IF(OR(半径长度!C23="",半径长度!C23=0),"",(木质部长度!C23)/半径长度!C23)</f>
        <v/>
      </c>
      <c r="D23" s="2" t="str">
        <f>IF(OR(半径长度!D23="",半径长度!D23=0),"",(木质部长度!D23)/半径长度!D23)</f>
        <v/>
      </c>
      <c r="E23" s="2" t="str">
        <f t="shared" si="0"/>
        <v/>
      </c>
    </row>
    <row r="24" spans="1:5" x14ac:dyDescent="0.15">
      <c r="A24" s="2">
        <v>23</v>
      </c>
      <c r="B24" s="2" t="str">
        <f>IF(OR(半径长度!B24="",半径长度!B24=0),"",(木质部长度!B24)/半径长度!B24)</f>
        <v/>
      </c>
      <c r="C24" s="2" t="str">
        <f>IF(OR(半径长度!C24="",半径长度!C24=0),"",(木质部长度!C24)/半径长度!C24)</f>
        <v/>
      </c>
      <c r="D24" s="2" t="str">
        <f>IF(OR(半径长度!D24="",半径长度!D24=0),"",(木质部长度!D24)/半径长度!D24)</f>
        <v/>
      </c>
      <c r="E24" s="2" t="str">
        <f t="shared" si="0"/>
        <v/>
      </c>
    </row>
    <row r="25" spans="1:5" x14ac:dyDescent="0.15">
      <c r="A25" s="2">
        <v>24</v>
      </c>
      <c r="B25" s="2" t="str">
        <f>IF(OR(半径长度!B25="",半径长度!B25=0),"",(木质部长度!B25)/半径长度!B25)</f>
        <v/>
      </c>
      <c r="C25" s="2" t="str">
        <f>IF(OR(半径长度!C25="",半径长度!C25=0),"",(木质部长度!C25)/半径长度!C25)</f>
        <v/>
      </c>
      <c r="D25" s="2" t="str">
        <f>IF(OR(半径长度!D25="",半径长度!D25=0),"",(木质部长度!D25)/半径长度!D25)</f>
        <v/>
      </c>
      <c r="E25" s="2" t="str">
        <f t="shared" si="0"/>
        <v/>
      </c>
    </row>
    <row r="26" spans="1:5" x14ac:dyDescent="0.15">
      <c r="A26" s="2">
        <v>25</v>
      </c>
      <c r="B26" s="2" t="str">
        <f>IF(OR(半径长度!B26="",半径长度!B26=0),"",(木质部长度!B26)/半径长度!B26)</f>
        <v/>
      </c>
      <c r="C26" s="2" t="str">
        <f>IF(OR(半径长度!C26="",半径长度!C26=0),"",(木质部长度!C26)/半径长度!C26)</f>
        <v/>
      </c>
      <c r="D26" s="2" t="str">
        <f>IF(OR(半径长度!D26="",半径长度!D26=0),"",(木质部长度!D26)/半径长度!D26)</f>
        <v/>
      </c>
      <c r="E26" s="2" t="str">
        <f t="shared" si="0"/>
        <v/>
      </c>
    </row>
    <row r="27" spans="1:5" x14ac:dyDescent="0.15">
      <c r="A27" s="2">
        <v>26</v>
      </c>
      <c r="B27" s="2" t="str">
        <f>IF(OR(半径长度!B27="",半径长度!B27=0),"",(木质部长度!B27)/半径长度!B27)</f>
        <v/>
      </c>
      <c r="C27" s="2" t="str">
        <f>IF(OR(半径长度!C27="",半径长度!C27=0),"",(木质部长度!C27)/半径长度!C27)</f>
        <v/>
      </c>
      <c r="D27" s="2" t="str">
        <f>IF(OR(半径长度!D27="",半径长度!D27=0),"",(木质部长度!D27)/半径长度!D27)</f>
        <v/>
      </c>
      <c r="E27" s="2" t="str">
        <f t="shared" si="0"/>
        <v/>
      </c>
    </row>
    <row r="28" spans="1:5" x14ac:dyDescent="0.15">
      <c r="A28" s="2">
        <v>27</v>
      </c>
      <c r="B28" s="2" t="str">
        <f>IF(OR(半径长度!B28="",半径长度!B28=0),"",(木质部长度!B28)/半径长度!B28)</f>
        <v/>
      </c>
      <c r="C28" s="2" t="str">
        <f>IF(OR(半径长度!C28="",半径长度!C28=0),"",(木质部长度!C28)/半径长度!C28)</f>
        <v/>
      </c>
      <c r="D28" s="2" t="str">
        <f>IF(OR(半径长度!D28="",半径长度!D28=0),"",(木质部长度!D28)/半径长度!D28)</f>
        <v/>
      </c>
      <c r="E28" s="2" t="str">
        <f t="shared" si="0"/>
        <v/>
      </c>
    </row>
    <row r="29" spans="1:5" x14ac:dyDescent="0.15">
      <c r="A29" s="2">
        <v>28</v>
      </c>
      <c r="B29" s="2" t="str">
        <f>IF(OR(半径长度!B29="",半径长度!B29=0),"",(木质部长度!B29)/半径长度!B29)</f>
        <v/>
      </c>
      <c r="C29" s="2" t="str">
        <f>IF(OR(半径长度!C29="",半径长度!C29=0),"",(木质部长度!C29)/半径长度!C29)</f>
        <v/>
      </c>
      <c r="D29" s="2" t="str">
        <f>IF(OR(半径长度!D29="",半径长度!D29=0),"",(木质部长度!D29)/半径长度!D29)</f>
        <v/>
      </c>
      <c r="E29" s="2" t="str">
        <f t="shared" si="0"/>
        <v/>
      </c>
    </row>
    <row r="30" spans="1:5" x14ac:dyDescent="0.15">
      <c r="A30" s="2">
        <v>29</v>
      </c>
      <c r="B30" s="2" t="str">
        <f>IF(OR(半径长度!B30="",半径长度!B30=0),"",(木质部长度!B30)/半径长度!B30)</f>
        <v/>
      </c>
      <c r="C30" s="2" t="str">
        <f>IF(OR(半径长度!C30="",半径长度!C30=0),"",(木质部长度!C30)/半径长度!C30)</f>
        <v/>
      </c>
      <c r="D30" s="2" t="str">
        <f>IF(OR(半径长度!D30="",半径长度!D30=0),"",(木质部长度!D30)/半径长度!D30)</f>
        <v/>
      </c>
      <c r="E30" s="2" t="str">
        <f t="shared" si="0"/>
        <v/>
      </c>
    </row>
    <row r="31" spans="1:5" x14ac:dyDescent="0.15">
      <c r="A31" s="2">
        <v>30</v>
      </c>
      <c r="B31" s="2" t="str">
        <f>IF(OR(半径长度!B31="",半径长度!B31=0),"",(木质部长度!B31)/半径长度!B31)</f>
        <v/>
      </c>
      <c r="C31" s="2" t="str">
        <f>IF(OR(半径长度!C31="",半径长度!C31=0),"",(木质部长度!C31)/半径长度!C31)</f>
        <v/>
      </c>
      <c r="D31" s="2" t="str">
        <f>IF(OR(半径长度!D31="",半径长度!D31=0),"",(木质部长度!D31)/半径长度!D31)</f>
        <v/>
      </c>
      <c r="E31" s="2" t="str">
        <f t="shared" si="0"/>
        <v/>
      </c>
    </row>
    <row r="32" spans="1:5" x14ac:dyDescent="0.15">
      <c r="A32" s="2">
        <v>31</v>
      </c>
      <c r="B32" s="2" t="str">
        <f>IF(OR(半径长度!B32="",半径长度!B32=0),"",(木质部长度!B32)/半径长度!B32)</f>
        <v/>
      </c>
      <c r="C32" s="2" t="str">
        <f>IF(OR(半径长度!C32="",半径长度!C32=0),"",(木质部长度!C32)/半径长度!C32)</f>
        <v/>
      </c>
      <c r="D32" s="2" t="str">
        <f>IF(OR(半径长度!D32="",半径长度!D32=0),"",(木质部长度!D32)/半径长度!D32)</f>
        <v/>
      </c>
      <c r="E32" s="2" t="str">
        <f t="shared" si="0"/>
        <v/>
      </c>
    </row>
    <row r="33" spans="1:5" x14ac:dyDescent="0.15">
      <c r="A33" s="2">
        <v>32</v>
      </c>
      <c r="B33" s="2" t="str">
        <f>IF(OR(半径长度!B33="",半径长度!B33=0),"",(木质部长度!B33)/半径长度!B33)</f>
        <v/>
      </c>
      <c r="C33" s="2" t="str">
        <f>IF(OR(半径长度!C33="",半径长度!C33=0),"",(木质部长度!C33)/半径长度!C33)</f>
        <v/>
      </c>
      <c r="D33" s="2" t="str">
        <f>IF(OR(半径长度!D33="",半径长度!D33=0),"",(木质部长度!D33)/半径长度!D33)</f>
        <v/>
      </c>
      <c r="E33" s="2" t="str">
        <f t="shared" si="0"/>
        <v/>
      </c>
    </row>
    <row r="34" spans="1:5" x14ac:dyDescent="0.15">
      <c r="A34" s="2">
        <v>33</v>
      </c>
      <c r="B34" s="2" t="str">
        <f>IF(OR(半径长度!B34="",半径长度!B34=0),"",(木质部长度!B34)/半径长度!B34)</f>
        <v/>
      </c>
      <c r="C34" s="2" t="str">
        <f>IF(OR(半径长度!C34="",半径长度!C34=0),"",(木质部长度!C34)/半径长度!C34)</f>
        <v/>
      </c>
      <c r="D34" s="2" t="str">
        <f>IF(OR(半径长度!D34="",半径长度!D34=0),"",(木质部长度!D34)/半径长度!D34)</f>
        <v/>
      </c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 t="str">
        <f>IF(OR(半径长度!B35="",半径长度!B35=0),"",(木质部长度!B35)/半径长度!B35)</f>
        <v/>
      </c>
      <c r="C35" s="2" t="str">
        <f>IF(OR(半径长度!C35="",半径长度!C35=0),"",(木质部长度!C35)/半径长度!C35)</f>
        <v/>
      </c>
      <c r="D35" s="2" t="str">
        <f>IF(OR(半径长度!D35="",半径长度!D35=0),"",(木质部长度!D35)/半径长度!D35)</f>
        <v/>
      </c>
      <c r="E35" s="2" t="str">
        <f t="shared" si="1"/>
        <v/>
      </c>
    </row>
    <row r="36" spans="1:5" x14ac:dyDescent="0.15">
      <c r="A36" s="2">
        <v>35</v>
      </c>
      <c r="B36" s="2" t="str">
        <f>IF(OR(半径长度!B36="",半径长度!B36=0),"",(木质部长度!B36)/半径长度!B36)</f>
        <v/>
      </c>
      <c r="C36" s="2" t="str">
        <f>IF(OR(半径长度!C36="",半径长度!C36=0),"",(木质部长度!C36)/半径长度!C36)</f>
        <v/>
      </c>
      <c r="D36" s="2" t="str">
        <f>IF(OR(半径长度!D36="",半径长度!D36=0),"",(木质部长度!D36)/半径长度!D36)</f>
        <v/>
      </c>
      <c r="E36" s="2" t="str">
        <f t="shared" si="1"/>
        <v/>
      </c>
    </row>
    <row r="37" spans="1:5" x14ac:dyDescent="0.15">
      <c r="A37" s="2">
        <v>36</v>
      </c>
      <c r="B37" s="2" t="str">
        <f>IF(OR(半径长度!B37="",半径长度!B37=0),"",(木质部长度!B37)/半径长度!B37)</f>
        <v/>
      </c>
      <c r="C37" s="2" t="str">
        <f>IF(OR(半径长度!C37="",半径长度!C37=0),"",(木质部长度!C37)/半径长度!C37)</f>
        <v/>
      </c>
      <c r="D37" s="2" t="str">
        <f>IF(OR(半径长度!D37="",半径长度!D37=0),"",(木质部长度!D37)/半径长度!D37)</f>
        <v/>
      </c>
      <c r="E37" s="2" t="str">
        <f t="shared" si="1"/>
        <v/>
      </c>
    </row>
    <row r="38" spans="1:5" x14ac:dyDescent="0.15">
      <c r="A38" s="2">
        <v>37</v>
      </c>
      <c r="B38" s="2" t="str">
        <f>IF(OR(半径长度!B38="",半径长度!B38=0),"",(木质部长度!B38)/半径长度!B38)</f>
        <v/>
      </c>
      <c r="C38" s="2" t="str">
        <f>IF(OR(半径长度!C38="",半径长度!C38=0),"",(木质部长度!C38)/半径长度!C38)</f>
        <v/>
      </c>
      <c r="D38" s="2" t="str">
        <f>IF(OR(半径长度!D38="",半径长度!D38=0),"",(木质部长度!D38)/半径长度!D38)</f>
        <v/>
      </c>
      <c r="E38" s="2" t="str">
        <f t="shared" si="1"/>
        <v/>
      </c>
    </row>
    <row r="39" spans="1:5" x14ac:dyDescent="0.15">
      <c r="A39" s="2">
        <v>38</v>
      </c>
      <c r="B39" s="2" t="str">
        <f>IF(OR(半径长度!B39="",半径长度!B39=0),"",(木质部长度!B39)/半径长度!B39)</f>
        <v/>
      </c>
      <c r="C39" s="2" t="str">
        <f>IF(OR(半径长度!C39="",半径长度!C39=0),"",(木质部长度!C39)/半径长度!C39)</f>
        <v/>
      </c>
      <c r="D39" s="2" t="str">
        <f>IF(OR(半径长度!D39="",半径长度!D39=0),"",(木质部长度!D39)/半径长度!D39)</f>
        <v/>
      </c>
      <c r="E39" s="2" t="str">
        <f t="shared" si="1"/>
        <v/>
      </c>
    </row>
    <row r="40" spans="1:5" x14ac:dyDescent="0.15">
      <c r="A40" s="2">
        <v>39</v>
      </c>
      <c r="B40" s="2" t="str">
        <f>IF(OR(半径长度!B40="",半径长度!B40=0),"",(木质部长度!B40)/半径长度!B40)</f>
        <v/>
      </c>
      <c r="C40" s="2" t="str">
        <f>IF(OR(半径长度!C40="",半径长度!C40=0),"",(木质部长度!C40)/半径长度!C40)</f>
        <v/>
      </c>
      <c r="D40" s="2" t="str">
        <f>IF(OR(半径长度!D40="",半径长度!D40=0),"",(木质部长度!D40)/半径长度!D40)</f>
        <v/>
      </c>
      <c r="E40" s="2" t="str">
        <f t="shared" si="1"/>
        <v/>
      </c>
    </row>
    <row r="41" spans="1:5" x14ac:dyDescent="0.15">
      <c r="A41" s="2">
        <v>40</v>
      </c>
      <c r="B41" s="2" t="str">
        <f>IF(OR(半径长度!B41="",半径长度!B41=0),"",(木质部长度!B41)/半径长度!B41)</f>
        <v/>
      </c>
      <c r="C41" s="2" t="str">
        <f>IF(OR(半径长度!C41="",半径长度!C41=0),"",(木质部长度!C41)/半径长度!C41)</f>
        <v/>
      </c>
      <c r="D41" s="2" t="str">
        <f>IF(OR(半径长度!D41="",半径长度!D41=0),"",(木质部长度!D41)/半径长度!D41)</f>
        <v/>
      </c>
      <c r="E41" s="2" t="str">
        <f t="shared" si="1"/>
        <v/>
      </c>
    </row>
    <row r="42" spans="1:5" x14ac:dyDescent="0.15">
      <c r="A42" s="2">
        <v>41</v>
      </c>
      <c r="B42" s="2" t="str">
        <f>IF(OR(半径长度!B42="",半径长度!B42=0),"",(木质部长度!B42)/半径长度!B42)</f>
        <v/>
      </c>
      <c r="C42" s="2" t="str">
        <f>IF(OR(半径长度!C42="",半径长度!C42=0),"",(木质部长度!C42)/半径长度!C42)</f>
        <v/>
      </c>
      <c r="D42" s="2" t="str">
        <f>IF(OR(半径长度!D42="",半径长度!D42=0),"",(木质部长度!D42)/半径长度!D42)</f>
        <v/>
      </c>
      <c r="E42" s="2" t="str">
        <f t="shared" si="1"/>
        <v/>
      </c>
    </row>
    <row r="43" spans="1:5" x14ac:dyDescent="0.15">
      <c r="A43" s="2">
        <v>42</v>
      </c>
      <c r="B43" s="2" t="str">
        <f>IF(OR(半径长度!B43="",半径长度!B43=0),"",(木质部长度!B43)/半径长度!B43)</f>
        <v/>
      </c>
      <c r="C43" s="2" t="str">
        <f>IF(OR(半径长度!C43="",半径长度!C43=0),"",(木质部长度!C43)/半径长度!C43)</f>
        <v/>
      </c>
      <c r="D43" s="2" t="str">
        <f>IF(OR(半径长度!D43="",半径长度!D43=0),"",(木质部长度!D43)/半径长度!D43)</f>
        <v/>
      </c>
      <c r="E43" s="2" t="str">
        <f t="shared" si="1"/>
        <v/>
      </c>
    </row>
    <row r="44" spans="1:5" x14ac:dyDescent="0.15">
      <c r="A44" s="2">
        <v>43</v>
      </c>
      <c r="B44" s="2" t="str">
        <f>IF(OR(半径长度!B44="",半径长度!B44=0),"",(木质部长度!B44)/半径长度!B44)</f>
        <v/>
      </c>
      <c r="C44" s="2" t="str">
        <f>IF(OR(半径长度!C44="",半径长度!C44=0),"",(木质部长度!C44)/半径长度!C44)</f>
        <v/>
      </c>
      <c r="D44" s="2" t="str">
        <f>IF(OR(半径长度!D44="",半径长度!D44=0),"",(木质部长度!D44)/半径长度!D44)</f>
        <v/>
      </c>
      <c r="E44" s="2" t="str">
        <f t="shared" si="1"/>
        <v/>
      </c>
    </row>
    <row r="45" spans="1:5" x14ac:dyDescent="0.15">
      <c r="A45" s="2">
        <v>44</v>
      </c>
      <c r="B45" s="2" t="str">
        <f>IF(OR(半径长度!B45="",半径长度!B45=0),"",(木质部长度!B45)/半径长度!B45)</f>
        <v/>
      </c>
      <c r="C45" s="2" t="str">
        <f>IF(OR(半径长度!C45="",半径长度!C45=0),"",(木质部长度!C45)/半径长度!C45)</f>
        <v/>
      </c>
      <c r="D45" s="2" t="str">
        <f>IF(OR(半径长度!D45="",半径长度!D45=0),"",(木质部长度!D45)/半径长度!D45)</f>
        <v/>
      </c>
      <c r="E45" s="2" t="str">
        <f t="shared" si="1"/>
        <v/>
      </c>
    </row>
    <row r="46" spans="1:5" x14ac:dyDescent="0.15">
      <c r="A46" s="2">
        <v>45</v>
      </c>
      <c r="B46" s="2" t="str">
        <f>IF(OR(半径长度!B46="",半径长度!B46=0),"",(木质部长度!B46)/半径长度!B46)</f>
        <v/>
      </c>
      <c r="C46" s="2" t="str">
        <f>IF(OR(半径长度!C46="",半径长度!C46=0),"",(木质部长度!C46)/半径长度!C46)</f>
        <v/>
      </c>
      <c r="D46" s="2" t="str">
        <f>IF(OR(半径长度!D46="",半径长度!D46=0),"",(木质部长度!D46)/半径长度!D46)</f>
        <v/>
      </c>
      <c r="E46" s="2" t="str">
        <f t="shared" si="1"/>
        <v/>
      </c>
    </row>
    <row r="47" spans="1:5" x14ac:dyDescent="0.15">
      <c r="A47" s="2">
        <v>46</v>
      </c>
      <c r="B47" s="2" t="str">
        <f>IF(OR(半径长度!B47="",半径长度!B47=0),"",(木质部长度!B47)/半径长度!B47)</f>
        <v/>
      </c>
      <c r="C47" s="2" t="str">
        <f>IF(OR(半径长度!C47="",半径长度!C47=0),"",(木质部长度!C47)/半径长度!C47)</f>
        <v/>
      </c>
      <c r="D47" s="2" t="str">
        <f>IF(OR(半径长度!D47="",半径长度!D47=0),"",(木质部长度!D47)/半径长度!D47)</f>
        <v/>
      </c>
      <c r="E47" s="2" t="str">
        <f t="shared" si="1"/>
        <v/>
      </c>
    </row>
    <row r="48" spans="1:5" x14ac:dyDescent="0.15">
      <c r="A48" s="2">
        <v>47</v>
      </c>
      <c r="B48" s="2" t="str">
        <f>IF(OR(半径长度!B48="",半径长度!B48=0),"",(木质部长度!B48)/半径长度!B48)</f>
        <v/>
      </c>
      <c r="C48" s="2" t="str">
        <f>IF(OR(半径长度!C48="",半径长度!C48=0),"",(木质部长度!C48)/半径长度!C48)</f>
        <v/>
      </c>
      <c r="D48" s="2" t="str">
        <f>IF(OR(半径长度!D48="",半径长度!D48=0),"",(木质部长度!D48)/半径长度!D48)</f>
        <v/>
      </c>
      <c r="E48" s="2" t="str">
        <f t="shared" si="1"/>
        <v/>
      </c>
    </row>
    <row r="49" spans="1:5" x14ac:dyDescent="0.15">
      <c r="A49" s="2">
        <v>48</v>
      </c>
      <c r="B49" s="2" t="str">
        <f>IF(OR(半径长度!B49="",半径长度!B49=0),"",(木质部长度!B49)/半径长度!B49)</f>
        <v/>
      </c>
      <c r="C49" s="2" t="str">
        <f>IF(OR(半径长度!C49="",半径长度!C49=0),"",(木质部长度!C49)/半径长度!C49)</f>
        <v/>
      </c>
      <c r="D49" s="2" t="str">
        <f>IF(OR(半径长度!D49="",半径长度!D49=0),"",(木质部长度!D49)/半径长度!D49)</f>
        <v/>
      </c>
      <c r="E49" s="2" t="str">
        <f t="shared" si="1"/>
        <v/>
      </c>
    </row>
    <row r="50" spans="1:5" x14ac:dyDescent="0.15">
      <c r="A50" s="2">
        <v>49</v>
      </c>
      <c r="B50" s="2" t="str">
        <f>IF(OR(半径长度!B50="",半径长度!B50=0),"",(木质部长度!B50)/半径长度!B50)</f>
        <v/>
      </c>
      <c r="C50" s="2" t="str">
        <f>IF(OR(半径长度!C50="",半径长度!C50=0),"",(木质部长度!C50)/半径长度!C50)</f>
        <v/>
      </c>
      <c r="D50" s="2" t="str">
        <f>IF(OR(半径长度!D50="",半径长度!D50=0),"",(木质部长度!D50)/半径长度!D50)</f>
        <v/>
      </c>
      <c r="E50" s="2" t="str">
        <f t="shared" si="1"/>
        <v/>
      </c>
    </row>
    <row r="51" spans="1:5" x14ac:dyDescent="0.15">
      <c r="A51" s="2">
        <v>50</v>
      </c>
      <c r="B51" s="2" t="str">
        <f>IF(OR(半径长度!B51="",半径长度!B51=0),"",(木质部长度!B51)/半径长度!B51)</f>
        <v/>
      </c>
      <c r="C51" s="2" t="str">
        <f>IF(OR(半径长度!C51="",半径长度!C51=0),"",(木质部长度!C51)/半径长度!C51)</f>
        <v/>
      </c>
      <c r="D51" s="2" t="str">
        <f>IF(OR(半径长度!D51="",半径长度!D51=0),"",(木质部长度!D51)/半径长度!D51)</f>
        <v/>
      </c>
      <c r="E51" s="2" t="str">
        <f t="shared" si="1"/>
        <v/>
      </c>
    </row>
    <row r="52" spans="1:5" x14ac:dyDescent="0.15">
      <c r="A52" s="2">
        <v>51</v>
      </c>
      <c r="B52" s="2" t="str">
        <f>IF(OR(半径长度!B52="",半径长度!B52=0),"",(木质部长度!B52)/半径长度!B52)</f>
        <v/>
      </c>
      <c r="C52" s="2" t="str">
        <f>IF(OR(半径长度!C52="",半径长度!C52=0),"",(木质部长度!C52)/半径长度!C52)</f>
        <v/>
      </c>
      <c r="D52" s="2" t="str">
        <f>IF(OR(半径长度!D52="",半径长度!D52=0),"",(木质部长度!D52)/半径长度!D52)</f>
        <v/>
      </c>
      <c r="E52" s="2" t="str">
        <f t="shared" si="1"/>
        <v/>
      </c>
    </row>
    <row r="53" spans="1:5" x14ac:dyDescent="0.15">
      <c r="A53" s="2">
        <v>52</v>
      </c>
      <c r="B53" s="2" t="str">
        <f>IF(OR(半径长度!B53="",半径长度!B53=0),"",(木质部长度!B53)/半径长度!B53)</f>
        <v/>
      </c>
      <c r="C53" s="2" t="str">
        <f>IF(OR(半径长度!C53="",半径长度!C53=0),"",(木质部长度!C53)/半径长度!C53)</f>
        <v/>
      </c>
      <c r="D53" s="2" t="str">
        <f>IF(OR(半径长度!D53="",半径长度!D53=0),"",(木质部长度!D53)/半径长度!D53)</f>
        <v/>
      </c>
      <c r="E53" s="2" t="str">
        <f t="shared" si="1"/>
        <v/>
      </c>
    </row>
    <row r="54" spans="1:5" x14ac:dyDescent="0.15">
      <c r="A54" s="2">
        <v>53</v>
      </c>
      <c r="B54" s="2" t="str">
        <f>IF(OR(半径长度!B54="",半径长度!B54=0),"",(木质部长度!B54)/半径长度!B54)</f>
        <v/>
      </c>
      <c r="C54" s="2" t="str">
        <f>IF(OR(半径长度!C54="",半径长度!C54=0),"",(木质部长度!C54)/半径长度!C54)</f>
        <v/>
      </c>
      <c r="D54" s="2" t="str">
        <f>IF(OR(半径长度!D54="",半径长度!D54=0),"",(木质部长度!D54)/半径长度!D54)</f>
        <v/>
      </c>
      <c r="E54" s="2" t="str">
        <f t="shared" si="1"/>
        <v/>
      </c>
    </row>
    <row r="55" spans="1:5" x14ac:dyDescent="0.15">
      <c r="A55" s="2">
        <v>54</v>
      </c>
      <c r="B55" s="2" t="str">
        <f>IF(OR(半径长度!B55="",半径长度!B55=0),"",(木质部长度!B55)/半径长度!B55)</f>
        <v/>
      </c>
      <c r="C55" s="2" t="str">
        <f>IF(OR(半径长度!C55="",半径长度!C55=0),"",(木质部长度!C55)/半径长度!C55)</f>
        <v/>
      </c>
      <c r="D55" s="2" t="str">
        <f>IF(OR(半径长度!D55="",半径长度!D55=0),"",(木质部长度!D55)/半径长度!D55)</f>
        <v/>
      </c>
      <c r="E55" s="2" t="str">
        <f t="shared" si="1"/>
        <v/>
      </c>
    </row>
    <row r="56" spans="1:5" x14ac:dyDescent="0.15">
      <c r="A56" s="2">
        <v>55</v>
      </c>
      <c r="B56" s="2" t="str">
        <f>IF(OR(半径长度!B56="",半径长度!B56=0),"",(木质部长度!B56)/半径长度!B56)</f>
        <v/>
      </c>
      <c r="C56" s="2" t="str">
        <f>IF(OR(半径长度!C56="",半径长度!C56=0),"",(木质部长度!C56)/半径长度!C56)</f>
        <v/>
      </c>
      <c r="D56" s="2" t="str">
        <f>IF(OR(半径长度!D56="",半径长度!D56=0),"",(木质部长度!D56)/半径长度!D56)</f>
        <v/>
      </c>
      <c r="E56" s="2" t="str">
        <f t="shared" si="1"/>
        <v/>
      </c>
    </row>
    <row r="57" spans="1:5" x14ac:dyDescent="0.15">
      <c r="A57" s="2">
        <v>56</v>
      </c>
      <c r="B57" s="2" t="str">
        <f>IF(OR(半径长度!B57="",半径长度!B57=0),"",(木质部长度!B57)/半径长度!B57)</f>
        <v/>
      </c>
      <c r="C57" s="2" t="str">
        <f>IF(OR(半径长度!C57="",半径长度!C57=0),"",(木质部长度!C57)/半径长度!C57)</f>
        <v/>
      </c>
      <c r="D57" s="2" t="str">
        <f>IF(OR(半径长度!D57="",半径长度!D57=0),"",(木质部长度!D57)/半径长度!D57)</f>
        <v/>
      </c>
      <c r="E57" s="2" t="str">
        <f t="shared" si="1"/>
        <v/>
      </c>
    </row>
    <row r="58" spans="1:5" x14ac:dyDescent="0.15">
      <c r="A58" s="2">
        <v>57</v>
      </c>
      <c r="B58" s="2" t="str">
        <f>IF(OR(半径长度!B58="",半径长度!B58=0),"",(木质部长度!B58)/半径长度!B58)</f>
        <v/>
      </c>
      <c r="C58" s="2" t="str">
        <f>IF(OR(半径长度!C58="",半径长度!C58=0),"",(木质部长度!C58)/半径长度!C58)</f>
        <v/>
      </c>
      <c r="D58" s="2" t="str">
        <f>IF(OR(半径长度!D58="",半径长度!D58=0),"",(木质部长度!D58)/半径长度!D58)</f>
        <v/>
      </c>
      <c r="E58" s="2" t="str">
        <f t="shared" si="1"/>
        <v/>
      </c>
    </row>
    <row r="59" spans="1:5" x14ac:dyDescent="0.15">
      <c r="A59" s="2">
        <v>58</v>
      </c>
      <c r="B59" s="2" t="str">
        <f>IF(OR(半径长度!B59="",半径长度!B59=0),"",(木质部长度!B59)/半径长度!B59)</f>
        <v/>
      </c>
      <c r="C59" s="2" t="str">
        <f>IF(OR(半径长度!C59="",半径长度!C59=0),"",(木质部长度!C59)/半径长度!C59)</f>
        <v/>
      </c>
      <c r="D59" s="2" t="str">
        <f>IF(OR(半径长度!D59="",半径长度!D59=0),"",(木质部长度!D59)/半径长度!D59)</f>
        <v/>
      </c>
      <c r="E59" s="2" t="str">
        <f t="shared" si="1"/>
        <v/>
      </c>
    </row>
    <row r="60" spans="1:5" x14ac:dyDescent="0.15">
      <c r="A60" s="2">
        <v>59</v>
      </c>
      <c r="B60" s="2" t="str">
        <f>IF(OR(半径长度!B60="",半径长度!B60=0),"",(木质部长度!B60)/半径长度!B60)</f>
        <v/>
      </c>
      <c r="C60" s="2" t="str">
        <f>IF(OR(半径长度!C60="",半径长度!C60=0),"",(木质部长度!C60)/半径长度!C60)</f>
        <v/>
      </c>
      <c r="D60" s="2" t="str">
        <f>IF(OR(半径长度!D60="",半径长度!D60=0),"",(木质部长度!D60)/半径长度!D60)</f>
        <v/>
      </c>
      <c r="E60" s="2" t="str">
        <f t="shared" si="1"/>
        <v/>
      </c>
    </row>
    <row r="61" spans="1:5" x14ac:dyDescent="0.15">
      <c r="A61" s="2">
        <v>60</v>
      </c>
      <c r="B61" s="2" t="str">
        <f>IF(OR(半径长度!B61="",半径长度!B61=0),"",(木质部长度!B61)/半径长度!B61)</f>
        <v/>
      </c>
      <c r="C61" s="2" t="str">
        <f>IF(OR(半径长度!C61="",半径长度!C61=0),"",(木质部长度!C61)/半径长度!C61)</f>
        <v/>
      </c>
      <c r="D61" s="2" t="str">
        <f>IF(OR(半径长度!D61="",半径长度!D61=0),"",(木质部长度!D61)/半径长度!D61)</f>
        <v/>
      </c>
      <c r="E61" s="2" t="str">
        <f t="shared" si="1"/>
        <v/>
      </c>
    </row>
    <row r="62" spans="1:5" x14ac:dyDescent="0.15">
      <c r="A62" s="2">
        <v>61</v>
      </c>
      <c r="B62" s="2" t="str">
        <f>IF(OR(半径长度!B62="",半径长度!B62=0),"",(木质部长度!B62)/半径长度!B62)</f>
        <v/>
      </c>
      <c r="C62" s="2" t="str">
        <f>IF(OR(半径长度!C62="",半径长度!C62=0),"",(木质部长度!C62)/半径长度!C62)</f>
        <v/>
      </c>
      <c r="D62" s="2" t="str">
        <f>IF(OR(半径长度!D62="",半径长度!D62=0),"",(木质部长度!D62)/半径长度!D62)</f>
        <v/>
      </c>
      <c r="E62" s="2" t="str">
        <f t="shared" si="1"/>
        <v/>
      </c>
    </row>
    <row r="63" spans="1:5" x14ac:dyDescent="0.15">
      <c r="A63" s="2">
        <v>62</v>
      </c>
      <c r="B63" s="2" t="str">
        <f>IF(OR(半径长度!B63="",半径长度!B63=0),"",(木质部长度!B63)/半径长度!B63)</f>
        <v/>
      </c>
      <c r="C63" s="2" t="str">
        <f>IF(OR(半径长度!C63="",半径长度!C63=0),"",(木质部长度!C63)/半径长度!C63)</f>
        <v/>
      </c>
      <c r="D63" s="2" t="str">
        <f>IF(OR(半径长度!D63="",半径长度!D63=0),"",(木质部长度!D63)/半径长度!D63)</f>
        <v/>
      </c>
      <c r="E63" s="2" t="str">
        <f t="shared" si="1"/>
        <v/>
      </c>
    </row>
    <row r="64" spans="1:5" x14ac:dyDescent="0.15">
      <c r="A64" s="2">
        <v>63</v>
      </c>
      <c r="B64" s="2" t="str">
        <f>IF(OR(半径长度!B64="",半径长度!B64=0),"",(木质部长度!B64)/半径长度!B64)</f>
        <v/>
      </c>
      <c r="C64" s="2" t="str">
        <f>IF(OR(半径长度!C64="",半径长度!C64=0),"",(木质部长度!C64)/半径长度!C64)</f>
        <v/>
      </c>
      <c r="D64" s="2" t="str">
        <f>IF(OR(半径长度!D64="",半径长度!D64=0),"",(木质部长度!D64)/半径长度!D64)</f>
        <v/>
      </c>
      <c r="E64" s="2" t="str">
        <f t="shared" si="1"/>
        <v/>
      </c>
    </row>
  </sheetData>
  <mergeCells count="1">
    <mergeCell ref="J7:N16"/>
  </mergeCells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D12" sqref="D12"/>
    </sheetView>
  </sheetViews>
  <sheetFormatPr defaultColWidth="9" defaultRowHeight="13.5" x14ac:dyDescent="0.15"/>
  <cols>
    <col min="1" max="8" width="15.625" style="1" customWidth="1"/>
    <col min="9" max="10" width="33.125" style="1" customWidth="1"/>
    <col min="11" max="11" width="9" style="1" customWidth="1"/>
    <col min="12" max="16384" width="9" style="1"/>
  </cols>
  <sheetData>
    <row r="1" s="1" customFormat="1" x14ac:dyDescent="0.15"/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4"/>
  <sheetViews>
    <sheetView workbookViewId="0">
      <selection activeCell="E1" sqref="E1:E13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33</v>
      </c>
      <c r="C1" s="2" t="s">
        <v>34</v>
      </c>
      <c r="D1" s="2" t="s">
        <v>35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4"/>
  <sheetViews>
    <sheetView workbookViewId="0">
      <selection activeCell="F5" sqref="F5:G10"/>
    </sheetView>
  </sheetViews>
  <sheetFormatPr defaultColWidth="9" defaultRowHeight="13.5" x14ac:dyDescent="0.15"/>
  <cols>
    <col min="1" max="1" width="9" style="1" customWidth="1"/>
    <col min="2" max="4" width="18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36</v>
      </c>
      <c r="C1" s="2" t="s">
        <v>37</v>
      </c>
      <c r="D1" s="2" t="s">
        <v>38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4"/>
  <sheetViews>
    <sheetView workbookViewId="0">
      <selection sqref="A1:XFD1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39</v>
      </c>
      <c r="C1" s="2" t="s">
        <v>40</v>
      </c>
      <c r="D1" s="2" t="s">
        <v>41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4"/>
  <sheetViews>
    <sheetView workbookViewId="0">
      <selection activeCell="E1" sqref="E1:E23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4" x14ac:dyDescent="0.15">
      <c r="A1" s="2" t="s">
        <v>0</v>
      </c>
      <c r="B1" s="2" t="s">
        <v>42</v>
      </c>
      <c r="C1" s="2" t="s">
        <v>43</v>
      </c>
      <c r="D1" s="2" t="s">
        <v>44</v>
      </c>
    </row>
    <row r="2" spans="1:4" x14ac:dyDescent="0.15">
      <c r="A2" s="2">
        <v>1</v>
      </c>
      <c r="B2" s="2"/>
      <c r="C2" s="2"/>
      <c r="D2" s="2"/>
    </row>
    <row r="3" spans="1:4" x14ac:dyDescent="0.15">
      <c r="A3" s="2">
        <v>2</v>
      </c>
      <c r="B3" s="2"/>
      <c r="C3" s="2"/>
      <c r="D3" s="2"/>
    </row>
    <row r="4" spans="1:4" x14ac:dyDescent="0.15">
      <c r="A4" s="2">
        <v>3</v>
      </c>
      <c r="B4" s="2"/>
      <c r="C4" s="2"/>
      <c r="D4" s="2"/>
    </row>
    <row r="5" spans="1:4" x14ac:dyDescent="0.15">
      <c r="A5" s="2">
        <v>4</v>
      </c>
      <c r="B5" s="2"/>
      <c r="C5" s="2"/>
      <c r="D5" s="2"/>
    </row>
    <row r="6" spans="1:4" x14ac:dyDescent="0.15">
      <c r="A6" s="2">
        <v>5</v>
      </c>
      <c r="B6" s="2"/>
      <c r="C6" s="2"/>
      <c r="D6" s="2"/>
    </row>
    <row r="7" spans="1:4" x14ac:dyDescent="0.15">
      <c r="A7" s="2">
        <v>6</v>
      </c>
      <c r="B7" s="2"/>
      <c r="C7" s="2"/>
      <c r="D7" s="2"/>
    </row>
    <row r="8" spans="1:4" x14ac:dyDescent="0.15">
      <c r="A8" s="2">
        <v>7</v>
      </c>
      <c r="B8" s="2"/>
      <c r="C8" s="2"/>
      <c r="D8" s="2"/>
    </row>
    <row r="9" spans="1:4" x14ac:dyDescent="0.15">
      <c r="A9" s="2">
        <v>8</v>
      </c>
      <c r="B9" s="2"/>
      <c r="C9" s="2"/>
      <c r="D9" s="2"/>
    </row>
    <row r="10" spans="1:4" x14ac:dyDescent="0.15">
      <c r="A10" s="2">
        <v>9</v>
      </c>
      <c r="B10" s="2"/>
      <c r="C10" s="2"/>
      <c r="D10" s="2"/>
    </row>
    <row r="11" spans="1:4" x14ac:dyDescent="0.15">
      <c r="A11" s="2">
        <v>10</v>
      </c>
      <c r="B11" s="2"/>
      <c r="C11" s="2"/>
      <c r="D11" s="2"/>
    </row>
    <row r="12" spans="1:4" x14ac:dyDescent="0.15">
      <c r="A12" s="2">
        <v>11</v>
      </c>
      <c r="B12" s="2"/>
      <c r="C12" s="2"/>
      <c r="D12" s="2"/>
    </row>
    <row r="13" spans="1:4" x14ac:dyDescent="0.15">
      <c r="A13" s="2">
        <v>12</v>
      </c>
      <c r="B13" s="2"/>
      <c r="C13" s="2"/>
      <c r="D13" s="2"/>
    </row>
    <row r="14" spans="1:4" x14ac:dyDescent="0.15">
      <c r="A14" s="2">
        <v>13</v>
      </c>
      <c r="B14" s="2"/>
      <c r="C14" s="2"/>
      <c r="D14" s="2"/>
    </row>
    <row r="15" spans="1:4" x14ac:dyDescent="0.15">
      <c r="A15" s="2">
        <v>14</v>
      </c>
      <c r="B15" s="2"/>
      <c r="C15" s="2"/>
      <c r="D15" s="2"/>
    </row>
    <row r="16" spans="1:4" x14ac:dyDescent="0.15">
      <c r="A16" s="2">
        <v>15</v>
      </c>
      <c r="B16" s="2"/>
      <c r="C16" s="2"/>
      <c r="D16" s="2"/>
    </row>
    <row r="17" spans="1:4" x14ac:dyDescent="0.15">
      <c r="A17" s="2">
        <v>16</v>
      </c>
      <c r="B17" s="2"/>
      <c r="C17" s="2"/>
      <c r="D17" s="2"/>
    </row>
    <row r="18" spans="1:4" x14ac:dyDescent="0.15">
      <c r="A18" s="2">
        <v>17</v>
      </c>
      <c r="B18" s="2"/>
      <c r="C18" s="2"/>
      <c r="D18" s="2"/>
    </row>
    <row r="19" spans="1:4" x14ac:dyDescent="0.15">
      <c r="A19" s="2">
        <v>18</v>
      </c>
      <c r="B19" s="2"/>
      <c r="C19" s="2"/>
      <c r="D19" s="2"/>
    </row>
    <row r="20" spans="1:4" x14ac:dyDescent="0.15">
      <c r="A20" s="2">
        <v>19</v>
      </c>
      <c r="B20" s="2"/>
      <c r="C20" s="2"/>
      <c r="D20" s="2"/>
    </row>
    <row r="21" spans="1:4" x14ac:dyDescent="0.15">
      <c r="A21" s="2">
        <v>20</v>
      </c>
      <c r="B21" s="2"/>
      <c r="C21" s="2"/>
      <c r="D21" s="2"/>
    </row>
    <row r="22" spans="1:4" x14ac:dyDescent="0.15">
      <c r="A22" s="2">
        <v>21</v>
      </c>
      <c r="B22" s="2"/>
      <c r="C22" s="2"/>
      <c r="D22" s="2"/>
    </row>
    <row r="23" spans="1:4" x14ac:dyDescent="0.15">
      <c r="A23" s="2">
        <v>22</v>
      </c>
      <c r="B23" s="2"/>
      <c r="C23" s="2"/>
      <c r="D23" s="2"/>
    </row>
    <row r="24" spans="1:4" x14ac:dyDescent="0.15">
      <c r="A24" s="2">
        <v>23</v>
      </c>
      <c r="B24" s="2"/>
      <c r="C24" s="2"/>
      <c r="D24" s="2"/>
    </row>
    <row r="25" spans="1:4" x14ac:dyDescent="0.15">
      <c r="A25" s="2">
        <v>24</v>
      </c>
      <c r="B25" s="2"/>
      <c r="C25" s="2"/>
      <c r="D25" s="2"/>
    </row>
    <row r="26" spans="1:4" x14ac:dyDescent="0.15">
      <c r="A26" s="2">
        <v>25</v>
      </c>
      <c r="B26" s="2"/>
      <c r="C26" s="2"/>
      <c r="D26" s="2"/>
    </row>
    <row r="27" spans="1:4" x14ac:dyDescent="0.15">
      <c r="A27" s="2">
        <v>26</v>
      </c>
      <c r="B27" s="2"/>
      <c r="C27" s="2"/>
      <c r="D27" s="2"/>
    </row>
    <row r="28" spans="1:4" x14ac:dyDescent="0.15">
      <c r="A28" s="2">
        <v>27</v>
      </c>
      <c r="B28" s="2"/>
      <c r="C28" s="2"/>
      <c r="D28" s="2"/>
    </row>
    <row r="29" spans="1:4" x14ac:dyDescent="0.15">
      <c r="A29" s="2">
        <v>28</v>
      </c>
      <c r="B29" s="2"/>
      <c r="C29" s="2"/>
      <c r="D29" s="2"/>
    </row>
    <row r="30" spans="1:4" x14ac:dyDescent="0.15">
      <c r="A30" s="2">
        <v>29</v>
      </c>
      <c r="B30" s="2"/>
      <c r="C30" s="2"/>
      <c r="D30" s="2"/>
    </row>
    <row r="31" spans="1:4" x14ac:dyDescent="0.15">
      <c r="A31" s="2">
        <v>30</v>
      </c>
      <c r="B31" s="2"/>
      <c r="C31" s="2"/>
      <c r="D31" s="2"/>
    </row>
    <row r="32" spans="1: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64"/>
  <sheetViews>
    <sheetView workbookViewId="0">
      <selection activeCell="L30" sqref="L30"/>
    </sheetView>
  </sheetViews>
  <sheetFormatPr defaultColWidth="9" defaultRowHeight="13.5" x14ac:dyDescent="0.15"/>
  <cols>
    <col min="1" max="1" width="9" style="1" customWidth="1"/>
    <col min="2" max="4" width="15.62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45</v>
      </c>
      <c r="C1" s="2" t="s">
        <v>46</v>
      </c>
      <c r="D1" s="2" t="s">
        <v>47</v>
      </c>
    </row>
    <row r="2" spans="1:14" x14ac:dyDescent="0.15">
      <c r="A2" s="2">
        <v>1</v>
      </c>
      <c r="B2" s="2"/>
      <c r="C2" s="2"/>
      <c r="D2" s="2"/>
    </row>
    <row r="3" spans="1:14" x14ac:dyDescent="0.15">
      <c r="A3" s="2">
        <v>2</v>
      </c>
      <c r="B3" s="2"/>
      <c r="C3" s="2"/>
      <c r="D3" s="2"/>
    </row>
    <row r="4" spans="1:14" x14ac:dyDescent="0.15">
      <c r="A4" s="2">
        <v>3</v>
      </c>
      <c r="B4" s="2"/>
      <c r="C4" s="2"/>
      <c r="D4" s="2"/>
    </row>
    <row r="5" spans="1:14" x14ac:dyDescent="0.15">
      <c r="A5" s="2">
        <v>4</v>
      </c>
      <c r="B5" s="2"/>
      <c r="C5" s="2"/>
      <c r="D5" s="2"/>
    </row>
    <row r="6" spans="1:14" x14ac:dyDescent="0.15">
      <c r="A6" s="2">
        <v>5</v>
      </c>
      <c r="B6" s="2"/>
      <c r="C6" s="2"/>
      <c r="D6" s="2"/>
    </row>
    <row r="7" spans="1:14" x14ac:dyDescent="0.15">
      <c r="A7" s="2">
        <v>6</v>
      </c>
      <c r="B7" s="2"/>
      <c r="C7" s="2"/>
      <c r="D7" s="2"/>
    </row>
    <row r="8" spans="1:14" x14ac:dyDescent="0.15">
      <c r="A8" s="2">
        <v>7</v>
      </c>
      <c r="B8" s="2"/>
      <c r="C8" s="2"/>
      <c r="D8" s="2"/>
    </row>
    <row r="9" spans="1:14" x14ac:dyDescent="0.15">
      <c r="A9" s="2">
        <v>8</v>
      </c>
      <c r="B9" s="2"/>
      <c r="C9" s="2"/>
      <c r="D9" s="2"/>
      <c r="I9" s="3" t="s">
        <v>48</v>
      </c>
      <c r="J9" s="4"/>
      <c r="K9" s="4"/>
      <c r="L9" s="4"/>
      <c r="M9" s="4"/>
      <c r="N9" s="4"/>
    </row>
    <row r="10" spans="1:14" x14ac:dyDescent="0.15">
      <c r="A10" s="2">
        <v>9</v>
      </c>
      <c r="B10" s="2"/>
      <c r="C10" s="2"/>
      <c r="D10" s="2"/>
      <c r="I10" s="4"/>
      <c r="J10" s="4"/>
      <c r="K10" s="4"/>
      <c r="L10" s="4"/>
      <c r="M10" s="4"/>
      <c r="N10" s="4"/>
    </row>
    <row r="11" spans="1:14" x14ac:dyDescent="0.15">
      <c r="A11" s="2">
        <v>10</v>
      </c>
      <c r="B11" s="2"/>
      <c r="C11" s="2"/>
      <c r="D11" s="2"/>
      <c r="I11" s="4"/>
      <c r="J11" s="4"/>
      <c r="K11" s="4"/>
      <c r="L11" s="4"/>
      <c r="M11" s="4"/>
      <c r="N11" s="4"/>
    </row>
    <row r="12" spans="1:14" x14ac:dyDescent="0.15">
      <c r="A12" s="2">
        <v>11</v>
      </c>
      <c r="B12" s="2"/>
      <c r="C12" s="2"/>
      <c r="D12" s="2"/>
      <c r="I12" s="4"/>
      <c r="J12" s="4"/>
      <c r="K12" s="4"/>
      <c r="L12" s="4"/>
      <c r="M12" s="4"/>
      <c r="N12" s="4"/>
    </row>
    <row r="13" spans="1:14" x14ac:dyDescent="0.15">
      <c r="A13" s="2">
        <v>12</v>
      </c>
      <c r="B13" s="2"/>
      <c r="C13" s="2"/>
      <c r="D13" s="2"/>
      <c r="I13" s="4"/>
      <c r="J13" s="4"/>
      <c r="K13" s="4"/>
      <c r="L13" s="4"/>
      <c r="M13" s="4"/>
      <c r="N13" s="4"/>
    </row>
    <row r="14" spans="1:14" x14ac:dyDescent="0.15">
      <c r="A14" s="2">
        <v>13</v>
      </c>
      <c r="B14" s="2"/>
      <c r="C14" s="2"/>
      <c r="D14" s="2"/>
      <c r="I14" s="4"/>
      <c r="J14" s="4"/>
      <c r="K14" s="4"/>
      <c r="L14" s="4"/>
      <c r="M14" s="4"/>
      <c r="N14" s="4"/>
    </row>
    <row r="15" spans="1:14" x14ac:dyDescent="0.15">
      <c r="A15" s="2">
        <v>14</v>
      </c>
      <c r="B15" s="2"/>
      <c r="C15" s="2"/>
      <c r="D15" s="2"/>
      <c r="I15" s="4"/>
      <c r="J15" s="4"/>
      <c r="K15" s="4"/>
      <c r="L15" s="4"/>
      <c r="M15" s="4"/>
      <c r="N15" s="4"/>
    </row>
    <row r="16" spans="1:14" x14ac:dyDescent="0.15">
      <c r="A16" s="2">
        <v>15</v>
      </c>
      <c r="B16" s="2"/>
      <c r="C16" s="2"/>
      <c r="D16" s="2"/>
      <c r="I16" s="4"/>
      <c r="J16" s="4"/>
      <c r="K16" s="4"/>
      <c r="L16" s="4"/>
      <c r="M16" s="4"/>
      <c r="N16" s="4"/>
    </row>
    <row r="17" spans="1:14" x14ac:dyDescent="0.15">
      <c r="A17" s="2">
        <v>16</v>
      </c>
      <c r="B17" s="2"/>
      <c r="C17" s="2"/>
      <c r="D17" s="2"/>
      <c r="I17" s="4"/>
      <c r="J17" s="4"/>
      <c r="K17" s="4"/>
      <c r="L17" s="4"/>
      <c r="M17" s="4"/>
      <c r="N17" s="4"/>
    </row>
    <row r="18" spans="1:14" x14ac:dyDescent="0.15">
      <c r="A18" s="2">
        <v>17</v>
      </c>
      <c r="B18" s="2"/>
      <c r="C18" s="2"/>
      <c r="D18" s="2"/>
      <c r="I18" s="4"/>
      <c r="J18" s="4"/>
      <c r="K18" s="4"/>
      <c r="L18" s="4"/>
      <c r="M18" s="4"/>
      <c r="N18" s="4"/>
    </row>
    <row r="19" spans="1:14" x14ac:dyDescent="0.15">
      <c r="A19" s="2">
        <v>18</v>
      </c>
      <c r="B19" s="2"/>
      <c r="C19" s="2"/>
      <c r="D19" s="2"/>
      <c r="I19" s="4"/>
      <c r="J19" s="4"/>
      <c r="K19" s="4"/>
      <c r="L19" s="4"/>
      <c r="M19" s="4"/>
      <c r="N19" s="4"/>
    </row>
    <row r="20" spans="1:14" x14ac:dyDescent="0.15">
      <c r="A20" s="2">
        <v>19</v>
      </c>
      <c r="B20" s="2"/>
      <c r="C20" s="2"/>
      <c r="D20" s="2"/>
      <c r="I20" s="4"/>
      <c r="J20" s="4"/>
      <c r="K20" s="4"/>
      <c r="L20" s="4"/>
      <c r="M20" s="4"/>
      <c r="N20" s="4"/>
    </row>
    <row r="21" spans="1:14" x14ac:dyDescent="0.15">
      <c r="A21" s="2">
        <v>20</v>
      </c>
      <c r="B21" s="2"/>
      <c r="C21" s="2"/>
      <c r="D21" s="2"/>
      <c r="I21" s="4"/>
      <c r="J21" s="4"/>
      <c r="K21" s="4"/>
      <c r="L21" s="4"/>
      <c r="M21" s="4"/>
      <c r="N21" s="4"/>
    </row>
    <row r="22" spans="1:14" x14ac:dyDescent="0.15">
      <c r="A22" s="2">
        <v>21</v>
      </c>
      <c r="B22" s="2"/>
      <c r="C22" s="2"/>
      <c r="D22" s="2"/>
      <c r="I22" s="4"/>
      <c r="J22" s="4"/>
      <c r="K22" s="4"/>
      <c r="L22" s="4"/>
      <c r="M22" s="4"/>
      <c r="N22" s="4"/>
    </row>
    <row r="23" spans="1:14" x14ac:dyDescent="0.15">
      <c r="A23" s="2">
        <v>22</v>
      </c>
      <c r="B23" s="2"/>
      <c r="C23" s="2"/>
      <c r="D23" s="2"/>
    </row>
    <row r="24" spans="1:14" x14ac:dyDescent="0.15">
      <c r="A24" s="2">
        <v>23</v>
      </c>
      <c r="B24" s="2"/>
      <c r="C24" s="2"/>
      <c r="D24" s="2"/>
    </row>
    <row r="25" spans="1:14" x14ac:dyDescent="0.15">
      <c r="A25" s="2">
        <v>24</v>
      </c>
      <c r="B25" s="2"/>
      <c r="C25" s="2"/>
      <c r="D25" s="2"/>
    </row>
    <row r="26" spans="1:14" x14ac:dyDescent="0.15">
      <c r="A26" s="2">
        <v>25</v>
      </c>
      <c r="B26" s="2"/>
      <c r="C26" s="2"/>
      <c r="D26" s="2"/>
    </row>
    <row r="27" spans="1:14" x14ac:dyDescent="0.15">
      <c r="A27" s="2">
        <v>26</v>
      </c>
      <c r="B27" s="2"/>
      <c r="C27" s="2"/>
      <c r="D27" s="2"/>
    </row>
    <row r="28" spans="1:14" x14ac:dyDescent="0.15">
      <c r="A28" s="2">
        <v>27</v>
      </c>
      <c r="B28" s="2"/>
      <c r="C28" s="2"/>
      <c r="D28" s="2"/>
    </row>
    <row r="29" spans="1:14" x14ac:dyDescent="0.15">
      <c r="A29" s="2">
        <v>28</v>
      </c>
      <c r="B29" s="2"/>
      <c r="C29" s="2"/>
      <c r="D29" s="2"/>
    </row>
    <row r="30" spans="1:14" x14ac:dyDescent="0.15">
      <c r="A30" s="2">
        <v>29</v>
      </c>
      <c r="B30" s="2"/>
      <c r="C30" s="2"/>
      <c r="D30" s="2"/>
    </row>
    <row r="31" spans="1:14" x14ac:dyDescent="0.15">
      <c r="A31" s="2">
        <v>30</v>
      </c>
      <c r="B31" s="2"/>
      <c r="C31" s="2"/>
      <c r="D31" s="2"/>
    </row>
    <row r="32" spans="1:14" x14ac:dyDescent="0.15">
      <c r="A32" s="2">
        <v>31</v>
      </c>
      <c r="B32" s="2"/>
      <c r="C32" s="2"/>
      <c r="D32" s="2"/>
    </row>
    <row r="33" spans="1:4" x14ac:dyDescent="0.15">
      <c r="A33" s="2">
        <v>32</v>
      </c>
      <c r="B33" s="2"/>
      <c r="C33" s="2"/>
      <c r="D33" s="2"/>
    </row>
    <row r="34" spans="1:4" x14ac:dyDescent="0.15">
      <c r="A34" s="2">
        <v>33</v>
      </c>
      <c r="B34" s="2"/>
      <c r="C34" s="2"/>
      <c r="D34" s="2"/>
    </row>
    <row r="35" spans="1:4" x14ac:dyDescent="0.15">
      <c r="A35" s="2">
        <v>34</v>
      </c>
      <c r="B35" s="2"/>
      <c r="C35" s="2"/>
      <c r="D35" s="2"/>
    </row>
    <row r="36" spans="1:4" x14ac:dyDescent="0.15">
      <c r="A36" s="2">
        <v>35</v>
      </c>
      <c r="B36" s="2"/>
      <c r="C36" s="2"/>
      <c r="D36" s="2"/>
    </row>
    <row r="37" spans="1:4" x14ac:dyDescent="0.15">
      <c r="A37" s="2">
        <v>36</v>
      </c>
      <c r="B37" s="2"/>
      <c r="C37" s="2"/>
      <c r="D37" s="2"/>
    </row>
    <row r="38" spans="1:4" x14ac:dyDescent="0.15">
      <c r="A38" s="2">
        <v>37</v>
      </c>
      <c r="B38" s="2"/>
      <c r="C38" s="2"/>
      <c r="D38" s="2"/>
    </row>
    <row r="39" spans="1:4" x14ac:dyDescent="0.15">
      <c r="A39" s="2">
        <v>38</v>
      </c>
      <c r="B39" s="2"/>
      <c r="C39" s="2"/>
      <c r="D39" s="2"/>
    </row>
    <row r="40" spans="1:4" x14ac:dyDescent="0.15">
      <c r="A40" s="2">
        <v>39</v>
      </c>
      <c r="B40" s="2"/>
      <c r="C40" s="2"/>
      <c r="D40" s="2"/>
    </row>
    <row r="41" spans="1:4" x14ac:dyDescent="0.15">
      <c r="A41" s="2">
        <v>40</v>
      </c>
      <c r="B41" s="2"/>
      <c r="C41" s="2"/>
      <c r="D41" s="2"/>
    </row>
    <row r="42" spans="1:4" x14ac:dyDescent="0.15">
      <c r="A42" s="2">
        <v>41</v>
      </c>
      <c r="B42" s="2"/>
      <c r="C42" s="2"/>
      <c r="D42" s="2"/>
    </row>
    <row r="43" spans="1:4" x14ac:dyDescent="0.15">
      <c r="A43" s="2">
        <v>42</v>
      </c>
      <c r="B43" s="2"/>
      <c r="C43" s="2"/>
      <c r="D43" s="2"/>
    </row>
    <row r="44" spans="1:4" x14ac:dyDescent="0.15">
      <c r="A44" s="2">
        <v>43</v>
      </c>
      <c r="B44" s="2"/>
      <c r="C44" s="2"/>
      <c r="D44" s="2"/>
    </row>
    <row r="45" spans="1:4" x14ac:dyDescent="0.15">
      <c r="A45" s="2">
        <v>44</v>
      </c>
      <c r="B45" s="2"/>
      <c r="C45" s="2"/>
      <c r="D45" s="2"/>
    </row>
    <row r="46" spans="1:4" x14ac:dyDescent="0.15">
      <c r="A46" s="2">
        <v>45</v>
      </c>
      <c r="B46" s="2"/>
      <c r="C46" s="2"/>
      <c r="D46" s="2"/>
    </row>
    <row r="47" spans="1:4" x14ac:dyDescent="0.15">
      <c r="A47" s="2">
        <v>46</v>
      </c>
      <c r="B47" s="2"/>
      <c r="C47" s="2"/>
      <c r="D47" s="2"/>
    </row>
    <row r="48" spans="1:4" x14ac:dyDescent="0.15">
      <c r="A48" s="2">
        <v>47</v>
      </c>
      <c r="B48" s="2"/>
      <c r="C48" s="2"/>
      <c r="D48" s="2"/>
    </row>
    <row r="49" spans="1:4" x14ac:dyDescent="0.15">
      <c r="A49" s="2">
        <v>48</v>
      </c>
      <c r="B49" s="2"/>
      <c r="C49" s="2"/>
      <c r="D49" s="2"/>
    </row>
    <row r="50" spans="1:4" x14ac:dyDescent="0.15">
      <c r="A50" s="2">
        <v>49</v>
      </c>
      <c r="B50" s="2"/>
      <c r="C50" s="2"/>
      <c r="D50" s="2"/>
    </row>
    <row r="51" spans="1:4" x14ac:dyDescent="0.15">
      <c r="A51" s="2">
        <v>50</v>
      </c>
      <c r="B51" s="2"/>
      <c r="C51" s="2"/>
      <c r="D51" s="2"/>
    </row>
    <row r="52" spans="1:4" x14ac:dyDescent="0.15">
      <c r="A52" s="2">
        <v>51</v>
      </c>
      <c r="B52" s="2"/>
      <c r="C52" s="2"/>
      <c r="D52" s="2"/>
    </row>
    <row r="53" spans="1:4" x14ac:dyDescent="0.15">
      <c r="A53" s="2">
        <v>52</v>
      </c>
      <c r="B53" s="2"/>
      <c r="C53" s="2"/>
      <c r="D53" s="2"/>
    </row>
    <row r="54" spans="1:4" x14ac:dyDescent="0.15">
      <c r="A54" s="2">
        <v>53</v>
      </c>
      <c r="B54" s="2"/>
      <c r="C54" s="2"/>
      <c r="D54" s="2"/>
    </row>
    <row r="55" spans="1:4" x14ac:dyDescent="0.15">
      <c r="A55" s="2">
        <v>54</v>
      </c>
      <c r="B55" s="2"/>
      <c r="C55" s="2"/>
      <c r="D55" s="2"/>
    </row>
    <row r="56" spans="1:4" x14ac:dyDescent="0.15">
      <c r="A56" s="2">
        <v>55</v>
      </c>
      <c r="B56" s="2"/>
      <c r="C56" s="2"/>
      <c r="D56" s="2"/>
    </row>
    <row r="57" spans="1:4" x14ac:dyDescent="0.15">
      <c r="A57" s="2">
        <v>56</v>
      </c>
      <c r="B57" s="2"/>
      <c r="C57" s="2"/>
      <c r="D57" s="2"/>
    </row>
    <row r="58" spans="1:4" x14ac:dyDescent="0.15">
      <c r="A58" s="2">
        <v>57</v>
      </c>
      <c r="B58" s="2"/>
      <c r="C58" s="2"/>
      <c r="D58" s="2"/>
    </row>
    <row r="59" spans="1:4" x14ac:dyDescent="0.15">
      <c r="A59" s="2">
        <v>58</v>
      </c>
      <c r="B59" s="2"/>
      <c r="C59" s="2"/>
      <c r="D59" s="2"/>
    </row>
    <row r="60" spans="1:4" x14ac:dyDescent="0.15">
      <c r="A60" s="2">
        <v>59</v>
      </c>
      <c r="B60" s="2"/>
      <c r="C60" s="2"/>
      <c r="D60" s="2"/>
    </row>
    <row r="61" spans="1:4" x14ac:dyDescent="0.15">
      <c r="A61" s="2">
        <v>60</v>
      </c>
      <c r="B61" s="2"/>
      <c r="C61" s="2"/>
      <c r="D61" s="2"/>
    </row>
    <row r="62" spans="1:4" x14ac:dyDescent="0.15">
      <c r="A62" s="2">
        <v>61</v>
      </c>
      <c r="B62" s="2"/>
      <c r="C62" s="2"/>
      <c r="D62" s="2"/>
    </row>
    <row r="63" spans="1:4" x14ac:dyDescent="0.15">
      <c r="A63" s="2">
        <v>62</v>
      </c>
      <c r="B63" s="2"/>
      <c r="C63" s="2"/>
      <c r="D63" s="2"/>
    </row>
    <row r="64" spans="1:4" x14ac:dyDescent="0.15">
      <c r="A64" s="2">
        <v>63</v>
      </c>
      <c r="B64" s="2"/>
      <c r="C64" s="2"/>
      <c r="D64" s="2"/>
    </row>
  </sheetData>
  <mergeCells count="1">
    <mergeCell ref="I9:N22"/>
  </mergeCells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64"/>
  <sheetViews>
    <sheetView workbookViewId="0">
      <selection activeCell="J35" sqref="J35"/>
    </sheetView>
  </sheetViews>
  <sheetFormatPr defaultColWidth="9" defaultRowHeight="13.5" x14ac:dyDescent="0.15"/>
  <cols>
    <col min="1" max="1" width="9" style="1" customWidth="1"/>
    <col min="2" max="4" width="20.62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49</v>
      </c>
      <c r="C1" s="2" t="s">
        <v>50</v>
      </c>
      <c r="D1" s="2" t="s">
        <v>51</v>
      </c>
      <c r="E1" s="2" t="s">
        <v>23</v>
      </c>
    </row>
    <row r="2" spans="1:14" x14ac:dyDescent="0.15">
      <c r="A2" s="2">
        <v>1</v>
      </c>
      <c r="B2" s="2" t="str">
        <f>IF(OR(局部木质部面积!B2="",局部木质部面积!B2=0),"",(导管总数量!B2*1000000)/局部木质部面积!B2)</f>
        <v/>
      </c>
      <c r="C2" s="2" t="str">
        <f>IF(OR(局部木质部面积!C2="",局部木质部面积!C2=0),"",(导管总数量!C2*1000000)/局部木质部面积!C2)</f>
        <v/>
      </c>
      <c r="D2" s="2" t="str">
        <f>IF(OR(局部木质部面积!D2="",局部木质部面积!D2=0),"",(导管总数量!D2*1000000)/局部木质部面积!D2)</f>
        <v/>
      </c>
      <c r="E2" s="2" t="str">
        <f t="shared" ref="E2:E33" si="0">IF(COUNT(B2:D2)=0,"",AVERAGE(B2:D2))</f>
        <v/>
      </c>
    </row>
    <row r="3" spans="1:14" x14ac:dyDescent="0.15">
      <c r="A3" s="2">
        <v>2</v>
      </c>
      <c r="B3" s="2" t="str">
        <f>IF(OR(局部木质部面积!B3="",局部木质部面积!B3=0),"",(导管总数量!B3*1000000)/局部木质部面积!B3)</f>
        <v/>
      </c>
      <c r="C3" s="2" t="str">
        <f>IF(OR(局部木质部面积!C3="",局部木质部面积!C3=0),"",(导管总数量!C3*1000000)/局部木质部面积!C3)</f>
        <v/>
      </c>
      <c r="D3" s="2" t="str">
        <f>IF(OR(局部木质部面积!D3="",局部木质部面积!D3=0),"",(导管总数量!D3*1000000)/局部木质部面积!D3)</f>
        <v/>
      </c>
      <c r="E3" s="2" t="str">
        <f t="shared" si="0"/>
        <v/>
      </c>
    </row>
    <row r="4" spans="1:14" x14ac:dyDescent="0.15">
      <c r="A4" s="2">
        <v>3</v>
      </c>
      <c r="B4" s="2" t="str">
        <f>IF(OR(局部木质部面积!B4="",局部木质部面积!B4=0),"",(导管总数量!B4*1000000)/局部木质部面积!B4)</f>
        <v/>
      </c>
      <c r="C4" s="2" t="str">
        <f>IF(OR(局部木质部面积!C4="",局部木质部面积!C4=0),"",(导管总数量!C4*1000000)/局部木质部面积!C4)</f>
        <v/>
      </c>
      <c r="D4" s="2" t="str">
        <f>IF(OR(局部木质部面积!D4="",局部木质部面积!D4=0),"",(导管总数量!D4*1000000)/局部木质部面积!D4)</f>
        <v/>
      </c>
      <c r="E4" s="2" t="str">
        <f t="shared" si="0"/>
        <v/>
      </c>
    </row>
    <row r="5" spans="1:14" x14ac:dyDescent="0.15">
      <c r="A5" s="2">
        <v>4</v>
      </c>
      <c r="B5" s="2" t="str">
        <f>IF(OR(局部木质部面积!B5="",局部木质部面积!B5=0),"",(导管总数量!B5*1000000)/局部木质部面积!B5)</f>
        <v/>
      </c>
      <c r="C5" s="2" t="str">
        <f>IF(OR(局部木质部面积!C5="",局部木质部面积!C5=0),"",(导管总数量!C5*1000000)/局部木质部面积!C5)</f>
        <v/>
      </c>
      <c r="D5" s="2" t="str">
        <f>IF(OR(局部木质部面积!D5="",局部木质部面积!D5=0),"",(导管总数量!D5*1000000)/局部木质部面积!D5)</f>
        <v/>
      </c>
      <c r="E5" s="2" t="str">
        <f t="shared" si="0"/>
        <v/>
      </c>
    </row>
    <row r="6" spans="1:14" x14ac:dyDescent="0.15">
      <c r="A6" s="2">
        <v>5</v>
      </c>
      <c r="B6" s="2" t="str">
        <f>IF(OR(局部木质部面积!B6="",局部木质部面积!B6=0),"",(导管总数量!B6*1000000)/局部木质部面积!B6)</f>
        <v/>
      </c>
      <c r="C6" s="2" t="str">
        <f>IF(OR(局部木质部面积!C6="",局部木质部面积!C6=0),"",(导管总数量!C6*1000000)/局部木质部面积!C6)</f>
        <v/>
      </c>
      <c r="D6" s="2" t="str">
        <f>IF(OR(局部木质部面积!D6="",局部木质部面积!D6=0),"",(导管总数量!D6*1000000)/局部木质部面积!D6)</f>
        <v/>
      </c>
      <c r="E6" s="2" t="str">
        <f t="shared" si="0"/>
        <v/>
      </c>
    </row>
    <row r="7" spans="1:14" x14ac:dyDescent="0.15">
      <c r="A7" s="2">
        <v>6</v>
      </c>
      <c r="B7" s="2" t="str">
        <f>IF(OR(局部木质部面积!B7="",局部木质部面积!B7=0),"",(导管总数量!B7*1000000)/局部木质部面积!B7)</f>
        <v/>
      </c>
      <c r="C7" s="2" t="str">
        <f>IF(OR(局部木质部面积!C7="",局部木质部面积!C7=0),"",(导管总数量!C7*1000000)/局部木质部面积!C7)</f>
        <v/>
      </c>
      <c r="D7" s="2" t="str">
        <f>IF(OR(局部木质部面积!D7="",局部木质部面积!D7=0),"",(导管总数量!D7*1000000)/局部木质部面积!D7)</f>
        <v/>
      </c>
      <c r="E7" s="2" t="str">
        <f t="shared" si="0"/>
        <v/>
      </c>
      <c r="J7" s="3" t="s">
        <v>52</v>
      </c>
      <c r="K7" s="4"/>
      <c r="L7" s="4"/>
      <c r="M7" s="4"/>
      <c r="N7" s="4"/>
    </row>
    <row r="8" spans="1:14" x14ac:dyDescent="0.15">
      <c r="A8" s="2">
        <v>7</v>
      </c>
      <c r="B8" s="2" t="str">
        <f>IF(OR(局部木质部面积!B8="",局部木质部面积!B8=0),"",(导管总数量!B8*1000000)/局部木质部面积!B8)</f>
        <v/>
      </c>
      <c r="C8" s="2" t="str">
        <f>IF(OR(局部木质部面积!C8="",局部木质部面积!C8=0),"",(导管总数量!C8*1000000)/局部木质部面积!C8)</f>
        <v/>
      </c>
      <c r="D8" s="2" t="str">
        <f>IF(OR(局部木质部面积!D8="",局部木质部面积!D8=0),"",(导管总数量!D8*1000000)/局部木质部面积!D8)</f>
        <v/>
      </c>
      <c r="E8" s="2" t="str">
        <f t="shared" si="0"/>
        <v/>
      </c>
      <c r="J8" s="4"/>
      <c r="K8" s="4"/>
      <c r="L8" s="4"/>
      <c r="M8" s="4"/>
      <c r="N8" s="4"/>
    </row>
    <row r="9" spans="1:14" x14ac:dyDescent="0.15">
      <c r="A9" s="2">
        <v>8</v>
      </c>
      <c r="B9" s="2" t="str">
        <f>IF(OR(局部木质部面积!B9="",局部木质部面积!B9=0),"",(导管总数量!B9*1000000)/局部木质部面积!B9)</f>
        <v/>
      </c>
      <c r="C9" s="2" t="str">
        <f>IF(OR(局部木质部面积!C9="",局部木质部面积!C9=0),"",(导管总数量!C9*1000000)/局部木质部面积!C9)</f>
        <v/>
      </c>
      <c r="D9" s="2" t="str">
        <f>IF(OR(局部木质部面积!D9="",局部木质部面积!D9=0),"",(导管总数量!D9*1000000)/局部木质部面积!D9)</f>
        <v/>
      </c>
      <c r="E9" s="2" t="str">
        <f t="shared" si="0"/>
        <v/>
      </c>
      <c r="J9" s="4"/>
      <c r="K9" s="4"/>
      <c r="L9" s="4"/>
      <c r="M9" s="4"/>
      <c r="N9" s="4"/>
    </row>
    <row r="10" spans="1:14" x14ac:dyDescent="0.15">
      <c r="A10" s="2">
        <v>9</v>
      </c>
      <c r="B10" s="2" t="str">
        <f>IF(OR(局部木质部面积!B10="",局部木质部面积!B10=0),"",(导管总数量!B10*1000000)/局部木质部面积!B10)</f>
        <v/>
      </c>
      <c r="C10" s="2" t="str">
        <f>IF(OR(局部木质部面积!C10="",局部木质部面积!C10=0),"",(导管总数量!C10*1000000)/局部木质部面积!C10)</f>
        <v/>
      </c>
      <c r="D10" s="2" t="str">
        <f>IF(OR(局部木质部面积!D10="",局部木质部面积!D10=0),"",(导管总数量!D10*1000000)/局部木质部面积!D10)</f>
        <v/>
      </c>
      <c r="E10" s="2" t="str">
        <f t="shared" si="0"/>
        <v/>
      </c>
      <c r="J10" s="4"/>
      <c r="K10" s="4"/>
      <c r="L10" s="4"/>
      <c r="M10" s="4"/>
      <c r="N10" s="4"/>
    </row>
    <row r="11" spans="1:14" x14ac:dyDescent="0.15">
      <c r="A11" s="2">
        <v>10</v>
      </c>
      <c r="B11" s="2" t="str">
        <f>IF(OR(局部木质部面积!B11="",局部木质部面积!B11=0),"",(导管总数量!B11*1000000)/局部木质部面积!B11)</f>
        <v/>
      </c>
      <c r="C11" s="2" t="str">
        <f>IF(OR(局部木质部面积!C11="",局部木质部面积!C11=0),"",(导管总数量!C11*1000000)/局部木质部面积!C11)</f>
        <v/>
      </c>
      <c r="D11" s="2" t="str">
        <f>IF(OR(局部木质部面积!D11="",局部木质部面积!D11=0),"",(导管总数量!D11*1000000)/局部木质部面积!D11)</f>
        <v/>
      </c>
      <c r="E11" s="2" t="str">
        <f t="shared" si="0"/>
        <v/>
      </c>
      <c r="J11" s="4"/>
      <c r="K11" s="4"/>
      <c r="L11" s="4"/>
      <c r="M11" s="4"/>
      <c r="N11" s="4"/>
    </row>
    <row r="12" spans="1:14" x14ac:dyDescent="0.15">
      <c r="A12" s="2">
        <v>11</v>
      </c>
      <c r="B12" s="2" t="str">
        <f>IF(OR(局部木质部面积!B12="",局部木质部面积!B12=0),"",(导管总数量!B12*1000000)/局部木质部面积!B12)</f>
        <v/>
      </c>
      <c r="C12" s="2" t="str">
        <f>IF(OR(局部木质部面积!C12="",局部木质部面积!C12=0),"",(导管总数量!C12*1000000)/局部木质部面积!C12)</f>
        <v/>
      </c>
      <c r="D12" s="2" t="str">
        <f>IF(OR(局部木质部面积!D12="",局部木质部面积!D12=0),"",(导管总数量!D12*1000000)/局部木质部面积!D12)</f>
        <v/>
      </c>
      <c r="E12" s="2" t="str">
        <f t="shared" si="0"/>
        <v/>
      </c>
      <c r="J12" s="4"/>
      <c r="K12" s="4"/>
      <c r="L12" s="4"/>
      <c r="M12" s="4"/>
      <c r="N12" s="4"/>
    </row>
    <row r="13" spans="1:14" x14ac:dyDescent="0.15">
      <c r="A13" s="2">
        <v>12</v>
      </c>
      <c r="B13" s="2" t="str">
        <f>IF(OR(局部木质部面积!B13="",局部木质部面积!B13=0),"",(导管总数量!B13*1000000)/局部木质部面积!B13)</f>
        <v/>
      </c>
      <c r="C13" s="2" t="str">
        <f>IF(OR(局部木质部面积!C13="",局部木质部面积!C13=0),"",(导管总数量!C13*1000000)/局部木质部面积!C13)</f>
        <v/>
      </c>
      <c r="D13" s="2" t="str">
        <f>IF(OR(局部木质部面积!D13="",局部木质部面积!D13=0),"",(导管总数量!D13*1000000)/局部木质部面积!D13)</f>
        <v/>
      </c>
      <c r="E13" s="2" t="str">
        <f t="shared" si="0"/>
        <v/>
      </c>
      <c r="J13" s="4"/>
      <c r="K13" s="4"/>
      <c r="L13" s="4"/>
      <c r="M13" s="4"/>
      <c r="N13" s="4"/>
    </row>
    <row r="14" spans="1:14" x14ac:dyDescent="0.15">
      <c r="A14" s="2">
        <v>13</v>
      </c>
      <c r="B14" s="2" t="str">
        <f>IF(OR(局部木质部面积!B14="",局部木质部面积!B14=0),"",(导管总数量!B14*1000000)/局部木质部面积!B14)</f>
        <v/>
      </c>
      <c r="C14" s="2" t="str">
        <f>IF(OR(局部木质部面积!C14="",局部木质部面积!C14=0),"",(导管总数量!C14*1000000)/局部木质部面积!C14)</f>
        <v/>
      </c>
      <c r="D14" s="2" t="str">
        <f>IF(OR(局部木质部面积!D14="",局部木质部面积!D14=0),"",(导管总数量!D14*1000000)/局部木质部面积!D14)</f>
        <v/>
      </c>
      <c r="E14" s="2" t="str">
        <f t="shared" si="0"/>
        <v/>
      </c>
      <c r="J14" s="4"/>
      <c r="K14" s="4"/>
      <c r="L14" s="4"/>
      <c r="M14" s="4"/>
      <c r="N14" s="4"/>
    </row>
    <row r="15" spans="1:14" x14ac:dyDescent="0.15">
      <c r="A15" s="2">
        <v>14</v>
      </c>
      <c r="B15" s="2" t="str">
        <f>IF(OR(局部木质部面积!B15="",局部木质部面积!B15=0),"",(导管总数量!B15*1000000)/局部木质部面积!B15)</f>
        <v/>
      </c>
      <c r="C15" s="2" t="str">
        <f>IF(OR(局部木质部面积!C15="",局部木质部面积!C15=0),"",(导管总数量!C15*1000000)/局部木质部面积!C15)</f>
        <v/>
      </c>
      <c r="D15" s="2" t="str">
        <f>IF(OR(局部木质部面积!D15="",局部木质部面积!D15=0),"",(导管总数量!D15*1000000)/局部木质部面积!D15)</f>
        <v/>
      </c>
      <c r="E15" s="2" t="str">
        <f t="shared" si="0"/>
        <v/>
      </c>
      <c r="J15" s="4"/>
      <c r="K15" s="4"/>
      <c r="L15" s="4"/>
      <c r="M15" s="4"/>
      <c r="N15" s="4"/>
    </row>
    <row r="16" spans="1:14" x14ac:dyDescent="0.15">
      <c r="A16" s="2">
        <v>15</v>
      </c>
      <c r="B16" s="2" t="str">
        <f>IF(OR(局部木质部面积!B16="",局部木质部面积!B16=0),"",(导管总数量!B16*1000000)/局部木质部面积!B16)</f>
        <v/>
      </c>
      <c r="C16" s="2" t="str">
        <f>IF(OR(局部木质部面积!C16="",局部木质部面积!C16=0),"",(导管总数量!C16*1000000)/局部木质部面积!C16)</f>
        <v/>
      </c>
      <c r="D16" s="2" t="str">
        <f>IF(OR(局部木质部面积!D16="",局部木质部面积!D16=0),"",(导管总数量!D16*1000000)/局部木质部面积!D16)</f>
        <v/>
      </c>
      <c r="E16" s="2" t="str">
        <f t="shared" si="0"/>
        <v/>
      </c>
      <c r="J16" s="4"/>
      <c r="K16" s="4"/>
      <c r="L16" s="4"/>
      <c r="M16" s="4"/>
      <c r="N16" s="4"/>
    </row>
    <row r="17" spans="1:14" x14ac:dyDescent="0.15">
      <c r="A17" s="2">
        <v>16</v>
      </c>
      <c r="B17" s="2" t="str">
        <f>IF(OR(局部木质部面积!B17="",局部木质部面积!B17=0),"",(导管总数量!B17*1000000)/局部木质部面积!B17)</f>
        <v/>
      </c>
      <c r="C17" s="2" t="str">
        <f>IF(OR(局部木质部面积!C17="",局部木质部面积!C17=0),"",(导管总数量!C17*1000000)/局部木质部面积!C17)</f>
        <v/>
      </c>
      <c r="D17" s="2" t="str">
        <f>IF(OR(局部木质部面积!D17="",局部木质部面积!D17=0),"",(导管总数量!D17*1000000)/局部木质部面积!D17)</f>
        <v/>
      </c>
      <c r="E17" s="2" t="str">
        <f t="shared" si="0"/>
        <v/>
      </c>
    </row>
    <row r="18" spans="1:14" x14ac:dyDescent="0.15">
      <c r="A18" s="2">
        <v>17</v>
      </c>
      <c r="B18" s="2" t="str">
        <f>IF(OR(局部木质部面积!B18="",局部木质部面积!B18=0),"",(导管总数量!B18*1000000)/局部木质部面积!B18)</f>
        <v/>
      </c>
      <c r="C18" s="2" t="str">
        <f>IF(OR(局部木质部面积!C18="",局部木质部面积!C18=0),"",(导管总数量!C18*1000000)/局部木质部面积!C18)</f>
        <v/>
      </c>
      <c r="D18" s="2" t="str">
        <f>IF(OR(局部木质部面积!D18="",局部木质部面积!D18=0),"",(导管总数量!D18*1000000)/局部木质部面积!D18)</f>
        <v/>
      </c>
      <c r="E18" s="2" t="str">
        <f t="shared" si="0"/>
        <v/>
      </c>
    </row>
    <row r="19" spans="1:14" x14ac:dyDescent="0.15">
      <c r="A19" s="2">
        <v>18</v>
      </c>
      <c r="B19" s="2" t="str">
        <f>IF(OR(局部木质部面积!B19="",局部木质部面积!B19=0),"",(导管总数量!B19*1000000)/局部木质部面积!B19)</f>
        <v/>
      </c>
      <c r="C19" s="2" t="str">
        <f>IF(OR(局部木质部面积!C19="",局部木质部面积!C19=0),"",(导管总数量!C19*1000000)/局部木质部面积!C19)</f>
        <v/>
      </c>
      <c r="D19" s="2" t="str">
        <f>IF(OR(局部木质部面积!D19="",局部木质部面积!D19=0),"",(导管总数量!D19*1000000)/局部木质部面积!D19)</f>
        <v/>
      </c>
      <c r="E19" s="2" t="str">
        <f t="shared" si="0"/>
        <v/>
      </c>
      <c r="J19" s="4" t="s">
        <v>53</v>
      </c>
      <c r="K19" s="4"/>
      <c r="L19" s="4"/>
      <c r="M19" s="4"/>
      <c r="N19" s="4"/>
    </row>
    <row r="20" spans="1:14" x14ac:dyDescent="0.15">
      <c r="A20" s="2">
        <v>19</v>
      </c>
      <c r="B20" s="2" t="str">
        <f>IF(OR(局部木质部面积!B20="",局部木质部面积!B20=0),"",(导管总数量!B20*1000000)/局部木质部面积!B20)</f>
        <v/>
      </c>
      <c r="C20" s="2" t="str">
        <f>IF(OR(局部木质部面积!C20="",局部木质部面积!C20=0),"",(导管总数量!C20*1000000)/局部木质部面积!C20)</f>
        <v/>
      </c>
      <c r="D20" s="2" t="str">
        <f>IF(OR(局部木质部面积!D20="",局部木质部面积!D20=0),"",(导管总数量!D20*1000000)/局部木质部面积!D20)</f>
        <v/>
      </c>
      <c r="E20" s="2" t="str">
        <f t="shared" si="0"/>
        <v/>
      </c>
      <c r="J20" s="4"/>
      <c r="K20" s="4"/>
      <c r="L20" s="4"/>
      <c r="M20" s="4"/>
      <c r="N20" s="4"/>
    </row>
    <row r="21" spans="1:14" x14ac:dyDescent="0.15">
      <c r="A21" s="2">
        <v>20</v>
      </c>
      <c r="B21" s="2" t="str">
        <f>IF(OR(局部木质部面积!B21="",局部木质部面积!B21=0),"",(导管总数量!B21*1000000)/局部木质部面积!B21)</f>
        <v/>
      </c>
      <c r="C21" s="2" t="str">
        <f>IF(OR(局部木质部面积!C21="",局部木质部面积!C21=0),"",(导管总数量!C21*1000000)/局部木质部面积!C21)</f>
        <v/>
      </c>
      <c r="D21" s="2" t="str">
        <f>IF(OR(局部木质部面积!D21="",局部木质部面积!D21=0),"",(导管总数量!D21*1000000)/局部木质部面积!D21)</f>
        <v/>
      </c>
      <c r="E21" s="2" t="str">
        <f t="shared" si="0"/>
        <v/>
      </c>
      <c r="J21" s="4"/>
      <c r="K21" s="4"/>
      <c r="L21" s="4"/>
      <c r="M21" s="4"/>
      <c r="N21" s="4"/>
    </row>
    <row r="22" spans="1:14" x14ac:dyDescent="0.15">
      <c r="A22" s="2">
        <v>21</v>
      </c>
      <c r="B22" s="2" t="str">
        <f>IF(OR(局部木质部面积!B22="",局部木质部面积!B22=0),"",(导管总数量!B22*1000000)/局部木质部面积!B22)</f>
        <v/>
      </c>
      <c r="C22" s="2" t="str">
        <f>IF(OR(局部木质部面积!C22="",局部木质部面积!C22=0),"",(导管总数量!C22*1000000)/局部木质部面积!C22)</f>
        <v/>
      </c>
      <c r="D22" s="2" t="str">
        <f>IF(OR(局部木质部面积!D22="",局部木质部面积!D22=0),"",(导管总数量!D22*1000000)/局部木质部面积!D22)</f>
        <v/>
      </c>
      <c r="E22" s="2" t="str">
        <f t="shared" si="0"/>
        <v/>
      </c>
    </row>
    <row r="23" spans="1:14" x14ac:dyDescent="0.15">
      <c r="A23" s="2">
        <v>22</v>
      </c>
      <c r="B23" s="2" t="str">
        <f>IF(OR(局部木质部面积!B23="",局部木质部面积!B23=0),"",(导管总数量!B23*1000000)/局部木质部面积!B23)</f>
        <v/>
      </c>
      <c r="C23" s="2" t="str">
        <f>IF(OR(局部木质部面积!C23="",局部木质部面积!C23=0),"",(导管总数量!C23*1000000)/局部木质部面积!C23)</f>
        <v/>
      </c>
      <c r="D23" s="2" t="str">
        <f>IF(OR(局部木质部面积!D23="",局部木质部面积!D23=0),"",(导管总数量!D23*1000000)/局部木质部面积!D23)</f>
        <v/>
      </c>
      <c r="E23" s="2" t="str">
        <f t="shared" si="0"/>
        <v/>
      </c>
      <c r="J23" s="5" t="s">
        <v>54</v>
      </c>
      <c r="K23" s="4"/>
      <c r="L23" s="4"/>
      <c r="M23" s="4"/>
      <c r="N23" s="4"/>
    </row>
    <row r="24" spans="1:14" x14ac:dyDescent="0.15">
      <c r="A24" s="2">
        <v>23</v>
      </c>
      <c r="B24" s="2" t="str">
        <f>IF(OR(局部木质部面积!B24="",局部木质部面积!B24=0),"",(导管总数量!B24*1000000)/局部木质部面积!B24)</f>
        <v/>
      </c>
      <c r="C24" s="2" t="str">
        <f>IF(OR(局部木质部面积!C24="",局部木质部面积!C24=0),"",(导管总数量!C24*1000000)/局部木质部面积!C24)</f>
        <v/>
      </c>
      <c r="D24" s="2" t="str">
        <f>IF(OR(局部木质部面积!D24="",局部木质部面积!D24=0),"",(导管总数量!D24*1000000)/局部木质部面积!D24)</f>
        <v/>
      </c>
      <c r="E24" s="2" t="str">
        <f t="shared" si="0"/>
        <v/>
      </c>
      <c r="J24" s="4"/>
      <c r="K24" s="4"/>
      <c r="L24" s="4"/>
      <c r="M24" s="4"/>
      <c r="N24" s="4"/>
    </row>
    <row r="25" spans="1:14" x14ac:dyDescent="0.15">
      <c r="A25" s="2">
        <v>24</v>
      </c>
      <c r="B25" s="2" t="str">
        <f>IF(OR(局部木质部面积!B25="",局部木质部面积!B25=0),"",(导管总数量!B25*1000000)/局部木质部面积!B25)</f>
        <v/>
      </c>
      <c r="C25" s="2" t="str">
        <f>IF(OR(局部木质部面积!C25="",局部木质部面积!C25=0),"",(导管总数量!C25*1000000)/局部木质部面积!C25)</f>
        <v/>
      </c>
      <c r="D25" s="2" t="str">
        <f>IF(OR(局部木质部面积!D25="",局部木质部面积!D25=0),"",(导管总数量!D25*1000000)/局部木质部面积!D25)</f>
        <v/>
      </c>
      <c r="E25" s="2" t="str">
        <f t="shared" si="0"/>
        <v/>
      </c>
      <c r="J25" s="4"/>
      <c r="K25" s="4"/>
      <c r="L25" s="4"/>
      <c r="M25" s="4"/>
      <c r="N25" s="4"/>
    </row>
    <row r="26" spans="1:14" x14ac:dyDescent="0.15">
      <c r="A26" s="2">
        <v>25</v>
      </c>
      <c r="B26" s="2" t="str">
        <f>IF(OR(局部木质部面积!B26="",局部木质部面积!B26=0),"",(导管总数量!B26*1000000)/局部木质部面积!B26)</f>
        <v/>
      </c>
      <c r="C26" s="2" t="str">
        <f>IF(OR(局部木质部面积!C26="",局部木质部面积!C26=0),"",(导管总数量!C26*1000000)/局部木质部面积!C26)</f>
        <v/>
      </c>
      <c r="D26" s="2" t="str">
        <f>IF(OR(局部木质部面积!D26="",局部木质部面积!D26=0),"",(导管总数量!D26*1000000)/局部木质部面积!D26)</f>
        <v/>
      </c>
      <c r="E26" s="2" t="str">
        <f t="shared" si="0"/>
        <v/>
      </c>
      <c r="J26" s="4"/>
      <c r="K26" s="4"/>
      <c r="L26" s="4"/>
      <c r="M26" s="4"/>
      <c r="N26" s="4"/>
    </row>
    <row r="27" spans="1:14" x14ac:dyDescent="0.15">
      <c r="A27" s="2">
        <v>26</v>
      </c>
      <c r="B27" s="2" t="str">
        <f>IF(OR(局部木质部面积!B27="",局部木质部面积!B27=0),"",(导管总数量!B27*1000000)/局部木质部面积!B27)</f>
        <v/>
      </c>
      <c r="C27" s="2" t="str">
        <f>IF(OR(局部木质部面积!C27="",局部木质部面积!C27=0),"",(导管总数量!C27*1000000)/局部木质部面积!C27)</f>
        <v/>
      </c>
      <c r="D27" s="2" t="str">
        <f>IF(OR(局部木质部面积!D27="",局部木质部面积!D27=0),"",(导管总数量!D27*1000000)/局部木质部面积!D27)</f>
        <v/>
      </c>
      <c r="E27" s="2" t="str">
        <f t="shared" si="0"/>
        <v/>
      </c>
    </row>
    <row r="28" spans="1:14" x14ac:dyDescent="0.15">
      <c r="A28" s="2">
        <v>27</v>
      </c>
      <c r="B28" s="2" t="str">
        <f>IF(OR(局部木质部面积!B28="",局部木质部面积!B28=0),"",(导管总数量!B28*1000000)/局部木质部面积!B28)</f>
        <v/>
      </c>
      <c r="C28" s="2" t="str">
        <f>IF(OR(局部木质部面积!C28="",局部木质部面积!C28=0),"",(导管总数量!C28*1000000)/局部木质部面积!C28)</f>
        <v/>
      </c>
      <c r="D28" s="2" t="str">
        <f>IF(OR(局部木质部面积!D28="",局部木质部面积!D28=0),"",(导管总数量!D28*1000000)/局部木质部面积!D28)</f>
        <v/>
      </c>
      <c r="E28" s="2" t="str">
        <f t="shared" si="0"/>
        <v/>
      </c>
    </row>
    <row r="29" spans="1:14" x14ac:dyDescent="0.15">
      <c r="A29" s="2">
        <v>28</v>
      </c>
      <c r="B29" s="2" t="str">
        <f>IF(OR(局部木质部面积!B29="",局部木质部面积!B29=0),"",(导管总数量!B29*1000000)/局部木质部面积!B29)</f>
        <v/>
      </c>
      <c r="C29" s="2" t="str">
        <f>IF(OR(局部木质部面积!C29="",局部木质部面积!C29=0),"",(导管总数量!C29*1000000)/局部木质部面积!C29)</f>
        <v/>
      </c>
      <c r="D29" s="2" t="str">
        <f>IF(OR(局部木质部面积!D29="",局部木质部面积!D29=0),"",(导管总数量!D29*1000000)/局部木质部面积!D29)</f>
        <v/>
      </c>
      <c r="E29" s="2" t="str">
        <f t="shared" si="0"/>
        <v/>
      </c>
    </row>
    <row r="30" spans="1:14" x14ac:dyDescent="0.15">
      <c r="A30" s="2">
        <v>29</v>
      </c>
      <c r="B30" s="2" t="str">
        <f>IF(OR(局部木质部面积!B30="",局部木质部面积!B30=0),"",(导管总数量!B30*1000000)/局部木质部面积!B30)</f>
        <v/>
      </c>
      <c r="C30" s="2" t="str">
        <f>IF(OR(局部木质部面积!C30="",局部木质部面积!C30=0),"",(导管总数量!C30*1000000)/局部木质部面积!C30)</f>
        <v/>
      </c>
      <c r="D30" s="2" t="str">
        <f>IF(OR(局部木质部面积!D30="",局部木质部面积!D30=0),"",(导管总数量!D30*1000000)/局部木质部面积!D30)</f>
        <v/>
      </c>
      <c r="E30" s="2" t="str">
        <f t="shared" si="0"/>
        <v/>
      </c>
    </row>
    <row r="31" spans="1:14" x14ac:dyDescent="0.15">
      <c r="A31" s="2">
        <v>30</v>
      </c>
      <c r="B31" s="2" t="str">
        <f>IF(OR(局部木质部面积!B31="",局部木质部面积!B31=0),"",(导管总数量!B31*1000000)/局部木质部面积!B31)</f>
        <v/>
      </c>
      <c r="C31" s="2" t="str">
        <f>IF(OR(局部木质部面积!C31="",局部木质部面积!C31=0),"",(导管总数量!C31*1000000)/局部木质部面积!C31)</f>
        <v/>
      </c>
      <c r="D31" s="2" t="str">
        <f>IF(OR(局部木质部面积!D31="",局部木质部面积!D31=0),"",(导管总数量!D31*1000000)/局部木质部面积!D31)</f>
        <v/>
      </c>
      <c r="E31" s="2" t="str">
        <f t="shared" si="0"/>
        <v/>
      </c>
    </row>
    <row r="32" spans="1:14" x14ac:dyDescent="0.15">
      <c r="A32" s="2">
        <v>31</v>
      </c>
      <c r="B32" s="2" t="str">
        <f>IF(OR(局部木质部面积!B32="",局部木质部面积!B32=0),"",(导管总数量!B32*1000000)/局部木质部面积!B32)</f>
        <v/>
      </c>
      <c r="C32" s="2" t="str">
        <f>IF(OR(局部木质部面积!C32="",局部木质部面积!C32=0),"",(导管总数量!C32*1000000)/局部木质部面积!C32)</f>
        <v/>
      </c>
      <c r="D32" s="2" t="str">
        <f>IF(OR(局部木质部面积!D32="",局部木质部面积!D32=0),"",(导管总数量!D32*1000000)/局部木质部面积!D32)</f>
        <v/>
      </c>
      <c r="E32" s="2" t="str">
        <f t="shared" si="0"/>
        <v/>
      </c>
    </row>
    <row r="33" spans="1:5" x14ac:dyDescent="0.15">
      <c r="A33" s="2">
        <v>32</v>
      </c>
      <c r="B33" s="2" t="str">
        <f>IF(OR(局部木质部面积!B33="",局部木质部面积!B33=0),"",(导管总数量!B33*1000000)/局部木质部面积!B33)</f>
        <v/>
      </c>
      <c r="C33" s="2" t="str">
        <f>IF(OR(局部木质部面积!C33="",局部木质部面积!C33=0),"",(导管总数量!C33*1000000)/局部木质部面积!C33)</f>
        <v/>
      </c>
      <c r="D33" s="2" t="str">
        <f>IF(OR(局部木质部面积!D33="",局部木质部面积!D33=0),"",(导管总数量!D33*1000000)/局部木质部面积!D33)</f>
        <v/>
      </c>
      <c r="E33" s="2" t="str">
        <f t="shared" si="0"/>
        <v/>
      </c>
    </row>
    <row r="34" spans="1:5" x14ac:dyDescent="0.15">
      <c r="A34" s="2">
        <v>33</v>
      </c>
      <c r="B34" s="2" t="str">
        <f>IF(OR(局部木质部面积!B34="",局部木质部面积!B34=0),"",(导管总数量!B34*1000000)/局部木质部面积!B34)</f>
        <v/>
      </c>
      <c r="C34" s="2" t="str">
        <f>IF(OR(局部木质部面积!C34="",局部木质部面积!C34=0),"",(导管总数量!C34*1000000)/局部木质部面积!C34)</f>
        <v/>
      </c>
      <c r="D34" s="2" t="str">
        <f>IF(OR(局部木质部面积!D34="",局部木质部面积!D34=0),"",(导管总数量!D34*1000000)/局部木质部面积!D34)</f>
        <v/>
      </c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 t="str">
        <f>IF(OR(局部木质部面积!B35="",局部木质部面积!B35=0),"",(导管总数量!B35*1000000)/局部木质部面积!B35)</f>
        <v/>
      </c>
      <c r="C35" s="2" t="str">
        <f>IF(OR(局部木质部面积!C35="",局部木质部面积!C35=0),"",(导管总数量!C35*1000000)/局部木质部面积!C35)</f>
        <v/>
      </c>
      <c r="D35" s="2" t="str">
        <f>IF(OR(局部木质部面积!D35="",局部木质部面积!D35=0),"",(导管总数量!D35*1000000)/局部木质部面积!D35)</f>
        <v/>
      </c>
      <c r="E35" s="2" t="str">
        <f t="shared" si="1"/>
        <v/>
      </c>
    </row>
    <row r="36" spans="1:5" x14ac:dyDescent="0.15">
      <c r="A36" s="2">
        <v>35</v>
      </c>
      <c r="B36" s="2" t="str">
        <f>IF(OR(局部木质部面积!B36="",局部木质部面积!B36=0),"",(导管总数量!B36*1000000)/局部木质部面积!B36)</f>
        <v/>
      </c>
      <c r="C36" s="2" t="str">
        <f>IF(OR(局部木质部面积!C36="",局部木质部面积!C36=0),"",(导管总数量!C36*1000000)/局部木质部面积!C36)</f>
        <v/>
      </c>
      <c r="D36" s="2" t="str">
        <f>IF(OR(局部木质部面积!D36="",局部木质部面积!D36=0),"",(导管总数量!D36*1000000)/局部木质部面积!D36)</f>
        <v/>
      </c>
      <c r="E36" s="2" t="str">
        <f t="shared" si="1"/>
        <v/>
      </c>
    </row>
    <row r="37" spans="1:5" x14ac:dyDescent="0.15">
      <c r="A37" s="2">
        <v>36</v>
      </c>
      <c r="B37" s="2" t="str">
        <f>IF(OR(局部木质部面积!B37="",局部木质部面积!B37=0),"",(导管总数量!B37*1000000)/局部木质部面积!B37)</f>
        <v/>
      </c>
      <c r="C37" s="2" t="str">
        <f>IF(OR(局部木质部面积!C37="",局部木质部面积!C37=0),"",(导管总数量!C37*1000000)/局部木质部面积!C37)</f>
        <v/>
      </c>
      <c r="D37" s="2" t="str">
        <f>IF(OR(局部木质部面积!D37="",局部木质部面积!D37=0),"",(导管总数量!D37*1000000)/局部木质部面积!D37)</f>
        <v/>
      </c>
      <c r="E37" s="2" t="str">
        <f t="shared" si="1"/>
        <v/>
      </c>
    </row>
    <row r="38" spans="1:5" x14ac:dyDescent="0.15">
      <c r="A38" s="2">
        <v>37</v>
      </c>
      <c r="B38" s="2" t="str">
        <f>IF(OR(局部木质部面积!B38="",局部木质部面积!B38=0),"",(导管总数量!B38*1000000)/局部木质部面积!B38)</f>
        <v/>
      </c>
      <c r="C38" s="2" t="str">
        <f>IF(OR(局部木质部面积!C38="",局部木质部面积!C38=0),"",(导管总数量!C38*1000000)/局部木质部面积!C38)</f>
        <v/>
      </c>
      <c r="D38" s="2" t="str">
        <f>IF(OR(局部木质部面积!D38="",局部木质部面积!D38=0),"",(导管总数量!D38*1000000)/局部木质部面积!D38)</f>
        <v/>
      </c>
      <c r="E38" s="2" t="str">
        <f t="shared" si="1"/>
        <v/>
      </c>
    </row>
    <row r="39" spans="1:5" x14ac:dyDescent="0.15">
      <c r="A39" s="2">
        <v>38</v>
      </c>
      <c r="B39" s="2" t="str">
        <f>IF(OR(局部木质部面积!B39="",局部木质部面积!B39=0),"",(导管总数量!B39*1000000)/局部木质部面积!B39)</f>
        <v/>
      </c>
      <c r="C39" s="2" t="str">
        <f>IF(OR(局部木质部面积!C39="",局部木质部面积!C39=0),"",(导管总数量!C39*1000000)/局部木质部面积!C39)</f>
        <v/>
      </c>
      <c r="D39" s="2" t="str">
        <f>IF(OR(局部木质部面积!D39="",局部木质部面积!D39=0),"",(导管总数量!D39*1000000)/局部木质部面积!D39)</f>
        <v/>
      </c>
      <c r="E39" s="2" t="str">
        <f t="shared" si="1"/>
        <v/>
      </c>
    </row>
    <row r="40" spans="1:5" x14ac:dyDescent="0.15">
      <c r="A40" s="2">
        <v>39</v>
      </c>
      <c r="B40" s="2" t="str">
        <f>IF(OR(局部木质部面积!B40="",局部木质部面积!B40=0),"",(导管总数量!B40*1000000)/局部木质部面积!B40)</f>
        <v/>
      </c>
      <c r="C40" s="2" t="str">
        <f>IF(OR(局部木质部面积!C40="",局部木质部面积!C40=0),"",(导管总数量!C40*1000000)/局部木质部面积!C40)</f>
        <v/>
      </c>
      <c r="D40" s="2" t="str">
        <f>IF(OR(局部木质部面积!D40="",局部木质部面积!D40=0),"",(导管总数量!D40*1000000)/局部木质部面积!D40)</f>
        <v/>
      </c>
      <c r="E40" s="2" t="str">
        <f t="shared" si="1"/>
        <v/>
      </c>
    </row>
    <row r="41" spans="1:5" x14ac:dyDescent="0.15">
      <c r="A41" s="2">
        <v>40</v>
      </c>
      <c r="B41" s="2" t="str">
        <f>IF(OR(局部木质部面积!B41="",局部木质部面积!B41=0),"",(导管总数量!B41*1000000)/局部木质部面积!B41)</f>
        <v/>
      </c>
      <c r="C41" s="2" t="str">
        <f>IF(OR(局部木质部面积!C41="",局部木质部面积!C41=0),"",(导管总数量!C41*1000000)/局部木质部面积!C41)</f>
        <v/>
      </c>
      <c r="D41" s="2" t="str">
        <f>IF(OR(局部木质部面积!D41="",局部木质部面积!D41=0),"",(导管总数量!D41*1000000)/局部木质部面积!D41)</f>
        <v/>
      </c>
      <c r="E41" s="2" t="str">
        <f t="shared" si="1"/>
        <v/>
      </c>
    </row>
    <row r="42" spans="1:5" x14ac:dyDescent="0.15">
      <c r="A42" s="2">
        <v>41</v>
      </c>
      <c r="B42" s="2" t="str">
        <f>IF(OR(局部木质部面积!B42="",局部木质部面积!B42=0),"",(导管总数量!B42*1000000)/局部木质部面积!B42)</f>
        <v/>
      </c>
      <c r="C42" s="2" t="str">
        <f>IF(OR(局部木质部面积!C42="",局部木质部面积!C42=0),"",(导管总数量!C42*1000000)/局部木质部面积!C42)</f>
        <v/>
      </c>
      <c r="D42" s="2" t="str">
        <f>IF(OR(局部木质部面积!D42="",局部木质部面积!D42=0),"",(导管总数量!D42*1000000)/局部木质部面积!D42)</f>
        <v/>
      </c>
      <c r="E42" s="2" t="str">
        <f t="shared" si="1"/>
        <v/>
      </c>
    </row>
    <row r="43" spans="1:5" x14ac:dyDescent="0.15">
      <c r="A43" s="2">
        <v>42</v>
      </c>
      <c r="B43" s="2" t="str">
        <f>IF(OR(局部木质部面积!B43="",局部木质部面积!B43=0),"",(导管总数量!B43*1000000)/局部木质部面积!B43)</f>
        <v/>
      </c>
      <c r="C43" s="2" t="str">
        <f>IF(OR(局部木质部面积!C43="",局部木质部面积!C43=0),"",(导管总数量!C43*1000000)/局部木质部面积!C43)</f>
        <v/>
      </c>
      <c r="D43" s="2" t="str">
        <f>IF(OR(局部木质部面积!D43="",局部木质部面积!D43=0),"",(导管总数量!D43*1000000)/局部木质部面积!D43)</f>
        <v/>
      </c>
      <c r="E43" s="2" t="str">
        <f t="shared" si="1"/>
        <v/>
      </c>
    </row>
    <row r="44" spans="1:5" x14ac:dyDescent="0.15">
      <c r="A44" s="2">
        <v>43</v>
      </c>
      <c r="B44" s="2" t="str">
        <f>IF(OR(局部木质部面积!B44="",局部木质部面积!B44=0),"",(导管总数量!B44*1000000)/局部木质部面积!B44)</f>
        <v/>
      </c>
      <c r="C44" s="2" t="str">
        <f>IF(OR(局部木质部面积!C44="",局部木质部面积!C44=0),"",(导管总数量!C44*1000000)/局部木质部面积!C44)</f>
        <v/>
      </c>
      <c r="D44" s="2" t="str">
        <f>IF(OR(局部木质部面积!D44="",局部木质部面积!D44=0),"",(导管总数量!D44*1000000)/局部木质部面积!D44)</f>
        <v/>
      </c>
      <c r="E44" s="2" t="str">
        <f t="shared" si="1"/>
        <v/>
      </c>
    </row>
    <row r="45" spans="1:5" x14ac:dyDescent="0.15">
      <c r="A45" s="2">
        <v>44</v>
      </c>
      <c r="B45" s="2" t="str">
        <f>IF(OR(局部木质部面积!B45="",局部木质部面积!B45=0),"",(导管总数量!B45*1000000)/局部木质部面积!B45)</f>
        <v/>
      </c>
      <c r="C45" s="2" t="str">
        <f>IF(OR(局部木质部面积!C45="",局部木质部面积!C45=0),"",(导管总数量!C45*1000000)/局部木质部面积!C45)</f>
        <v/>
      </c>
      <c r="D45" s="2" t="str">
        <f>IF(OR(局部木质部面积!D45="",局部木质部面积!D45=0),"",(导管总数量!D45*1000000)/局部木质部面积!D45)</f>
        <v/>
      </c>
      <c r="E45" s="2" t="str">
        <f t="shared" si="1"/>
        <v/>
      </c>
    </row>
    <row r="46" spans="1:5" x14ac:dyDescent="0.15">
      <c r="A46" s="2">
        <v>45</v>
      </c>
      <c r="B46" s="2" t="str">
        <f>IF(OR(局部木质部面积!B46="",局部木质部面积!B46=0),"",(导管总数量!B46*1000000)/局部木质部面积!B46)</f>
        <v/>
      </c>
      <c r="C46" s="2" t="str">
        <f>IF(OR(局部木质部面积!C46="",局部木质部面积!C46=0),"",(导管总数量!C46*1000000)/局部木质部面积!C46)</f>
        <v/>
      </c>
      <c r="D46" s="2" t="str">
        <f>IF(OR(局部木质部面积!D46="",局部木质部面积!D46=0),"",(导管总数量!D46*1000000)/局部木质部面积!D46)</f>
        <v/>
      </c>
      <c r="E46" s="2" t="str">
        <f t="shared" si="1"/>
        <v/>
      </c>
    </row>
    <row r="47" spans="1:5" x14ac:dyDescent="0.15">
      <c r="A47" s="2">
        <v>46</v>
      </c>
      <c r="B47" s="2" t="str">
        <f>IF(OR(局部木质部面积!B47="",局部木质部面积!B47=0),"",(导管总数量!B47*1000000)/局部木质部面积!B47)</f>
        <v/>
      </c>
      <c r="C47" s="2" t="str">
        <f>IF(OR(局部木质部面积!C47="",局部木质部面积!C47=0),"",(导管总数量!C47*1000000)/局部木质部面积!C47)</f>
        <v/>
      </c>
      <c r="D47" s="2" t="str">
        <f>IF(OR(局部木质部面积!D47="",局部木质部面积!D47=0),"",(导管总数量!D47*1000000)/局部木质部面积!D47)</f>
        <v/>
      </c>
      <c r="E47" s="2" t="str">
        <f t="shared" si="1"/>
        <v/>
      </c>
    </row>
    <row r="48" spans="1:5" x14ac:dyDescent="0.15">
      <c r="A48" s="2">
        <v>47</v>
      </c>
      <c r="B48" s="2" t="str">
        <f>IF(OR(局部木质部面积!B48="",局部木质部面积!B48=0),"",(导管总数量!B48*1000000)/局部木质部面积!B48)</f>
        <v/>
      </c>
      <c r="C48" s="2" t="str">
        <f>IF(OR(局部木质部面积!C48="",局部木质部面积!C48=0),"",(导管总数量!C48*1000000)/局部木质部面积!C48)</f>
        <v/>
      </c>
      <c r="D48" s="2" t="str">
        <f>IF(OR(局部木质部面积!D48="",局部木质部面积!D48=0),"",(导管总数量!D48*1000000)/局部木质部面积!D48)</f>
        <v/>
      </c>
      <c r="E48" s="2" t="str">
        <f t="shared" si="1"/>
        <v/>
      </c>
    </row>
    <row r="49" spans="1:5" x14ac:dyDescent="0.15">
      <c r="A49" s="2">
        <v>48</v>
      </c>
      <c r="B49" s="2" t="str">
        <f>IF(OR(局部木质部面积!B49="",局部木质部面积!B49=0),"",(导管总数量!B49*1000000)/局部木质部面积!B49)</f>
        <v/>
      </c>
      <c r="C49" s="2" t="str">
        <f>IF(OR(局部木质部面积!C49="",局部木质部面积!C49=0),"",(导管总数量!C49*1000000)/局部木质部面积!C49)</f>
        <v/>
      </c>
      <c r="D49" s="2" t="str">
        <f>IF(OR(局部木质部面积!D49="",局部木质部面积!D49=0),"",(导管总数量!D49*1000000)/局部木质部面积!D49)</f>
        <v/>
      </c>
      <c r="E49" s="2" t="str">
        <f t="shared" si="1"/>
        <v/>
      </c>
    </row>
    <row r="50" spans="1:5" x14ac:dyDescent="0.15">
      <c r="A50" s="2">
        <v>49</v>
      </c>
      <c r="B50" s="2" t="str">
        <f>IF(OR(局部木质部面积!B50="",局部木质部面积!B50=0),"",(导管总数量!B50*1000000)/局部木质部面积!B50)</f>
        <v/>
      </c>
      <c r="C50" s="2" t="str">
        <f>IF(OR(局部木质部面积!C50="",局部木质部面积!C50=0),"",(导管总数量!C50*1000000)/局部木质部面积!C50)</f>
        <v/>
      </c>
      <c r="D50" s="2" t="str">
        <f>IF(OR(局部木质部面积!D50="",局部木质部面积!D50=0),"",(导管总数量!D50*1000000)/局部木质部面积!D50)</f>
        <v/>
      </c>
      <c r="E50" s="2" t="str">
        <f t="shared" si="1"/>
        <v/>
      </c>
    </row>
    <row r="51" spans="1:5" x14ac:dyDescent="0.15">
      <c r="A51" s="2">
        <v>50</v>
      </c>
      <c r="B51" s="2" t="str">
        <f>IF(OR(局部木质部面积!B51="",局部木质部面积!B51=0),"",(导管总数量!B51*1000000)/局部木质部面积!B51)</f>
        <v/>
      </c>
      <c r="C51" s="2" t="str">
        <f>IF(OR(局部木质部面积!C51="",局部木质部面积!C51=0),"",(导管总数量!C51*1000000)/局部木质部面积!C51)</f>
        <v/>
      </c>
      <c r="D51" s="2" t="str">
        <f>IF(OR(局部木质部面积!D51="",局部木质部面积!D51=0),"",(导管总数量!D51*1000000)/局部木质部面积!D51)</f>
        <v/>
      </c>
      <c r="E51" s="2" t="str">
        <f t="shared" si="1"/>
        <v/>
      </c>
    </row>
    <row r="52" spans="1:5" x14ac:dyDescent="0.15">
      <c r="A52" s="2">
        <v>51</v>
      </c>
      <c r="B52" s="2" t="str">
        <f>IF(OR(局部木质部面积!B52="",局部木质部面积!B52=0),"",(导管总数量!B52*1000000)/局部木质部面积!B52)</f>
        <v/>
      </c>
      <c r="C52" s="2" t="str">
        <f>IF(OR(局部木质部面积!C52="",局部木质部面积!C52=0),"",(导管总数量!C52*1000000)/局部木质部面积!C52)</f>
        <v/>
      </c>
      <c r="D52" s="2" t="str">
        <f>IF(OR(局部木质部面积!D52="",局部木质部面积!D52=0),"",(导管总数量!D52*1000000)/局部木质部面积!D52)</f>
        <v/>
      </c>
      <c r="E52" s="2" t="str">
        <f t="shared" si="1"/>
        <v/>
      </c>
    </row>
    <row r="53" spans="1:5" x14ac:dyDescent="0.15">
      <c r="A53" s="2">
        <v>52</v>
      </c>
      <c r="B53" s="2" t="str">
        <f>IF(OR(局部木质部面积!B53="",局部木质部面积!B53=0),"",(导管总数量!B53*1000000)/局部木质部面积!B53)</f>
        <v/>
      </c>
      <c r="C53" s="2" t="str">
        <f>IF(OR(局部木质部面积!C53="",局部木质部面积!C53=0),"",(导管总数量!C53*1000000)/局部木质部面积!C53)</f>
        <v/>
      </c>
      <c r="D53" s="2" t="str">
        <f>IF(OR(局部木质部面积!D53="",局部木质部面积!D53=0),"",(导管总数量!D53*1000000)/局部木质部面积!D53)</f>
        <v/>
      </c>
      <c r="E53" s="2" t="str">
        <f t="shared" si="1"/>
        <v/>
      </c>
    </row>
    <row r="54" spans="1:5" x14ac:dyDescent="0.15">
      <c r="A54" s="2">
        <v>53</v>
      </c>
      <c r="B54" s="2" t="str">
        <f>IF(OR(局部木质部面积!B54="",局部木质部面积!B54=0),"",(导管总数量!B54*1000000)/局部木质部面积!B54)</f>
        <v/>
      </c>
      <c r="C54" s="2" t="str">
        <f>IF(OR(局部木质部面积!C54="",局部木质部面积!C54=0),"",(导管总数量!C54*1000000)/局部木质部面积!C54)</f>
        <v/>
      </c>
      <c r="D54" s="2" t="str">
        <f>IF(OR(局部木质部面积!D54="",局部木质部面积!D54=0),"",(导管总数量!D54*1000000)/局部木质部面积!D54)</f>
        <v/>
      </c>
      <c r="E54" s="2" t="str">
        <f t="shared" si="1"/>
        <v/>
      </c>
    </row>
    <row r="55" spans="1:5" x14ac:dyDescent="0.15">
      <c r="A55" s="2">
        <v>54</v>
      </c>
      <c r="B55" s="2" t="str">
        <f>IF(OR(局部木质部面积!B55="",局部木质部面积!B55=0),"",(导管总数量!B55*1000000)/局部木质部面积!B55)</f>
        <v/>
      </c>
      <c r="C55" s="2" t="str">
        <f>IF(OR(局部木质部面积!C55="",局部木质部面积!C55=0),"",(导管总数量!C55*1000000)/局部木质部面积!C55)</f>
        <v/>
      </c>
      <c r="D55" s="2" t="str">
        <f>IF(OR(局部木质部面积!D55="",局部木质部面积!D55=0),"",(导管总数量!D55*1000000)/局部木质部面积!D55)</f>
        <v/>
      </c>
      <c r="E55" s="2" t="str">
        <f t="shared" si="1"/>
        <v/>
      </c>
    </row>
    <row r="56" spans="1:5" x14ac:dyDescent="0.15">
      <c r="A56" s="2">
        <v>55</v>
      </c>
      <c r="B56" s="2" t="str">
        <f>IF(OR(局部木质部面积!B56="",局部木质部面积!B56=0),"",(导管总数量!B56*1000000)/局部木质部面积!B56)</f>
        <v/>
      </c>
      <c r="C56" s="2" t="str">
        <f>IF(OR(局部木质部面积!C56="",局部木质部面积!C56=0),"",(导管总数量!C56*1000000)/局部木质部面积!C56)</f>
        <v/>
      </c>
      <c r="D56" s="2" t="str">
        <f>IF(OR(局部木质部面积!D56="",局部木质部面积!D56=0),"",(导管总数量!D56*1000000)/局部木质部面积!D56)</f>
        <v/>
      </c>
      <c r="E56" s="2" t="str">
        <f t="shared" si="1"/>
        <v/>
      </c>
    </row>
    <row r="57" spans="1:5" x14ac:dyDescent="0.15">
      <c r="A57" s="2">
        <v>56</v>
      </c>
      <c r="B57" s="2" t="str">
        <f>IF(OR(局部木质部面积!B57="",局部木质部面积!B57=0),"",(导管总数量!B57*1000000)/局部木质部面积!B57)</f>
        <v/>
      </c>
      <c r="C57" s="2" t="str">
        <f>IF(OR(局部木质部面积!C57="",局部木质部面积!C57=0),"",(导管总数量!C57*1000000)/局部木质部面积!C57)</f>
        <v/>
      </c>
      <c r="D57" s="2" t="str">
        <f>IF(OR(局部木质部面积!D57="",局部木质部面积!D57=0),"",(导管总数量!D57*1000000)/局部木质部面积!D57)</f>
        <v/>
      </c>
      <c r="E57" s="2" t="str">
        <f t="shared" si="1"/>
        <v/>
      </c>
    </row>
    <row r="58" spans="1:5" x14ac:dyDescent="0.15">
      <c r="A58" s="2">
        <v>57</v>
      </c>
      <c r="B58" s="2" t="str">
        <f>IF(OR(局部木质部面积!B58="",局部木质部面积!B58=0),"",(导管总数量!B58*1000000)/局部木质部面积!B58)</f>
        <v/>
      </c>
      <c r="C58" s="2" t="str">
        <f>IF(OR(局部木质部面积!C58="",局部木质部面积!C58=0),"",(导管总数量!C58*1000000)/局部木质部面积!C58)</f>
        <v/>
      </c>
      <c r="D58" s="2" t="str">
        <f>IF(OR(局部木质部面积!D58="",局部木质部面积!D58=0),"",(导管总数量!D58*1000000)/局部木质部面积!D58)</f>
        <v/>
      </c>
      <c r="E58" s="2" t="str">
        <f t="shared" si="1"/>
        <v/>
      </c>
    </row>
    <row r="59" spans="1:5" x14ac:dyDescent="0.15">
      <c r="A59" s="2">
        <v>58</v>
      </c>
      <c r="B59" s="2" t="str">
        <f>IF(OR(局部木质部面积!B59="",局部木质部面积!B59=0),"",(导管总数量!B59*1000000)/局部木质部面积!B59)</f>
        <v/>
      </c>
      <c r="C59" s="2" t="str">
        <f>IF(OR(局部木质部面积!C59="",局部木质部面积!C59=0),"",(导管总数量!C59*1000000)/局部木质部面积!C59)</f>
        <v/>
      </c>
      <c r="D59" s="2" t="str">
        <f>IF(OR(局部木质部面积!D59="",局部木质部面积!D59=0),"",(导管总数量!D59*1000000)/局部木质部面积!D59)</f>
        <v/>
      </c>
      <c r="E59" s="2" t="str">
        <f t="shared" si="1"/>
        <v/>
      </c>
    </row>
    <row r="60" spans="1:5" x14ac:dyDescent="0.15">
      <c r="A60" s="2">
        <v>59</v>
      </c>
      <c r="B60" s="2" t="str">
        <f>IF(OR(局部木质部面积!B60="",局部木质部面积!B60=0),"",(导管总数量!B60*1000000)/局部木质部面积!B60)</f>
        <v/>
      </c>
      <c r="C60" s="2" t="str">
        <f>IF(OR(局部木质部面积!C60="",局部木质部面积!C60=0),"",(导管总数量!C60*1000000)/局部木质部面积!C60)</f>
        <v/>
      </c>
      <c r="D60" s="2" t="str">
        <f>IF(OR(局部木质部面积!D60="",局部木质部面积!D60=0),"",(导管总数量!D60*1000000)/局部木质部面积!D60)</f>
        <v/>
      </c>
      <c r="E60" s="2" t="str">
        <f t="shared" si="1"/>
        <v/>
      </c>
    </row>
    <row r="61" spans="1:5" x14ac:dyDescent="0.15">
      <c r="A61" s="2">
        <v>60</v>
      </c>
      <c r="B61" s="2" t="str">
        <f>IF(OR(局部木质部面积!B61="",局部木质部面积!B61=0),"",(导管总数量!B61*1000000)/局部木质部面积!B61)</f>
        <v/>
      </c>
      <c r="C61" s="2" t="str">
        <f>IF(OR(局部木质部面积!C61="",局部木质部面积!C61=0),"",(导管总数量!C61*1000000)/局部木质部面积!C61)</f>
        <v/>
      </c>
      <c r="D61" s="2" t="str">
        <f>IF(OR(局部木质部面积!D61="",局部木质部面积!D61=0),"",(导管总数量!D61*1000000)/局部木质部面积!D61)</f>
        <v/>
      </c>
      <c r="E61" s="2" t="str">
        <f t="shared" si="1"/>
        <v/>
      </c>
    </row>
    <row r="62" spans="1:5" x14ac:dyDescent="0.15">
      <c r="A62" s="2">
        <v>61</v>
      </c>
      <c r="B62" s="2" t="str">
        <f>IF(OR(局部木质部面积!B62="",局部木质部面积!B62=0),"",(导管总数量!B62*1000000)/局部木质部面积!B62)</f>
        <v/>
      </c>
      <c r="C62" s="2" t="str">
        <f>IF(OR(局部木质部面积!C62="",局部木质部面积!C62=0),"",(导管总数量!C62*1000000)/局部木质部面积!C62)</f>
        <v/>
      </c>
      <c r="D62" s="2" t="str">
        <f>IF(OR(局部木质部面积!D62="",局部木质部面积!D62=0),"",(导管总数量!D62*1000000)/局部木质部面积!D62)</f>
        <v/>
      </c>
      <c r="E62" s="2" t="str">
        <f t="shared" si="1"/>
        <v/>
      </c>
    </row>
    <row r="63" spans="1:5" x14ac:dyDescent="0.15">
      <c r="A63" s="2">
        <v>62</v>
      </c>
      <c r="B63" s="2" t="str">
        <f>IF(OR(局部木质部面积!B63="",局部木质部面积!B63=0),"",(导管总数量!B63*1000000)/局部木质部面积!B63)</f>
        <v/>
      </c>
      <c r="C63" s="2" t="str">
        <f>IF(OR(局部木质部面积!C63="",局部木质部面积!C63=0),"",(导管总数量!C63*1000000)/局部木质部面积!C63)</f>
        <v/>
      </c>
      <c r="D63" s="2" t="str">
        <f>IF(OR(局部木质部面积!D63="",局部木质部面积!D63=0),"",(导管总数量!D63*1000000)/局部木质部面积!D63)</f>
        <v/>
      </c>
      <c r="E63" s="2" t="str">
        <f t="shared" si="1"/>
        <v/>
      </c>
    </row>
    <row r="64" spans="1:5" x14ac:dyDescent="0.15">
      <c r="A64" s="2">
        <v>63</v>
      </c>
      <c r="B64" s="2" t="str">
        <f>IF(OR(局部木质部面积!B64="",局部木质部面积!B64=0),"",(导管总数量!B64*1000000)/局部木质部面积!B64)</f>
        <v/>
      </c>
      <c r="C64" s="2" t="str">
        <f>IF(OR(局部木质部面积!C64="",局部木质部面积!C64=0),"",(导管总数量!C64*1000000)/局部木质部面积!C64)</f>
        <v/>
      </c>
      <c r="D64" s="2" t="str">
        <f>IF(OR(局部木质部面积!D64="",局部木质部面积!D64=0),"",(导管总数量!D64*1000000)/局部木质部面积!D64)</f>
        <v/>
      </c>
      <c r="E64" s="2" t="str">
        <f t="shared" si="1"/>
        <v/>
      </c>
    </row>
  </sheetData>
  <mergeCells count="3">
    <mergeCell ref="J23:N26"/>
    <mergeCell ref="J7:N16"/>
    <mergeCell ref="J19:N21"/>
  </mergeCells>
  <phoneticPr fontId="2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64"/>
  <sheetViews>
    <sheetView workbookViewId="0">
      <selection activeCell="K23" sqref="K23:O28"/>
    </sheetView>
  </sheetViews>
  <sheetFormatPr defaultColWidth="9" defaultRowHeight="13.5" x14ac:dyDescent="0.15"/>
  <cols>
    <col min="1" max="1" width="9" style="1" customWidth="1"/>
    <col min="2" max="4" width="20.62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55</v>
      </c>
      <c r="C1" s="2" t="s">
        <v>56</v>
      </c>
      <c r="D1" s="2" t="s">
        <v>57</v>
      </c>
      <c r="E1" s="2" t="s">
        <v>23</v>
      </c>
    </row>
    <row r="2" spans="1:14" x14ac:dyDescent="0.15">
      <c r="A2" s="2">
        <v>1</v>
      </c>
      <c r="B2" s="2" t="str">
        <f>IF(OR(导管总数量!B2="",导管总数量!B2=0),"",('导管（腔）总面积'!B2)/导管总数量!B2)</f>
        <v/>
      </c>
      <c r="C2" s="2" t="str">
        <f>IF(OR(导管总数量!C2="",导管总数量!C2=0),"",('导管（腔）总面积'!C2)/导管总数量!C2)</f>
        <v/>
      </c>
      <c r="D2" s="2" t="str">
        <f>IF(OR(导管总数量!D2="",导管总数量!D2=0),"",('导管（腔）总面积'!D2)/导管总数量!D2)</f>
        <v/>
      </c>
      <c r="E2" s="2" t="str">
        <f t="shared" ref="E2:E33" si="0">IF(COUNT(B2:D2)=0,"",AVERAGE(B2:D2))</f>
        <v/>
      </c>
    </row>
    <row r="3" spans="1:14" x14ac:dyDescent="0.15">
      <c r="A3" s="2">
        <v>2</v>
      </c>
      <c r="B3" s="2" t="str">
        <f>IF(OR(导管总数量!B3="",导管总数量!B3=0),"",('导管（腔）总面积'!B3)/导管总数量!B3)</f>
        <v/>
      </c>
      <c r="C3" s="2" t="str">
        <f>IF(OR(导管总数量!C3="",导管总数量!C3=0),"",('导管（腔）总面积'!C3)/导管总数量!C3)</f>
        <v/>
      </c>
      <c r="D3" s="2" t="str">
        <f>IF(OR(导管总数量!D3="",导管总数量!D3=0),"",('导管（腔）总面积'!D3)/导管总数量!D3)</f>
        <v/>
      </c>
      <c r="E3" s="2" t="str">
        <f t="shared" si="0"/>
        <v/>
      </c>
    </row>
    <row r="4" spans="1:14" x14ac:dyDescent="0.15">
      <c r="A4" s="2">
        <v>3</v>
      </c>
      <c r="B4" s="2" t="str">
        <f>IF(OR(导管总数量!B4="",导管总数量!B4=0),"",('导管（腔）总面积'!B4)/导管总数量!B4)</f>
        <v/>
      </c>
      <c r="C4" s="2" t="str">
        <f>IF(OR(导管总数量!C4="",导管总数量!C4=0),"",('导管（腔）总面积'!C4)/导管总数量!C4)</f>
        <v/>
      </c>
      <c r="D4" s="2" t="str">
        <f>IF(OR(导管总数量!D4="",导管总数量!D4=0),"",('导管（腔）总面积'!D4)/导管总数量!D4)</f>
        <v/>
      </c>
      <c r="E4" s="2" t="str">
        <f t="shared" si="0"/>
        <v/>
      </c>
    </row>
    <row r="5" spans="1:14" x14ac:dyDescent="0.15">
      <c r="A5" s="2">
        <v>4</v>
      </c>
      <c r="B5" s="2" t="str">
        <f>IF(OR(导管总数量!B5="",导管总数量!B5=0),"",('导管（腔）总面积'!B5)/导管总数量!B5)</f>
        <v/>
      </c>
      <c r="C5" s="2" t="str">
        <f>IF(OR(导管总数量!C5="",导管总数量!C5=0),"",('导管（腔）总面积'!C5)/导管总数量!C5)</f>
        <v/>
      </c>
      <c r="D5" s="2" t="str">
        <f>IF(OR(导管总数量!D5="",导管总数量!D5=0),"",('导管（腔）总面积'!D5)/导管总数量!D5)</f>
        <v/>
      </c>
      <c r="E5" s="2" t="str">
        <f t="shared" si="0"/>
        <v/>
      </c>
    </row>
    <row r="6" spans="1:14" x14ac:dyDescent="0.15">
      <c r="A6" s="2">
        <v>5</v>
      </c>
      <c r="B6" s="2" t="str">
        <f>IF(OR(导管总数量!B6="",导管总数量!B6=0),"",('导管（腔）总面积'!B6)/导管总数量!B6)</f>
        <v/>
      </c>
      <c r="C6" s="2" t="str">
        <f>IF(OR(导管总数量!C6="",导管总数量!C6=0),"",('导管（腔）总面积'!C6)/导管总数量!C6)</f>
        <v/>
      </c>
      <c r="D6" s="2" t="str">
        <f>IF(OR(导管总数量!D6="",导管总数量!D6=0),"",('导管（腔）总面积'!D6)/导管总数量!D6)</f>
        <v/>
      </c>
      <c r="E6" s="2" t="str">
        <f t="shared" si="0"/>
        <v/>
      </c>
    </row>
    <row r="7" spans="1:14" x14ac:dyDescent="0.15">
      <c r="A7" s="2">
        <v>6</v>
      </c>
      <c r="B7" s="2" t="str">
        <f>IF(OR(导管总数量!B7="",导管总数量!B7=0),"",('导管（腔）总面积'!B7)/导管总数量!B7)</f>
        <v/>
      </c>
      <c r="C7" s="2" t="str">
        <f>IF(OR(导管总数量!C7="",导管总数量!C7=0),"",('导管（腔）总面积'!C7)/导管总数量!C7)</f>
        <v/>
      </c>
      <c r="D7" s="2" t="str">
        <f>IF(OR(导管总数量!D7="",导管总数量!D7=0),"",('导管（腔）总面积'!D7)/导管总数量!D7)</f>
        <v/>
      </c>
      <c r="E7" s="2" t="str">
        <f t="shared" si="0"/>
        <v/>
      </c>
      <c r="J7" s="3" t="s">
        <v>58</v>
      </c>
      <c r="K7" s="4"/>
      <c r="L7" s="4"/>
      <c r="M7" s="4"/>
      <c r="N7" s="4"/>
    </row>
    <row r="8" spans="1:14" x14ac:dyDescent="0.15">
      <c r="A8" s="2">
        <v>7</v>
      </c>
      <c r="B8" s="2" t="str">
        <f>IF(OR(导管总数量!B8="",导管总数量!B8=0),"",('导管（腔）总面积'!B8)/导管总数量!B8)</f>
        <v/>
      </c>
      <c r="C8" s="2" t="str">
        <f>IF(OR(导管总数量!C8="",导管总数量!C8=0),"",('导管（腔）总面积'!C8)/导管总数量!C8)</f>
        <v/>
      </c>
      <c r="D8" s="2" t="str">
        <f>IF(OR(导管总数量!D8="",导管总数量!D8=0),"",('导管（腔）总面积'!D8)/导管总数量!D8)</f>
        <v/>
      </c>
      <c r="E8" s="2" t="str">
        <f t="shared" si="0"/>
        <v/>
      </c>
      <c r="J8" s="4"/>
      <c r="K8" s="4"/>
      <c r="L8" s="4"/>
      <c r="M8" s="4"/>
      <c r="N8" s="4"/>
    </row>
    <row r="9" spans="1:14" x14ac:dyDescent="0.15">
      <c r="A9" s="2">
        <v>8</v>
      </c>
      <c r="B9" s="2" t="str">
        <f>IF(OR(导管总数量!B9="",导管总数量!B9=0),"",('导管（腔）总面积'!B9)/导管总数量!B9)</f>
        <v/>
      </c>
      <c r="C9" s="2" t="str">
        <f>IF(OR(导管总数量!C9="",导管总数量!C9=0),"",('导管（腔）总面积'!C9)/导管总数量!C9)</f>
        <v/>
      </c>
      <c r="D9" s="2" t="str">
        <f>IF(OR(导管总数量!D9="",导管总数量!D9=0),"",('导管（腔）总面积'!D9)/导管总数量!D9)</f>
        <v/>
      </c>
      <c r="E9" s="2" t="str">
        <f t="shared" si="0"/>
        <v/>
      </c>
      <c r="J9" s="4"/>
      <c r="K9" s="4"/>
      <c r="L9" s="4"/>
      <c r="M9" s="4"/>
      <c r="N9" s="4"/>
    </row>
    <row r="10" spans="1:14" x14ac:dyDescent="0.15">
      <c r="A10" s="2">
        <v>9</v>
      </c>
      <c r="B10" s="2" t="str">
        <f>IF(OR(导管总数量!B10="",导管总数量!B10=0),"",('导管（腔）总面积'!B10)/导管总数量!B10)</f>
        <v/>
      </c>
      <c r="C10" s="2" t="str">
        <f>IF(OR(导管总数量!C10="",导管总数量!C10=0),"",('导管（腔）总面积'!C10)/导管总数量!C10)</f>
        <v/>
      </c>
      <c r="D10" s="2" t="str">
        <f>IF(OR(导管总数量!D10="",导管总数量!D10=0),"",('导管（腔）总面积'!D10)/导管总数量!D10)</f>
        <v/>
      </c>
      <c r="E10" s="2" t="str">
        <f t="shared" si="0"/>
        <v/>
      </c>
      <c r="J10" s="4"/>
      <c r="K10" s="4"/>
      <c r="L10" s="4"/>
      <c r="M10" s="4"/>
      <c r="N10" s="4"/>
    </row>
    <row r="11" spans="1:14" x14ac:dyDescent="0.15">
      <c r="A11" s="2">
        <v>10</v>
      </c>
      <c r="B11" s="2" t="str">
        <f>IF(OR(导管总数量!B11="",导管总数量!B11=0),"",('导管（腔）总面积'!B11)/导管总数量!B11)</f>
        <v/>
      </c>
      <c r="C11" s="2" t="str">
        <f>IF(OR(导管总数量!C11="",导管总数量!C11=0),"",('导管（腔）总面积'!C11)/导管总数量!C11)</f>
        <v/>
      </c>
      <c r="D11" s="2" t="str">
        <f>IF(OR(导管总数量!D11="",导管总数量!D11=0),"",('导管（腔）总面积'!D11)/导管总数量!D11)</f>
        <v/>
      </c>
      <c r="E11" s="2" t="str">
        <f t="shared" si="0"/>
        <v/>
      </c>
      <c r="J11" s="4"/>
      <c r="K11" s="4"/>
      <c r="L11" s="4"/>
      <c r="M11" s="4"/>
      <c r="N11" s="4"/>
    </row>
    <row r="12" spans="1:14" x14ac:dyDescent="0.15">
      <c r="A12" s="2">
        <v>11</v>
      </c>
      <c r="B12" s="2" t="str">
        <f>IF(OR(导管总数量!B12="",导管总数量!B12=0),"",('导管（腔）总面积'!B12)/导管总数量!B12)</f>
        <v/>
      </c>
      <c r="C12" s="2" t="str">
        <f>IF(OR(导管总数量!C12="",导管总数量!C12=0),"",('导管（腔）总面积'!C12)/导管总数量!C12)</f>
        <v/>
      </c>
      <c r="D12" s="2" t="str">
        <f>IF(OR(导管总数量!D12="",导管总数量!D12=0),"",('导管（腔）总面积'!D12)/导管总数量!D12)</f>
        <v/>
      </c>
      <c r="E12" s="2" t="str">
        <f t="shared" si="0"/>
        <v/>
      </c>
      <c r="J12" s="4"/>
      <c r="K12" s="4"/>
      <c r="L12" s="4"/>
      <c r="M12" s="4"/>
      <c r="N12" s="4"/>
    </row>
    <row r="13" spans="1:14" x14ac:dyDescent="0.15">
      <c r="A13" s="2">
        <v>12</v>
      </c>
      <c r="B13" s="2" t="str">
        <f>IF(OR(导管总数量!B13="",导管总数量!B13=0),"",('导管（腔）总面积'!B13)/导管总数量!B13)</f>
        <v/>
      </c>
      <c r="C13" s="2" t="str">
        <f>IF(OR(导管总数量!C13="",导管总数量!C13=0),"",('导管（腔）总面积'!C13)/导管总数量!C13)</f>
        <v/>
      </c>
      <c r="D13" s="2" t="str">
        <f>IF(OR(导管总数量!D13="",导管总数量!D13=0),"",('导管（腔）总面积'!D13)/导管总数量!D13)</f>
        <v/>
      </c>
      <c r="E13" s="2" t="str">
        <f t="shared" si="0"/>
        <v/>
      </c>
      <c r="J13" s="4"/>
      <c r="K13" s="4"/>
      <c r="L13" s="4"/>
      <c r="M13" s="4"/>
      <c r="N13" s="4"/>
    </row>
    <row r="14" spans="1:14" x14ac:dyDescent="0.15">
      <c r="A14" s="2">
        <v>13</v>
      </c>
      <c r="B14" s="2" t="str">
        <f>IF(OR(导管总数量!B14="",导管总数量!B14=0),"",('导管（腔）总面积'!B14)/导管总数量!B14)</f>
        <v/>
      </c>
      <c r="C14" s="2" t="str">
        <f>IF(OR(导管总数量!C14="",导管总数量!C14=0),"",('导管（腔）总面积'!C14)/导管总数量!C14)</f>
        <v/>
      </c>
      <c r="D14" s="2" t="str">
        <f>IF(OR(导管总数量!D14="",导管总数量!D14=0),"",('导管（腔）总面积'!D14)/导管总数量!D14)</f>
        <v/>
      </c>
      <c r="E14" s="2" t="str">
        <f t="shared" si="0"/>
        <v/>
      </c>
      <c r="J14" s="4"/>
      <c r="K14" s="4"/>
      <c r="L14" s="4"/>
      <c r="M14" s="4"/>
      <c r="N14" s="4"/>
    </row>
    <row r="15" spans="1:14" x14ac:dyDescent="0.15">
      <c r="A15" s="2">
        <v>14</v>
      </c>
      <c r="B15" s="2" t="str">
        <f>IF(OR(导管总数量!B15="",导管总数量!B15=0),"",('导管（腔）总面积'!B15)/导管总数量!B15)</f>
        <v/>
      </c>
      <c r="C15" s="2" t="str">
        <f>IF(OR(导管总数量!C15="",导管总数量!C15=0),"",('导管（腔）总面积'!C15)/导管总数量!C15)</f>
        <v/>
      </c>
      <c r="D15" s="2" t="str">
        <f>IF(OR(导管总数量!D15="",导管总数量!D15=0),"",('导管（腔）总面积'!D15)/导管总数量!D15)</f>
        <v/>
      </c>
      <c r="E15" s="2" t="str">
        <f t="shared" si="0"/>
        <v/>
      </c>
      <c r="J15" s="4"/>
      <c r="K15" s="4"/>
      <c r="L15" s="4"/>
      <c r="M15" s="4"/>
      <c r="N15" s="4"/>
    </row>
    <row r="16" spans="1:14" x14ac:dyDescent="0.15">
      <c r="A16" s="2">
        <v>15</v>
      </c>
      <c r="B16" s="2" t="str">
        <f>IF(OR(导管总数量!B16="",导管总数量!B16=0),"",('导管（腔）总面积'!B16)/导管总数量!B16)</f>
        <v/>
      </c>
      <c r="C16" s="2" t="str">
        <f>IF(OR(导管总数量!C16="",导管总数量!C16=0),"",('导管（腔）总面积'!C16)/导管总数量!C16)</f>
        <v/>
      </c>
      <c r="D16" s="2" t="str">
        <f>IF(OR(导管总数量!D16="",导管总数量!D16=0),"",('导管（腔）总面积'!D16)/导管总数量!D16)</f>
        <v/>
      </c>
      <c r="E16" s="2" t="str">
        <f t="shared" si="0"/>
        <v/>
      </c>
      <c r="J16" s="4"/>
      <c r="K16" s="4"/>
      <c r="L16" s="4"/>
      <c r="M16" s="4"/>
      <c r="N16" s="4"/>
    </row>
    <row r="17" spans="1:14" x14ac:dyDescent="0.15">
      <c r="A17" s="2">
        <v>16</v>
      </c>
      <c r="B17" s="2" t="str">
        <f>IF(OR(导管总数量!B17="",导管总数量!B17=0),"",('导管（腔）总面积'!B17)/导管总数量!B17)</f>
        <v/>
      </c>
      <c r="C17" s="2" t="str">
        <f>IF(OR(导管总数量!C17="",导管总数量!C17=0),"",('导管（腔）总面积'!C17)/导管总数量!C17)</f>
        <v/>
      </c>
      <c r="D17" s="2" t="str">
        <f>IF(OR(导管总数量!D17="",导管总数量!D17=0),"",('导管（腔）总面积'!D17)/导管总数量!D17)</f>
        <v/>
      </c>
      <c r="E17" s="2" t="str">
        <f t="shared" si="0"/>
        <v/>
      </c>
    </row>
    <row r="18" spans="1:14" x14ac:dyDescent="0.15">
      <c r="A18" s="2">
        <v>17</v>
      </c>
      <c r="B18" s="2" t="str">
        <f>IF(OR(导管总数量!B18="",导管总数量!B18=0),"",('导管（腔）总面积'!B18)/导管总数量!B18)</f>
        <v/>
      </c>
      <c r="C18" s="2" t="str">
        <f>IF(OR(导管总数量!C18="",导管总数量!C18=0),"",('导管（腔）总面积'!C18)/导管总数量!C18)</f>
        <v/>
      </c>
      <c r="D18" s="2" t="str">
        <f>IF(OR(导管总数量!D18="",导管总数量!D18=0),"",('导管（腔）总面积'!D18)/导管总数量!D18)</f>
        <v/>
      </c>
      <c r="E18" s="2" t="str">
        <f t="shared" si="0"/>
        <v/>
      </c>
      <c r="J18" s="4" t="s">
        <v>59</v>
      </c>
      <c r="K18" s="4"/>
      <c r="L18" s="4"/>
      <c r="M18" s="4"/>
      <c r="N18" s="4"/>
    </row>
    <row r="19" spans="1:14" x14ac:dyDescent="0.15">
      <c r="A19" s="2">
        <v>18</v>
      </c>
      <c r="B19" s="2" t="str">
        <f>IF(OR(导管总数量!B19="",导管总数量!B19=0),"",('导管（腔）总面积'!B19)/导管总数量!B19)</f>
        <v/>
      </c>
      <c r="C19" s="2" t="str">
        <f>IF(OR(导管总数量!C19="",导管总数量!C19=0),"",('导管（腔）总面积'!C19)/导管总数量!C19)</f>
        <v/>
      </c>
      <c r="D19" s="2" t="str">
        <f>IF(OR(导管总数量!D19="",导管总数量!D19=0),"",('导管（腔）总面积'!D19)/导管总数量!D19)</f>
        <v/>
      </c>
      <c r="E19" s="2" t="str">
        <f t="shared" si="0"/>
        <v/>
      </c>
      <c r="J19" s="4"/>
      <c r="K19" s="4"/>
      <c r="L19" s="4"/>
      <c r="M19" s="4"/>
      <c r="N19" s="4"/>
    </row>
    <row r="20" spans="1:14" x14ac:dyDescent="0.15">
      <c r="A20" s="2">
        <v>19</v>
      </c>
      <c r="B20" s="2" t="str">
        <f>IF(OR(导管总数量!B20="",导管总数量!B20=0),"",('导管（腔）总面积'!B20)/导管总数量!B20)</f>
        <v/>
      </c>
      <c r="C20" s="2" t="str">
        <f>IF(OR(导管总数量!C20="",导管总数量!C20=0),"",('导管（腔）总面积'!C20)/导管总数量!C20)</f>
        <v/>
      </c>
      <c r="D20" s="2" t="str">
        <f>IF(OR(导管总数量!D20="",导管总数量!D20=0),"",('导管（腔）总面积'!D20)/导管总数量!D20)</f>
        <v/>
      </c>
      <c r="E20" s="2" t="str">
        <f t="shared" si="0"/>
        <v/>
      </c>
      <c r="J20" s="4"/>
      <c r="K20" s="4"/>
      <c r="L20" s="4"/>
      <c r="M20" s="4"/>
      <c r="N20" s="4"/>
    </row>
    <row r="21" spans="1:14" x14ac:dyDescent="0.15">
      <c r="A21" s="2">
        <v>20</v>
      </c>
      <c r="B21" s="2" t="str">
        <f>IF(OR(导管总数量!B21="",导管总数量!B21=0),"",('导管（腔）总面积'!B21)/导管总数量!B21)</f>
        <v/>
      </c>
      <c r="C21" s="2" t="str">
        <f>IF(OR(导管总数量!C21="",导管总数量!C21=0),"",('导管（腔）总面积'!C21)/导管总数量!C21)</f>
        <v/>
      </c>
      <c r="D21" s="2" t="str">
        <f>IF(OR(导管总数量!D21="",导管总数量!D21=0),"",('导管（腔）总面积'!D21)/导管总数量!D21)</f>
        <v/>
      </c>
      <c r="E21" s="2" t="str">
        <f t="shared" si="0"/>
        <v/>
      </c>
    </row>
    <row r="22" spans="1:14" x14ac:dyDescent="0.15">
      <c r="A22" s="2">
        <v>21</v>
      </c>
      <c r="B22" s="2" t="str">
        <f>IF(OR(导管总数量!B22="",导管总数量!B22=0),"",('导管（腔）总面积'!B22)/导管总数量!B22)</f>
        <v/>
      </c>
      <c r="C22" s="2" t="str">
        <f>IF(OR(导管总数量!C22="",导管总数量!C22=0),"",('导管（腔）总面积'!C22)/导管总数量!C22)</f>
        <v/>
      </c>
      <c r="D22" s="2" t="str">
        <f>IF(OR(导管总数量!D22="",导管总数量!D22=0),"",('导管（腔）总面积'!D22)/导管总数量!D22)</f>
        <v/>
      </c>
      <c r="E22" s="2" t="str">
        <f t="shared" si="0"/>
        <v/>
      </c>
    </row>
    <row r="23" spans="1:14" x14ac:dyDescent="0.15">
      <c r="A23" s="2">
        <v>22</v>
      </c>
      <c r="B23" s="2" t="str">
        <f>IF(OR(导管总数量!B23="",导管总数量!B23=0),"",('导管（腔）总面积'!B23)/导管总数量!B23)</f>
        <v/>
      </c>
      <c r="C23" s="2" t="str">
        <f>IF(OR(导管总数量!C23="",导管总数量!C23=0),"",('导管（腔）总面积'!C23)/导管总数量!C23)</f>
        <v/>
      </c>
      <c r="D23" s="2" t="str">
        <f>IF(OR(导管总数量!D23="",导管总数量!D23=0),"",('导管（腔）总面积'!D23)/导管总数量!D23)</f>
        <v/>
      </c>
      <c r="E23" s="2" t="str">
        <f t="shared" si="0"/>
        <v/>
      </c>
    </row>
    <row r="24" spans="1:14" x14ac:dyDescent="0.15">
      <c r="A24" s="2">
        <v>23</v>
      </c>
      <c r="B24" s="2" t="str">
        <f>IF(OR(导管总数量!B24="",导管总数量!B24=0),"",('导管（腔）总面积'!B24)/导管总数量!B24)</f>
        <v/>
      </c>
      <c r="C24" s="2" t="str">
        <f>IF(OR(导管总数量!C24="",导管总数量!C24=0),"",('导管（腔）总面积'!C24)/导管总数量!C24)</f>
        <v/>
      </c>
      <c r="D24" s="2" t="str">
        <f>IF(OR(导管总数量!D24="",导管总数量!D24=0),"",('导管（腔）总面积'!D24)/导管总数量!D24)</f>
        <v/>
      </c>
      <c r="E24" s="2" t="str">
        <f t="shared" si="0"/>
        <v/>
      </c>
    </row>
    <row r="25" spans="1:14" x14ac:dyDescent="0.15">
      <c r="A25" s="2">
        <v>24</v>
      </c>
      <c r="B25" s="2" t="str">
        <f>IF(OR(导管总数量!B25="",导管总数量!B25=0),"",('导管（腔）总面积'!B25)/导管总数量!B25)</f>
        <v/>
      </c>
      <c r="C25" s="2" t="str">
        <f>IF(OR(导管总数量!C25="",导管总数量!C25=0),"",('导管（腔）总面积'!C25)/导管总数量!C25)</f>
        <v/>
      </c>
      <c r="D25" s="2" t="str">
        <f>IF(OR(导管总数量!D25="",导管总数量!D25=0),"",('导管（腔）总面积'!D25)/导管总数量!D25)</f>
        <v/>
      </c>
      <c r="E25" s="2" t="str">
        <f t="shared" si="0"/>
        <v/>
      </c>
    </row>
    <row r="26" spans="1:14" x14ac:dyDescent="0.15">
      <c r="A26" s="2">
        <v>25</v>
      </c>
      <c r="B26" s="2" t="str">
        <f>IF(OR(导管总数量!B26="",导管总数量!B26=0),"",('导管（腔）总面积'!B26)/导管总数量!B26)</f>
        <v/>
      </c>
      <c r="C26" s="2" t="str">
        <f>IF(OR(导管总数量!C26="",导管总数量!C26=0),"",('导管（腔）总面积'!C26)/导管总数量!C26)</f>
        <v/>
      </c>
      <c r="D26" s="2" t="str">
        <f>IF(OR(导管总数量!D26="",导管总数量!D26=0),"",('导管（腔）总面积'!D26)/导管总数量!D26)</f>
        <v/>
      </c>
      <c r="E26" s="2" t="str">
        <f t="shared" si="0"/>
        <v/>
      </c>
    </row>
    <row r="27" spans="1:14" x14ac:dyDescent="0.15">
      <c r="A27" s="2">
        <v>26</v>
      </c>
      <c r="B27" s="2" t="str">
        <f>IF(OR(导管总数量!B27="",导管总数量!B27=0),"",('导管（腔）总面积'!B27)/导管总数量!B27)</f>
        <v/>
      </c>
      <c r="C27" s="2" t="str">
        <f>IF(OR(导管总数量!C27="",导管总数量!C27=0),"",('导管（腔）总面积'!C27)/导管总数量!C27)</f>
        <v/>
      </c>
      <c r="D27" s="2" t="str">
        <f>IF(OR(导管总数量!D27="",导管总数量!D27=0),"",('导管（腔）总面积'!D27)/导管总数量!D27)</f>
        <v/>
      </c>
      <c r="E27" s="2" t="str">
        <f t="shared" si="0"/>
        <v/>
      </c>
    </row>
    <row r="28" spans="1:14" x14ac:dyDescent="0.15">
      <c r="A28" s="2">
        <v>27</v>
      </c>
      <c r="B28" s="2" t="str">
        <f>IF(OR(导管总数量!B28="",导管总数量!B28=0),"",('导管（腔）总面积'!B28)/导管总数量!B28)</f>
        <v/>
      </c>
      <c r="C28" s="2" t="str">
        <f>IF(OR(导管总数量!C28="",导管总数量!C28=0),"",('导管（腔）总面积'!C28)/导管总数量!C28)</f>
        <v/>
      </c>
      <c r="D28" s="2" t="str">
        <f>IF(OR(导管总数量!D28="",导管总数量!D28=0),"",('导管（腔）总面积'!D28)/导管总数量!D28)</f>
        <v/>
      </c>
      <c r="E28" s="2" t="str">
        <f t="shared" si="0"/>
        <v/>
      </c>
    </row>
    <row r="29" spans="1:14" x14ac:dyDescent="0.15">
      <c r="A29" s="2">
        <v>28</v>
      </c>
      <c r="B29" s="2" t="str">
        <f>IF(OR(导管总数量!B29="",导管总数量!B29=0),"",('导管（腔）总面积'!B29)/导管总数量!B29)</f>
        <v/>
      </c>
      <c r="C29" s="2" t="str">
        <f>IF(OR(导管总数量!C29="",导管总数量!C29=0),"",('导管（腔）总面积'!C29)/导管总数量!C29)</f>
        <v/>
      </c>
      <c r="D29" s="2" t="str">
        <f>IF(OR(导管总数量!D29="",导管总数量!D29=0),"",('导管（腔）总面积'!D29)/导管总数量!D29)</f>
        <v/>
      </c>
      <c r="E29" s="2" t="str">
        <f t="shared" si="0"/>
        <v/>
      </c>
    </row>
    <row r="30" spans="1:14" x14ac:dyDescent="0.15">
      <c r="A30" s="2">
        <v>29</v>
      </c>
      <c r="B30" s="2" t="str">
        <f>IF(OR(导管总数量!B30="",导管总数量!B30=0),"",('导管（腔）总面积'!B30)/导管总数量!B30)</f>
        <v/>
      </c>
      <c r="C30" s="2" t="str">
        <f>IF(OR(导管总数量!C30="",导管总数量!C30=0),"",('导管（腔）总面积'!C30)/导管总数量!C30)</f>
        <v/>
      </c>
      <c r="D30" s="2" t="str">
        <f>IF(OR(导管总数量!D30="",导管总数量!D30=0),"",('导管（腔）总面积'!D30)/导管总数量!D30)</f>
        <v/>
      </c>
      <c r="E30" s="2" t="str">
        <f t="shared" si="0"/>
        <v/>
      </c>
    </row>
    <row r="31" spans="1:14" x14ac:dyDescent="0.15">
      <c r="A31" s="2">
        <v>30</v>
      </c>
      <c r="B31" s="2" t="str">
        <f>IF(OR(导管总数量!B31="",导管总数量!B31=0),"",('导管（腔）总面积'!B31)/导管总数量!B31)</f>
        <v/>
      </c>
      <c r="C31" s="2" t="str">
        <f>IF(OR(导管总数量!C31="",导管总数量!C31=0),"",('导管（腔）总面积'!C31)/导管总数量!C31)</f>
        <v/>
      </c>
      <c r="D31" s="2" t="str">
        <f>IF(OR(导管总数量!D31="",导管总数量!D31=0),"",('导管（腔）总面积'!D31)/导管总数量!D31)</f>
        <v/>
      </c>
      <c r="E31" s="2" t="str">
        <f t="shared" si="0"/>
        <v/>
      </c>
    </row>
    <row r="32" spans="1:14" x14ac:dyDescent="0.15">
      <c r="A32" s="2">
        <v>31</v>
      </c>
      <c r="B32" s="2" t="str">
        <f>IF(OR(导管总数量!B32="",导管总数量!B32=0),"",('导管（腔）总面积'!B32)/导管总数量!B32)</f>
        <v/>
      </c>
      <c r="C32" s="2" t="str">
        <f>IF(OR(导管总数量!C32="",导管总数量!C32=0),"",('导管（腔）总面积'!C32)/导管总数量!C32)</f>
        <v/>
      </c>
      <c r="D32" s="2" t="str">
        <f>IF(OR(导管总数量!D32="",导管总数量!D32=0),"",('导管（腔）总面积'!D32)/导管总数量!D32)</f>
        <v/>
      </c>
      <c r="E32" s="2" t="str">
        <f t="shared" si="0"/>
        <v/>
      </c>
    </row>
    <row r="33" spans="1:5" x14ac:dyDescent="0.15">
      <c r="A33" s="2">
        <v>32</v>
      </c>
      <c r="B33" s="2" t="str">
        <f>IF(OR(导管总数量!B33="",导管总数量!B33=0),"",('导管（腔）总面积'!B33)/导管总数量!B33)</f>
        <v/>
      </c>
      <c r="C33" s="2" t="str">
        <f>IF(OR(导管总数量!C33="",导管总数量!C33=0),"",('导管（腔）总面积'!C33)/导管总数量!C33)</f>
        <v/>
      </c>
      <c r="D33" s="2" t="str">
        <f>IF(OR(导管总数量!D33="",导管总数量!D33=0),"",('导管（腔）总面积'!D33)/导管总数量!D33)</f>
        <v/>
      </c>
      <c r="E33" s="2" t="str">
        <f t="shared" si="0"/>
        <v/>
      </c>
    </row>
    <row r="34" spans="1:5" x14ac:dyDescent="0.15">
      <c r="A34" s="2">
        <v>33</v>
      </c>
      <c r="B34" s="2" t="str">
        <f>IF(OR(导管总数量!B34="",导管总数量!B34=0),"",('导管（腔）总面积'!B34)/导管总数量!B34)</f>
        <v/>
      </c>
      <c r="C34" s="2" t="str">
        <f>IF(OR(导管总数量!C34="",导管总数量!C34=0),"",('导管（腔）总面积'!C34)/导管总数量!C34)</f>
        <v/>
      </c>
      <c r="D34" s="2" t="str">
        <f>IF(OR(导管总数量!D34="",导管总数量!D34=0),"",('导管（腔）总面积'!D34)/导管总数量!D34)</f>
        <v/>
      </c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 t="str">
        <f>IF(OR(导管总数量!B35="",导管总数量!B35=0),"",('导管（腔）总面积'!B35)/导管总数量!B35)</f>
        <v/>
      </c>
      <c r="C35" s="2" t="str">
        <f>IF(OR(导管总数量!C35="",导管总数量!C35=0),"",('导管（腔）总面积'!C35)/导管总数量!C35)</f>
        <v/>
      </c>
      <c r="D35" s="2" t="str">
        <f>IF(OR(导管总数量!D35="",导管总数量!D35=0),"",('导管（腔）总面积'!D35)/导管总数量!D35)</f>
        <v/>
      </c>
      <c r="E35" s="2" t="str">
        <f t="shared" si="1"/>
        <v/>
      </c>
    </row>
    <row r="36" spans="1:5" x14ac:dyDescent="0.15">
      <c r="A36" s="2">
        <v>35</v>
      </c>
      <c r="B36" s="2" t="str">
        <f>IF(OR(导管总数量!B36="",导管总数量!B36=0),"",('导管（腔）总面积'!B36)/导管总数量!B36)</f>
        <v/>
      </c>
      <c r="C36" s="2" t="str">
        <f>IF(OR(导管总数量!C36="",导管总数量!C36=0),"",('导管（腔）总面积'!C36)/导管总数量!C36)</f>
        <v/>
      </c>
      <c r="D36" s="2" t="str">
        <f>IF(OR(导管总数量!D36="",导管总数量!D36=0),"",('导管（腔）总面积'!D36)/导管总数量!D36)</f>
        <v/>
      </c>
      <c r="E36" s="2" t="str">
        <f t="shared" si="1"/>
        <v/>
      </c>
    </row>
    <row r="37" spans="1:5" x14ac:dyDescent="0.15">
      <c r="A37" s="2">
        <v>36</v>
      </c>
      <c r="B37" s="2" t="str">
        <f>IF(OR(导管总数量!B37="",导管总数量!B37=0),"",('导管（腔）总面积'!B37)/导管总数量!B37)</f>
        <v/>
      </c>
      <c r="C37" s="2" t="str">
        <f>IF(OR(导管总数量!C37="",导管总数量!C37=0),"",('导管（腔）总面积'!C37)/导管总数量!C37)</f>
        <v/>
      </c>
      <c r="D37" s="2" t="str">
        <f>IF(OR(导管总数量!D37="",导管总数量!D37=0),"",('导管（腔）总面积'!D37)/导管总数量!D37)</f>
        <v/>
      </c>
      <c r="E37" s="2" t="str">
        <f t="shared" si="1"/>
        <v/>
      </c>
    </row>
    <row r="38" spans="1:5" x14ac:dyDescent="0.15">
      <c r="A38" s="2">
        <v>37</v>
      </c>
      <c r="B38" s="2" t="str">
        <f>IF(OR(导管总数量!B38="",导管总数量!B38=0),"",('导管（腔）总面积'!B38)/导管总数量!B38)</f>
        <v/>
      </c>
      <c r="C38" s="2" t="str">
        <f>IF(OR(导管总数量!C38="",导管总数量!C38=0),"",('导管（腔）总面积'!C38)/导管总数量!C38)</f>
        <v/>
      </c>
      <c r="D38" s="2" t="str">
        <f>IF(OR(导管总数量!D38="",导管总数量!D38=0),"",('导管（腔）总面积'!D38)/导管总数量!D38)</f>
        <v/>
      </c>
      <c r="E38" s="2" t="str">
        <f t="shared" si="1"/>
        <v/>
      </c>
    </row>
    <row r="39" spans="1:5" x14ac:dyDescent="0.15">
      <c r="A39" s="2">
        <v>38</v>
      </c>
      <c r="B39" s="2" t="str">
        <f>IF(OR(导管总数量!B39="",导管总数量!B39=0),"",('导管（腔）总面积'!B39)/导管总数量!B39)</f>
        <v/>
      </c>
      <c r="C39" s="2" t="str">
        <f>IF(OR(导管总数量!C39="",导管总数量!C39=0),"",('导管（腔）总面积'!C39)/导管总数量!C39)</f>
        <v/>
      </c>
      <c r="D39" s="2" t="str">
        <f>IF(OR(导管总数量!D39="",导管总数量!D39=0),"",('导管（腔）总面积'!D39)/导管总数量!D39)</f>
        <v/>
      </c>
      <c r="E39" s="2" t="str">
        <f t="shared" si="1"/>
        <v/>
      </c>
    </row>
    <row r="40" spans="1:5" x14ac:dyDescent="0.15">
      <c r="A40" s="2">
        <v>39</v>
      </c>
      <c r="B40" s="2" t="str">
        <f>IF(OR(导管总数量!B40="",导管总数量!B40=0),"",('导管（腔）总面积'!B40)/导管总数量!B40)</f>
        <v/>
      </c>
      <c r="C40" s="2" t="str">
        <f>IF(OR(导管总数量!C40="",导管总数量!C40=0),"",('导管（腔）总面积'!C40)/导管总数量!C40)</f>
        <v/>
      </c>
      <c r="D40" s="2" t="str">
        <f>IF(OR(导管总数量!D40="",导管总数量!D40=0),"",('导管（腔）总面积'!D40)/导管总数量!D40)</f>
        <v/>
      </c>
      <c r="E40" s="2" t="str">
        <f t="shared" si="1"/>
        <v/>
      </c>
    </row>
    <row r="41" spans="1:5" x14ac:dyDescent="0.15">
      <c r="A41" s="2">
        <v>40</v>
      </c>
      <c r="B41" s="2" t="str">
        <f>IF(OR(导管总数量!B41="",导管总数量!B41=0),"",('导管（腔）总面积'!B41)/导管总数量!B41)</f>
        <v/>
      </c>
      <c r="C41" s="2" t="str">
        <f>IF(OR(导管总数量!C41="",导管总数量!C41=0),"",('导管（腔）总面积'!C41)/导管总数量!C41)</f>
        <v/>
      </c>
      <c r="D41" s="2" t="str">
        <f>IF(OR(导管总数量!D41="",导管总数量!D41=0),"",('导管（腔）总面积'!D41)/导管总数量!D41)</f>
        <v/>
      </c>
      <c r="E41" s="2" t="str">
        <f t="shared" si="1"/>
        <v/>
      </c>
    </row>
    <row r="42" spans="1:5" x14ac:dyDescent="0.15">
      <c r="A42" s="2">
        <v>41</v>
      </c>
      <c r="B42" s="2" t="str">
        <f>IF(OR(导管总数量!B42="",导管总数量!B42=0),"",('导管（腔）总面积'!B42)/导管总数量!B42)</f>
        <v/>
      </c>
      <c r="C42" s="2" t="str">
        <f>IF(OR(导管总数量!C42="",导管总数量!C42=0),"",('导管（腔）总面积'!C42)/导管总数量!C42)</f>
        <v/>
      </c>
      <c r="D42" s="2" t="str">
        <f>IF(OR(导管总数量!D42="",导管总数量!D42=0),"",('导管（腔）总面积'!D42)/导管总数量!D42)</f>
        <v/>
      </c>
      <c r="E42" s="2" t="str">
        <f t="shared" si="1"/>
        <v/>
      </c>
    </row>
    <row r="43" spans="1:5" x14ac:dyDescent="0.15">
      <c r="A43" s="2">
        <v>42</v>
      </c>
      <c r="B43" s="2" t="str">
        <f>IF(OR(导管总数量!B43="",导管总数量!B43=0),"",('导管（腔）总面积'!B43)/导管总数量!B43)</f>
        <v/>
      </c>
      <c r="C43" s="2" t="str">
        <f>IF(OR(导管总数量!C43="",导管总数量!C43=0),"",('导管（腔）总面积'!C43)/导管总数量!C43)</f>
        <v/>
      </c>
      <c r="D43" s="2" t="str">
        <f>IF(OR(导管总数量!D43="",导管总数量!D43=0),"",('导管（腔）总面积'!D43)/导管总数量!D43)</f>
        <v/>
      </c>
      <c r="E43" s="2" t="str">
        <f t="shared" si="1"/>
        <v/>
      </c>
    </row>
    <row r="44" spans="1:5" x14ac:dyDescent="0.15">
      <c r="A44" s="2">
        <v>43</v>
      </c>
      <c r="B44" s="2" t="str">
        <f>IF(OR(导管总数量!B44="",导管总数量!B44=0),"",('导管（腔）总面积'!B44)/导管总数量!B44)</f>
        <v/>
      </c>
      <c r="C44" s="2" t="str">
        <f>IF(OR(导管总数量!C44="",导管总数量!C44=0),"",('导管（腔）总面积'!C44)/导管总数量!C44)</f>
        <v/>
      </c>
      <c r="D44" s="2" t="str">
        <f>IF(OR(导管总数量!D44="",导管总数量!D44=0),"",('导管（腔）总面积'!D44)/导管总数量!D44)</f>
        <v/>
      </c>
      <c r="E44" s="2" t="str">
        <f t="shared" si="1"/>
        <v/>
      </c>
    </row>
    <row r="45" spans="1:5" x14ac:dyDescent="0.15">
      <c r="A45" s="2">
        <v>44</v>
      </c>
      <c r="B45" s="2" t="str">
        <f>IF(OR(导管总数量!B45="",导管总数量!B45=0),"",('导管（腔）总面积'!B45)/导管总数量!B45)</f>
        <v/>
      </c>
      <c r="C45" s="2" t="str">
        <f>IF(OR(导管总数量!C45="",导管总数量!C45=0),"",('导管（腔）总面积'!C45)/导管总数量!C45)</f>
        <v/>
      </c>
      <c r="D45" s="2" t="str">
        <f>IF(OR(导管总数量!D45="",导管总数量!D45=0),"",('导管（腔）总面积'!D45)/导管总数量!D45)</f>
        <v/>
      </c>
      <c r="E45" s="2" t="str">
        <f t="shared" si="1"/>
        <v/>
      </c>
    </row>
    <row r="46" spans="1:5" x14ac:dyDescent="0.15">
      <c r="A46" s="2">
        <v>45</v>
      </c>
      <c r="B46" s="2" t="str">
        <f>IF(OR(导管总数量!B46="",导管总数量!B46=0),"",('导管（腔）总面积'!B46)/导管总数量!B46)</f>
        <v/>
      </c>
      <c r="C46" s="2" t="str">
        <f>IF(OR(导管总数量!C46="",导管总数量!C46=0),"",('导管（腔）总面积'!C46)/导管总数量!C46)</f>
        <v/>
      </c>
      <c r="D46" s="2" t="str">
        <f>IF(OR(导管总数量!D46="",导管总数量!D46=0),"",('导管（腔）总面积'!D46)/导管总数量!D46)</f>
        <v/>
      </c>
      <c r="E46" s="2" t="str">
        <f t="shared" si="1"/>
        <v/>
      </c>
    </row>
    <row r="47" spans="1:5" x14ac:dyDescent="0.15">
      <c r="A47" s="2">
        <v>46</v>
      </c>
      <c r="B47" s="2" t="str">
        <f>IF(OR(导管总数量!B47="",导管总数量!B47=0),"",('导管（腔）总面积'!B47)/导管总数量!B47)</f>
        <v/>
      </c>
      <c r="C47" s="2" t="str">
        <f>IF(OR(导管总数量!C47="",导管总数量!C47=0),"",('导管（腔）总面积'!C47)/导管总数量!C47)</f>
        <v/>
      </c>
      <c r="D47" s="2" t="str">
        <f>IF(OR(导管总数量!D47="",导管总数量!D47=0),"",('导管（腔）总面积'!D47)/导管总数量!D47)</f>
        <v/>
      </c>
      <c r="E47" s="2" t="str">
        <f t="shared" si="1"/>
        <v/>
      </c>
    </row>
    <row r="48" spans="1:5" x14ac:dyDescent="0.15">
      <c r="A48" s="2">
        <v>47</v>
      </c>
      <c r="B48" s="2" t="str">
        <f>IF(OR(导管总数量!B48="",导管总数量!B48=0),"",('导管（腔）总面积'!B48)/导管总数量!B48)</f>
        <v/>
      </c>
      <c r="C48" s="2" t="str">
        <f>IF(OR(导管总数量!C48="",导管总数量!C48=0),"",('导管（腔）总面积'!C48)/导管总数量!C48)</f>
        <v/>
      </c>
      <c r="D48" s="2" t="str">
        <f>IF(OR(导管总数量!D48="",导管总数量!D48=0),"",('导管（腔）总面积'!D48)/导管总数量!D48)</f>
        <v/>
      </c>
      <c r="E48" s="2" t="str">
        <f t="shared" si="1"/>
        <v/>
      </c>
    </row>
    <row r="49" spans="1:5" x14ac:dyDescent="0.15">
      <c r="A49" s="2">
        <v>48</v>
      </c>
      <c r="B49" s="2" t="str">
        <f>IF(OR(导管总数量!B49="",导管总数量!B49=0),"",('导管（腔）总面积'!B49)/导管总数量!B49)</f>
        <v/>
      </c>
      <c r="C49" s="2" t="str">
        <f>IF(OR(导管总数量!C49="",导管总数量!C49=0),"",('导管（腔）总面积'!C49)/导管总数量!C49)</f>
        <v/>
      </c>
      <c r="D49" s="2" t="str">
        <f>IF(OR(导管总数量!D49="",导管总数量!D49=0),"",('导管（腔）总面积'!D49)/导管总数量!D49)</f>
        <v/>
      </c>
      <c r="E49" s="2" t="str">
        <f t="shared" si="1"/>
        <v/>
      </c>
    </row>
    <row r="50" spans="1:5" x14ac:dyDescent="0.15">
      <c r="A50" s="2">
        <v>49</v>
      </c>
      <c r="B50" s="2" t="str">
        <f>IF(OR(导管总数量!B50="",导管总数量!B50=0),"",('导管（腔）总面积'!B50)/导管总数量!B50)</f>
        <v/>
      </c>
      <c r="C50" s="2" t="str">
        <f>IF(OR(导管总数量!C50="",导管总数量!C50=0),"",('导管（腔）总面积'!C50)/导管总数量!C50)</f>
        <v/>
      </c>
      <c r="D50" s="2" t="str">
        <f>IF(OR(导管总数量!D50="",导管总数量!D50=0),"",('导管（腔）总面积'!D50)/导管总数量!D50)</f>
        <v/>
      </c>
      <c r="E50" s="2" t="str">
        <f t="shared" si="1"/>
        <v/>
      </c>
    </row>
    <row r="51" spans="1:5" x14ac:dyDescent="0.15">
      <c r="A51" s="2">
        <v>50</v>
      </c>
      <c r="B51" s="2" t="str">
        <f>IF(OR(导管总数量!B51="",导管总数量!B51=0),"",('导管（腔）总面积'!B51)/导管总数量!B51)</f>
        <v/>
      </c>
      <c r="C51" s="2" t="str">
        <f>IF(OR(导管总数量!C51="",导管总数量!C51=0),"",('导管（腔）总面积'!C51)/导管总数量!C51)</f>
        <v/>
      </c>
      <c r="D51" s="2" t="str">
        <f>IF(OR(导管总数量!D51="",导管总数量!D51=0),"",('导管（腔）总面积'!D51)/导管总数量!D51)</f>
        <v/>
      </c>
      <c r="E51" s="2" t="str">
        <f t="shared" si="1"/>
        <v/>
      </c>
    </row>
    <row r="52" spans="1:5" x14ac:dyDescent="0.15">
      <c r="A52" s="2">
        <v>51</v>
      </c>
      <c r="B52" s="2" t="str">
        <f>IF(OR(导管总数量!B52="",导管总数量!B52=0),"",('导管（腔）总面积'!B52)/导管总数量!B52)</f>
        <v/>
      </c>
      <c r="C52" s="2" t="str">
        <f>IF(OR(导管总数量!C52="",导管总数量!C52=0),"",('导管（腔）总面积'!C52)/导管总数量!C52)</f>
        <v/>
      </c>
      <c r="D52" s="2" t="str">
        <f>IF(OR(导管总数量!D52="",导管总数量!D52=0),"",('导管（腔）总面积'!D52)/导管总数量!D52)</f>
        <v/>
      </c>
      <c r="E52" s="2" t="str">
        <f t="shared" si="1"/>
        <v/>
      </c>
    </row>
    <row r="53" spans="1:5" x14ac:dyDescent="0.15">
      <c r="A53" s="2">
        <v>52</v>
      </c>
      <c r="B53" s="2" t="str">
        <f>IF(OR(导管总数量!B53="",导管总数量!B53=0),"",('导管（腔）总面积'!B53)/导管总数量!B53)</f>
        <v/>
      </c>
      <c r="C53" s="2" t="str">
        <f>IF(OR(导管总数量!C53="",导管总数量!C53=0),"",('导管（腔）总面积'!C53)/导管总数量!C53)</f>
        <v/>
      </c>
      <c r="D53" s="2" t="str">
        <f>IF(OR(导管总数量!D53="",导管总数量!D53=0),"",('导管（腔）总面积'!D53)/导管总数量!D53)</f>
        <v/>
      </c>
      <c r="E53" s="2" t="str">
        <f t="shared" si="1"/>
        <v/>
      </c>
    </row>
    <row r="54" spans="1:5" x14ac:dyDescent="0.15">
      <c r="A54" s="2">
        <v>53</v>
      </c>
      <c r="B54" s="2" t="str">
        <f>IF(OR(导管总数量!B54="",导管总数量!B54=0),"",('导管（腔）总面积'!B54)/导管总数量!B54)</f>
        <v/>
      </c>
      <c r="C54" s="2" t="str">
        <f>IF(OR(导管总数量!C54="",导管总数量!C54=0),"",('导管（腔）总面积'!C54)/导管总数量!C54)</f>
        <v/>
      </c>
      <c r="D54" s="2" t="str">
        <f>IF(OR(导管总数量!D54="",导管总数量!D54=0),"",('导管（腔）总面积'!D54)/导管总数量!D54)</f>
        <v/>
      </c>
      <c r="E54" s="2" t="str">
        <f t="shared" si="1"/>
        <v/>
      </c>
    </row>
    <row r="55" spans="1:5" x14ac:dyDescent="0.15">
      <c r="A55" s="2">
        <v>54</v>
      </c>
      <c r="B55" s="2" t="str">
        <f>IF(OR(导管总数量!B55="",导管总数量!B55=0),"",('导管（腔）总面积'!B55)/导管总数量!B55)</f>
        <v/>
      </c>
      <c r="C55" s="2" t="str">
        <f>IF(OR(导管总数量!C55="",导管总数量!C55=0),"",('导管（腔）总面积'!C55)/导管总数量!C55)</f>
        <v/>
      </c>
      <c r="D55" s="2" t="str">
        <f>IF(OR(导管总数量!D55="",导管总数量!D55=0),"",('导管（腔）总面积'!D55)/导管总数量!D55)</f>
        <v/>
      </c>
      <c r="E55" s="2" t="str">
        <f t="shared" si="1"/>
        <v/>
      </c>
    </row>
    <row r="56" spans="1:5" x14ac:dyDescent="0.15">
      <c r="A56" s="2">
        <v>55</v>
      </c>
      <c r="B56" s="2" t="str">
        <f>IF(OR(导管总数量!B56="",导管总数量!B56=0),"",('导管（腔）总面积'!B56)/导管总数量!B56)</f>
        <v/>
      </c>
      <c r="C56" s="2" t="str">
        <f>IF(OR(导管总数量!C56="",导管总数量!C56=0),"",('导管（腔）总面积'!C56)/导管总数量!C56)</f>
        <v/>
      </c>
      <c r="D56" s="2" t="str">
        <f>IF(OR(导管总数量!D56="",导管总数量!D56=0),"",('导管（腔）总面积'!D56)/导管总数量!D56)</f>
        <v/>
      </c>
      <c r="E56" s="2" t="str">
        <f t="shared" si="1"/>
        <v/>
      </c>
    </row>
    <row r="57" spans="1:5" x14ac:dyDescent="0.15">
      <c r="A57" s="2">
        <v>56</v>
      </c>
      <c r="B57" s="2" t="str">
        <f>IF(OR(导管总数量!B57="",导管总数量!B57=0),"",('导管（腔）总面积'!B57)/导管总数量!B57)</f>
        <v/>
      </c>
      <c r="C57" s="2" t="str">
        <f>IF(OR(导管总数量!C57="",导管总数量!C57=0),"",('导管（腔）总面积'!C57)/导管总数量!C57)</f>
        <v/>
      </c>
      <c r="D57" s="2" t="str">
        <f>IF(OR(导管总数量!D57="",导管总数量!D57=0),"",('导管（腔）总面积'!D57)/导管总数量!D57)</f>
        <v/>
      </c>
      <c r="E57" s="2" t="str">
        <f t="shared" si="1"/>
        <v/>
      </c>
    </row>
    <row r="58" spans="1:5" x14ac:dyDescent="0.15">
      <c r="A58" s="2">
        <v>57</v>
      </c>
      <c r="B58" s="2" t="str">
        <f>IF(OR(导管总数量!B58="",导管总数量!B58=0),"",('导管（腔）总面积'!B58)/导管总数量!B58)</f>
        <v/>
      </c>
      <c r="C58" s="2" t="str">
        <f>IF(OR(导管总数量!C58="",导管总数量!C58=0),"",('导管（腔）总面积'!C58)/导管总数量!C58)</f>
        <v/>
      </c>
      <c r="D58" s="2" t="str">
        <f>IF(OR(导管总数量!D58="",导管总数量!D58=0),"",('导管（腔）总面积'!D58)/导管总数量!D58)</f>
        <v/>
      </c>
      <c r="E58" s="2" t="str">
        <f t="shared" si="1"/>
        <v/>
      </c>
    </row>
    <row r="59" spans="1:5" x14ac:dyDescent="0.15">
      <c r="A59" s="2">
        <v>58</v>
      </c>
      <c r="B59" s="2" t="str">
        <f>IF(OR(导管总数量!B59="",导管总数量!B59=0),"",('导管（腔）总面积'!B59)/导管总数量!B59)</f>
        <v/>
      </c>
      <c r="C59" s="2" t="str">
        <f>IF(OR(导管总数量!C59="",导管总数量!C59=0),"",('导管（腔）总面积'!C59)/导管总数量!C59)</f>
        <v/>
      </c>
      <c r="D59" s="2" t="str">
        <f>IF(OR(导管总数量!D59="",导管总数量!D59=0),"",('导管（腔）总面积'!D59)/导管总数量!D59)</f>
        <v/>
      </c>
      <c r="E59" s="2" t="str">
        <f t="shared" si="1"/>
        <v/>
      </c>
    </row>
    <row r="60" spans="1:5" x14ac:dyDescent="0.15">
      <c r="A60" s="2">
        <v>59</v>
      </c>
      <c r="B60" s="2" t="str">
        <f>IF(OR(导管总数量!B60="",导管总数量!B60=0),"",('导管（腔）总面积'!B60)/导管总数量!B60)</f>
        <v/>
      </c>
      <c r="C60" s="2" t="str">
        <f>IF(OR(导管总数量!C60="",导管总数量!C60=0),"",('导管（腔）总面积'!C60)/导管总数量!C60)</f>
        <v/>
      </c>
      <c r="D60" s="2" t="str">
        <f>IF(OR(导管总数量!D60="",导管总数量!D60=0),"",('导管（腔）总面积'!D60)/导管总数量!D60)</f>
        <v/>
      </c>
      <c r="E60" s="2" t="str">
        <f t="shared" si="1"/>
        <v/>
      </c>
    </row>
    <row r="61" spans="1:5" x14ac:dyDescent="0.15">
      <c r="A61" s="2">
        <v>60</v>
      </c>
      <c r="B61" s="2" t="str">
        <f>IF(OR(导管总数量!B61="",导管总数量!B61=0),"",('导管（腔）总面积'!B61)/导管总数量!B61)</f>
        <v/>
      </c>
      <c r="C61" s="2" t="str">
        <f>IF(OR(导管总数量!C61="",导管总数量!C61=0),"",('导管（腔）总面积'!C61)/导管总数量!C61)</f>
        <v/>
      </c>
      <c r="D61" s="2" t="str">
        <f>IF(OR(导管总数量!D61="",导管总数量!D61=0),"",('导管（腔）总面积'!D61)/导管总数量!D61)</f>
        <v/>
      </c>
      <c r="E61" s="2" t="str">
        <f t="shared" si="1"/>
        <v/>
      </c>
    </row>
    <row r="62" spans="1:5" x14ac:dyDescent="0.15">
      <c r="A62" s="2">
        <v>61</v>
      </c>
      <c r="B62" s="2" t="str">
        <f>IF(OR(导管总数量!B62="",导管总数量!B62=0),"",('导管（腔）总面积'!B62)/导管总数量!B62)</f>
        <v/>
      </c>
      <c r="C62" s="2" t="str">
        <f>IF(OR(导管总数量!C62="",导管总数量!C62=0),"",('导管（腔）总面积'!C62)/导管总数量!C62)</f>
        <v/>
      </c>
      <c r="D62" s="2" t="str">
        <f>IF(OR(导管总数量!D62="",导管总数量!D62=0),"",('导管（腔）总面积'!D62)/导管总数量!D62)</f>
        <v/>
      </c>
      <c r="E62" s="2" t="str">
        <f t="shared" si="1"/>
        <v/>
      </c>
    </row>
    <row r="63" spans="1:5" x14ac:dyDescent="0.15">
      <c r="A63" s="2">
        <v>62</v>
      </c>
      <c r="B63" s="2" t="str">
        <f>IF(OR(导管总数量!B63="",导管总数量!B63=0),"",('导管（腔）总面积'!B63)/导管总数量!B63)</f>
        <v/>
      </c>
      <c r="C63" s="2" t="str">
        <f>IF(OR(导管总数量!C63="",导管总数量!C63=0),"",('导管（腔）总面积'!C63)/导管总数量!C63)</f>
        <v/>
      </c>
      <c r="D63" s="2" t="str">
        <f>IF(OR(导管总数量!D63="",导管总数量!D63=0),"",('导管（腔）总面积'!D63)/导管总数量!D63)</f>
        <v/>
      </c>
      <c r="E63" s="2" t="str">
        <f t="shared" si="1"/>
        <v/>
      </c>
    </row>
    <row r="64" spans="1:5" x14ac:dyDescent="0.15">
      <c r="A64" s="2">
        <v>63</v>
      </c>
      <c r="B64" s="2" t="str">
        <f>IF(OR(导管总数量!B64="",导管总数量!B64=0),"",('导管（腔）总面积'!B64)/导管总数量!B64)</f>
        <v/>
      </c>
      <c r="C64" s="2" t="str">
        <f>IF(OR(导管总数量!C64="",导管总数量!C64=0),"",('导管（腔）总面积'!C64)/导管总数量!C64)</f>
        <v/>
      </c>
      <c r="D64" s="2" t="str">
        <f>IF(OR(导管总数量!D64="",导管总数量!D64=0),"",('导管（腔）总面积'!D64)/导管总数量!D64)</f>
        <v/>
      </c>
      <c r="E64" s="2" t="str">
        <f t="shared" si="1"/>
        <v/>
      </c>
    </row>
  </sheetData>
  <mergeCells count="2">
    <mergeCell ref="J18:N20"/>
    <mergeCell ref="J7:N16"/>
  </mergeCells>
  <phoneticPr fontId="2" type="noConversion"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64"/>
  <sheetViews>
    <sheetView workbookViewId="0">
      <selection activeCell="K22" sqref="K22"/>
    </sheetView>
  </sheetViews>
  <sheetFormatPr defaultColWidth="9" defaultRowHeight="13.5" x14ac:dyDescent="0.15"/>
  <cols>
    <col min="1" max="1" width="9" style="1" customWidth="1"/>
    <col min="2" max="2" width="24.75" style="1" customWidth="1"/>
    <col min="3" max="3" width="24.25" style="1" customWidth="1"/>
    <col min="4" max="4" width="24.875" style="1" customWidth="1"/>
    <col min="5" max="5" width="9" style="1" customWidth="1"/>
    <col min="6" max="16384" width="9" style="1"/>
  </cols>
  <sheetData>
    <row r="1" spans="1:14" x14ac:dyDescent="0.15">
      <c r="A1" s="2" t="s">
        <v>0</v>
      </c>
      <c r="B1" s="2" t="s">
        <v>60</v>
      </c>
      <c r="C1" s="2" t="s">
        <v>61</v>
      </c>
      <c r="D1" s="2" t="s">
        <v>62</v>
      </c>
      <c r="E1" s="2" t="s">
        <v>23</v>
      </c>
    </row>
    <row r="2" spans="1:14" x14ac:dyDescent="0.15">
      <c r="A2" s="2">
        <v>1</v>
      </c>
      <c r="B2" s="2" t="str">
        <f>IF(OR(局部木质部面积!B2="",局部木质部面积!B2=0),"",('导管（腔）总面积'!B2)/局部木质部面积!B2)</f>
        <v/>
      </c>
      <c r="C2" s="2" t="str">
        <f>IF(OR(局部木质部面积!C2="",局部木质部面积!C2=0),"",('导管（腔）总面积'!C2)/局部木质部面积!C2)</f>
        <v/>
      </c>
      <c r="D2" s="2" t="str">
        <f>IF(OR(局部木质部面积!D2="",局部木质部面积!D2=0),"",('导管（腔）总面积'!D2)/局部木质部面积!D2)</f>
        <v/>
      </c>
      <c r="E2" s="2" t="str">
        <f t="shared" ref="E2:E33" si="0">IF(COUNT(B2:D2)=0,"",AVERAGE(B2:D2))</f>
        <v/>
      </c>
    </row>
    <row r="3" spans="1:14" x14ac:dyDescent="0.15">
      <c r="A3" s="2">
        <v>2</v>
      </c>
      <c r="B3" s="2" t="str">
        <f>IF(OR(局部木质部面积!B3="",局部木质部面积!B3=0),"",('导管（腔）总面积'!B3)/局部木质部面积!B3)</f>
        <v/>
      </c>
      <c r="C3" s="2" t="str">
        <f>IF(OR(局部木质部面积!C3="",局部木质部面积!C3=0),"",('导管（腔）总面积'!C3)/局部木质部面积!C3)</f>
        <v/>
      </c>
      <c r="D3" s="2" t="str">
        <f>IF(OR(局部木质部面积!D3="",局部木质部面积!D3=0),"",('导管（腔）总面积'!D3)/局部木质部面积!D3)</f>
        <v/>
      </c>
      <c r="E3" s="2" t="str">
        <f t="shared" si="0"/>
        <v/>
      </c>
    </row>
    <row r="4" spans="1:14" x14ac:dyDescent="0.15">
      <c r="A4" s="2">
        <v>3</v>
      </c>
      <c r="B4" s="2" t="str">
        <f>IF(OR(局部木质部面积!B4="",局部木质部面积!B4=0),"",('导管（腔）总面积'!B4)/局部木质部面积!B4)</f>
        <v/>
      </c>
      <c r="C4" s="2" t="str">
        <f>IF(OR(局部木质部面积!C4="",局部木质部面积!C4=0),"",('导管（腔）总面积'!C4)/局部木质部面积!C4)</f>
        <v/>
      </c>
      <c r="D4" s="2" t="str">
        <f>IF(OR(局部木质部面积!D4="",局部木质部面积!D4=0),"",('导管（腔）总面积'!D4)/局部木质部面积!D4)</f>
        <v/>
      </c>
      <c r="E4" s="2" t="str">
        <f t="shared" si="0"/>
        <v/>
      </c>
    </row>
    <row r="5" spans="1:14" x14ac:dyDescent="0.15">
      <c r="A5" s="2">
        <v>4</v>
      </c>
      <c r="B5" s="2" t="str">
        <f>IF(OR(局部木质部面积!B5="",局部木质部面积!B5=0),"",('导管（腔）总面积'!B5)/局部木质部面积!B5)</f>
        <v/>
      </c>
      <c r="C5" s="2" t="str">
        <f>IF(OR(局部木质部面积!C5="",局部木质部面积!C5=0),"",('导管（腔）总面积'!C5)/局部木质部面积!C5)</f>
        <v/>
      </c>
      <c r="D5" s="2" t="str">
        <f>IF(OR(局部木质部面积!D5="",局部木质部面积!D5=0),"",('导管（腔）总面积'!D5)/局部木质部面积!D5)</f>
        <v/>
      </c>
      <c r="E5" s="2" t="str">
        <f t="shared" si="0"/>
        <v/>
      </c>
    </row>
    <row r="6" spans="1:14" x14ac:dyDescent="0.15">
      <c r="A6" s="2">
        <v>5</v>
      </c>
      <c r="B6" s="2" t="str">
        <f>IF(OR(局部木质部面积!B6="",局部木质部面积!B6=0),"",('导管（腔）总面积'!B6)/局部木质部面积!B6)</f>
        <v/>
      </c>
      <c r="C6" s="2" t="str">
        <f>IF(OR(局部木质部面积!C6="",局部木质部面积!C6=0),"",('导管（腔）总面积'!C6)/局部木质部面积!C6)</f>
        <v/>
      </c>
      <c r="D6" s="2" t="str">
        <f>IF(OR(局部木质部面积!D6="",局部木质部面积!D6=0),"",('导管（腔）总面积'!D6)/局部木质部面积!D6)</f>
        <v/>
      </c>
      <c r="E6" s="2" t="str">
        <f t="shared" si="0"/>
        <v/>
      </c>
    </row>
    <row r="7" spans="1:14" x14ac:dyDescent="0.15">
      <c r="A7" s="2">
        <v>6</v>
      </c>
      <c r="B7" s="2" t="str">
        <f>IF(OR(局部木质部面积!B7="",局部木质部面积!B7=0),"",('导管（腔）总面积'!B7)/局部木质部面积!B7)</f>
        <v/>
      </c>
      <c r="C7" s="2" t="str">
        <f>IF(OR(局部木质部面积!C7="",局部木质部面积!C7=0),"",('导管（腔）总面积'!C7)/局部木质部面积!C7)</f>
        <v/>
      </c>
      <c r="D7" s="2" t="str">
        <f>IF(OR(局部木质部面积!D7="",局部木质部面积!D7=0),"",('导管（腔）总面积'!D7)/局部木质部面积!D7)</f>
        <v/>
      </c>
      <c r="E7" s="2" t="str">
        <f t="shared" si="0"/>
        <v/>
      </c>
      <c r="J7" s="3" t="s">
        <v>63</v>
      </c>
      <c r="K7" s="4"/>
      <c r="L7" s="4"/>
      <c r="M7" s="4"/>
      <c r="N7" s="4"/>
    </row>
    <row r="8" spans="1:14" x14ac:dyDescent="0.15">
      <c r="A8" s="2">
        <v>7</v>
      </c>
      <c r="B8" s="2" t="str">
        <f>IF(OR(局部木质部面积!B8="",局部木质部面积!B8=0),"",('导管（腔）总面积'!B8)/局部木质部面积!B8)</f>
        <v/>
      </c>
      <c r="C8" s="2" t="str">
        <f>IF(OR(局部木质部面积!C8="",局部木质部面积!C8=0),"",('导管（腔）总面积'!C8)/局部木质部面积!C8)</f>
        <v/>
      </c>
      <c r="D8" s="2" t="str">
        <f>IF(OR(局部木质部面积!D8="",局部木质部面积!D8=0),"",('导管（腔）总面积'!D8)/局部木质部面积!D8)</f>
        <v/>
      </c>
      <c r="E8" s="2" t="str">
        <f t="shared" si="0"/>
        <v/>
      </c>
      <c r="J8" s="4"/>
      <c r="K8" s="4"/>
      <c r="L8" s="4"/>
      <c r="M8" s="4"/>
      <c r="N8" s="4"/>
    </row>
    <row r="9" spans="1:14" x14ac:dyDescent="0.15">
      <c r="A9" s="2">
        <v>8</v>
      </c>
      <c r="B9" s="2" t="str">
        <f>IF(OR(局部木质部面积!B9="",局部木质部面积!B9=0),"",('导管（腔）总面积'!B9)/局部木质部面积!B9)</f>
        <v/>
      </c>
      <c r="C9" s="2" t="str">
        <f>IF(OR(局部木质部面积!C9="",局部木质部面积!C9=0),"",('导管（腔）总面积'!C9)/局部木质部面积!C9)</f>
        <v/>
      </c>
      <c r="D9" s="2" t="str">
        <f>IF(OR(局部木质部面积!D9="",局部木质部面积!D9=0),"",('导管（腔）总面积'!D9)/局部木质部面积!D9)</f>
        <v/>
      </c>
      <c r="E9" s="2" t="str">
        <f t="shared" si="0"/>
        <v/>
      </c>
      <c r="J9" s="4"/>
      <c r="K9" s="4"/>
      <c r="L9" s="4"/>
      <c r="M9" s="4"/>
      <c r="N9" s="4"/>
    </row>
    <row r="10" spans="1:14" x14ac:dyDescent="0.15">
      <c r="A10" s="2">
        <v>9</v>
      </c>
      <c r="B10" s="2" t="str">
        <f>IF(OR(局部木质部面积!B10="",局部木质部面积!B10=0),"",('导管（腔）总面积'!B10)/局部木质部面积!B10)</f>
        <v/>
      </c>
      <c r="C10" s="2" t="str">
        <f>IF(OR(局部木质部面积!C10="",局部木质部面积!C10=0),"",('导管（腔）总面积'!C10)/局部木质部面积!C10)</f>
        <v/>
      </c>
      <c r="D10" s="2" t="str">
        <f>IF(OR(局部木质部面积!D10="",局部木质部面积!D10=0),"",('导管（腔）总面积'!D10)/局部木质部面积!D10)</f>
        <v/>
      </c>
      <c r="E10" s="2" t="str">
        <f t="shared" si="0"/>
        <v/>
      </c>
      <c r="J10" s="4"/>
      <c r="K10" s="4"/>
      <c r="L10" s="4"/>
      <c r="M10" s="4"/>
      <c r="N10" s="4"/>
    </row>
    <row r="11" spans="1:14" x14ac:dyDescent="0.15">
      <c r="A11" s="2">
        <v>10</v>
      </c>
      <c r="B11" s="2" t="str">
        <f>IF(OR(局部木质部面积!B11="",局部木质部面积!B11=0),"",('导管（腔）总面积'!B11)/局部木质部面积!B11)</f>
        <v/>
      </c>
      <c r="C11" s="2" t="str">
        <f>IF(OR(局部木质部面积!C11="",局部木质部面积!C11=0),"",('导管（腔）总面积'!C11)/局部木质部面积!C11)</f>
        <v/>
      </c>
      <c r="D11" s="2" t="str">
        <f>IF(OR(局部木质部面积!D11="",局部木质部面积!D11=0),"",('导管（腔）总面积'!D11)/局部木质部面积!D11)</f>
        <v/>
      </c>
      <c r="E11" s="2" t="str">
        <f t="shared" si="0"/>
        <v/>
      </c>
      <c r="J11" s="4"/>
      <c r="K11" s="4"/>
      <c r="L11" s="4"/>
      <c r="M11" s="4"/>
      <c r="N11" s="4"/>
    </row>
    <row r="12" spans="1:14" x14ac:dyDescent="0.15">
      <c r="A12" s="2">
        <v>11</v>
      </c>
      <c r="B12" s="2" t="str">
        <f>IF(OR(局部木质部面积!B12="",局部木质部面积!B12=0),"",('导管（腔）总面积'!B12)/局部木质部面积!B12)</f>
        <v/>
      </c>
      <c r="C12" s="2" t="str">
        <f>IF(OR(局部木质部面积!C12="",局部木质部面积!C12=0),"",('导管（腔）总面积'!C12)/局部木质部面积!C12)</f>
        <v/>
      </c>
      <c r="D12" s="2" t="str">
        <f>IF(OR(局部木质部面积!D12="",局部木质部面积!D12=0),"",('导管（腔）总面积'!D12)/局部木质部面积!D12)</f>
        <v/>
      </c>
      <c r="E12" s="2" t="str">
        <f t="shared" si="0"/>
        <v/>
      </c>
      <c r="J12" s="4"/>
      <c r="K12" s="4"/>
      <c r="L12" s="4"/>
      <c r="M12" s="4"/>
      <c r="N12" s="4"/>
    </row>
    <row r="13" spans="1:14" x14ac:dyDescent="0.15">
      <c r="A13" s="2">
        <v>12</v>
      </c>
      <c r="B13" s="2" t="str">
        <f>IF(OR(局部木质部面积!B13="",局部木质部面积!B13=0),"",('导管（腔）总面积'!B13)/局部木质部面积!B13)</f>
        <v/>
      </c>
      <c r="C13" s="2" t="str">
        <f>IF(OR(局部木质部面积!C13="",局部木质部面积!C13=0),"",('导管（腔）总面积'!C13)/局部木质部面积!C13)</f>
        <v/>
      </c>
      <c r="D13" s="2" t="str">
        <f>IF(OR(局部木质部面积!D13="",局部木质部面积!D13=0),"",('导管（腔）总面积'!D13)/局部木质部面积!D13)</f>
        <v/>
      </c>
      <c r="E13" s="2" t="str">
        <f t="shared" si="0"/>
        <v/>
      </c>
      <c r="J13" s="4"/>
      <c r="K13" s="4"/>
      <c r="L13" s="4"/>
      <c r="M13" s="4"/>
      <c r="N13" s="4"/>
    </row>
    <row r="14" spans="1:14" x14ac:dyDescent="0.15">
      <c r="A14" s="2">
        <v>13</v>
      </c>
      <c r="B14" s="2" t="str">
        <f>IF(OR(局部木质部面积!B14="",局部木质部面积!B14=0),"",('导管（腔）总面积'!B14)/局部木质部面积!B14)</f>
        <v/>
      </c>
      <c r="C14" s="2" t="str">
        <f>IF(OR(局部木质部面积!C14="",局部木质部面积!C14=0),"",('导管（腔）总面积'!C14)/局部木质部面积!C14)</f>
        <v/>
      </c>
      <c r="D14" s="2" t="str">
        <f>IF(OR(局部木质部面积!D14="",局部木质部面积!D14=0),"",('导管（腔）总面积'!D14)/局部木质部面积!D14)</f>
        <v/>
      </c>
      <c r="E14" s="2" t="str">
        <f t="shared" si="0"/>
        <v/>
      </c>
      <c r="J14" s="4"/>
      <c r="K14" s="4"/>
      <c r="L14" s="4"/>
      <c r="M14" s="4"/>
      <c r="N14" s="4"/>
    </row>
    <row r="15" spans="1:14" x14ac:dyDescent="0.15">
      <c r="A15" s="2">
        <v>14</v>
      </c>
      <c r="B15" s="2" t="str">
        <f>IF(OR(局部木质部面积!B15="",局部木质部面积!B15=0),"",('导管（腔）总面积'!B15)/局部木质部面积!B15)</f>
        <v/>
      </c>
      <c r="C15" s="2" t="str">
        <f>IF(OR(局部木质部面积!C15="",局部木质部面积!C15=0),"",('导管（腔）总面积'!C15)/局部木质部面积!C15)</f>
        <v/>
      </c>
      <c r="D15" s="2" t="str">
        <f>IF(OR(局部木质部面积!D15="",局部木质部面积!D15=0),"",('导管（腔）总面积'!D15)/局部木质部面积!D15)</f>
        <v/>
      </c>
      <c r="E15" s="2" t="str">
        <f t="shared" si="0"/>
        <v/>
      </c>
      <c r="J15" s="4"/>
      <c r="K15" s="4"/>
      <c r="L15" s="4"/>
      <c r="M15" s="4"/>
      <c r="N15" s="4"/>
    </row>
    <row r="16" spans="1:14" x14ac:dyDescent="0.15">
      <c r="A16" s="2">
        <v>15</v>
      </c>
      <c r="B16" s="2" t="str">
        <f>IF(OR(局部木质部面积!B16="",局部木质部面积!B16=0),"",('导管（腔）总面积'!B16)/局部木质部面积!B16)</f>
        <v/>
      </c>
      <c r="C16" s="2" t="str">
        <f>IF(OR(局部木质部面积!C16="",局部木质部面积!C16=0),"",('导管（腔）总面积'!C16)/局部木质部面积!C16)</f>
        <v/>
      </c>
      <c r="D16" s="2" t="str">
        <f>IF(OR(局部木质部面积!D16="",局部木质部面积!D16=0),"",('导管（腔）总面积'!D16)/局部木质部面积!D16)</f>
        <v/>
      </c>
      <c r="E16" s="2" t="str">
        <f t="shared" si="0"/>
        <v/>
      </c>
      <c r="J16" s="4"/>
      <c r="K16" s="4"/>
      <c r="L16" s="4"/>
      <c r="M16" s="4"/>
      <c r="N16" s="4"/>
    </row>
    <row r="17" spans="1:5" x14ac:dyDescent="0.15">
      <c r="A17" s="2">
        <v>16</v>
      </c>
      <c r="B17" s="2" t="str">
        <f>IF(OR(局部木质部面积!B17="",局部木质部面积!B17=0),"",('导管（腔）总面积'!B17)/局部木质部面积!B17)</f>
        <v/>
      </c>
      <c r="C17" s="2" t="str">
        <f>IF(OR(局部木质部面积!C17="",局部木质部面积!C17=0),"",('导管（腔）总面积'!C17)/局部木质部面积!C17)</f>
        <v/>
      </c>
      <c r="D17" s="2" t="str">
        <f>IF(OR(局部木质部面积!D17="",局部木质部面积!D17=0),"",('导管（腔）总面积'!D17)/局部木质部面积!D17)</f>
        <v/>
      </c>
      <c r="E17" s="2" t="str">
        <f t="shared" si="0"/>
        <v/>
      </c>
    </row>
    <row r="18" spans="1:5" x14ac:dyDescent="0.15">
      <c r="A18" s="2">
        <v>17</v>
      </c>
      <c r="B18" s="2" t="str">
        <f>IF(OR(局部木质部面积!B18="",局部木质部面积!B18=0),"",('导管（腔）总面积'!B18)/局部木质部面积!B18)</f>
        <v/>
      </c>
      <c r="C18" s="2" t="str">
        <f>IF(OR(局部木质部面积!C18="",局部木质部面积!C18=0),"",('导管（腔）总面积'!C18)/局部木质部面积!C18)</f>
        <v/>
      </c>
      <c r="D18" s="2" t="str">
        <f>IF(OR(局部木质部面积!D18="",局部木质部面积!D18=0),"",('导管（腔）总面积'!D18)/局部木质部面积!D18)</f>
        <v/>
      </c>
      <c r="E18" s="2" t="str">
        <f t="shared" si="0"/>
        <v/>
      </c>
    </row>
    <row r="19" spans="1:5" x14ac:dyDescent="0.15">
      <c r="A19" s="2">
        <v>18</v>
      </c>
      <c r="B19" s="2" t="str">
        <f>IF(OR(局部木质部面积!B19="",局部木质部面积!B19=0),"",('导管（腔）总面积'!B19)/局部木质部面积!B19)</f>
        <v/>
      </c>
      <c r="C19" s="2" t="str">
        <f>IF(OR(局部木质部面积!C19="",局部木质部面积!C19=0),"",('导管（腔）总面积'!C19)/局部木质部面积!C19)</f>
        <v/>
      </c>
      <c r="D19" s="2" t="str">
        <f>IF(OR(局部木质部面积!D19="",局部木质部面积!D19=0),"",('导管（腔）总面积'!D19)/局部木质部面积!D19)</f>
        <v/>
      </c>
      <c r="E19" s="2" t="str">
        <f t="shared" si="0"/>
        <v/>
      </c>
    </row>
    <row r="20" spans="1:5" x14ac:dyDescent="0.15">
      <c r="A20" s="2">
        <v>19</v>
      </c>
      <c r="B20" s="2" t="str">
        <f>IF(OR(局部木质部面积!B20="",局部木质部面积!B20=0),"",('导管（腔）总面积'!B20)/局部木质部面积!B20)</f>
        <v/>
      </c>
      <c r="C20" s="2" t="str">
        <f>IF(OR(局部木质部面积!C20="",局部木质部面积!C20=0),"",('导管（腔）总面积'!C20)/局部木质部面积!C20)</f>
        <v/>
      </c>
      <c r="D20" s="2" t="str">
        <f>IF(OR(局部木质部面积!D20="",局部木质部面积!D20=0),"",('导管（腔）总面积'!D20)/局部木质部面积!D20)</f>
        <v/>
      </c>
      <c r="E20" s="2" t="str">
        <f t="shared" si="0"/>
        <v/>
      </c>
    </row>
    <row r="21" spans="1:5" x14ac:dyDescent="0.15">
      <c r="A21" s="2">
        <v>20</v>
      </c>
      <c r="B21" s="2" t="str">
        <f>IF(OR(局部木质部面积!B21="",局部木质部面积!B21=0),"",('导管（腔）总面积'!B21)/局部木质部面积!B21)</f>
        <v/>
      </c>
      <c r="C21" s="2" t="str">
        <f>IF(OR(局部木质部面积!C21="",局部木质部面积!C21=0),"",('导管（腔）总面积'!C21)/局部木质部面积!C21)</f>
        <v/>
      </c>
      <c r="D21" s="2" t="str">
        <f>IF(OR(局部木质部面积!D21="",局部木质部面积!D21=0),"",('导管（腔）总面积'!D21)/局部木质部面积!D21)</f>
        <v/>
      </c>
      <c r="E21" s="2" t="str">
        <f t="shared" si="0"/>
        <v/>
      </c>
    </row>
    <row r="22" spans="1:5" x14ac:dyDescent="0.15">
      <c r="A22" s="2">
        <v>21</v>
      </c>
      <c r="B22" s="2" t="str">
        <f>IF(OR(局部木质部面积!B22="",局部木质部面积!B22=0),"",('导管（腔）总面积'!B22)/局部木质部面积!B22)</f>
        <v/>
      </c>
      <c r="C22" s="2" t="str">
        <f>IF(OR(局部木质部面积!C22="",局部木质部面积!C22=0),"",('导管（腔）总面积'!C22)/局部木质部面积!C22)</f>
        <v/>
      </c>
      <c r="D22" s="2" t="str">
        <f>IF(OR(局部木质部面积!D22="",局部木质部面积!D22=0),"",('导管（腔）总面积'!D22)/局部木质部面积!D22)</f>
        <v/>
      </c>
      <c r="E22" s="2" t="str">
        <f t="shared" si="0"/>
        <v/>
      </c>
    </row>
    <row r="23" spans="1:5" x14ac:dyDescent="0.15">
      <c r="A23" s="2">
        <v>22</v>
      </c>
      <c r="B23" s="2" t="str">
        <f>IF(OR(局部木质部面积!B23="",局部木质部面积!B23=0),"",('导管（腔）总面积'!B23)/局部木质部面积!B23)</f>
        <v/>
      </c>
      <c r="C23" s="2" t="str">
        <f>IF(OR(局部木质部面积!C23="",局部木质部面积!C23=0),"",('导管（腔）总面积'!C23)/局部木质部面积!C23)</f>
        <v/>
      </c>
      <c r="D23" s="2" t="str">
        <f>IF(OR(局部木质部面积!D23="",局部木质部面积!D23=0),"",('导管（腔）总面积'!D23)/局部木质部面积!D23)</f>
        <v/>
      </c>
      <c r="E23" s="2" t="str">
        <f t="shared" si="0"/>
        <v/>
      </c>
    </row>
    <row r="24" spans="1:5" x14ac:dyDescent="0.15">
      <c r="A24" s="2">
        <v>23</v>
      </c>
      <c r="B24" s="2" t="str">
        <f>IF(OR(局部木质部面积!B24="",局部木质部面积!B24=0),"",('导管（腔）总面积'!B24)/局部木质部面积!B24)</f>
        <v/>
      </c>
      <c r="C24" s="2" t="str">
        <f>IF(OR(局部木质部面积!C24="",局部木质部面积!C24=0),"",('导管（腔）总面积'!C24)/局部木质部面积!C24)</f>
        <v/>
      </c>
      <c r="D24" s="2" t="str">
        <f>IF(OR(局部木质部面积!D24="",局部木质部面积!D24=0),"",('导管（腔）总面积'!D24)/局部木质部面积!D24)</f>
        <v/>
      </c>
      <c r="E24" s="2" t="str">
        <f t="shared" si="0"/>
        <v/>
      </c>
    </row>
    <row r="25" spans="1:5" x14ac:dyDescent="0.15">
      <c r="A25" s="2">
        <v>24</v>
      </c>
      <c r="B25" s="2" t="str">
        <f>IF(OR(局部木质部面积!B25="",局部木质部面积!B25=0),"",('导管（腔）总面积'!B25)/局部木质部面积!B25)</f>
        <v/>
      </c>
      <c r="C25" s="2" t="str">
        <f>IF(OR(局部木质部面积!C25="",局部木质部面积!C25=0),"",('导管（腔）总面积'!C25)/局部木质部面积!C25)</f>
        <v/>
      </c>
      <c r="D25" s="2" t="str">
        <f>IF(OR(局部木质部面积!D25="",局部木质部面积!D25=0),"",('导管（腔）总面积'!D25)/局部木质部面积!D25)</f>
        <v/>
      </c>
      <c r="E25" s="2" t="str">
        <f t="shared" si="0"/>
        <v/>
      </c>
    </row>
    <row r="26" spans="1:5" x14ac:dyDescent="0.15">
      <c r="A26" s="2">
        <v>25</v>
      </c>
      <c r="B26" s="2" t="str">
        <f>IF(OR(局部木质部面积!B26="",局部木质部面积!B26=0),"",('导管（腔）总面积'!B26)/局部木质部面积!B26)</f>
        <v/>
      </c>
      <c r="C26" s="2" t="str">
        <f>IF(OR(局部木质部面积!C26="",局部木质部面积!C26=0),"",('导管（腔）总面积'!C26)/局部木质部面积!C26)</f>
        <v/>
      </c>
      <c r="D26" s="2" t="str">
        <f>IF(OR(局部木质部面积!D26="",局部木质部面积!D26=0),"",('导管（腔）总面积'!D26)/局部木质部面积!D26)</f>
        <v/>
      </c>
      <c r="E26" s="2" t="str">
        <f t="shared" si="0"/>
        <v/>
      </c>
    </row>
    <row r="27" spans="1:5" x14ac:dyDescent="0.15">
      <c r="A27" s="2">
        <v>26</v>
      </c>
      <c r="B27" s="2" t="str">
        <f>IF(OR(局部木质部面积!B27="",局部木质部面积!B27=0),"",('导管（腔）总面积'!B27)/局部木质部面积!B27)</f>
        <v/>
      </c>
      <c r="C27" s="2" t="str">
        <f>IF(OR(局部木质部面积!C27="",局部木质部面积!C27=0),"",('导管（腔）总面积'!C27)/局部木质部面积!C27)</f>
        <v/>
      </c>
      <c r="D27" s="2" t="str">
        <f>IF(OR(局部木质部面积!D27="",局部木质部面积!D27=0),"",('导管（腔）总面积'!D27)/局部木质部面积!D27)</f>
        <v/>
      </c>
      <c r="E27" s="2" t="str">
        <f t="shared" si="0"/>
        <v/>
      </c>
    </row>
    <row r="28" spans="1:5" x14ac:dyDescent="0.15">
      <c r="A28" s="2">
        <v>27</v>
      </c>
      <c r="B28" s="2" t="str">
        <f>IF(OR(局部木质部面积!B28="",局部木质部面积!B28=0),"",('导管（腔）总面积'!B28)/局部木质部面积!B28)</f>
        <v/>
      </c>
      <c r="C28" s="2" t="str">
        <f>IF(OR(局部木质部面积!C28="",局部木质部面积!C28=0),"",('导管（腔）总面积'!C28)/局部木质部面积!C28)</f>
        <v/>
      </c>
      <c r="D28" s="2" t="str">
        <f>IF(OR(局部木质部面积!D28="",局部木质部面积!D28=0),"",('导管（腔）总面积'!D28)/局部木质部面积!D28)</f>
        <v/>
      </c>
      <c r="E28" s="2" t="str">
        <f t="shared" si="0"/>
        <v/>
      </c>
    </row>
    <row r="29" spans="1:5" x14ac:dyDescent="0.15">
      <c r="A29" s="2">
        <v>28</v>
      </c>
      <c r="B29" s="2" t="str">
        <f>IF(OR(局部木质部面积!B29="",局部木质部面积!B29=0),"",('导管（腔）总面积'!B29)/局部木质部面积!B29)</f>
        <v/>
      </c>
      <c r="C29" s="2" t="str">
        <f>IF(OR(局部木质部面积!C29="",局部木质部面积!C29=0),"",('导管（腔）总面积'!C29)/局部木质部面积!C29)</f>
        <v/>
      </c>
      <c r="D29" s="2" t="str">
        <f>IF(OR(局部木质部面积!D29="",局部木质部面积!D29=0),"",('导管（腔）总面积'!D29)/局部木质部面积!D29)</f>
        <v/>
      </c>
      <c r="E29" s="2" t="str">
        <f t="shared" si="0"/>
        <v/>
      </c>
    </row>
    <row r="30" spans="1:5" x14ac:dyDescent="0.15">
      <c r="A30" s="2">
        <v>29</v>
      </c>
      <c r="B30" s="2" t="str">
        <f>IF(OR(局部木质部面积!B30="",局部木质部面积!B30=0),"",('导管（腔）总面积'!B30)/局部木质部面积!B30)</f>
        <v/>
      </c>
      <c r="C30" s="2" t="str">
        <f>IF(OR(局部木质部面积!C30="",局部木质部面积!C30=0),"",('导管（腔）总面积'!C30)/局部木质部面积!C30)</f>
        <v/>
      </c>
      <c r="D30" s="2" t="str">
        <f>IF(OR(局部木质部面积!D30="",局部木质部面积!D30=0),"",('导管（腔）总面积'!D30)/局部木质部面积!D30)</f>
        <v/>
      </c>
      <c r="E30" s="2" t="str">
        <f t="shared" si="0"/>
        <v/>
      </c>
    </row>
    <row r="31" spans="1:5" x14ac:dyDescent="0.15">
      <c r="A31" s="2">
        <v>30</v>
      </c>
      <c r="B31" s="2" t="str">
        <f>IF(OR(局部木质部面积!B31="",局部木质部面积!B31=0),"",('导管（腔）总面积'!B31)/局部木质部面积!B31)</f>
        <v/>
      </c>
      <c r="C31" s="2" t="str">
        <f>IF(OR(局部木质部面积!C31="",局部木质部面积!C31=0),"",('导管（腔）总面积'!C31)/局部木质部面积!C31)</f>
        <v/>
      </c>
      <c r="D31" s="2" t="str">
        <f>IF(OR(局部木质部面积!D31="",局部木质部面积!D31=0),"",('导管（腔）总面积'!D31)/局部木质部面积!D31)</f>
        <v/>
      </c>
      <c r="E31" s="2" t="str">
        <f t="shared" si="0"/>
        <v/>
      </c>
    </row>
    <row r="32" spans="1:5" x14ac:dyDescent="0.15">
      <c r="A32" s="2">
        <v>31</v>
      </c>
      <c r="B32" s="2" t="str">
        <f>IF(OR(局部木质部面积!B32="",局部木质部面积!B32=0),"",('导管（腔）总面积'!B32)/局部木质部面积!B32)</f>
        <v/>
      </c>
      <c r="C32" s="2" t="str">
        <f>IF(OR(局部木质部面积!C32="",局部木质部面积!C32=0),"",('导管（腔）总面积'!C32)/局部木质部面积!C32)</f>
        <v/>
      </c>
      <c r="D32" s="2" t="str">
        <f>IF(OR(局部木质部面积!D32="",局部木质部面积!D32=0),"",('导管（腔）总面积'!D32)/局部木质部面积!D32)</f>
        <v/>
      </c>
      <c r="E32" s="2" t="str">
        <f t="shared" si="0"/>
        <v/>
      </c>
    </row>
    <row r="33" spans="1:5" x14ac:dyDescent="0.15">
      <c r="A33" s="2">
        <v>32</v>
      </c>
      <c r="B33" s="2" t="str">
        <f>IF(OR(局部木质部面积!B33="",局部木质部面积!B33=0),"",('导管（腔）总面积'!B33)/局部木质部面积!B33)</f>
        <v/>
      </c>
      <c r="C33" s="2" t="str">
        <f>IF(OR(局部木质部面积!C33="",局部木质部面积!C33=0),"",('导管（腔）总面积'!C33)/局部木质部面积!C33)</f>
        <v/>
      </c>
      <c r="D33" s="2" t="str">
        <f>IF(OR(局部木质部面积!D33="",局部木质部面积!D33=0),"",('导管（腔）总面积'!D33)/局部木质部面积!D33)</f>
        <v/>
      </c>
      <c r="E33" s="2" t="str">
        <f t="shared" si="0"/>
        <v/>
      </c>
    </row>
    <row r="34" spans="1:5" x14ac:dyDescent="0.15">
      <c r="A34" s="2">
        <v>33</v>
      </c>
      <c r="B34" s="2" t="str">
        <f>IF(OR(局部木质部面积!B34="",局部木质部面积!B34=0),"",('导管（腔）总面积'!B34)/局部木质部面积!B34)</f>
        <v/>
      </c>
      <c r="C34" s="2" t="str">
        <f>IF(OR(局部木质部面积!C34="",局部木质部面积!C34=0),"",('导管（腔）总面积'!C34)/局部木质部面积!C34)</f>
        <v/>
      </c>
      <c r="D34" s="2" t="str">
        <f>IF(OR(局部木质部面积!D34="",局部木质部面积!D34=0),"",('导管（腔）总面积'!D34)/局部木质部面积!D34)</f>
        <v/>
      </c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 t="str">
        <f>IF(OR(局部木质部面积!B35="",局部木质部面积!B35=0),"",('导管（腔）总面积'!B35)/局部木质部面积!B35)</f>
        <v/>
      </c>
      <c r="C35" s="2" t="str">
        <f>IF(OR(局部木质部面积!C35="",局部木质部面积!C35=0),"",('导管（腔）总面积'!C35)/局部木质部面积!C35)</f>
        <v/>
      </c>
      <c r="D35" s="2" t="str">
        <f>IF(OR(局部木质部面积!D35="",局部木质部面积!D35=0),"",('导管（腔）总面积'!D35)/局部木质部面积!D35)</f>
        <v/>
      </c>
      <c r="E35" s="2" t="str">
        <f t="shared" si="1"/>
        <v/>
      </c>
    </row>
    <row r="36" spans="1:5" x14ac:dyDescent="0.15">
      <c r="A36" s="2">
        <v>35</v>
      </c>
      <c r="B36" s="2" t="str">
        <f>IF(OR(局部木质部面积!B36="",局部木质部面积!B36=0),"",('导管（腔）总面积'!B36)/局部木质部面积!B36)</f>
        <v/>
      </c>
      <c r="C36" s="2" t="str">
        <f>IF(OR(局部木质部面积!C36="",局部木质部面积!C36=0),"",('导管（腔）总面积'!C36)/局部木质部面积!C36)</f>
        <v/>
      </c>
      <c r="D36" s="2" t="str">
        <f>IF(OR(局部木质部面积!D36="",局部木质部面积!D36=0),"",('导管（腔）总面积'!D36)/局部木质部面积!D36)</f>
        <v/>
      </c>
      <c r="E36" s="2" t="str">
        <f t="shared" si="1"/>
        <v/>
      </c>
    </row>
    <row r="37" spans="1:5" x14ac:dyDescent="0.15">
      <c r="A37" s="2">
        <v>36</v>
      </c>
      <c r="B37" s="2" t="str">
        <f>IF(OR(局部木质部面积!B37="",局部木质部面积!B37=0),"",('导管（腔）总面积'!B37)/局部木质部面积!B37)</f>
        <v/>
      </c>
      <c r="C37" s="2" t="str">
        <f>IF(OR(局部木质部面积!C37="",局部木质部面积!C37=0),"",('导管（腔）总面积'!C37)/局部木质部面积!C37)</f>
        <v/>
      </c>
      <c r="D37" s="2" t="str">
        <f>IF(OR(局部木质部面积!D37="",局部木质部面积!D37=0),"",('导管（腔）总面积'!D37)/局部木质部面积!D37)</f>
        <v/>
      </c>
      <c r="E37" s="2" t="str">
        <f t="shared" si="1"/>
        <v/>
      </c>
    </row>
    <row r="38" spans="1:5" x14ac:dyDescent="0.15">
      <c r="A38" s="2">
        <v>37</v>
      </c>
      <c r="B38" s="2" t="str">
        <f>IF(OR(局部木质部面积!B38="",局部木质部面积!B38=0),"",('导管（腔）总面积'!B38)/局部木质部面积!B38)</f>
        <v/>
      </c>
      <c r="C38" s="2" t="str">
        <f>IF(OR(局部木质部面积!C38="",局部木质部面积!C38=0),"",('导管（腔）总面积'!C38)/局部木质部面积!C38)</f>
        <v/>
      </c>
      <c r="D38" s="2" t="str">
        <f>IF(OR(局部木质部面积!D38="",局部木质部面积!D38=0),"",('导管（腔）总面积'!D38)/局部木质部面积!D38)</f>
        <v/>
      </c>
      <c r="E38" s="2" t="str">
        <f t="shared" si="1"/>
        <v/>
      </c>
    </row>
    <row r="39" spans="1:5" x14ac:dyDescent="0.15">
      <c r="A39" s="2">
        <v>38</v>
      </c>
      <c r="B39" s="2" t="str">
        <f>IF(OR(局部木质部面积!B39="",局部木质部面积!B39=0),"",('导管（腔）总面积'!B39)/局部木质部面积!B39)</f>
        <v/>
      </c>
      <c r="C39" s="2" t="str">
        <f>IF(OR(局部木质部面积!C39="",局部木质部面积!C39=0),"",('导管（腔）总面积'!C39)/局部木质部面积!C39)</f>
        <v/>
      </c>
      <c r="D39" s="2" t="str">
        <f>IF(OR(局部木质部面积!D39="",局部木质部面积!D39=0),"",('导管（腔）总面积'!D39)/局部木质部面积!D39)</f>
        <v/>
      </c>
      <c r="E39" s="2" t="str">
        <f t="shared" si="1"/>
        <v/>
      </c>
    </row>
    <row r="40" spans="1:5" x14ac:dyDescent="0.15">
      <c r="A40" s="2">
        <v>39</v>
      </c>
      <c r="B40" s="2" t="str">
        <f>IF(OR(局部木质部面积!B40="",局部木质部面积!B40=0),"",('导管（腔）总面积'!B40)/局部木质部面积!B40)</f>
        <v/>
      </c>
      <c r="C40" s="2" t="str">
        <f>IF(OR(局部木质部面积!C40="",局部木质部面积!C40=0),"",('导管（腔）总面积'!C40)/局部木质部面积!C40)</f>
        <v/>
      </c>
      <c r="D40" s="2" t="str">
        <f>IF(OR(局部木质部面积!D40="",局部木质部面积!D40=0),"",('导管（腔）总面积'!D40)/局部木质部面积!D40)</f>
        <v/>
      </c>
      <c r="E40" s="2" t="str">
        <f t="shared" si="1"/>
        <v/>
      </c>
    </row>
    <row r="41" spans="1:5" x14ac:dyDescent="0.15">
      <c r="A41" s="2">
        <v>40</v>
      </c>
      <c r="B41" s="2" t="str">
        <f>IF(OR(局部木质部面积!B41="",局部木质部面积!B41=0),"",('导管（腔）总面积'!B41)/局部木质部面积!B41)</f>
        <v/>
      </c>
      <c r="C41" s="2" t="str">
        <f>IF(OR(局部木质部面积!C41="",局部木质部面积!C41=0),"",('导管（腔）总面积'!C41)/局部木质部面积!C41)</f>
        <v/>
      </c>
      <c r="D41" s="2" t="str">
        <f>IF(OR(局部木质部面积!D41="",局部木质部面积!D41=0),"",('导管（腔）总面积'!D41)/局部木质部面积!D41)</f>
        <v/>
      </c>
      <c r="E41" s="2" t="str">
        <f t="shared" si="1"/>
        <v/>
      </c>
    </row>
    <row r="42" spans="1:5" x14ac:dyDescent="0.15">
      <c r="A42" s="2">
        <v>41</v>
      </c>
      <c r="B42" s="2" t="str">
        <f>IF(OR(局部木质部面积!B42="",局部木质部面积!B42=0),"",('导管（腔）总面积'!B42)/局部木质部面积!B42)</f>
        <v/>
      </c>
      <c r="C42" s="2" t="str">
        <f>IF(OR(局部木质部面积!C42="",局部木质部面积!C42=0),"",('导管（腔）总面积'!C42)/局部木质部面积!C42)</f>
        <v/>
      </c>
      <c r="D42" s="2" t="str">
        <f>IF(OR(局部木质部面积!D42="",局部木质部面积!D42=0),"",('导管（腔）总面积'!D42)/局部木质部面积!D42)</f>
        <v/>
      </c>
      <c r="E42" s="2" t="str">
        <f t="shared" si="1"/>
        <v/>
      </c>
    </row>
    <row r="43" spans="1:5" x14ac:dyDescent="0.15">
      <c r="A43" s="2">
        <v>42</v>
      </c>
      <c r="B43" s="2" t="str">
        <f>IF(OR(局部木质部面积!B43="",局部木质部面积!B43=0),"",('导管（腔）总面积'!B43)/局部木质部面积!B43)</f>
        <v/>
      </c>
      <c r="C43" s="2" t="str">
        <f>IF(OR(局部木质部面积!C43="",局部木质部面积!C43=0),"",('导管（腔）总面积'!C43)/局部木质部面积!C43)</f>
        <v/>
      </c>
      <c r="D43" s="2" t="str">
        <f>IF(OR(局部木质部面积!D43="",局部木质部面积!D43=0),"",('导管（腔）总面积'!D43)/局部木质部面积!D43)</f>
        <v/>
      </c>
      <c r="E43" s="2" t="str">
        <f t="shared" si="1"/>
        <v/>
      </c>
    </row>
    <row r="44" spans="1:5" x14ac:dyDescent="0.15">
      <c r="A44" s="2">
        <v>43</v>
      </c>
      <c r="B44" s="2" t="str">
        <f>IF(OR(局部木质部面积!B44="",局部木质部面积!B44=0),"",('导管（腔）总面积'!B44)/局部木质部面积!B44)</f>
        <v/>
      </c>
      <c r="C44" s="2" t="str">
        <f>IF(OR(局部木质部面积!C44="",局部木质部面积!C44=0),"",('导管（腔）总面积'!C44)/局部木质部面积!C44)</f>
        <v/>
      </c>
      <c r="D44" s="2" t="str">
        <f>IF(OR(局部木质部面积!D44="",局部木质部面积!D44=0),"",('导管（腔）总面积'!D44)/局部木质部面积!D44)</f>
        <v/>
      </c>
      <c r="E44" s="2" t="str">
        <f t="shared" si="1"/>
        <v/>
      </c>
    </row>
    <row r="45" spans="1:5" x14ac:dyDescent="0.15">
      <c r="A45" s="2">
        <v>44</v>
      </c>
      <c r="B45" s="2" t="str">
        <f>IF(OR(局部木质部面积!B45="",局部木质部面积!B45=0),"",('导管（腔）总面积'!B45)/局部木质部面积!B45)</f>
        <v/>
      </c>
      <c r="C45" s="2" t="str">
        <f>IF(OR(局部木质部面积!C45="",局部木质部面积!C45=0),"",('导管（腔）总面积'!C45)/局部木质部面积!C45)</f>
        <v/>
      </c>
      <c r="D45" s="2" t="str">
        <f>IF(OR(局部木质部面积!D45="",局部木质部面积!D45=0),"",('导管（腔）总面积'!D45)/局部木质部面积!D45)</f>
        <v/>
      </c>
      <c r="E45" s="2" t="str">
        <f t="shared" si="1"/>
        <v/>
      </c>
    </row>
    <row r="46" spans="1:5" x14ac:dyDescent="0.15">
      <c r="A46" s="2">
        <v>45</v>
      </c>
      <c r="B46" s="2" t="str">
        <f>IF(OR(局部木质部面积!B46="",局部木质部面积!B46=0),"",('导管（腔）总面积'!B46)/局部木质部面积!B46)</f>
        <v/>
      </c>
      <c r="C46" s="2" t="str">
        <f>IF(OR(局部木质部面积!C46="",局部木质部面积!C46=0),"",('导管（腔）总面积'!C46)/局部木质部面积!C46)</f>
        <v/>
      </c>
      <c r="D46" s="2" t="str">
        <f>IF(OR(局部木质部面积!D46="",局部木质部面积!D46=0),"",('导管（腔）总面积'!D46)/局部木质部面积!D46)</f>
        <v/>
      </c>
      <c r="E46" s="2" t="str">
        <f t="shared" si="1"/>
        <v/>
      </c>
    </row>
    <row r="47" spans="1:5" x14ac:dyDescent="0.15">
      <c r="A47" s="2">
        <v>46</v>
      </c>
      <c r="B47" s="2" t="str">
        <f>IF(OR(局部木质部面积!B47="",局部木质部面积!B47=0),"",('导管（腔）总面积'!B47)/局部木质部面积!B47)</f>
        <v/>
      </c>
      <c r="C47" s="2" t="str">
        <f>IF(OR(局部木质部面积!C47="",局部木质部面积!C47=0),"",('导管（腔）总面积'!C47)/局部木质部面积!C47)</f>
        <v/>
      </c>
      <c r="D47" s="2" t="str">
        <f>IF(OR(局部木质部面积!D47="",局部木质部面积!D47=0),"",('导管（腔）总面积'!D47)/局部木质部面积!D47)</f>
        <v/>
      </c>
      <c r="E47" s="2" t="str">
        <f t="shared" si="1"/>
        <v/>
      </c>
    </row>
    <row r="48" spans="1:5" x14ac:dyDescent="0.15">
      <c r="A48" s="2">
        <v>47</v>
      </c>
      <c r="B48" s="2" t="str">
        <f>IF(OR(局部木质部面积!B48="",局部木质部面积!B48=0),"",('导管（腔）总面积'!B48)/局部木质部面积!B48)</f>
        <v/>
      </c>
      <c r="C48" s="2" t="str">
        <f>IF(OR(局部木质部面积!C48="",局部木质部面积!C48=0),"",('导管（腔）总面积'!C48)/局部木质部面积!C48)</f>
        <v/>
      </c>
      <c r="D48" s="2" t="str">
        <f>IF(OR(局部木质部面积!D48="",局部木质部面积!D48=0),"",('导管（腔）总面积'!D48)/局部木质部面积!D48)</f>
        <v/>
      </c>
      <c r="E48" s="2" t="str">
        <f t="shared" si="1"/>
        <v/>
      </c>
    </row>
    <row r="49" spans="1:5" x14ac:dyDescent="0.15">
      <c r="A49" s="2">
        <v>48</v>
      </c>
      <c r="B49" s="2" t="str">
        <f>IF(OR(局部木质部面积!B49="",局部木质部面积!B49=0),"",('导管（腔）总面积'!B49)/局部木质部面积!B49)</f>
        <v/>
      </c>
      <c r="C49" s="2" t="str">
        <f>IF(OR(局部木质部面积!C49="",局部木质部面积!C49=0),"",('导管（腔）总面积'!C49)/局部木质部面积!C49)</f>
        <v/>
      </c>
      <c r="D49" s="2" t="str">
        <f>IF(OR(局部木质部面积!D49="",局部木质部面积!D49=0),"",('导管（腔）总面积'!D49)/局部木质部面积!D49)</f>
        <v/>
      </c>
      <c r="E49" s="2" t="str">
        <f t="shared" si="1"/>
        <v/>
      </c>
    </row>
    <row r="50" spans="1:5" x14ac:dyDescent="0.15">
      <c r="A50" s="2">
        <v>49</v>
      </c>
      <c r="B50" s="2" t="str">
        <f>IF(OR(局部木质部面积!B50="",局部木质部面积!B50=0),"",('导管（腔）总面积'!B50)/局部木质部面积!B50)</f>
        <v/>
      </c>
      <c r="C50" s="2" t="str">
        <f>IF(OR(局部木质部面积!C50="",局部木质部面积!C50=0),"",('导管（腔）总面积'!C50)/局部木质部面积!C50)</f>
        <v/>
      </c>
      <c r="D50" s="2" t="str">
        <f>IF(OR(局部木质部面积!D50="",局部木质部面积!D50=0),"",('导管（腔）总面积'!D50)/局部木质部面积!D50)</f>
        <v/>
      </c>
      <c r="E50" s="2" t="str">
        <f t="shared" si="1"/>
        <v/>
      </c>
    </row>
    <row r="51" spans="1:5" x14ac:dyDescent="0.15">
      <c r="A51" s="2">
        <v>50</v>
      </c>
      <c r="B51" s="2" t="str">
        <f>IF(OR(局部木质部面积!B51="",局部木质部面积!B51=0),"",('导管（腔）总面积'!B51)/局部木质部面积!B51)</f>
        <v/>
      </c>
      <c r="C51" s="2" t="str">
        <f>IF(OR(局部木质部面积!C51="",局部木质部面积!C51=0),"",('导管（腔）总面积'!C51)/局部木质部面积!C51)</f>
        <v/>
      </c>
      <c r="D51" s="2" t="str">
        <f>IF(OR(局部木质部面积!D51="",局部木质部面积!D51=0),"",('导管（腔）总面积'!D51)/局部木质部面积!D51)</f>
        <v/>
      </c>
      <c r="E51" s="2" t="str">
        <f t="shared" si="1"/>
        <v/>
      </c>
    </row>
    <row r="52" spans="1:5" x14ac:dyDescent="0.15">
      <c r="A52" s="2">
        <v>51</v>
      </c>
      <c r="B52" s="2" t="str">
        <f>IF(OR(局部木质部面积!B52="",局部木质部面积!B52=0),"",('导管（腔）总面积'!B52)/局部木质部面积!B52)</f>
        <v/>
      </c>
      <c r="C52" s="2" t="str">
        <f>IF(OR(局部木质部面积!C52="",局部木质部面积!C52=0),"",('导管（腔）总面积'!C52)/局部木质部面积!C52)</f>
        <v/>
      </c>
      <c r="D52" s="2" t="str">
        <f>IF(OR(局部木质部面积!D52="",局部木质部面积!D52=0),"",('导管（腔）总面积'!D52)/局部木质部面积!D52)</f>
        <v/>
      </c>
      <c r="E52" s="2" t="str">
        <f t="shared" si="1"/>
        <v/>
      </c>
    </row>
    <row r="53" spans="1:5" x14ac:dyDescent="0.15">
      <c r="A53" s="2">
        <v>52</v>
      </c>
      <c r="B53" s="2" t="str">
        <f>IF(OR(局部木质部面积!B53="",局部木质部面积!B53=0),"",('导管（腔）总面积'!B53)/局部木质部面积!B53)</f>
        <v/>
      </c>
      <c r="C53" s="2" t="str">
        <f>IF(OR(局部木质部面积!C53="",局部木质部面积!C53=0),"",('导管（腔）总面积'!C53)/局部木质部面积!C53)</f>
        <v/>
      </c>
      <c r="D53" s="2" t="str">
        <f>IF(OR(局部木质部面积!D53="",局部木质部面积!D53=0),"",('导管（腔）总面积'!D53)/局部木质部面积!D53)</f>
        <v/>
      </c>
      <c r="E53" s="2" t="str">
        <f t="shared" si="1"/>
        <v/>
      </c>
    </row>
    <row r="54" spans="1:5" x14ac:dyDescent="0.15">
      <c r="A54" s="2">
        <v>53</v>
      </c>
      <c r="B54" s="2" t="str">
        <f>IF(OR(局部木质部面积!B54="",局部木质部面积!B54=0),"",('导管（腔）总面积'!B54)/局部木质部面积!B54)</f>
        <v/>
      </c>
      <c r="C54" s="2" t="str">
        <f>IF(OR(局部木质部面积!C54="",局部木质部面积!C54=0),"",('导管（腔）总面积'!C54)/局部木质部面积!C54)</f>
        <v/>
      </c>
      <c r="D54" s="2" t="str">
        <f>IF(OR(局部木质部面积!D54="",局部木质部面积!D54=0),"",('导管（腔）总面积'!D54)/局部木质部面积!D54)</f>
        <v/>
      </c>
      <c r="E54" s="2" t="str">
        <f t="shared" si="1"/>
        <v/>
      </c>
    </row>
    <row r="55" spans="1:5" x14ac:dyDescent="0.15">
      <c r="A55" s="2">
        <v>54</v>
      </c>
      <c r="B55" s="2" t="str">
        <f>IF(OR(局部木质部面积!B55="",局部木质部面积!B55=0),"",('导管（腔）总面积'!B55)/局部木质部面积!B55)</f>
        <v/>
      </c>
      <c r="C55" s="2" t="str">
        <f>IF(OR(局部木质部面积!C55="",局部木质部面积!C55=0),"",('导管（腔）总面积'!C55)/局部木质部面积!C55)</f>
        <v/>
      </c>
      <c r="D55" s="2" t="str">
        <f>IF(OR(局部木质部面积!D55="",局部木质部面积!D55=0),"",('导管（腔）总面积'!D55)/局部木质部面积!D55)</f>
        <v/>
      </c>
      <c r="E55" s="2" t="str">
        <f t="shared" si="1"/>
        <v/>
      </c>
    </row>
    <row r="56" spans="1:5" x14ac:dyDescent="0.15">
      <c r="A56" s="2">
        <v>55</v>
      </c>
      <c r="B56" s="2" t="str">
        <f>IF(OR(局部木质部面积!B56="",局部木质部面积!B56=0),"",('导管（腔）总面积'!B56)/局部木质部面积!B56)</f>
        <v/>
      </c>
      <c r="C56" s="2" t="str">
        <f>IF(OR(局部木质部面积!C56="",局部木质部面积!C56=0),"",('导管（腔）总面积'!C56)/局部木质部面积!C56)</f>
        <v/>
      </c>
      <c r="D56" s="2" t="str">
        <f>IF(OR(局部木质部面积!D56="",局部木质部面积!D56=0),"",('导管（腔）总面积'!D56)/局部木质部面积!D56)</f>
        <v/>
      </c>
      <c r="E56" s="2" t="str">
        <f t="shared" si="1"/>
        <v/>
      </c>
    </row>
    <row r="57" spans="1:5" x14ac:dyDescent="0.15">
      <c r="A57" s="2">
        <v>56</v>
      </c>
      <c r="B57" s="2" t="str">
        <f>IF(OR(局部木质部面积!B57="",局部木质部面积!B57=0),"",('导管（腔）总面积'!B57)/局部木质部面积!B57)</f>
        <v/>
      </c>
      <c r="C57" s="2" t="str">
        <f>IF(OR(局部木质部面积!C57="",局部木质部面积!C57=0),"",('导管（腔）总面积'!C57)/局部木质部面积!C57)</f>
        <v/>
      </c>
      <c r="D57" s="2" t="str">
        <f>IF(OR(局部木质部面积!D57="",局部木质部面积!D57=0),"",('导管（腔）总面积'!D57)/局部木质部面积!D57)</f>
        <v/>
      </c>
      <c r="E57" s="2" t="str">
        <f t="shared" si="1"/>
        <v/>
      </c>
    </row>
    <row r="58" spans="1:5" x14ac:dyDescent="0.15">
      <c r="A58" s="2">
        <v>57</v>
      </c>
      <c r="B58" s="2" t="str">
        <f>IF(OR(局部木质部面积!B58="",局部木质部面积!B58=0),"",('导管（腔）总面积'!B58)/局部木质部面积!B58)</f>
        <v/>
      </c>
      <c r="C58" s="2" t="str">
        <f>IF(OR(局部木质部面积!C58="",局部木质部面积!C58=0),"",('导管（腔）总面积'!C58)/局部木质部面积!C58)</f>
        <v/>
      </c>
      <c r="D58" s="2" t="str">
        <f>IF(OR(局部木质部面积!D58="",局部木质部面积!D58=0),"",('导管（腔）总面积'!D58)/局部木质部面积!D58)</f>
        <v/>
      </c>
      <c r="E58" s="2" t="str">
        <f t="shared" si="1"/>
        <v/>
      </c>
    </row>
    <row r="59" spans="1:5" x14ac:dyDescent="0.15">
      <c r="A59" s="2">
        <v>58</v>
      </c>
      <c r="B59" s="2" t="str">
        <f>IF(OR(局部木质部面积!B59="",局部木质部面积!B59=0),"",('导管（腔）总面积'!B59)/局部木质部面积!B59)</f>
        <v/>
      </c>
      <c r="C59" s="2" t="str">
        <f>IF(OR(局部木质部面积!C59="",局部木质部面积!C59=0),"",('导管（腔）总面积'!C59)/局部木质部面积!C59)</f>
        <v/>
      </c>
      <c r="D59" s="2" t="str">
        <f>IF(OR(局部木质部面积!D59="",局部木质部面积!D59=0),"",('导管（腔）总面积'!D59)/局部木质部面积!D59)</f>
        <v/>
      </c>
      <c r="E59" s="2" t="str">
        <f t="shared" si="1"/>
        <v/>
      </c>
    </row>
    <row r="60" spans="1:5" x14ac:dyDescent="0.15">
      <c r="A60" s="2">
        <v>59</v>
      </c>
      <c r="B60" s="2" t="str">
        <f>IF(OR(局部木质部面积!B60="",局部木质部面积!B60=0),"",('导管（腔）总面积'!B60)/局部木质部面积!B60)</f>
        <v/>
      </c>
      <c r="C60" s="2" t="str">
        <f>IF(OR(局部木质部面积!C60="",局部木质部面积!C60=0),"",('导管（腔）总面积'!C60)/局部木质部面积!C60)</f>
        <v/>
      </c>
      <c r="D60" s="2" t="str">
        <f>IF(OR(局部木质部面积!D60="",局部木质部面积!D60=0),"",('导管（腔）总面积'!D60)/局部木质部面积!D60)</f>
        <v/>
      </c>
      <c r="E60" s="2" t="str">
        <f t="shared" si="1"/>
        <v/>
      </c>
    </row>
    <row r="61" spans="1:5" x14ac:dyDescent="0.15">
      <c r="A61" s="2">
        <v>60</v>
      </c>
      <c r="B61" s="2" t="str">
        <f>IF(OR(局部木质部面积!B61="",局部木质部面积!B61=0),"",('导管（腔）总面积'!B61)/局部木质部面积!B61)</f>
        <v/>
      </c>
      <c r="C61" s="2" t="str">
        <f>IF(OR(局部木质部面积!C61="",局部木质部面积!C61=0),"",('导管（腔）总面积'!C61)/局部木质部面积!C61)</f>
        <v/>
      </c>
      <c r="D61" s="2" t="str">
        <f>IF(OR(局部木质部面积!D61="",局部木质部面积!D61=0),"",('导管（腔）总面积'!D61)/局部木质部面积!D61)</f>
        <v/>
      </c>
      <c r="E61" s="2" t="str">
        <f t="shared" si="1"/>
        <v/>
      </c>
    </row>
    <row r="62" spans="1:5" x14ac:dyDescent="0.15">
      <c r="A62" s="2">
        <v>61</v>
      </c>
      <c r="B62" s="2" t="str">
        <f>IF(OR(局部木质部面积!B62="",局部木质部面积!B62=0),"",('导管（腔）总面积'!B62)/局部木质部面积!B62)</f>
        <v/>
      </c>
      <c r="C62" s="2" t="str">
        <f>IF(OR(局部木质部面积!C62="",局部木质部面积!C62=0),"",('导管（腔）总面积'!C62)/局部木质部面积!C62)</f>
        <v/>
      </c>
      <c r="D62" s="2" t="str">
        <f>IF(OR(局部木质部面积!D62="",局部木质部面积!D62=0),"",('导管（腔）总面积'!D62)/局部木质部面积!D62)</f>
        <v/>
      </c>
      <c r="E62" s="2" t="str">
        <f t="shared" si="1"/>
        <v/>
      </c>
    </row>
    <row r="63" spans="1:5" x14ac:dyDescent="0.15">
      <c r="A63" s="2">
        <v>62</v>
      </c>
      <c r="B63" s="2" t="str">
        <f>IF(OR(局部木质部面积!B63="",局部木质部面积!B63=0),"",('导管（腔）总面积'!B63)/局部木质部面积!B63)</f>
        <v/>
      </c>
      <c r="C63" s="2" t="str">
        <f>IF(OR(局部木质部面积!C63="",局部木质部面积!C63=0),"",('导管（腔）总面积'!C63)/局部木质部面积!C63)</f>
        <v/>
      </c>
      <c r="D63" s="2" t="str">
        <f>IF(OR(局部木质部面积!D63="",局部木质部面积!D63=0),"",('导管（腔）总面积'!D63)/局部木质部面积!D63)</f>
        <v/>
      </c>
      <c r="E63" s="2" t="str">
        <f t="shared" si="1"/>
        <v/>
      </c>
    </row>
    <row r="64" spans="1:5" x14ac:dyDescent="0.15">
      <c r="A64" s="2">
        <v>63</v>
      </c>
      <c r="B64" s="2" t="str">
        <f>IF(OR(局部木质部面积!B64="",局部木质部面积!B64=0),"",('导管（腔）总面积'!B64)/局部木质部面积!B64)</f>
        <v/>
      </c>
      <c r="C64" s="2" t="str">
        <f>IF(OR(局部木质部面积!C64="",局部木质部面积!C64=0),"",('导管（腔）总面积'!C64)/局部木质部面积!C64)</f>
        <v/>
      </c>
      <c r="D64" s="2" t="str">
        <f>IF(OR(局部木质部面积!D64="",局部木质部面积!D64=0),"",('导管（腔）总面积'!D64)/局部木质部面积!D64)</f>
        <v/>
      </c>
      <c r="E64" s="2" t="str">
        <f t="shared" si="1"/>
        <v/>
      </c>
    </row>
  </sheetData>
  <mergeCells count="1">
    <mergeCell ref="J7:N16"/>
  </mergeCells>
  <phoneticPr fontId="2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H32" sqref="H32"/>
    </sheetView>
  </sheetViews>
  <sheetFormatPr defaultColWidth="9" defaultRowHeight="13.5" x14ac:dyDescent="0.15"/>
  <cols>
    <col min="1" max="8" width="15.625" style="1" customWidth="1"/>
    <col min="9" max="10" width="33.125" style="1" customWidth="1"/>
    <col min="11" max="11" width="9" style="1" customWidth="1"/>
    <col min="12" max="16384" width="9" style="1"/>
  </cols>
  <sheetData>
    <row r="1" s="1" customFormat="1" x14ac:dyDescent="0.15"/>
  </sheetData>
  <phoneticPr fontId="2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64"/>
  <sheetViews>
    <sheetView workbookViewId="0">
      <selection activeCell="E1" sqref="E1:E1048576"/>
    </sheetView>
  </sheetViews>
  <sheetFormatPr defaultColWidth="9" defaultRowHeight="13.5" x14ac:dyDescent="0.15"/>
  <cols>
    <col min="1" max="1" width="9" style="1" customWidth="1"/>
    <col min="2" max="4" width="20.625" style="1" customWidth="1"/>
    <col min="5" max="5" width="9" style="1" customWidth="1"/>
    <col min="6" max="16384" width="9" style="1"/>
  </cols>
  <sheetData>
    <row r="1" spans="1:5" x14ac:dyDescent="0.15">
      <c r="A1" s="2" t="s">
        <v>0</v>
      </c>
      <c r="B1" s="2" t="s">
        <v>64</v>
      </c>
      <c r="C1" s="2" t="s">
        <v>65</v>
      </c>
      <c r="D1" s="2" t="s">
        <v>66</v>
      </c>
      <c r="E1" s="2" t="s">
        <v>23</v>
      </c>
    </row>
    <row r="2" spans="1:5" x14ac:dyDescent="0.15">
      <c r="A2" s="2">
        <v>1</v>
      </c>
      <c r="B2" s="2"/>
      <c r="C2" s="2"/>
      <c r="D2" s="2"/>
      <c r="E2" s="2" t="str">
        <f t="shared" ref="E2:E33" si="0">IF(COUNT(B2:D2)=0,"",AVERAGE(B2:D2))</f>
        <v/>
      </c>
    </row>
    <row r="3" spans="1:5" x14ac:dyDescent="0.15">
      <c r="A3" s="2">
        <v>2</v>
      </c>
      <c r="B3" s="2"/>
      <c r="C3" s="2"/>
      <c r="D3" s="2"/>
      <c r="E3" s="2" t="str">
        <f t="shared" si="0"/>
        <v/>
      </c>
    </row>
    <row r="4" spans="1:5" x14ac:dyDescent="0.15">
      <c r="A4" s="2">
        <v>3</v>
      </c>
      <c r="B4" s="2"/>
      <c r="C4" s="2"/>
      <c r="D4" s="2"/>
      <c r="E4" s="2" t="str">
        <f t="shared" si="0"/>
        <v/>
      </c>
    </row>
    <row r="5" spans="1:5" x14ac:dyDescent="0.15">
      <c r="A5" s="2">
        <v>4</v>
      </c>
      <c r="B5" s="2"/>
      <c r="C5" s="2"/>
      <c r="D5" s="2"/>
      <c r="E5" s="2" t="str">
        <f t="shared" si="0"/>
        <v/>
      </c>
    </row>
    <row r="6" spans="1:5" x14ac:dyDescent="0.15">
      <c r="A6" s="2">
        <v>5</v>
      </c>
      <c r="B6" s="2"/>
      <c r="C6" s="2"/>
      <c r="D6" s="2"/>
      <c r="E6" s="2" t="str">
        <f t="shared" si="0"/>
        <v/>
      </c>
    </row>
    <row r="7" spans="1:5" x14ac:dyDescent="0.15">
      <c r="A7" s="2">
        <v>6</v>
      </c>
      <c r="B7" s="2"/>
      <c r="C7" s="2"/>
      <c r="D7" s="2"/>
      <c r="E7" s="2" t="str">
        <f t="shared" si="0"/>
        <v/>
      </c>
    </row>
    <row r="8" spans="1:5" x14ac:dyDescent="0.15">
      <c r="A8" s="2">
        <v>7</v>
      </c>
      <c r="B8" s="2"/>
      <c r="C8" s="2"/>
      <c r="D8" s="2"/>
      <c r="E8" s="2" t="str">
        <f t="shared" si="0"/>
        <v/>
      </c>
    </row>
    <row r="9" spans="1:5" x14ac:dyDescent="0.15">
      <c r="A9" s="2">
        <v>8</v>
      </c>
      <c r="B9" s="2"/>
      <c r="C9" s="2"/>
      <c r="D9" s="2"/>
      <c r="E9" s="2" t="str">
        <f t="shared" si="0"/>
        <v/>
      </c>
    </row>
    <row r="10" spans="1:5" x14ac:dyDescent="0.15">
      <c r="A10" s="2">
        <v>9</v>
      </c>
      <c r="B10" s="2"/>
      <c r="C10" s="2"/>
      <c r="D10" s="2"/>
      <c r="E10" s="2" t="str">
        <f t="shared" si="0"/>
        <v/>
      </c>
    </row>
    <row r="11" spans="1:5" x14ac:dyDescent="0.15">
      <c r="A11" s="2">
        <v>10</v>
      </c>
      <c r="B11" s="2"/>
      <c r="C11" s="2"/>
      <c r="D11" s="2"/>
      <c r="E11" s="2" t="str">
        <f t="shared" si="0"/>
        <v/>
      </c>
    </row>
    <row r="12" spans="1:5" x14ac:dyDescent="0.15">
      <c r="A12" s="2">
        <v>11</v>
      </c>
      <c r="B12" s="2"/>
      <c r="C12" s="2"/>
      <c r="D12" s="2"/>
      <c r="E12" s="2" t="str">
        <f t="shared" si="0"/>
        <v/>
      </c>
    </row>
    <row r="13" spans="1:5" x14ac:dyDescent="0.15">
      <c r="A13" s="2">
        <v>12</v>
      </c>
      <c r="B13" s="2"/>
      <c r="C13" s="2"/>
      <c r="D13" s="2"/>
      <c r="E13" s="2" t="str">
        <f t="shared" si="0"/>
        <v/>
      </c>
    </row>
    <row r="14" spans="1:5" x14ac:dyDescent="0.15">
      <c r="A14" s="2">
        <v>13</v>
      </c>
      <c r="B14" s="2"/>
      <c r="C14" s="2"/>
      <c r="D14" s="2"/>
      <c r="E14" s="2" t="str">
        <f t="shared" si="0"/>
        <v/>
      </c>
    </row>
    <row r="15" spans="1:5" x14ac:dyDescent="0.15">
      <c r="A15" s="2">
        <v>14</v>
      </c>
      <c r="B15" s="2"/>
      <c r="C15" s="2"/>
      <c r="D15" s="2"/>
      <c r="E15" s="2" t="str">
        <f t="shared" si="0"/>
        <v/>
      </c>
    </row>
    <row r="16" spans="1:5" x14ac:dyDescent="0.15">
      <c r="A16" s="2">
        <v>15</v>
      </c>
      <c r="B16" s="2"/>
      <c r="C16" s="2"/>
      <c r="D16" s="2"/>
      <c r="E16" s="2" t="str">
        <f t="shared" si="0"/>
        <v/>
      </c>
    </row>
    <row r="17" spans="1:5" x14ac:dyDescent="0.15">
      <c r="A17" s="2">
        <v>16</v>
      </c>
      <c r="B17" s="2"/>
      <c r="C17" s="2"/>
      <c r="D17" s="2"/>
      <c r="E17" s="2" t="str">
        <f t="shared" si="0"/>
        <v/>
      </c>
    </row>
    <row r="18" spans="1:5" x14ac:dyDescent="0.15">
      <c r="A18" s="2">
        <v>17</v>
      </c>
      <c r="B18" s="2"/>
      <c r="C18" s="2"/>
      <c r="D18" s="2"/>
      <c r="E18" s="2" t="str">
        <f t="shared" si="0"/>
        <v/>
      </c>
    </row>
    <row r="19" spans="1:5" x14ac:dyDescent="0.15">
      <c r="A19" s="2">
        <v>18</v>
      </c>
      <c r="B19" s="2"/>
      <c r="C19" s="2"/>
      <c r="D19" s="2"/>
      <c r="E19" s="2" t="str">
        <f t="shared" si="0"/>
        <v/>
      </c>
    </row>
    <row r="20" spans="1:5" x14ac:dyDescent="0.15">
      <c r="A20" s="2">
        <v>19</v>
      </c>
      <c r="B20" s="2"/>
      <c r="C20" s="2"/>
      <c r="D20" s="2"/>
      <c r="E20" s="2" t="str">
        <f t="shared" si="0"/>
        <v/>
      </c>
    </row>
    <row r="21" spans="1:5" x14ac:dyDescent="0.15">
      <c r="A21" s="2">
        <v>20</v>
      </c>
      <c r="B21" s="2"/>
      <c r="C21" s="2"/>
      <c r="D21" s="2"/>
      <c r="E21" s="2" t="str">
        <f t="shared" si="0"/>
        <v/>
      </c>
    </row>
    <row r="22" spans="1:5" x14ac:dyDescent="0.15">
      <c r="A22" s="2">
        <v>21</v>
      </c>
      <c r="B22" s="2"/>
      <c r="C22" s="2"/>
      <c r="D22" s="2"/>
      <c r="E22" s="2" t="str">
        <f t="shared" si="0"/>
        <v/>
      </c>
    </row>
    <row r="23" spans="1:5" x14ac:dyDescent="0.15">
      <c r="A23" s="2">
        <v>22</v>
      </c>
      <c r="B23" s="2"/>
      <c r="C23" s="2"/>
      <c r="D23" s="2"/>
      <c r="E23" s="2" t="str">
        <f t="shared" si="0"/>
        <v/>
      </c>
    </row>
    <row r="24" spans="1:5" x14ac:dyDescent="0.15">
      <c r="A24" s="2">
        <v>23</v>
      </c>
      <c r="B24" s="2"/>
      <c r="C24" s="2"/>
      <c r="D24" s="2"/>
      <c r="E24" s="2" t="str">
        <f t="shared" si="0"/>
        <v/>
      </c>
    </row>
    <row r="25" spans="1:5" x14ac:dyDescent="0.15">
      <c r="A25" s="2">
        <v>24</v>
      </c>
      <c r="B25" s="2"/>
      <c r="C25" s="2"/>
      <c r="D25" s="2"/>
      <c r="E25" s="2" t="str">
        <f t="shared" si="0"/>
        <v/>
      </c>
    </row>
    <row r="26" spans="1:5" x14ac:dyDescent="0.15">
      <c r="A26" s="2">
        <v>25</v>
      </c>
      <c r="B26" s="2"/>
      <c r="C26" s="2"/>
      <c r="D26" s="2"/>
      <c r="E26" s="2" t="str">
        <f t="shared" si="0"/>
        <v/>
      </c>
    </row>
    <row r="27" spans="1:5" x14ac:dyDescent="0.15">
      <c r="A27" s="2">
        <v>26</v>
      </c>
      <c r="B27" s="2"/>
      <c r="C27" s="2"/>
      <c r="D27" s="2"/>
      <c r="E27" s="2" t="str">
        <f t="shared" si="0"/>
        <v/>
      </c>
    </row>
    <row r="28" spans="1:5" x14ac:dyDescent="0.15">
      <c r="A28" s="2">
        <v>27</v>
      </c>
      <c r="B28" s="2"/>
      <c r="C28" s="2"/>
      <c r="D28" s="2"/>
      <c r="E28" s="2" t="str">
        <f t="shared" si="0"/>
        <v/>
      </c>
    </row>
    <row r="29" spans="1:5" x14ac:dyDescent="0.15">
      <c r="A29" s="2">
        <v>28</v>
      </c>
      <c r="B29" s="2"/>
      <c r="C29" s="2"/>
      <c r="D29" s="2"/>
      <c r="E29" s="2" t="str">
        <f t="shared" si="0"/>
        <v/>
      </c>
    </row>
    <row r="30" spans="1:5" x14ac:dyDescent="0.15">
      <c r="A30" s="2">
        <v>29</v>
      </c>
      <c r="B30" s="2"/>
      <c r="C30" s="2"/>
      <c r="D30" s="2"/>
      <c r="E30" s="2" t="str">
        <f t="shared" si="0"/>
        <v/>
      </c>
    </row>
    <row r="31" spans="1:5" x14ac:dyDescent="0.15">
      <c r="A31" s="2">
        <v>30</v>
      </c>
      <c r="B31" s="2"/>
      <c r="C31" s="2"/>
      <c r="D31" s="2"/>
      <c r="E31" s="2" t="str">
        <f t="shared" si="0"/>
        <v/>
      </c>
    </row>
    <row r="32" spans="1:5" x14ac:dyDescent="0.15">
      <c r="A32" s="2">
        <v>31</v>
      </c>
      <c r="B32" s="2"/>
      <c r="C32" s="2"/>
      <c r="D32" s="2"/>
      <c r="E32" s="2" t="str">
        <f t="shared" si="0"/>
        <v/>
      </c>
    </row>
    <row r="33" spans="1:5" x14ac:dyDescent="0.15">
      <c r="A33" s="2">
        <v>32</v>
      </c>
      <c r="B33" s="2"/>
      <c r="C33" s="2"/>
      <c r="D33" s="2"/>
      <c r="E33" s="2" t="str">
        <f t="shared" si="0"/>
        <v/>
      </c>
    </row>
    <row r="34" spans="1:5" x14ac:dyDescent="0.15">
      <c r="A34" s="2">
        <v>33</v>
      </c>
      <c r="B34" s="2"/>
      <c r="C34" s="2"/>
      <c r="D34" s="2"/>
      <c r="E34" s="2" t="str">
        <f t="shared" ref="E34:E65" si="1">IF(COUNT(B34:D34)=0,"",AVERAGE(B34:D34))</f>
        <v/>
      </c>
    </row>
    <row r="35" spans="1:5" x14ac:dyDescent="0.15">
      <c r="A35" s="2">
        <v>34</v>
      </c>
      <c r="B35" s="2"/>
      <c r="C35" s="2"/>
      <c r="D35" s="2"/>
      <c r="E35" s="2" t="str">
        <f t="shared" si="1"/>
        <v/>
      </c>
    </row>
    <row r="36" spans="1:5" x14ac:dyDescent="0.15">
      <c r="A36" s="2">
        <v>35</v>
      </c>
      <c r="B36" s="2"/>
      <c r="C36" s="2"/>
      <c r="D36" s="2"/>
      <c r="E36" s="2" t="str">
        <f t="shared" si="1"/>
        <v/>
      </c>
    </row>
    <row r="37" spans="1:5" x14ac:dyDescent="0.15">
      <c r="A37" s="2">
        <v>36</v>
      </c>
      <c r="B37" s="2"/>
      <c r="C37" s="2"/>
      <c r="D37" s="2"/>
      <c r="E37" s="2" t="str">
        <f t="shared" si="1"/>
        <v/>
      </c>
    </row>
    <row r="38" spans="1:5" x14ac:dyDescent="0.15">
      <c r="A38" s="2">
        <v>37</v>
      </c>
      <c r="B38" s="2"/>
      <c r="C38" s="2"/>
      <c r="D38" s="2"/>
      <c r="E38" s="2" t="str">
        <f t="shared" si="1"/>
        <v/>
      </c>
    </row>
    <row r="39" spans="1:5" x14ac:dyDescent="0.15">
      <c r="A39" s="2">
        <v>38</v>
      </c>
      <c r="B39" s="2"/>
      <c r="C39" s="2"/>
      <c r="D39" s="2"/>
      <c r="E39" s="2" t="str">
        <f t="shared" si="1"/>
        <v/>
      </c>
    </row>
    <row r="40" spans="1:5" x14ac:dyDescent="0.15">
      <c r="A40" s="2">
        <v>39</v>
      </c>
      <c r="B40" s="2"/>
      <c r="C40" s="2"/>
      <c r="D40" s="2"/>
      <c r="E40" s="2" t="str">
        <f t="shared" si="1"/>
        <v/>
      </c>
    </row>
    <row r="41" spans="1:5" x14ac:dyDescent="0.15">
      <c r="A41" s="2">
        <v>40</v>
      </c>
      <c r="B41" s="2"/>
      <c r="C41" s="2"/>
      <c r="D41" s="2"/>
      <c r="E41" s="2" t="str">
        <f t="shared" si="1"/>
        <v/>
      </c>
    </row>
    <row r="42" spans="1:5" x14ac:dyDescent="0.15">
      <c r="A42" s="2">
        <v>41</v>
      </c>
      <c r="B42" s="2"/>
      <c r="C42" s="2"/>
      <c r="D42" s="2"/>
      <c r="E42" s="2" t="str">
        <f t="shared" si="1"/>
        <v/>
      </c>
    </row>
    <row r="43" spans="1:5" x14ac:dyDescent="0.15">
      <c r="A43" s="2">
        <v>42</v>
      </c>
      <c r="B43" s="2"/>
      <c r="C43" s="2"/>
      <c r="D43" s="2"/>
      <c r="E43" s="2" t="str">
        <f t="shared" si="1"/>
        <v/>
      </c>
    </row>
    <row r="44" spans="1:5" x14ac:dyDescent="0.15">
      <c r="A44" s="2">
        <v>43</v>
      </c>
      <c r="B44" s="2"/>
      <c r="C44" s="2"/>
      <c r="D44" s="2"/>
      <c r="E44" s="2" t="str">
        <f t="shared" si="1"/>
        <v/>
      </c>
    </row>
    <row r="45" spans="1:5" x14ac:dyDescent="0.15">
      <c r="A45" s="2">
        <v>44</v>
      </c>
      <c r="B45" s="2"/>
      <c r="C45" s="2"/>
      <c r="D45" s="2"/>
      <c r="E45" s="2" t="str">
        <f t="shared" si="1"/>
        <v/>
      </c>
    </row>
    <row r="46" spans="1:5" x14ac:dyDescent="0.15">
      <c r="A46" s="2">
        <v>45</v>
      </c>
      <c r="B46" s="2"/>
      <c r="C46" s="2"/>
      <c r="D46" s="2"/>
      <c r="E46" s="2" t="str">
        <f t="shared" si="1"/>
        <v/>
      </c>
    </row>
    <row r="47" spans="1:5" x14ac:dyDescent="0.15">
      <c r="A47" s="2">
        <v>46</v>
      </c>
      <c r="B47" s="2"/>
      <c r="C47" s="2"/>
      <c r="D47" s="2"/>
      <c r="E47" s="2" t="str">
        <f t="shared" si="1"/>
        <v/>
      </c>
    </row>
    <row r="48" spans="1:5" x14ac:dyDescent="0.15">
      <c r="A48" s="2">
        <v>47</v>
      </c>
      <c r="B48" s="2"/>
      <c r="C48" s="2"/>
      <c r="D48" s="2"/>
      <c r="E48" s="2" t="str">
        <f t="shared" si="1"/>
        <v/>
      </c>
    </row>
    <row r="49" spans="1:5" x14ac:dyDescent="0.15">
      <c r="A49" s="2">
        <v>48</v>
      </c>
      <c r="B49" s="2"/>
      <c r="C49" s="2"/>
      <c r="D49" s="2"/>
      <c r="E49" s="2" t="str">
        <f t="shared" si="1"/>
        <v/>
      </c>
    </row>
    <row r="50" spans="1:5" x14ac:dyDescent="0.15">
      <c r="A50" s="2">
        <v>49</v>
      </c>
      <c r="B50" s="2"/>
      <c r="C50" s="2"/>
      <c r="D50" s="2"/>
      <c r="E50" s="2" t="str">
        <f t="shared" si="1"/>
        <v/>
      </c>
    </row>
    <row r="51" spans="1:5" x14ac:dyDescent="0.15">
      <c r="A51" s="2">
        <v>50</v>
      </c>
      <c r="B51" s="2"/>
      <c r="C51" s="2"/>
      <c r="D51" s="2"/>
      <c r="E51" s="2" t="str">
        <f t="shared" si="1"/>
        <v/>
      </c>
    </row>
    <row r="52" spans="1:5" x14ac:dyDescent="0.15">
      <c r="A52" s="2">
        <v>51</v>
      </c>
      <c r="B52" s="2"/>
      <c r="C52" s="2"/>
      <c r="D52" s="2"/>
      <c r="E52" s="2" t="str">
        <f t="shared" si="1"/>
        <v/>
      </c>
    </row>
    <row r="53" spans="1:5" x14ac:dyDescent="0.15">
      <c r="A53" s="2">
        <v>52</v>
      </c>
      <c r="B53" s="2"/>
      <c r="C53" s="2"/>
      <c r="D53" s="2"/>
      <c r="E53" s="2" t="str">
        <f t="shared" si="1"/>
        <v/>
      </c>
    </row>
    <row r="54" spans="1:5" x14ac:dyDescent="0.15">
      <c r="A54" s="2">
        <v>53</v>
      </c>
      <c r="B54" s="2"/>
      <c r="C54" s="2"/>
      <c r="D54" s="2"/>
      <c r="E54" s="2" t="str">
        <f t="shared" si="1"/>
        <v/>
      </c>
    </row>
    <row r="55" spans="1:5" x14ac:dyDescent="0.15">
      <c r="A55" s="2">
        <v>54</v>
      </c>
      <c r="B55" s="2"/>
      <c r="C55" s="2"/>
      <c r="D55" s="2"/>
      <c r="E55" s="2" t="str">
        <f t="shared" si="1"/>
        <v/>
      </c>
    </row>
    <row r="56" spans="1:5" x14ac:dyDescent="0.15">
      <c r="A56" s="2">
        <v>55</v>
      </c>
      <c r="B56" s="2"/>
      <c r="C56" s="2"/>
      <c r="D56" s="2"/>
      <c r="E56" s="2" t="str">
        <f t="shared" si="1"/>
        <v/>
      </c>
    </row>
    <row r="57" spans="1:5" x14ac:dyDescent="0.15">
      <c r="A57" s="2">
        <v>56</v>
      </c>
      <c r="B57" s="2"/>
      <c r="C57" s="2"/>
      <c r="D57" s="2"/>
      <c r="E57" s="2" t="str">
        <f t="shared" si="1"/>
        <v/>
      </c>
    </row>
    <row r="58" spans="1:5" x14ac:dyDescent="0.15">
      <c r="A58" s="2">
        <v>57</v>
      </c>
      <c r="B58" s="2"/>
      <c r="C58" s="2"/>
      <c r="D58" s="2"/>
      <c r="E58" s="2" t="str">
        <f t="shared" si="1"/>
        <v/>
      </c>
    </row>
    <row r="59" spans="1:5" x14ac:dyDescent="0.15">
      <c r="A59" s="2">
        <v>58</v>
      </c>
      <c r="B59" s="2"/>
      <c r="C59" s="2"/>
      <c r="D59" s="2"/>
      <c r="E59" s="2" t="str">
        <f t="shared" si="1"/>
        <v/>
      </c>
    </row>
    <row r="60" spans="1:5" x14ac:dyDescent="0.15">
      <c r="A60" s="2">
        <v>59</v>
      </c>
      <c r="B60" s="2"/>
      <c r="C60" s="2"/>
      <c r="D60" s="2"/>
      <c r="E60" s="2" t="str">
        <f t="shared" si="1"/>
        <v/>
      </c>
    </row>
    <row r="61" spans="1:5" x14ac:dyDescent="0.15">
      <c r="A61" s="2">
        <v>60</v>
      </c>
      <c r="B61" s="2"/>
      <c r="C61" s="2"/>
      <c r="D61" s="2"/>
      <c r="E61" s="2" t="str">
        <f t="shared" si="1"/>
        <v/>
      </c>
    </row>
    <row r="62" spans="1:5" x14ac:dyDescent="0.15">
      <c r="A62" s="2">
        <v>61</v>
      </c>
      <c r="B62" s="2"/>
      <c r="C62" s="2"/>
      <c r="D62" s="2"/>
      <c r="E62" s="2" t="str">
        <f t="shared" si="1"/>
        <v/>
      </c>
    </row>
    <row r="63" spans="1:5" x14ac:dyDescent="0.15">
      <c r="A63" s="2">
        <v>62</v>
      </c>
      <c r="B63" s="2"/>
      <c r="C63" s="2"/>
      <c r="D63" s="2"/>
      <c r="E63" s="2" t="str">
        <f t="shared" si="1"/>
        <v/>
      </c>
    </row>
    <row r="64" spans="1:5" x14ac:dyDescent="0.15">
      <c r="A64" s="2">
        <v>63</v>
      </c>
      <c r="B64" s="2"/>
      <c r="C64" s="2"/>
      <c r="D64" s="2"/>
      <c r="E64" s="2" t="str">
        <f t="shared" si="1"/>
        <v/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汇总(均值)</vt:lpstr>
      <vt:lpstr>1区域</vt:lpstr>
      <vt:lpstr>半径长度</vt:lpstr>
      <vt:lpstr>木质部长度</vt:lpstr>
      <vt:lpstr>韧皮部长度</vt:lpstr>
      <vt:lpstr>皮层长度</vt:lpstr>
      <vt:lpstr>相对树皮厚度</vt:lpstr>
      <vt:lpstr>相对韧皮部厚度</vt:lpstr>
      <vt:lpstr>相对木质部厚度</vt:lpstr>
      <vt:lpstr>2区域 </vt:lpstr>
      <vt:lpstr>导管总数量</vt:lpstr>
      <vt:lpstr>导管（腔）总面积</vt:lpstr>
      <vt:lpstr>局部韧皮部面积</vt:lpstr>
      <vt:lpstr>局部髓面积</vt:lpstr>
      <vt:lpstr>局部木质部面积</vt:lpstr>
      <vt:lpstr>导管密度</vt:lpstr>
      <vt:lpstr>平均导管腔面积</vt:lpstr>
      <vt:lpstr>导管腔面积占木质部比例</vt:lpstr>
      <vt:lpstr>3区域</vt:lpstr>
      <vt:lpstr>形成层连续性评分1（坏）-10（好）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尉jj</dc:creator>
  <cp:lastModifiedBy>Vivien Dodd</cp:lastModifiedBy>
  <dcterms:created xsi:type="dcterms:W3CDTF">2023-05-12T11:15:00Z</dcterms:created>
  <dcterms:modified xsi:type="dcterms:W3CDTF">2026-08-30T05:41:18Z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1FDA7F6527CF43929382EDD6F06D2CE3_12</vt:lpwstr>
  </property>
  <property fmtid="{D5CDD505-2E9C-101B-9397-08002B2CF9AE}" pid="4" name="CalculationRule">
    <vt:i4>0</vt:i4>
  </property>
</Properties>
</file>