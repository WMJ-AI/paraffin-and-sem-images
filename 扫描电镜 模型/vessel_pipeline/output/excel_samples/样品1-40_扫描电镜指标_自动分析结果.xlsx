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导管母表_1781" sheetId="2" state="visible" r:id="rId2"/>
    <sheet name="候选导管审计" sheetId="3" state="visible" r:id="rId3"/>
    <sheet name="视野统计" sheetId="4" state="visible" r:id="rId4"/>
    <sheet name="导管对_CWR_172" sheetId="5" state="visible" r:id="rId5"/>
    <sheet name="TVW线测量明细" sheetId="6" state="visible" r:id="rId6"/>
    <sheet name="Sheet1 统计结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扫描电镜指标汇总（通用规则自动管线，格式同 Wand 模板）</t>
        </is>
      </c>
    </row>
    <row r="2">
      <c r="A2" t="inlineStr">
        <is>
          <t>A/D/Dh：1781个全部合格导管；CWR：172个唯一相贴导管对；344个CWR1/2只作侧别追溯，不视为独立重复。跨样品1–40（共40个）合并母表；Sheet1按样品分行。</t>
        </is>
      </c>
    </row>
    <row r="4">
      <c r="A4" t="inlineStr">
        <is>
          <t>统计层级</t>
        </is>
      </c>
      <c r="B4" t="inlineStr">
        <is>
          <t>数值</t>
        </is>
      </c>
      <c r="C4" t="inlineStr">
        <is>
          <t>单位</t>
        </is>
      </c>
      <c r="D4" t="inlineStr">
        <is>
          <t>解释</t>
        </is>
      </c>
    </row>
    <row r="5">
      <c r="A5" t="inlineStr">
        <is>
          <t>n_vessel</t>
        </is>
      </c>
      <c r="B5">
        <f>COUNTA(导管母表_1781!C2:C1782)</f>
        <v/>
      </c>
      <c r="C5" t="inlineStr">
        <is>
          <t>个导管</t>
        </is>
      </c>
      <c r="D5" t="inlineStr">
        <is>
          <t>A/D/Dh技术观测</t>
        </is>
      </c>
    </row>
    <row r="6">
      <c r="A6" t="inlineStr">
        <is>
          <t>n_pair</t>
        </is>
      </c>
      <c r="B6">
        <f>COUNTA(导管对_CWR_172!A2:A173)</f>
        <v/>
      </c>
      <c r="C6" t="inlineStr">
        <is>
          <t>个导管对</t>
        </is>
      </c>
      <c r="D6" t="inlineStr">
        <is>
          <t>CWR主统计单位</t>
        </is>
      </c>
    </row>
    <row r="7">
      <c r="A7" t="inlineStr">
        <is>
          <t>n_component</t>
        </is>
      </c>
      <c r="B7">
        <f>2*B6</f>
        <v/>
      </c>
      <c r="C7" t="inlineStr">
        <is>
          <t>个侧别分量</t>
        </is>
      </c>
      <c r="D7" t="inlineStr">
        <is>
          <t>CWR1/2，仅追溯；非独立</t>
        </is>
      </c>
    </row>
    <row r="8">
      <c r="A8" t="inlineStr">
        <is>
          <t>n_line</t>
        </is>
      </c>
      <c r="B8">
        <f>COUNT(TVW线测量明细!J2:J388)</f>
        <v/>
      </c>
      <c r="C8" t="inlineStr">
        <is>
          <t>条线</t>
        </is>
      </c>
      <c r="D8" t="inlineStr">
        <is>
          <t>壁内技术测量</t>
        </is>
      </c>
    </row>
    <row r="9">
      <c r="A9" t="inlineStr">
        <is>
          <t>n_bio</t>
        </is>
      </c>
      <c r="B9" t="inlineStr">
        <is>
          <t>40</t>
        </is>
      </c>
      <c r="C9" t="inlineStr">
        <is>
          <t>个样品</t>
        </is>
      </c>
      <c r="D9" t="inlineStr">
        <is>
          <t>Sheet1每行一个样品生物学单位</t>
        </is>
      </c>
    </row>
    <row r="11">
      <c r="A11" t="inlineStr">
        <is>
          <t>统计量</t>
        </is>
      </c>
      <c r="B11" t="inlineStr">
        <is>
          <t>Ai (μm²)</t>
        </is>
      </c>
      <c r="C11" t="inlineStr">
        <is>
          <t>Di (μm)</t>
        </is>
      </c>
      <c r="D11" t="inlineStr">
        <is>
          <t>TVW_pair (μm)</t>
        </is>
      </c>
      <c r="E11" t="inlineStr">
        <is>
          <t>CWR_pair</t>
        </is>
      </c>
      <c r="F11" t="inlineStr">
        <is>
          <t>层级说明</t>
        </is>
      </c>
    </row>
    <row r="12">
      <c r="A12" t="inlineStr">
        <is>
          <t>n</t>
        </is>
      </c>
      <c r="B12">
        <f>COUNT(导管母表_1781!F2:F1782)</f>
        <v/>
      </c>
      <c r="C12">
        <f>COUNT(导管母表_1781!G2:G1782)</f>
        <v/>
      </c>
      <c r="D12">
        <f>COUNT(导管对_CWR_172!K2:K173)</f>
        <v/>
      </c>
      <c r="E12">
        <f>COUNT(导管对_CWR_172!S2:S173)</f>
        <v/>
      </c>
      <c r="F12" t="inlineStr">
        <is>
          <t>导管/导管对</t>
        </is>
      </c>
    </row>
    <row r="13">
      <c r="A13" t="inlineStr">
        <is>
          <t>均值</t>
        </is>
      </c>
      <c r="B13">
        <f>AVERAGE(导管母表_1781!F2:F1782)</f>
        <v/>
      </c>
      <c r="C13">
        <f>AVERAGE(导管母表_1781!G2:G1782)</f>
        <v/>
      </c>
      <c r="D13">
        <f>AVERAGE(导管对_CWR_172!K2:K173)</f>
        <v/>
      </c>
      <c r="E13">
        <f>AVERAGE(导管对_CWR_172!S2:S173)</f>
        <v/>
      </c>
      <c r="F13" t="inlineStr">
        <is>
          <t>CWR为pair均值</t>
        </is>
      </c>
    </row>
    <row r="14">
      <c r="A14" t="inlineStr">
        <is>
          <t>SD</t>
        </is>
      </c>
      <c r="B14">
        <f>STDEV(导管母表_1781!F2:F1782)</f>
        <v/>
      </c>
      <c r="C14">
        <f>STDEV(导管母表_1781!G2:G1782)</f>
        <v/>
      </c>
      <c r="D14">
        <f>STDEV(导管对_CWR_172!K2:K173)</f>
        <v/>
      </c>
      <c r="E14">
        <f>STDEV(导管对_CWR_172!S2:S173)</f>
        <v/>
      </c>
      <c r="F14" t="inlineStr">
        <is>
          <t>技术变异</t>
        </is>
      </c>
    </row>
    <row r="15">
      <c r="A15" t="inlineStr">
        <is>
          <t>中位数</t>
        </is>
      </c>
      <c r="B15">
        <f>MEDIAN(导管母表_1781!F2:F1782)</f>
        <v/>
      </c>
      <c r="C15">
        <f>MEDIAN(导管母表_1781!G2:G1782)</f>
        <v/>
      </c>
      <c r="D15">
        <f>MEDIAN(导管对_CWR_172!K2:K173)</f>
        <v/>
      </c>
      <c r="E15">
        <f>MEDIAN(导管对_CWR_172!S2:S173)</f>
        <v/>
      </c>
      <c r="F15" t="inlineStr">
        <is>
          <t>稳健位置统计</t>
        </is>
      </c>
    </row>
    <row r="16">
      <c r="A16" t="inlineStr">
        <is>
          <t>Q1</t>
        </is>
      </c>
      <c r="B16">
        <f>QUARTILE(导管母表_1781!F2:F1782,1)</f>
        <v/>
      </c>
      <c r="C16">
        <f>QUARTILE(导管母表_1781!G2:G1782,1)</f>
        <v/>
      </c>
      <c r="D16">
        <f>QUARTILE(导管对_CWR_172!K2:K173,1)</f>
        <v/>
      </c>
      <c r="E16">
        <f>QUARTILE(导管对_CWR_172!S2:S173,1)</f>
        <v/>
      </c>
      <c r="F16" t="inlineStr">
        <is>
          <t>25%分位</t>
        </is>
      </c>
    </row>
    <row r="17">
      <c r="A17" t="inlineStr">
        <is>
          <t>Q3</t>
        </is>
      </c>
      <c r="B17">
        <f>QUARTILE(导管母表_1781!F2:F1782,3)</f>
        <v/>
      </c>
      <c r="C17">
        <f>QUARTILE(导管母表_1781!G2:G1782,3)</f>
        <v/>
      </c>
      <c r="D17">
        <f>QUARTILE(导管对_CWR_172!K2:K173,3)</f>
        <v/>
      </c>
      <c r="E17">
        <f>QUARTILE(导管对_CWR_172!S2:S173,3)</f>
        <v/>
      </c>
      <c r="F17" t="inlineStr">
        <is>
          <t>75%分位</t>
        </is>
      </c>
    </row>
    <row r="18">
      <c r="A18" t="inlineStr">
        <is>
          <t>最小</t>
        </is>
      </c>
      <c r="B18">
        <f>MIN(导管母表_1781!F2:F1782)</f>
        <v/>
      </c>
      <c r="C18">
        <f>MIN(导管母表_1781!G2:G1782)</f>
        <v/>
      </c>
      <c r="D18">
        <f>MIN(导管对_CWR_172!K2:K173)</f>
        <v/>
      </c>
      <c r="E18">
        <f>MIN(导管对_CWR_172!S2:S173)</f>
        <v/>
      </c>
    </row>
    <row r="19">
      <c r="A19" t="inlineStr">
        <is>
          <t>最大</t>
        </is>
      </c>
      <c r="B19">
        <f>MAX(导管母表_1781!F2:F1782)</f>
        <v/>
      </c>
      <c r="C19">
        <f>MAX(导管母表_1781!G2:G1782)</f>
        <v/>
      </c>
      <c r="D19">
        <f>MAX(导管对_CWR_172!K2:K173)</f>
        <v/>
      </c>
      <c r="E19">
        <f>MAX(导管对_CWR_172!S2:S173)</f>
        <v/>
      </c>
    </row>
    <row r="20">
      <c r="A20" t="inlineStr">
        <is>
          <t>CV (%)</t>
        </is>
      </c>
      <c r="B20">
        <f>B14/B13*100</f>
        <v/>
      </c>
      <c r="C20">
        <f>C14/C13*100</f>
        <v/>
      </c>
      <c r="D20">
        <f>D14/D13*100</f>
        <v/>
      </c>
      <c r="E20">
        <f>E14/E13*100</f>
        <v/>
      </c>
      <c r="F20" t="inlineStr">
        <is>
          <t>SD/均值×100</t>
        </is>
      </c>
    </row>
    <row r="22">
      <c r="A22" t="inlineStr">
        <is>
          <t>一致性/水力指标</t>
        </is>
      </c>
      <c r="B22" t="inlineStr">
        <is>
          <t>结果</t>
        </is>
      </c>
      <c r="C22" t="inlineStr">
        <is>
          <t>单位</t>
        </is>
      </c>
      <c r="D22" t="inlineStr">
        <is>
          <t>公式或说明</t>
        </is>
      </c>
    </row>
    <row r="23">
      <c r="A23" t="inlineStr">
        <is>
          <t>侧别分量算术均值</t>
        </is>
      </c>
      <c r="B23">
        <f>(SUM(导管对_CWR_172!Q2:Q173)+SUM(导管对_CWR_172!R2:R173))/(2*B6)</f>
        <v/>
      </c>
      <c r="C23" t="inlineStr">
        <is>
          <t>无量纲</t>
        </is>
      </c>
      <c r="D23" t="inlineStr">
        <is>
          <t>应与CWR_pair均值一致；统计n仍为n_pair</t>
        </is>
      </c>
    </row>
    <row r="24">
      <c r="A24" t="inlineStr">
        <is>
          <t>CWR层级一致性误差</t>
        </is>
      </c>
      <c r="B24">
        <f>ABS(B23-E13)</f>
        <v/>
      </c>
      <c r="C24" t="inlineStr">
        <is>
          <t>无量纲</t>
        </is>
      </c>
      <c r="D24" t="inlineStr">
        <is>
          <t>应为0（浮点容差内）</t>
        </is>
      </c>
    </row>
    <row r="25">
      <c r="A25" t="inlineStr">
        <is>
          <t>Dh（全库合并，仅参考）</t>
        </is>
      </c>
      <c r="B25">
        <f>SUMPRODUCT(导管母表_1781!G2:G1782^5)/SUMPRODUCT(导管母表_1781!G2:G1782^4)</f>
        <v/>
      </c>
      <c r="C25" t="inlineStr">
        <is>
          <t>μm</t>
        </is>
      </c>
      <c r="D25" t="inlineStr">
        <is>
          <t>ΣDi⁵/ΣDi⁴；正式按样品见Sheet1</t>
        </is>
      </c>
    </row>
    <row r="27">
      <c r="A27" t="inlineStr">
        <is>
          <t>CWR方案</t>
        </is>
      </c>
      <c r="B27" t="inlineStr">
        <is>
          <t>CWR均值</t>
        </is>
      </c>
      <c r="C27" t="inlineStr">
        <is>
          <t>与主值差异 (%)</t>
        </is>
      </c>
      <c r="D27" t="inlineStr">
        <is>
          <t>用途</t>
        </is>
      </c>
    </row>
    <row r="28">
      <c r="A28" t="inlineStr">
        <is>
          <t>优化主值：TVW壁内均值(3–5线)</t>
        </is>
      </c>
      <c r="B28">
        <f>AVERAGE(导管对_CWR_172!S2:S173)</f>
        <v/>
      </c>
      <c r="C28" t="n">
        <v>0</v>
      </c>
      <c r="D28" t="inlineStr">
        <is>
          <t>主结果</t>
        </is>
      </c>
    </row>
    <row r="29">
      <c r="A29" t="inlineStr">
        <is>
          <t>优化敏感性：TVW壁内中位数</t>
        </is>
      </c>
      <c r="B29">
        <f>AVERAGE(导管对_CWR_172!V2:V173)</f>
        <v/>
      </c>
      <c r="C29">
        <f>B29/B28*100-100</f>
        <v/>
      </c>
      <c r="D29" t="inlineStr">
        <is>
          <t>评估壁内汇总函数</t>
        </is>
      </c>
    </row>
    <row r="30">
      <c r="A30" t="inlineStr">
        <is>
          <t>旧单线法</t>
        </is>
      </c>
      <c r="B30">
        <f>AVERAGE(导管对_CWR_172!T2:T173)</f>
        <v/>
      </c>
      <c r="C30">
        <f>B30/B28*100-100</f>
        <v/>
      </c>
      <c r="D30" t="inlineStr">
        <is>
          <t>评估单线选择影响</t>
        </is>
      </c>
    </row>
    <row r="31">
      <c r="A31" t="inlineStr">
        <is>
          <t>Dtarget版本</t>
        </is>
      </c>
      <c r="B31">
        <f>AVERAGE(导管对_CWR_172!X2:X173)</f>
        <v/>
      </c>
      <c r="C31">
        <f>B31/B28*100-100</f>
        <v/>
      </c>
      <c r="D31" t="inlineStr">
        <is>
          <t>仅方法敏感性；非主公式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图像文件</t>
        </is>
      </c>
      <c r="C1" t="inlineStr">
        <is>
          <t>ROI编号</t>
        </is>
      </c>
      <c r="D1" t="inlineStr">
        <is>
          <t>导管序号</t>
        </is>
      </c>
      <c r="E1" t="inlineStr">
        <is>
          <t>状态</t>
        </is>
      </c>
      <c r="F1" t="inlineStr">
        <is>
          <t>Ai (μm²)</t>
        </is>
      </c>
      <c r="G1" t="inlineStr">
        <is>
          <t>Di=2√(Ai/π) (μm)</t>
        </is>
      </c>
      <c r="H1" t="inlineStr">
        <is>
          <t>周长 (μm)</t>
        </is>
      </c>
      <c r="I1" t="inlineStr">
        <is>
          <t>中心X (px)</t>
        </is>
      </c>
      <c r="J1" t="inlineStr">
        <is>
          <t>中心Y (px)</t>
        </is>
      </c>
      <c r="K1" t="inlineStr">
        <is>
          <t>Ai敏感性下限</t>
        </is>
      </c>
      <c r="L1" t="inlineStr">
        <is>
          <t>Ai敏感性上限</t>
        </is>
      </c>
      <c r="M1" t="inlineStr">
        <is>
          <t>Di敏感性下限</t>
        </is>
      </c>
      <c r="N1" t="inlineStr">
        <is>
          <t>Di敏感性上限</t>
        </is>
      </c>
      <c r="O1" t="inlineStr">
        <is>
          <t>Pair_ID（若用于CWR）</t>
        </is>
      </c>
      <c r="P1" t="inlineStr">
        <is>
          <t>用于A/D/Dh</t>
        </is>
      </c>
      <c r="Q1" t="inlineStr">
        <is>
          <t>来源/质控</t>
        </is>
      </c>
      <c r="R1" t="inlineStr">
        <is>
          <t>样品</t>
        </is>
      </c>
    </row>
    <row r="2">
      <c r="A2" t="n">
        <v>1</v>
      </c>
      <c r="B2" t="inlineStr">
        <is>
          <t>1 (1).tif</t>
        </is>
      </c>
      <c r="C2" t="inlineStr">
        <is>
          <t>1(1)-V01</t>
        </is>
      </c>
      <c r="D2" t="n">
        <v>1</v>
      </c>
      <c r="E2" t="inlineStr">
        <is>
          <t>primary</t>
        </is>
      </c>
      <c r="F2" t="n">
        <v>685.5387523629489</v>
      </c>
      <c r="G2">
        <f>2*SQRT(F2/PI())</f>
        <v/>
      </c>
      <c r="H2" t="n">
        <v>98.14037805018218</v>
      </c>
      <c r="I2" t="n">
        <v>450</v>
      </c>
      <c r="J2" t="n">
        <v>490</v>
      </c>
      <c r="K2" t="n">
        <v>671.82797731569</v>
      </c>
      <c r="L2" t="n">
        <v>699.2495274102079</v>
      </c>
      <c r="M2">
        <f>2*SQRT(K2/PI())</f>
        <v/>
      </c>
      <c r="N2">
        <f>2*SQRT(L2/PI())</f>
        <v/>
      </c>
      <c r="P2" t="inlineStr">
        <is>
          <t>是</t>
        </is>
      </c>
      <c r="Q2" t="inlineStr">
        <is>
          <t>auto_pipeline;review_png_green</t>
        </is>
      </c>
      <c r="R2" t="inlineStr">
        <is>
          <t>样品1</t>
        </is>
      </c>
    </row>
    <row r="3">
      <c r="A3" t="n">
        <v>2</v>
      </c>
      <c r="B3" t="inlineStr">
        <is>
          <t>1 (1).tif</t>
        </is>
      </c>
      <c r="C3" t="inlineStr">
        <is>
          <t>1(1)-V02</t>
        </is>
      </c>
      <c r="D3" t="n">
        <v>2</v>
      </c>
      <c r="E3" t="inlineStr">
        <is>
          <t>primary</t>
        </is>
      </c>
      <c r="F3" t="n">
        <v>509.0737240075615</v>
      </c>
      <c r="G3">
        <f>2*SQRT(F3/PI())</f>
        <v/>
      </c>
      <c r="H3" t="n">
        <v>85.54448132929595</v>
      </c>
      <c r="I3" t="n">
        <v>889</v>
      </c>
      <c r="J3" t="n">
        <v>143</v>
      </c>
      <c r="K3" t="n">
        <v>498.8922495274102</v>
      </c>
      <c r="L3" t="n">
        <v>519.2551984877127</v>
      </c>
      <c r="M3">
        <f>2*SQRT(K3/PI())</f>
        <v/>
      </c>
      <c r="N3">
        <f>2*SQRT(L3/PI())</f>
        <v/>
      </c>
      <c r="O3" t="inlineStr">
        <is>
          <t>1(1)-P01</t>
        </is>
      </c>
      <c r="P3" t="inlineStr">
        <is>
          <t>是</t>
        </is>
      </c>
      <c r="Q3" t="inlineStr">
        <is>
          <t>auto_pipeline;review_png_green</t>
        </is>
      </c>
      <c r="R3" t="inlineStr">
        <is>
          <t>样品1</t>
        </is>
      </c>
    </row>
    <row r="4">
      <c r="A4" t="n">
        <v>3</v>
      </c>
      <c r="B4" t="inlineStr">
        <is>
          <t>1 (1).tif</t>
        </is>
      </c>
      <c r="C4" t="inlineStr">
        <is>
          <t>1(1)-V03</t>
        </is>
      </c>
      <c r="D4" t="n">
        <v>3</v>
      </c>
      <c r="E4" t="inlineStr">
        <is>
          <t>primary</t>
        </is>
      </c>
      <c r="F4" t="n">
        <v>498.1805293005671</v>
      </c>
      <c r="G4">
        <f>2*SQRT(F4/PI())</f>
        <v/>
      </c>
      <c r="H4" t="n">
        <v>83.93269577751988</v>
      </c>
      <c r="I4" t="n">
        <v>930</v>
      </c>
      <c r="J4" t="n">
        <v>298</v>
      </c>
      <c r="K4" t="n">
        <v>488.2169187145558</v>
      </c>
      <c r="L4" t="n">
        <v>508.1441398865784</v>
      </c>
      <c r="M4">
        <f>2*SQRT(K4/PI())</f>
        <v/>
      </c>
      <c r="N4">
        <f>2*SQRT(L4/PI())</f>
        <v/>
      </c>
      <c r="O4" t="inlineStr">
        <is>
          <t>1(1)-P01</t>
        </is>
      </c>
      <c r="P4" t="inlineStr">
        <is>
          <t>是</t>
        </is>
      </c>
      <c r="Q4" t="inlineStr">
        <is>
          <t>auto_pipeline;review_png_green</t>
        </is>
      </c>
      <c r="R4" t="inlineStr">
        <is>
          <t>样品1</t>
        </is>
      </c>
    </row>
    <row r="5">
      <c r="A5" t="n">
        <v>4</v>
      </c>
      <c r="B5" t="inlineStr">
        <is>
          <t>1 (1).tif</t>
        </is>
      </c>
      <c r="C5" t="inlineStr">
        <is>
          <t>1(1)-V04</t>
        </is>
      </c>
      <c r="D5" t="n">
        <v>4</v>
      </c>
      <c r="E5" t="inlineStr">
        <is>
          <t>primary</t>
        </is>
      </c>
      <c r="F5" t="n">
        <v>424.1020793950851</v>
      </c>
      <c r="G5">
        <f>2*SQRT(F5/PI())</f>
        <v/>
      </c>
      <c r="H5" t="n">
        <v>77.25271276805712</v>
      </c>
      <c r="I5" t="n">
        <v>169</v>
      </c>
      <c r="J5" t="n">
        <v>255</v>
      </c>
      <c r="K5" t="n">
        <v>415.6200378071833</v>
      </c>
      <c r="L5" t="n">
        <v>432.5841209829868</v>
      </c>
      <c r="M5">
        <f>2*SQRT(K5/PI())</f>
        <v/>
      </c>
      <c r="N5">
        <f>2*SQRT(L5/PI())</f>
        <v/>
      </c>
      <c r="P5" t="inlineStr">
        <is>
          <t>是</t>
        </is>
      </c>
      <c r="Q5" t="inlineStr">
        <is>
          <t>auto_pipeline;review_png_green</t>
        </is>
      </c>
      <c r="R5" t="inlineStr">
        <is>
          <t>样品1</t>
        </is>
      </c>
    </row>
    <row r="6">
      <c r="A6" t="n">
        <v>5</v>
      </c>
      <c r="B6" t="inlineStr">
        <is>
          <t>1 (1).tif</t>
        </is>
      </c>
      <c r="C6" t="inlineStr">
        <is>
          <t>1(1)-V05</t>
        </is>
      </c>
      <c r="D6" t="n">
        <v>5</v>
      </c>
      <c r="E6" t="inlineStr">
        <is>
          <t>primary</t>
        </is>
      </c>
      <c r="F6" t="n">
        <v>373.9603024574669</v>
      </c>
      <c r="G6">
        <f>2*SQRT(F6/PI())</f>
        <v/>
      </c>
      <c r="H6" t="n">
        <v>72.90488668110059</v>
      </c>
      <c r="I6" t="n">
        <v>457</v>
      </c>
      <c r="J6" t="n">
        <v>325</v>
      </c>
      <c r="K6" t="n">
        <v>366.4810964083176</v>
      </c>
      <c r="L6" t="n">
        <v>381.4395085066163</v>
      </c>
      <c r="M6">
        <f>2*SQRT(K6/PI())</f>
        <v/>
      </c>
      <c r="N6">
        <f>2*SQRT(L6/PI())</f>
        <v/>
      </c>
      <c r="P6" t="inlineStr">
        <is>
          <t>是</t>
        </is>
      </c>
      <c r="Q6" t="inlineStr">
        <is>
          <t>auto_pipeline;review_png_green</t>
        </is>
      </c>
      <c r="R6" t="inlineStr">
        <is>
          <t>样品1</t>
        </is>
      </c>
    </row>
    <row r="7">
      <c r="A7" t="n">
        <v>6</v>
      </c>
      <c r="B7" t="inlineStr">
        <is>
          <t>1 (1).tif</t>
        </is>
      </c>
      <c r="C7" t="inlineStr">
        <is>
          <t>1(1)-V06</t>
        </is>
      </c>
      <c r="D7" t="n">
        <v>6</v>
      </c>
      <c r="E7" t="inlineStr">
        <is>
          <t>primary</t>
        </is>
      </c>
      <c r="F7" t="n">
        <v>320.9593572778828</v>
      </c>
      <c r="G7">
        <f>2*SQRT(F7/PI())</f>
        <v/>
      </c>
      <c r="H7" t="n">
        <v>67.49835250170334</v>
      </c>
      <c r="I7" t="n">
        <v>138</v>
      </c>
      <c r="J7" t="n">
        <v>384</v>
      </c>
      <c r="K7" t="n">
        <v>314.5401701323252</v>
      </c>
      <c r="L7" t="n">
        <v>327.3785444234405</v>
      </c>
      <c r="M7">
        <f>2*SQRT(K7/PI())</f>
        <v/>
      </c>
      <c r="N7">
        <f>2*SQRT(L7/PI())</f>
        <v/>
      </c>
      <c r="P7" t="inlineStr">
        <is>
          <t>是</t>
        </is>
      </c>
      <c r="Q7" t="inlineStr">
        <is>
          <t>auto_pipeline;review_png_green</t>
        </is>
      </c>
      <c r="R7" t="inlineStr">
        <is>
          <t>样品1</t>
        </is>
      </c>
    </row>
    <row r="8">
      <c r="A8" t="n">
        <v>7</v>
      </c>
      <c r="B8" t="inlineStr">
        <is>
          <t>1 (1).tif</t>
        </is>
      </c>
      <c r="C8" t="inlineStr">
        <is>
          <t>1(1)-V07</t>
        </is>
      </c>
      <c r="D8" t="n">
        <v>7</v>
      </c>
      <c r="E8" t="inlineStr">
        <is>
          <t>primary</t>
        </is>
      </c>
      <c r="F8" t="n">
        <v>315.9735349716446</v>
      </c>
      <c r="G8">
        <f>2*SQRT(F8/PI())</f>
        <v/>
      </c>
      <c r="H8" t="n">
        <v>68.24057283608809</v>
      </c>
      <c r="I8" t="n">
        <v>554</v>
      </c>
      <c r="J8" t="n">
        <v>85</v>
      </c>
      <c r="K8" t="n">
        <v>309.6540642722117</v>
      </c>
      <c r="L8" t="n">
        <v>322.2930056710775</v>
      </c>
      <c r="M8">
        <f>2*SQRT(K8/PI())</f>
        <v/>
      </c>
      <c r="N8">
        <f>2*SQRT(L8/PI())</f>
        <v/>
      </c>
      <c r="P8" t="inlineStr">
        <is>
          <t>是</t>
        </is>
      </c>
      <c r="Q8" t="inlineStr">
        <is>
          <t>auto_pipeline;review_png_green</t>
        </is>
      </c>
      <c r="R8" t="inlineStr">
        <is>
          <t>样品1</t>
        </is>
      </c>
    </row>
    <row r="9">
      <c r="A9" t="n">
        <v>8</v>
      </c>
      <c r="B9" t="inlineStr">
        <is>
          <t>1 (1).tif</t>
        </is>
      </c>
      <c r="C9" t="inlineStr">
        <is>
          <t>1(1)-V08</t>
        </is>
      </c>
      <c r="D9" t="n">
        <v>8</v>
      </c>
      <c r="E9" t="inlineStr">
        <is>
          <t>primary</t>
        </is>
      </c>
      <c r="F9" t="n">
        <v>111.4366729678639</v>
      </c>
      <c r="G9">
        <f>2*SQRT(F9/PI())</f>
        <v/>
      </c>
      <c r="H9" t="n">
        <v>50.93666434288025</v>
      </c>
      <c r="I9" t="n">
        <v>44</v>
      </c>
      <c r="J9" t="n">
        <v>312</v>
      </c>
      <c r="K9" t="n">
        <v>109.2079395085066</v>
      </c>
      <c r="L9" t="n">
        <v>113.6654064272212</v>
      </c>
      <c r="M9">
        <f>2*SQRT(K9/PI())</f>
        <v/>
      </c>
      <c r="N9">
        <f>2*SQRT(L9/PI())</f>
        <v/>
      </c>
      <c r="P9" t="inlineStr">
        <is>
          <t>是</t>
        </is>
      </c>
      <c r="Q9" t="inlineStr">
        <is>
          <t>auto_pipeline;review_png_green</t>
        </is>
      </c>
      <c r="R9" t="inlineStr">
        <is>
          <t>样品1</t>
        </is>
      </c>
    </row>
    <row r="10">
      <c r="A10" t="n">
        <v>9</v>
      </c>
      <c r="B10" t="inlineStr">
        <is>
          <t>1 (2).tif</t>
        </is>
      </c>
      <c r="C10" t="inlineStr">
        <is>
          <t>1(2)-V01</t>
        </is>
      </c>
      <c r="D10" t="n">
        <v>1</v>
      </c>
      <c r="E10" t="inlineStr">
        <is>
          <t>primary</t>
        </is>
      </c>
      <c r="F10" t="n">
        <v>579.3478260869565</v>
      </c>
      <c r="G10">
        <f>2*SQRT(F10/PI())</f>
        <v/>
      </c>
      <c r="H10" t="n">
        <v>92.45730514111726</v>
      </c>
      <c r="I10" t="n">
        <v>405</v>
      </c>
      <c r="J10" t="n">
        <v>164</v>
      </c>
      <c r="K10" t="n">
        <v>567.7608695652174</v>
      </c>
      <c r="L10" t="n">
        <v>590.9347826086956</v>
      </c>
      <c r="M10">
        <f>2*SQRT(K10/PI())</f>
        <v/>
      </c>
      <c r="N10">
        <f>2*SQRT(L10/PI())</f>
        <v/>
      </c>
      <c r="P10" t="inlineStr">
        <is>
          <t>是</t>
        </is>
      </c>
      <c r="Q10" t="inlineStr">
        <is>
          <t>auto_pipeline;review_png_green</t>
        </is>
      </c>
      <c r="R10" t="inlineStr">
        <is>
          <t>样品1</t>
        </is>
      </c>
    </row>
    <row r="11">
      <c r="A11" t="n">
        <v>10</v>
      </c>
      <c r="B11" t="inlineStr">
        <is>
          <t>1 (2).tif</t>
        </is>
      </c>
      <c r="C11" t="inlineStr">
        <is>
          <t>1(2)-V02</t>
        </is>
      </c>
      <c r="D11" t="n">
        <v>2</v>
      </c>
      <c r="E11" t="inlineStr">
        <is>
          <t>primary</t>
        </is>
      </c>
      <c r="F11" t="n">
        <v>561.2948960302457</v>
      </c>
      <c r="G11">
        <f>2*SQRT(F11/PI())</f>
        <v/>
      </c>
      <c r="H11" t="n">
        <v>88.61885858618695</v>
      </c>
      <c r="I11" t="n">
        <v>421</v>
      </c>
      <c r="J11" t="n">
        <v>331</v>
      </c>
      <c r="K11" t="n">
        <v>550.0689981096408</v>
      </c>
      <c r="L11" t="n">
        <v>572.5207939508506</v>
      </c>
      <c r="M11">
        <f>2*SQRT(K11/PI())</f>
        <v/>
      </c>
      <c r="N11">
        <f>2*SQRT(L11/PI())</f>
        <v/>
      </c>
      <c r="O11" t="inlineStr">
        <is>
          <t>1(2)-P01</t>
        </is>
      </c>
      <c r="P11" t="inlineStr">
        <is>
          <t>是</t>
        </is>
      </c>
      <c r="Q11" t="inlineStr">
        <is>
          <t>auto_pipeline;review_png_green</t>
        </is>
      </c>
      <c r="R11" t="inlineStr">
        <is>
          <t>样品1</t>
        </is>
      </c>
    </row>
    <row r="12">
      <c r="A12" t="n">
        <v>11</v>
      </c>
      <c r="B12" t="inlineStr">
        <is>
          <t>1 (2).tif</t>
        </is>
      </c>
      <c r="C12" t="inlineStr">
        <is>
          <t>1(2)-V03</t>
        </is>
      </c>
      <c r="D12" t="n">
        <v>3</v>
      </c>
      <c r="E12" t="inlineStr">
        <is>
          <t>primary</t>
        </is>
      </c>
      <c r="F12" t="n">
        <v>444.5179584120983</v>
      </c>
      <c r="G12">
        <f>2*SQRT(F12/PI())</f>
        <v/>
      </c>
      <c r="H12" t="n">
        <v>79.60671865421793</v>
      </c>
      <c r="I12" t="n">
        <v>794</v>
      </c>
      <c r="J12" t="n">
        <v>608</v>
      </c>
      <c r="K12" t="n">
        <v>435.6275992438564</v>
      </c>
      <c r="L12" t="n">
        <v>453.4083175803403</v>
      </c>
      <c r="M12">
        <f>2*SQRT(K12/PI())</f>
        <v/>
      </c>
      <c r="N12">
        <f>2*SQRT(L12/PI())</f>
        <v/>
      </c>
      <c r="P12" t="inlineStr">
        <is>
          <t>是</t>
        </is>
      </c>
      <c r="Q12" t="inlineStr">
        <is>
          <t>auto_pipeline;review_png_green</t>
        </is>
      </c>
      <c r="R12" t="inlineStr">
        <is>
          <t>样品1</t>
        </is>
      </c>
    </row>
    <row r="13">
      <c r="A13" t="n">
        <v>12</v>
      </c>
      <c r="B13" t="inlineStr">
        <is>
          <t>1 (2).tif</t>
        </is>
      </c>
      <c r="C13" t="inlineStr">
        <is>
          <t>1(2)-V04</t>
        </is>
      </c>
      <c r="D13" t="n">
        <v>4</v>
      </c>
      <c r="E13" t="inlineStr">
        <is>
          <t>primary</t>
        </is>
      </c>
      <c r="F13" t="n">
        <v>299.3856332703214</v>
      </c>
      <c r="G13">
        <f>2*SQRT(F13/PI())</f>
        <v/>
      </c>
      <c r="H13" t="n">
        <v>64.76231196652287</v>
      </c>
      <c r="I13" t="n">
        <v>531</v>
      </c>
      <c r="J13" t="n">
        <v>390</v>
      </c>
      <c r="K13" t="n">
        <v>293.3979206049149</v>
      </c>
      <c r="L13" t="n">
        <v>305.3733459357278</v>
      </c>
      <c r="M13">
        <f>2*SQRT(K13/PI())</f>
        <v/>
      </c>
      <c r="N13">
        <f>2*SQRT(L13/PI())</f>
        <v/>
      </c>
      <c r="O13" t="inlineStr">
        <is>
          <t>1(2)-P01</t>
        </is>
      </c>
      <c r="P13" t="inlineStr">
        <is>
          <t>是</t>
        </is>
      </c>
      <c r="Q13" t="inlineStr">
        <is>
          <t>auto_pipeline;review_png_green</t>
        </is>
      </c>
      <c r="R13" t="inlineStr">
        <is>
          <t>样品1</t>
        </is>
      </c>
    </row>
    <row r="14">
      <c r="A14" t="n">
        <v>13</v>
      </c>
      <c r="B14" t="inlineStr">
        <is>
          <t>1 (2).tif</t>
        </is>
      </c>
      <c r="C14" t="inlineStr">
        <is>
          <t>1(2)-V05</t>
        </is>
      </c>
      <c r="D14" t="n">
        <v>5</v>
      </c>
      <c r="E14" t="inlineStr">
        <is>
          <t>primary</t>
        </is>
      </c>
      <c r="F14" t="n">
        <v>242.273156899811</v>
      </c>
      <c r="G14">
        <f>2*SQRT(F14/PI())</f>
        <v/>
      </c>
      <c r="H14" t="n">
        <v>60.79652052858602</v>
      </c>
      <c r="I14" t="n">
        <v>484</v>
      </c>
      <c r="J14" t="n">
        <v>77</v>
      </c>
      <c r="K14" t="n">
        <v>237.4276937618147</v>
      </c>
      <c r="L14" t="n">
        <v>247.1186200378072</v>
      </c>
      <c r="M14">
        <f>2*SQRT(K14/PI())</f>
        <v/>
      </c>
      <c r="N14">
        <f>2*SQRT(L14/PI())</f>
        <v/>
      </c>
      <c r="P14" t="inlineStr">
        <is>
          <t>是</t>
        </is>
      </c>
      <c r="Q14" t="inlineStr">
        <is>
          <t>auto_pipeline;review_png_green</t>
        </is>
      </c>
      <c r="R14" t="inlineStr">
        <is>
          <t>样品1</t>
        </is>
      </c>
    </row>
    <row r="15">
      <c r="A15" t="n">
        <v>14</v>
      </c>
      <c r="B15" t="inlineStr">
        <is>
          <t>1 (2).tif</t>
        </is>
      </c>
      <c r="C15" t="inlineStr">
        <is>
          <t>1(2)-V06</t>
        </is>
      </c>
      <c r="D15" t="n">
        <v>6</v>
      </c>
      <c r="E15" t="inlineStr">
        <is>
          <t>primary</t>
        </is>
      </c>
      <c r="F15" t="n">
        <v>184.6880907372401</v>
      </c>
      <c r="G15">
        <f>2*SQRT(F15/PI())</f>
        <v/>
      </c>
      <c r="H15" t="n">
        <v>52.52660093100175</v>
      </c>
      <c r="I15" t="n">
        <v>122</v>
      </c>
      <c r="J15" t="n">
        <v>288</v>
      </c>
      <c r="K15" t="n">
        <v>180.9943289224953</v>
      </c>
      <c r="L15" t="n">
        <v>188.3818525519849</v>
      </c>
      <c r="M15">
        <f>2*SQRT(K15/PI())</f>
        <v/>
      </c>
      <c r="N15">
        <f>2*SQRT(L15/PI())</f>
        <v/>
      </c>
      <c r="P15" t="inlineStr">
        <is>
          <t>是</t>
        </is>
      </c>
      <c r="Q15" t="inlineStr">
        <is>
          <t>auto_pipeline;review_png_green</t>
        </is>
      </c>
      <c r="R15" t="inlineStr">
        <is>
          <t>样品1</t>
        </is>
      </c>
    </row>
    <row r="16">
      <c r="A16" t="n">
        <v>15</v>
      </c>
      <c r="B16" t="inlineStr">
        <is>
          <t>1 (2).tif</t>
        </is>
      </c>
      <c r="C16" t="inlineStr">
        <is>
          <t>1(2)-V07</t>
        </is>
      </c>
      <c r="D16" t="n">
        <v>7</v>
      </c>
      <c r="E16" t="inlineStr">
        <is>
          <t>primary</t>
        </is>
      </c>
      <c r="F16" t="n">
        <v>183.9792060491493</v>
      </c>
      <c r="G16">
        <f>2*SQRT(F16/PI())</f>
        <v/>
      </c>
      <c r="H16" t="n">
        <v>51.29685002824534</v>
      </c>
      <c r="I16" t="n">
        <v>84</v>
      </c>
      <c r="J16" t="n">
        <v>116</v>
      </c>
      <c r="K16" t="n">
        <v>180.2996219281663</v>
      </c>
      <c r="L16" t="n">
        <v>187.6587901701323</v>
      </c>
      <c r="M16">
        <f>2*SQRT(K16/PI())</f>
        <v/>
      </c>
      <c r="N16">
        <f>2*SQRT(L16/PI())</f>
        <v/>
      </c>
      <c r="P16" t="inlineStr">
        <is>
          <t>是</t>
        </is>
      </c>
      <c r="Q16" t="inlineStr">
        <is>
          <t>auto_pipeline;review_png_green</t>
        </is>
      </c>
      <c r="R16" t="inlineStr">
        <is>
          <t>样品1</t>
        </is>
      </c>
    </row>
    <row r="17">
      <c r="A17" t="n">
        <v>16</v>
      </c>
      <c r="B17" t="inlineStr">
        <is>
          <t>1 (2).tif</t>
        </is>
      </c>
      <c r="C17" t="inlineStr">
        <is>
          <t>1(2)-V08</t>
        </is>
      </c>
      <c r="D17" t="n">
        <v>8</v>
      </c>
      <c r="E17" t="inlineStr">
        <is>
          <t>primary</t>
        </is>
      </c>
      <c r="F17" t="n">
        <v>118.5491493383743</v>
      </c>
      <c r="G17">
        <f>2*SQRT(F17/PI())</f>
        <v/>
      </c>
      <c r="H17" t="n">
        <v>56.29950059496838</v>
      </c>
      <c r="I17" t="n">
        <v>804</v>
      </c>
      <c r="J17" t="n">
        <v>310</v>
      </c>
      <c r="K17" t="n">
        <v>116.1781663516068</v>
      </c>
      <c r="L17" t="n">
        <v>120.9201323251418</v>
      </c>
      <c r="M17">
        <f>2*SQRT(K17/PI())</f>
        <v/>
      </c>
      <c r="N17">
        <f>2*SQRT(L17/PI())</f>
        <v/>
      </c>
      <c r="P17" t="inlineStr">
        <is>
          <t>是</t>
        </is>
      </c>
      <c r="Q17" t="inlineStr">
        <is>
          <t>auto_pipeline;review_png_green</t>
        </is>
      </c>
      <c r="R17" t="inlineStr">
        <is>
          <t>样品1</t>
        </is>
      </c>
    </row>
    <row r="18">
      <c r="A18" t="n">
        <v>17</v>
      </c>
      <c r="B18" t="inlineStr">
        <is>
          <t>1 (3).tif</t>
        </is>
      </c>
      <c r="C18" t="inlineStr">
        <is>
          <t>1(3)-V01</t>
        </is>
      </c>
      <c r="D18" t="n">
        <v>1</v>
      </c>
      <c r="E18" t="inlineStr">
        <is>
          <t>primary</t>
        </is>
      </c>
      <c r="F18" t="n">
        <v>735.5151228733459</v>
      </c>
      <c r="G18">
        <f>2*SQRT(F18/PI())</f>
        <v/>
      </c>
      <c r="H18" t="n">
        <v>104.0999896889147</v>
      </c>
      <c r="I18" t="n">
        <v>594</v>
      </c>
      <c r="J18" t="n">
        <v>427</v>
      </c>
      <c r="K18" t="n">
        <v>720.804820415879</v>
      </c>
      <c r="L18" t="n">
        <v>750.2254253308129</v>
      </c>
      <c r="M18">
        <f>2*SQRT(K18/PI())</f>
        <v/>
      </c>
      <c r="N18">
        <f>2*SQRT(L18/PI())</f>
        <v/>
      </c>
      <c r="O18" t="inlineStr">
        <is>
          <t>1(3)-P01</t>
        </is>
      </c>
      <c r="P18" t="inlineStr">
        <is>
          <t>是</t>
        </is>
      </c>
      <c r="Q18" t="inlineStr">
        <is>
          <t>auto_pipeline;review_png_green</t>
        </is>
      </c>
      <c r="R18" t="inlineStr">
        <is>
          <t>样品1</t>
        </is>
      </c>
    </row>
    <row r="19">
      <c r="A19" t="n">
        <v>18</v>
      </c>
      <c r="B19" t="inlineStr">
        <is>
          <t>1 (3).tif</t>
        </is>
      </c>
      <c r="C19" t="inlineStr">
        <is>
          <t>1(3)-V02</t>
        </is>
      </c>
      <c r="D19" t="n">
        <v>2</v>
      </c>
      <c r="E19" t="inlineStr">
        <is>
          <t>primary</t>
        </is>
      </c>
      <c r="F19" t="n">
        <v>365.3355387523629</v>
      </c>
      <c r="G19">
        <f>2*SQRT(F19/PI())</f>
        <v/>
      </c>
      <c r="H19" t="n">
        <v>73.69080494279447</v>
      </c>
      <c r="I19" t="n">
        <v>462</v>
      </c>
      <c r="J19" t="n">
        <v>331</v>
      </c>
      <c r="K19" t="n">
        <v>358.0288279773156</v>
      </c>
      <c r="L19" t="n">
        <v>372.6422495274102</v>
      </c>
      <c r="M19">
        <f>2*SQRT(K19/PI())</f>
        <v/>
      </c>
      <c r="N19">
        <f>2*SQRT(L19/PI())</f>
        <v/>
      </c>
      <c r="O19" t="inlineStr">
        <is>
          <t>1(3)-P01</t>
        </is>
      </c>
      <c r="P19" t="inlineStr">
        <is>
          <t>是</t>
        </is>
      </c>
      <c r="Q19" t="inlineStr">
        <is>
          <t>auto_pipeline;review_png_green</t>
        </is>
      </c>
      <c r="R19" t="inlineStr">
        <is>
          <t>样品1</t>
        </is>
      </c>
    </row>
    <row r="20">
      <c r="A20" t="n">
        <v>19</v>
      </c>
      <c r="B20" t="inlineStr">
        <is>
          <t>1 (3).tif</t>
        </is>
      </c>
      <c r="C20" t="inlineStr">
        <is>
          <t>1(3)-V03</t>
        </is>
      </c>
      <c r="D20" t="n">
        <v>3</v>
      </c>
      <c r="E20" t="inlineStr">
        <is>
          <t>primary</t>
        </is>
      </c>
      <c r="F20" t="n">
        <v>177.4574669187145</v>
      </c>
      <c r="G20">
        <f>2*SQRT(F20/PI())</f>
        <v/>
      </c>
      <c r="H20" t="n">
        <v>53.80004976106726</v>
      </c>
      <c r="I20" t="n">
        <v>51</v>
      </c>
      <c r="J20" t="n">
        <v>583</v>
      </c>
      <c r="K20" t="n">
        <v>173.9083175803403</v>
      </c>
      <c r="L20" t="n">
        <v>181.0066162570888</v>
      </c>
      <c r="M20">
        <f>2*SQRT(K20/PI())</f>
        <v/>
      </c>
      <c r="N20">
        <f>2*SQRT(L20/PI())</f>
        <v/>
      </c>
      <c r="P20" t="inlineStr">
        <is>
          <t>是</t>
        </is>
      </c>
      <c r="Q20" t="inlineStr">
        <is>
          <t>auto_pipeline;review_png_green</t>
        </is>
      </c>
      <c r="R20" t="inlineStr">
        <is>
          <t>样品1</t>
        </is>
      </c>
    </row>
    <row r="21">
      <c r="A21" t="n">
        <v>20</v>
      </c>
      <c r="B21" t="inlineStr">
        <is>
          <t>1 (4).tif</t>
        </is>
      </c>
      <c r="C21" t="inlineStr">
        <is>
          <t>1(4)-V01</t>
        </is>
      </c>
      <c r="D21" t="n">
        <v>1</v>
      </c>
      <c r="E21" t="inlineStr">
        <is>
          <t>primary</t>
        </is>
      </c>
      <c r="F21" t="n">
        <v>834.0264650283553</v>
      </c>
      <c r="G21">
        <f>2*SQRT(F21/PI())</f>
        <v/>
      </c>
      <c r="H21" t="n">
        <v>108.2767729655556</v>
      </c>
      <c r="I21" t="n">
        <v>429</v>
      </c>
      <c r="J21" t="n">
        <v>362</v>
      </c>
      <c r="K21" t="n">
        <v>817.3459357277882</v>
      </c>
      <c r="L21" t="n">
        <v>850.7069943289225</v>
      </c>
      <c r="M21">
        <f>2*SQRT(K21/PI())</f>
        <v/>
      </c>
      <c r="N21">
        <f>2*SQRT(L21/PI())</f>
        <v/>
      </c>
      <c r="O21" t="inlineStr">
        <is>
          <t>1(4)-P01</t>
        </is>
      </c>
      <c r="P21" t="inlineStr">
        <is>
          <t>是</t>
        </is>
      </c>
      <c r="Q21" t="inlineStr">
        <is>
          <t>auto_pipeline;review_png_green</t>
        </is>
      </c>
      <c r="R21" t="inlineStr">
        <is>
          <t>样品1</t>
        </is>
      </c>
    </row>
    <row r="22">
      <c r="A22" t="n">
        <v>21</v>
      </c>
      <c r="B22" t="inlineStr">
        <is>
          <t>1 (4).tif</t>
        </is>
      </c>
      <c r="C22" t="inlineStr">
        <is>
          <t>1(4)-V02</t>
        </is>
      </c>
      <c r="D22" t="n">
        <v>2</v>
      </c>
      <c r="E22" t="inlineStr">
        <is>
          <t>primary</t>
        </is>
      </c>
      <c r="F22" t="n">
        <v>686.4839319470699</v>
      </c>
      <c r="G22">
        <f>2*SQRT(F22/PI())</f>
        <v/>
      </c>
      <c r="H22" t="n">
        <v>98.14037805018218</v>
      </c>
      <c r="I22" t="n">
        <v>585</v>
      </c>
      <c r="J22" t="n">
        <v>373</v>
      </c>
      <c r="K22" t="n">
        <v>672.7542533081285</v>
      </c>
      <c r="L22" t="n">
        <v>700.2136105860113</v>
      </c>
      <c r="M22">
        <f>2*SQRT(K22/PI())</f>
        <v/>
      </c>
      <c r="N22">
        <f>2*SQRT(L22/PI())</f>
        <v/>
      </c>
      <c r="O22" t="inlineStr">
        <is>
          <t>1(4)-P01</t>
        </is>
      </c>
      <c r="P22" t="inlineStr">
        <is>
          <t>是</t>
        </is>
      </c>
      <c r="Q22" t="inlineStr">
        <is>
          <t>auto_pipeline;review_png_green</t>
        </is>
      </c>
      <c r="R22" t="inlineStr">
        <is>
          <t>样品1</t>
        </is>
      </c>
    </row>
    <row r="23">
      <c r="A23" t="n">
        <v>22</v>
      </c>
      <c r="B23" t="inlineStr">
        <is>
          <t>1 (4).tif</t>
        </is>
      </c>
      <c r="C23" t="inlineStr">
        <is>
          <t>1(4)-V03</t>
        </is>
      </c>
      <c r="D23" t="n">
        <v>3</v>
      </c>
      <c r="E23" t="inlineStr">
        <is>
          <t>primary</t>
        </is>
      </c>
      <c r="F23" t="n">
        <v>560.1606805293005</v>
      </c>
      <c r="G23">
        <f>2*SQRT(F23/PI())</f>
        <v/>
      </c>
      <c r="H23" t="n">
        <v>88.61885858618695</v>
      </c>
      <c r="I23" t="n">
        <v>779</v>
      </c>
      <c r="J23" t="n">
        <v>360</v>
      </c>
      <c r="K23" t="n">
        <v>548.9574669187145</v>
      </c>
      <c r="L23" t="n">
        <v>571.3638941398865</v>
      </c>
      <c r="M23">
        <f>2*SQRT(K23/PI())</f>
        <v/>
      </c>
      <c r="N23">
        <f>2*SQRT(L23/PI())</f>
        <v/>
      </c>
      <c r="P23" t="inlineStr">
        <is>
          <t>是</t>
        </is>
      </c>
      <c r="Q23" t="inlineStr">
        <is>
          <t>auto_pipeline;review_png_green</t>
        </is>
      </c>
      <c r="R23" t="inlineStr">
        <is>
          <t>样品1</t>
        </is>
      </c>
    </row>
    <row r="24">
      <c r="A24" t="n">
        <v>23</v>
      </c>
      <c r="B24" t="inlineStr">
        <is>
          <t>1 (4).tif</t>
        </is>
      </c>
      <c r="C24" t="inlineStr">
        <is>
          <t>1(4)-V04</t>
        </is>
      </c>
      <c r="D24" t="n">
        <v>4</v>
      </c>
      <c r="E24" t="inlineStr">
        <is>
          <t>primary</t>
        </is>
      </c>
      <c r="F24" t="n">
        <v>493.1474480151228</v>
      </c>
      <c r="G24">
        <f>2*SQRT(F24/PI())</f>
        <v/>
      </c>
      <c r="H24" t="n">
        <v>83.80535089451334</v>
      </c>
      <c r="I24" t="n">
        <v>179</v>
      </c>
      <c r="J24" t="n">
        <v>359</v>
      </c>
      <c r="K24" t="n">
        <v>483.2844990548204</v>
      </c>
      <c r="L24" t="n">
        <v>503.0103969754253</v>
      </c>
      <c r="M24">
        <f>2*SQRT(K24/PI())</f>
        <v/>
      </c>
      <c r="N24">
        <f>2*SQRT(L24/PI())</f>
        <v/>
      </c>
      <c r="P24" t="inlineStr">
        <is>
          <t>是</t>
        </is>
      </c>
      <c r="Q24" t="inlineStr">
        <is>
          <t>auto_pipeline;review_png_green</t>
        </is>
      </c>
      <c r="R24" t="inlineStr">
        <is>
          <t>样品1</t>
        </is>
      </c>
    </row>
    <row r="25">
      <c r="A25" t="n">
        <v>24</v>
      </c>
      <c r="B25" t="inlineStr">
        <is>
          <t>1 (4).tif</t>
        </is>
      </c>
      <c r="C25" t="inlineStr">
        <is>
          <t>1(4)-V05</t>
        </is>
      </c>
      <c r="D25" t="n">
        <v>5</v>
      </c>
      <c r="E25" t="inlineStr">
        <is>
          <t>primary</t>
        </is>
      </c>
      <c r="F25" t="n">
        <v>158.2230623818525</v>
      </c>
      <c r="G25">
        <f>2*SQRT(F25/PI())</f>
        <v/>
      </c>
      <c r="H25" t="n">
        <v>48.94284414208453</v>
      </c>
      <c r="I25" t="n">
        <v>576</v>
      </c>
      <c r="J25" t="n">
        <v>521</v>
      </c>
      <c r="K25" t="n">
        <v>155.0586011342155</v>
      </c>
      <c r="L25" t="n">
        <v>161.3875236294896</v>
      </c>
      <c r="M25">
        <f>2*SQRT(K25/PI())</f>
        <v/>
      </c>
      <c r="N25">
        <f>2*SQRT(L25/PI())</f>
        <v/>
      </c>
      <c r="P25" t="inlineStr">
        <is>
          <t>是</t>
        </is>
      </c>
      <c r="Q25" t="inlineStr">
        <is>
          <t>auto_pipeline;review_png_green</t>
        </is>
      </c>
      <c r="R25" t="inlineStr">
        <is>
          <t>样品1</t>
        </is>
      </c>
    </row>
    <row r="26">
      <c r="A26" t="n">
        <v>25</v>
      </c>
      <c r="B26" t="inlineStr">
        <is>
          <t>1 (4).tif</t>
        </is>
      </c>
      <c r="C26" t="inlineStr">
        <is>
          <t>1(4)-V06</t>
        </is>
      </c>
      <c r="D26" t="n">
        <v>6</v>
      </c>
      <c r="E26" t="inlineStr">
        <is>
          <t>primary</t>
        </is>
      </c>
      <c r="F26" t="n">
        <v>124.3383742911153</v>
      </c>
      <c r="G26">
        <f>2*SQRT(F26/PI())</f>
        <v/>
      </c>
      <c r="H26" t="n">
        <v>44.23483236976292</v>
      </c>
      <c r="I26" t="n">
        <v>335</v>
      </c>
      <c r="J26" t="n">
        <v>212</v>
      </c>
      <c r="K26" t="n">
        <v>121.851606805293</v>
      </c>
      <c r="L26" t="n">
        <v>126.8251417769376</v>
      </c>
      <c r="M26">
        <f>2*SQRT(K26/PI())</f>
        <v/>
      </c>
      <c r="N26">
        <f>2*SQRT(L26/PI())</f>
        <v/>
      </c>
      <c r="P26" t="inlineStr">
        <is>
          <t>是</t>
        </is>
      </c>
      <c r="Q26" t="inlineStr">
        <is>
          <t>auto_pipeline;review_png_green</t>
        </is>
      </c>
      <c r="R26" t="inlineStr">
        <is>
          <t>样品1</t>
        </is>
      </c>
    </row>
    <row r="27">
      <c r="A27" t="n">
        <v>26</v>
      </c>
      <c r="B27" t="inlineStr">
        <is>
          <t>1 (4).tif</t>
        </is>
      </c>
      <c r="C27" t="inlineStr">
        <is>
          <t>1(4)-V07</t>
        </is>
      </c>
      <c r="D27" t="n">
        <v>7</v>
      </c>
      <c r="E27" t="inlineStr">
        <is>
          <t>primary</t>
        </is>
      </c>
      <c r="F27" t="n">
        <v>108.9083175803403</v>
      </c>
      <c r="G27">
        <f>2*SQRT(F27/PI())</f>
        <v/>
      </c>
      <c r="H27" t="n">
        <v>41.43699384253958</v>
      </c>
      <c r="I27" t="n">
        <v>235</v>
      </c>
      <c r="J27" t="n">
        <v>503</v>
      </c>
      <c r="K27" t="n">
        <v>106.7301512287335</v>
      </c>
      <c r="L27" t="n">
        <v>111.0864839319471</v>
      </c>
      <c r="M27">
        <f>2*SQRT(K27/PI())</f>
        <v/>
      </c>
      <c r="N27">
        <f>2*SQRT(L27/PI())</f>
        <v/>
      </c>
      <c r="P27" t="inlineStr">
        <is>
          <t>是</t>
        </is>
      </c>
      <c r="Q27" t="inlineStr">
        <is>
          <t>auto_pipeline;review_png_green</t>
        </is>
      </c>
      <c r="R27" t="inlineStr">
        <is>
          <t>样品1</t>
        </is>
      </c>
    </row>
    <row r="28">
      <c r="A28" t="n">
        <v>27</v>
      </c>
      <c r="B28" t="inlineStr">
        <is>
          <t>1 (5).tif</t>
        </is>
      </c>
      <c r="C28" t="inlineStr">
        <is>
          <t>1(5)-V01</t>
        </is>
      </c>
      <c r="D28" t="n">
        <v>1</v>
      </c>
      <c r="E28" t="inlineStr">
        <is>
          <t>primary</t>
        </is>
      </c>
      <c r="F28" t="n">
        <v>607.0652173913044</v>
      </c>
      <c r="G28">
        <f>2*SQRT(F28/PI())</f>
        <v/>
      </c>
      <c r="H28" t="n">
        <v>92.58465002412382</v>
      </c>
      <c r="I28" t="n">
        <v>603</v>
      </c>
      <c r="J28" t="n">
        <v>346</v>
      </c>
      <c r="K28" t="n">
        <v>594.9239130434783</v>
      </c>
      <c r="L28" t="n">
        <v>619.2065217391305</v>
      </c>
      <c r="M28">
        <f>2*SQRT(K28/PI())</f>
        <v/>
      </c>
      <c r="N28">
        <f>2*SQRT(L28/PI())</f>
        <v/>
      </c>
      <c r="O28" t="inlineStr">
        <is>
          <t>1(5)-P01</t>
        </is>
      </c>
      <c r="P28" t="inlineStr">
        <is>
          <t>是</t>
        </is>
      </c>
      <c r="Q28" t="inlineStr">
        <is>
          <t>auto_pipeline;review_png_green</t>
        </is>
      </c>
      <c r="R28" t="inlineStr">
        <is>
          <t>样品1</t>
        </is>
      </c>
    </row>
    <row r="29">
      <c r="A29" t="n">
        <v>28</v>
      </c>
      <c r="B29" t="inlineStr">
        <is>
          <t>1 (5).tif</t>
        </is>
      </c>
      <c r="C29" t="inlineStr">
        <is>
          <t>1(5)-V02</t>
        </is>
      </c>
      <c r="D29" t="n">
        <v>2</v>
      </c>
      <c r="E29" t="inlineStr">
        <is>
          <t>primary</t>
        </is>
      </c>
      <c r="F29" t="n">
        <v>478.4735349716446</v>
      </c>
      <c r="G29">
        <f>2*SQRT(F29/PI())</f>
        <v/>
      </c>
      <c r="H29" t="n">
        <v>82.44825510875039</v>
      </c>
      <c r="I29" t="n">
        <v>459</v>
      </c>
      <c r="J29" t="n">
        <v>414</v>
      </c>
      <c r="K29" t="n">
        <v>468.9040642722117</v>
      </c>
      <c r="L29" t="n">
        <v>488.0430056710775</v>
      </c>
      <c r="M29">
        <f>2*SQRT(K29/PI())</f>
        <v/>
      </c>
      <c r="N29">
        <f>2*SQRT(L29/PI())</f>
        <v/>
      </c>
      <c r="O29" t="inlineStr">
        <is>
          <t>1(5)-P01</t>
        </is>
      </c>
      <c r="P29" t="inlineStr">
        <is>
          <t>是</t>
        </is>
      </c>
      <c r="Q29" t="inlineStr">
        <is>
          <t>auto_pipeline;review_png_green</t>
        </is>
      </c>
      <c r="R29" t="inlineStr">
        <is>
          <t>样品1</t>
        </is>
      </c>
    </row>
    <row r="30">
      <c r="A30" t="n">
        <v>29</v>
      </c>
      <c r="B30" t="inlineStr">
        <is>
          <t>1 (6).tif</t>
        </is>
      </c>
      <c r="C30" t="inlineStr">
        <is>
          <t>1(6)-V01</t>
        </is>
      </c>
      <c r="D30" t="n">
        <v>1</v>
      </c>
      <c r="E30" t="inlineStr">
        <is>
          <t>primary</t>
        </is>
      </c>
      <c r="F30" t="n">
        <v>530.8601134215501</v>
      </c>
      <c r="G30">
        <f>2*SQRT(F30/PI())</f>
        <v/>
      </c>
      <c r="H30" t="n">
        <v>86.87972815140434</v>
      </c>
      <c r="I30" t="n">
        <v>438</v>
      </c>
      <c r="J30" t="n">
        <v>420</v>
      </c>
      <c r="K30" t="n">
        <v>520.2429111531191</v>
      </c>
      <c r="L30" t="n">
        <v>541.4773156899811</v>
      </c>
      <c r="M30">
        <f>2*SQRT(K30/PI())</f>
        <v/>
      </c>
      <c r="N30">
        <f>2*SQRT(L30/PI())</f>
        <v/>
      </c>
      <c r="O30" t="inlineStr">
        <is>
          <t>1(6)-P01</t>
        </is>
      </c>
      <c r="P30" t="inlineStr">
        <is>
          <t>是</t>
        </is>
      </c>
      <c r="Q30" t="inlineStr">
        <is>
          <t>auto_pipeline;review_png_green</t>
        </is>
      </c>
      <c r="R30" t="inlineStr">
        <is>
          <t>样品1</t>
        </is>
      </c>
    </row>
    <row r="31">
      <c r="A31" t="n">
        <v>30</v>
      </c>
      <c r="B31" t="inlineStr">
        <is>
          <t>1 (6).tif</t>
        </is>
      </c>
      <c r="C31" t="inlineStr">
        <is>
          <t>1(6)-V02</t>
        </is>
      </c>
      <c r="D31" t="n">
        <v>2</v>
      </c>
      <c r="E31" t="inlineStr">
        <is>
          <t>primary</t>
        </is>
      </c>
      <c r="F31" t="n">
        <v>449.2202268431002</v>
      </c>
      <c r="G31">
        <f>2*SQRT(F31/PI())</f>
        <v/>
      </c>
      <c r="H31" t="n">
        <v>80.34893898860268</v>
      </c>
      <c r="I31" t="n">
        <v>747</v>
      </c>
      <c r="J31" t="n">
        <v>176</v>
      </c>
      <c r="K31" t="n">
        <v>440.2358223062382</v>
      </c>
      <c r="L31" t="n">
        <v>458.2046313799622</v>
      </c>
      <c r="M31">
        <f>2*SQRT(K31/PI())</f>
        <v/>
      </c>
      <c r="N31">
        <f>2*SQRT(L31/PI())</f>
        <v/>
      </c>
      <c r="P31" t="inlineStr">
        <is>
          <t>是</t>
        </is>
      </c>
      <c r="Q31" t="inlineStr">
        <is>
          <t>auto_pipeline;review_png_green</t>
        </is>
      </c>
      <c r="R31" t="inlineStr">
        <is>
          <t>样品1</t>
        </is>
      </c>
    </row>
    <row r="32">
      <c r="A32" t="n">
        <v>31</v>
      </c>
      <c r="B32" t="inlineStr">
        <is>
          <t>1 (6).tif</t>
        </is>
      </c>
      <c r="C32" t="inlineStr">
        <is>
          <t>1(6)-V03</t>
        </is>
      </c>
      <c r="D32" t="n">
        <v>3</v>
      </c>
      <c r="E32" t="inlineStr">
        <is>
          <t>primary</t>
        </is>
      </c>
      <c r="F32" t="n">
        <v>365.6190926275992</v>
      </c>
      <c r="G32">
        <f>2*SQRT(F32/PI())</f>
        <v/>
      </c>
      <c r="H32" t="n">
        <v>72.31186019337696</v>
      </c>
      <c r="I32" t="n">
        <v>551</v>
      </c>
      <c r="J32" t="n">
        <v>343</v>
      </c>
      <c r="K32" t="n">
        <v>358.3067107750472</v>
      </c>
      <c r="L32" t="n">
        <v>372.9314744801512</v>
      </c>
      <c r="M32">
        <f>2*SQRT(K32/PI())</f>
        <v/>
      </c>
      <c r="N32">
        <f>2*SQRT(L32/PI())</f>
        <v/>
      </c>
      <c r="O32" t="inlineStr">
        <is>
          <t>1(6)-P01</t>
        </is>
      </c>
      <c r="P32" t="inlineStr">
        <is>
          <t>是</t>
        </is>
      </c>
      <c r="Q32" t="inlineStr">
        <is>
          <t>auto_pipeline;review_png_green</t>
        </is>
      </c>
      <c r="R32" t="inlineStr">
        <is>
          <t>样品1</t>
        </is>
      </c>
    </row>
    <row r="33">
      <c r="A33" t="n">
        <v>32</v>
      </c>
      <c r="B33" t="inlineStr">
        <is>
          <t>1 (6).tif</t>
        </is>
      </c>
      <c r="C33" t="inlineStr">
        <is>
          <t>1(6)-V04</t>
        </is>
      </c>
      <c r="D33" t="n">
        <v>4</v>
      </c>
      <c r="E33" t="inlineStr">
        <is>
          <t>primary</t>
        </is>
      </c>
      <c r="F33" t="n">
        <v>344.163516068053</v>
      </c>
      <c r="G33">
        <f>2*SQRT(F33/PI())</f>
        <v/>
      </c>
      <c r="H33" t="n">
        <v>71.18760520997255</v>
      </c>
      <c r="I33" t="n">
        <v>70</v>
      </c>
      <c r="J33" t="n">
        <v>133</v>
      </c>
      <c r="K33" t="n">
        <v>337.2802457466919</v>
      </c>
      <c r="L33" t="n">
        <v>351.046786389414</v>
      </c>
      <c r="M33">
        <f>2*SQRT(K33/PI())</f>
        <v/>
      </c>
      <c r="N33">
        <f>2*SQRT(L33/PI())</f>
        <v/>
      </c>
      <c r="P33" t="inlineStr">
        <is>
          <t>是</t>
        </is>
      </c>
      <c r="Q33" t="inlineStr">
        <is>
          <t>auto_pipeline;review_png_green</t>
        </is>
      </c>
      <c r="R33" t="inlineStr">
        <is>
          <t>样品1</t>
        </is>
      </c>
    </row>
    <row r="34">
      <c r="A34" t="n">
        <v>33</v>
      </c>
      <c r="B34" t="inlineStr">
        <is>
          <t>1 (6).tif</t>
        </is>
      </c>
      <c r="C34" t="inlineStr">
        <is>
          <t>1(6)-V05</t>
        </is>
      </c>
      <c r="D34" t="n">
        <v>5</v>
      </c>
      <c r="E34" t="inlineStr">
        <is>
          <t>primary</t>
        </is>
      </c>
      <c r="F34" t="n">
        <v>199.6219281663516</v>
      </c>
      <c r="G34">
        <f>2*SQRT(F34/PI())</f>
        <v/>
      </c>
      <c r="H34" t="n">
        <v>64.99890166780223</v>
      </c>
      <c r="I34" t="n">
        <v>950</v>
      </c>
      <c r="J34" t="n">
        <v>57</v>
      </c>
      <c r="K34" t="n">
        <v>195.6294896030246</v>
      </c>
      <c r="L34" t="n">
        <v>203.6143667296786</v>
      </c>
      <c r="M34">
        <f>2*SQRT(K34/PI())</f>
        <v/>
      </c>
      <c r="N34">
        <f>2*SQRT(L34/PI())</f>
        <v/>
      </c>
      <c r="P34" t="inlineStr">
        <is>
          <t>是</t>
        </is>
      </c>
      <c r="Q34" t="inlineStr">
        <is>
          <t>auto_pipeline;review_png_green</t>
        </is>
      </c>
      <c r="R34" t="inlineStr">
        <is>
          <t>样品1</t>
        </is>
      </c>
    </row>
    <row r="35">
      <c r="A35" t="n">
        <v>34</v>
      </c>
      <c r="B35" t="inlineStr">
        <is>
          <t>1 (6).tif</t>
        </is>
      </c>
      <c r="C35" t="inlineStr">
        <is>
          <t>1(6)-V06</t>
        </is>
      </c>
      <c r="D35" t="n">
        <v>6</v>
      </c>
      <c r="E35" t="inlineStr">
        <is>
          <t>primary</t>
        </is>
      </c>
      <c r="F35" t="n">
        <v>165.5954631379962</v>
      </c>
      <c r="G35">
        <f>2*SQRT(F35/PI())</f>
        <v/>
      </c>
      <c r="H35" t="n">
        <v>50.68197457686714</v>
      </c>
      <c r="I35" t="n">
        <v>565</v>
      </c>
      <c r="J35" t="n">
        <v>248</v>
      </c>
      <c r="K35" t="n">
        <v>162.2835538752363</v>
      </c>
      <c r="L35" t="n">
        <v>168.9073724007562</v>
      </c>
      <c r="M35">
        <f>2*SQRT(K35/PI())</f>
        <v/>
      </c>
      <c r="N35">
        <f>2*SQRT(L35/PI())</f>
        <v/>
      </c>
      <c r="P35" t="inlineStr">
        <is>
          <t>是</t>
        </is>
      </c>
      <c r="Q35" t="inlineStr">
        <is>
          <t>auto_pipeline;review_png_green</t>
        </is>
      </c>
      <c r="R35" t="inlineStr">
        <is>
          <t>样品1</t>
        </is>
      </c>
    </row>
    <row r="36">
      <c r="A36" t="n">
        <v>35</v>
      </c>
      <c r="B36" t="inlineStr">
        <is>
          <t>1 (6).tif</t>
        </is>
      </c>
      <c r="C36" t="inlineStr">
        <is>
          <t>1(6)-V07</t>
        </is>
      </c>
      <c r="D36" t="n">
        <v>7</v>
      </c>
      <c r="E36" t="inlineStr">
        <is>
          <t>primary</t>
        </is>
      </c>
      <c r="F36" t="n">
        <v>155.8837429111531</v>
      </c>
      <c r="G36">
        <f>2*SQRT(F36/PI())</f>
        <v/>
      </c>
      <c r="H36" t="n">
        <v>53.22512333807738</v>
      </c>
      <c r="I36" t="n">
        <v>267</v>
      </c>
      <c r="J36" t="n">
        <v>504</v>
      </c>
      <c r="K36" t="n">
        <v>152.7660680529301</v>
      </c>
      <c r="L36" t="n">
        <v>159.0014177693762</v>
      </c>
      <c r="M36">
        <f>2*SQRT(K36/PI())</f>
        <v/>
      </c>
      <c r="N36">
        <f>2*SQRT(L36/PI())</f>
        <v/>
      </c>
      <c r="P36" t="inlineStr">
        <is>
          <t>是</t>
        </is>
      </c>
      <c r="Q36" t="inlineStr">
        <is>
          <t>auto_pipeline;review_png_green</t>
        </is>
      </c>
      <c r="R36" t="inlineStr">
        <is>
          <t>样品1</t>
        </is>
      </c>
    </row>
    <row r="37">
      <c r="A37" t="n">
        <v>36</v>
      </c>
      <c r="B37" t="inlineStr">
        <is>
          <t>1 (6).tif</t>
        </is>
      </c>
      <c r="C37" t="inlineStr">
        <is>
          <t>1(6)-V08</t>
        </is>
      </c>
      <c r="D37" t="n">
        <v>8</v>
      </c>
      <c r="E37" t="inlineStr">
        <is>
          <t>primary</t>
        </is>
      </c>
      <c r="F37" t="n">
        <v>147.7551984877127</v>
      </c>
      <c r="G37">
        <f>2*SQRT(F37/PI())</f>
        <v/>
      </c>
      <c r="H37" t="n">
        <v>56.04481082895528</v>
      </c>
      <c r="I37" t="n">
        <v>983</v>
      </c>
      <c r="J37" t="n">
        <v>351</v>
      </c>
      <c r="K37" t="n">
        <v>144.8000945179584</v>
      </c>
      <c r="L37" t="n">
        <v>150.7103024574669</v>
      </c>
      <c r="M37">
        <f>2*SQRT(K37/PI())</f>
        <v/>
      </c>
      <c r="N37">
        <f>2*SQRT(L37/PI())</f>
        <v/>
      </c>
      <c r="P37" t="inlineStr">
        <is>
          <t>是</t>
        </is>
      </c>
      <c r="Q37" t="inlineStr">
        <is>
          <t>auto_pipeline;review_png_green</t>
        </is>
      </c>
      <c r="R37" t="inlineStr">
        <is>
          <t>样品1</t>
        </is>
      </c>
    </row>
    <row r="38">
      <c r="A38" t="n">
        <v>37</v>
      </c>
      <c r="B38" t="inlineStr">
        <is>
          <t>1 (7).tif</t>
        </is>
      </c>
      <c r="C38" t="inlineStr">
        <is>
          <t>1(7)-V01</t>
        </is>
      </c>
      <c r="D38" t="n">
        <v>1</v>
      </c>
      <c r="E38" t="inlineStr">
        <is>
          <t>primary</t>
        </is>
      </c>
      <c r="F38" t="n">
        <v>549.1493383742911</v>
      </c>
      <c r="G38">
        <f>2*SQRT(F38/PI())</f>
        <v/>
      </c>
      <c r="H38" t="n">
        <v>88.25867290082185</v>
      </c>
      <c r="I38" t="n">
        <v>352</v>
      </c>
      <c r="J38" t="n">
        <v>114</v>
      </c>
      <c r="K38" t="n">
        <v>538.1663516068053</v>
      </c>
      <c r="L38" t="n">
        <v>560.132325141777</v>
      </c>
      <c r="M38">
        <f>2*SQRT(K38/PI())</f>
        <v/>
      </c>
      <c r="N38">
        <f>2*SQRT(L38/PI())</f>
        <v/>
      </c>
      <c r="P38" t="inlineStr">
        <is>
          <t>是</t>
        </is>
      </c>
      <c r="Q38" t="inlineStr">
        <is>
          <t>auto_pipeline;review_png_green</t>
        </is>
      </c>
      <c r="R38" t="inlineStr">
        <is>
          <t>样品1</t>
        </is>
      </c>
    </row>
    <row r="39">
      <c r="A39" t="n">
        <v>38</v>
      </c>
      <c r="B39" t="inlineStr">
        <is>
          <t>1 (7).tif</t>
        </is>
      </c>
      <c r="C39" t="inlineStr">
        <is>
          <t>1(7)-V02</t>
        </is>
      </c>
      <c r="D39" t="n">
        <v>2</v>
      </c>
      <c r="E39" t="inlineStr">
        <is>
          <t>primary</t>
        </is>
      </c>
      <c r="F39" t="n">
        <v>430.2221172022684</v>
      </c>
      <c r="G39">
        <f>2*SQRT(F39/PI())</f>
        <v/>
      </c>
      <c r="H39" t="n">
        <v>77.99493310244186</v>
      </c>
      <c r="I39" t="n">
        <v>434</v>
      </c>
      <c r="J39" t="n">
        <v>363</v>
      </c>
      <c r="K39" t="n">
        <v>421.617674858223</v>
      </c>
      <c r="L39" t="n">
        <v>438.8265595463138</v>
      </c>
      <c r="M39">
        <f>2*SQRT(K39/PI())</f>
        <v/>
      </c>
      <c r="N39">
        <f>2*SQRT(L39/PI())</f>
        <v/>
      </c>
      <c r="P39" t="inlineStr">
        <is>
          <t>是</t>
        </is>
      </c>
      <c r="Q39" t="inlineStr">
        <is>
          <t>auto_pipeline;review_png_green</t>
        </is>
      </c>
      <c r="R39" t="inlineStr">
        <is>
          <t>样品1</t>
        </is>
      </c>
    </row>
    <row r="40">
      <c r="A40" t="n">
        <v>39</v>
      </c>
      <c r="B40" t="inlineStr">
        <is>
          <t>1 (7).tif</t>
        </is>
      </c>
      <c r="C40" t="inlineStr">
        <is>
          <t>1(7)-V03</t>
        </is>
      </c>
      <c r="D40" t="n">
        <v>3</v>
      </c>
      <c r="E40" t="inlineStr">
        <is>
          <t>primary</t>
        </is>
      </c>
      <c r="F40" t="n">
        <v>350.5198487712665</v>
      </c>
      <c r="G40">
        <f>2*SQRT(F40/PI())</f>
        <v/>
      </c>
      <c r="H40" t="n">
        <v>70.70007464160089</v>
      </c>
      <c r="I40" t="n">
        <v>676</v>
      </c>
      <c r="J40" t="n">
        <v>550</v>
      </c>
      <c r="K40" t="n">
        <v>343.5094517958412</v>
      </c>
      <c r="L40" t="n">
        <v>357.5302457466919</v>
      </c>
      <c r="M40">
        <f>2*SQRT(K40/PI())</f>
        <v/>
      </c>
      <c r="N40">
        <f>2*SQRT(L40/PI())</f>
        <v/>
      </c>
      <c r="P40" t="inlineStr">
        <is>
          <t>是</t>
        </is>
      </c>
      <c r="Q40" t="inlineStr">
        <is>
          <t>auto_pipeline;review_png_green</t>
        </is>
      </c>
      <c r="R40" t="inlineStr">
        <is>
          <t>样品1</t>
        </is>
      </c>
    </row>
    <row r="41">
      <c r="A41" t="n">
        <v>40</v>
      </c>
      <c r="B41" t="inlineStr">
        <is>
          <t>1 (7).tif</t>
        </is>
      </c>
      <c r="C41" t="inlineStr">
        <is>
          <t>1(7)-V04</t>
        </is>
      </c>
      <c r="D41" t="n">
        <v>4</v>
      </c>
      <c r="E41" t="inlineStr">
        <is>
          <t>primary</t>
        </is>
      </c>
      <c r="F41" t="n">
        <v>243.265595463138</v>
      </c>
      <c r="G41">
        <f>2*SQRT(F41/PI())</f>
        <v/>
      </c>
      <c r="H41" t="n">
        <v>70.48533390397611</v>
      </c>
      <c r="I41" t="n">
        <v>754</v>
      </c>
      <c r="J41" t="n">
        <v>520</v>
      </c>
      <c r="K41" t="n">
        <v>238.4002835538752</v>
      </c>
      <c r="L41" t="n">
        <v>248.1309073724008</v>
      </c>
      <c r="M41">
        <f>2*SQRT(K41/PI())</f>
        <v/>
      </c>
      <c r="N41">
        <f>2*SQRT(L41/PI())</f>
        <v/>
      </c>
      <c r="P41" t="inlineStr">
        <is>
          <t>是</t>
        </is>
      </c>
      <c r="Q41" t="inlineStr">
        <is>
          <t>auto_pipeline;review_png_green</t>
        </is>
      </c>
      <c r="R41" t="inlineStr">
        <is>
          <t>样品1</t>
        </is>
      </c>
    </row>
    <row r="42">
      <c r="A42" t="n">
        <v>41</v>
      </c>
      <c r="B42" t="inlineStr">
        <is>
          <t>1 (7).tif</t>
        </is>
      </c>
      <c r="C42" t="inlineStr">
        <is>
          <t>1(7)-V05</t>
        </is>
      </c>
      <c r="D42" t="n">
        <v>5</v>
      </c>
      <c r="E42" t="inlineStr">
        <is>
          <t>primary</t>
        </is>
      </c>
      <c r="F42" t="n">
        <v>241.1625708884688</v>
      </c>
      <c r="G42">
        <f>2*SQRT(F42/PI())</f>
        <v/>
      </c>
      <c r="H42" t="n">
        <v>64.04194059579268</v>
      </c>
      <c r="I42" t="n">
        <v>201</v>
      </c>
      <c r="J42" t="n">
        <v>44</v>
      </c>
      <c r="K42" t="n">
        <v>236.3393194706995</v>
      </c>
      <c r="L42" t="n">
        <v>245.9858223062382</v>
      </c>
      <c r="M42">
        <f>2*SQRT(K42/PI())</f>
        <v/>
      </c>
      <c r="N42">
        <f>2*SQRT(L42/PI())</f>
        <v/>
      </c>
      <c r="P42" t="inlineStr">
        <is>
          <t>是</t>
        </is>
      </c>
      <c r="Q42" t="inlineStr">
        <is>
          <t>auto_pipeline;review_png_green</t>
        </is>
      </c>
      <c r="R42" t="inlineStr">
        <is>
          <t>样品1</t>
        </is>
      </c>
    </row>
    <row r="43">
      <c r="A43" t="n">
        <v>42</v>
      </c>
      <c r="B43" t="inlineStr">
        <is>
          <t>1 (8).tif</t>
        </is>
      </c>
      <c r="C43" t="inlineStr">
        <is>
          <t>1(8)-V01</t>
        </is>
      </c>
      <c r="D43" t="n">
        <v>1</v>
      </c>
      <c r="E43" t="inlineStr">
        <is>
          <t>primary</t>
        </is>
      </c>
      <c r="F43" t="n">
        <v>805.4820415879017</v>
      </c>
      <c r="G43">
        <f>2*SQRT(F43/PI())</f>
        <v/>
      </c>
      <c r="H43" t="n">
        <v>106.7923322967861</v>
      </c>
      <c r="I43" t="n">
        <v>419</v>
      </c>
      <c r="J43" t="n">
        <v>411</v>
      </c>
      <c r="K43" t="n">
        <v>789.3724007561436</v>
      </c>
      <c r="L43" t="n">
        <v>821.5916824196597</v>
      </c>
      <c r="M43">
        <f>2*SQRT(K43/PI())</f>
        <v/>
      </c>
      <c r="N43">
        <f>2*SQRT(L43/PI())</f>
        <v/>
      </c>
      <c r="P43" t="inlineStr">
        <is>
          <t>是</t>
        </is>
      </c>
      <c r="Q43" t="inlineStr">
        <is>
          <t>auto_pipeline;review_png_green</t>
        </is>
      </c>
      <c r="R43" t="inlineStr">
        <is>
          <t>样品1</t>
        </is>
      </c>
    </row>
    <row r="44">
      <c r="A44" t="n">
        <v>43</v>
      </c>
      <c r="B44" t="inlineStr">
        <is>
          <t>1 (8).tif</t>
        </is>
      </c>
      <c r="C44" t="inlineStr">
        <is>
          <t>1(8)-V02</t>
        </is>
      </c>
      <c r="D44" t="n">
        <v>2</v>
      </c>
      <c r="E44" t="inlineStr">
        <is>
          <t>primary</t>
        </is>
      </c>
      <c r="F44" t="n">
        <v>550.7561436672968</v>
      </c>
      <c r="G44">
        <f>2*SQRT(F44/PI())</f>
        <v/>
      </c>
      <c r="H44" t="n">
        <v>87.74929336879565</v>
      </c>
      <c r="I44" t="n">
        <v>576</v>
      </c>
      <c r="J44" t="n">
        <v>337</v>
      </c>
      <c r="K44" t="n">
        <v>539.7410207939508</v>
      </c>
      <c r="L44" t="n">
        <v>561.7712665406427</v>
      </c>
      <c r="M44">
        <f>2*SQRT(K44/PI())</f>
        <v/>
      </c>
      <c r="N44">
        <f>2*SQRT(L44/PI())</f>
        <v/>
      </c>
      <c r="P44" t="inlineStr">
        <is>
          <t>是</t>
        </is>
      </c>
      <c r="Q44" t="inlineStr">
        <is>
          <t>auto_pipeline;review_png_green</t>
        </is>
      </c>
      <c r="R44" t="inlineStr">
        <is>
          <t>样品1</t>
        </is>
      </c>
    </row>
    <row r="45">
      <c r="A45" t="n">
        <v>44</v>
      </c>
      <c r="B45" t="inlineStr">
        <is>
          <t>1 (8).tif</t>
        </is>
      </c>
      <c r="C45" t="inlineStr">
        <is>
          <t>1(8)-V03</t>
        </is>
      </c>
      <c r="D45" t="n">
        <v>3</v>
      </c>
      <c r="E45" t="inlineStr">
        <is>
          <t>primary</t>
        </is>
      </c>
      <c r="F45" t="n">
        <v>211.507561436673</v>
      </c>
      <c r="G45">
        <f>2*SQRT(F45/PI())</f>
        <v/>
      </c>
      <c r="H45" t="n">
        <v>55.87751691756041</v>
      </c>
      <c r="I45" t="n">
        <v>927</v>
      </c>
      <c r="J45" t="n">
        <v>240</v>
      </c>
      <c r="K45" t="n">
        <v>207.2774102079395</v>
      </c>
      <c r="L45" t="n">
        <v>215.7377126654064</v>
      </c>
      <c r="M45">
        <f>2*SQRT(K45/PI())</f>
        <v/>
      </c>
      <c r="N45">
        <f>2*SQRT(L45/PI())</f>
        <v/>
      </c>
      <c r="P45" t="inlineStr">
        <is>
          <t>是</t>
        </is>
      </c>
      <c r="Q45" t="inlineStr">
        <is>
          <t>auto_pipeline;review_png_green</t>
        </is>
      </c>
      <c r="R45" t="inlineStr">
        <is>
          <t>样品1</t>
        </is>
      </c>
    </row>
    <row r="46">
      <c r="A46" t="n">
        <v>45</v>
      </c>
      <c r="B46" t="inlineStr">
        <is>
          <t>2 (1).tif</t>
        </is>
      </c>
      <c r="C46" t="inlineStr">
        <is>
          <t>2(1)-V01</t>
        </is>
      </c>
      <c r="D46" t="n">
        <v>1</v>
      </c>
      <c r="E46" t="inlineStr">
        <is>
          <t>primary</t>
        </is>
      </c>
      <c r="F46" t="n">
        <v>595.5103969754254</v>
      </c>
      <c r="G46">
        <f>2*SQRT(F46/PI())</f>
        <v/>
      </c>
      <c r="H46" t="n">
        <v>92.81749082648236</v>
      </c>
      <c r="I46" t="n">
        <v>606</v>
      </c>
      <c r="J46" t="n">
        <v>311</v>
      </c>
      <c r="K46" t="n">
        <v>583.6001890359169</v>
      </c>
      <c r="L46" t="n">
        <v>607.4206049149338</v>
      </c>
      <c r="M46">
        <f>2*SQRT(K46/PI())</f>
        <v/>
      </c>
      <c r="N46">
        <f>2*SQRT(L46/PI())</f>
        <v/>
      </c>
      <c r="P46" t="inlineStr">
        <is>
          <t>是</t>
        </is>
      </c>
      <c r="Q46" t="inlineStr">
        <is>
          <t>auto_pipeline;review_png_green</t>
        </is>
      </c>
      <c r="R46" t="inlineStr">
        <is>
          <t>样品2</t>
        </is>
      </c>
    </row>
    <row r="47">
      <c r="A47" t="n">
        <v>46</v>
      </c>
      <c r="B47" t="inlineStr">
        <is>
          <t>2 (1).tif</t>
        </is>
      </c>
      <c r="C47" t="inlineStr">
        <is>
          <t>2(1)-V02</t>
        </is>
      </c>
      <c r="D47" t="n">
        <v>2</v>
      </c>
      <c r="E47" t="inlineStr">
        <is>
          <t>primary</t>
        </is>
      </c>
      <c r="F47" t="n">
        <v>390.9735349716446</v>
      </c>
      <c r="G47">
        <f>2*SQRT(F47/PI())</f>
        <v/>
      </c>
      <c r="H47" t="n">
        <v>74.28383143051811</v>
      </c>
      <c r="I47" t="n">
        <v>925</v>
      </c>
      <c r="J47" t="n">
        <v>137</v>
      </c>
      <c r="K47" t="n">
        <v>383.1540642722117</v>
      </c>
      <c r="L47" t="n">
        <v>398.7930056710775</v>
      </c>
      <c r="M47">
        <f>2*SQRT(K47/PI())</f>
        <v/>
      </c>
      <c r="N47">
        <f>2*SQRT(L47/PI())</f>
        <v/>
      </c>
      <c r="P47" t="inlineStr">
        <is>
          <t>是</t>
        </is>
      </c>
      <c r="Q47" t="inlineStr">
        <is>
          <t>auto_pipeline;review_png_green</t>
        </is>
      </c>
      <c r="R47" t="inlineStr">
        <is>
          <t>样品2</t>
        </is>
      </c>
    </row>
    <row r="48">
      <c r="A48" t="n">
        <v>47</v>
      </c>
      <c r="B48" t="inlineStr">
        <is>
          <t>2 (1).tif</t>
        </is>
      </c>
      <c r="C48" t="inlineStr">
        <is>
          <t>2(1)-V03</t>
        </is>
      </c>
      <c r="D48" t="n">
        <v>3</v>
      </c>
      <c r="E48" t="inlineStr">
        <is>
          <t>primary</t>
        </is>
      </c>
      <c r="F48" t="n">
        <v>366.0916824196597</v>
      </c>
      <c r="G48">
        <f>2*SQRT(F48/PI())</f>
        <v/>
      </c>
      <c r="H48" t="n">
        <v>72.41735611272895</v>
      </c>
      <c r="I48" t="n">
        <v>469</v>
      </c>
      <c r="J48" t="n">
        <v>377</v>
      </c>
      <c r="K48" t="n">
        <v>358.7698487712665</v>
      </c>
      <c r="L48" t="n">
        <v>373.4135160680529</v>
      </c>
      <c r="M48">
        <f>2*SQRT(K48/PI())</f>
        <v/>
      </c>
      <c r="N48">
        <f>2*SQRT(L48/PI())</f>
        <v/>
      </c>
      <c r="P48" t="inlineStr">
        <is>
          <t>是</t>
        </is>
      </c>
      <c r="Q48" t="inlineStr">
        <is>
          <t>auto_pipeline;review_png_green</t>
        </is>
      </c>
      <c r="R48" t="inlineStr">
        <is>
          <t>样品2</t>
        </is>
      </c>
    </row>
    <row r="49">
      <c r="A49" t="n">
        <v>48</v>
      </c>
      <c r="B49" t="inlineStr">
        <is>
          <t>2 (1).tif</t>
        </is>
      </c>
      <c r="C49" t="inlineStr">
        <is>
          <t>2(1)-V04</t>
        </is>
      </c>
      <c r="D49" t="n">
        <v>4</v>
      </c>
      <c r="E49" t="inlineStr">
        <is>
          <t>primary</t>
        </is>
      </c>
      <c r="F49" t="n">
        <v>274.6219281663516</v>
      </c>
      <c r="G49">
        <f>2*SQRT(F49/PI())</f>
        <v/>
      </c>
      <c r="H49" t="n">
        <v>78.48246367081352</v>
      </c>
      <c r="I49" t="n">
        <v>124</v>
      </c>
      <c r="J49" t="n">
        <v>307</v>
      </c>
      <c r="K49" t="n">
        <v>269.1294896030246</v>
      </c>
      <c r="L49" t="n">
        <v>280.1143667296786</v>
      </c>
      <c r="M49">
        <f>2*SQRT(K49/PI())</f>
        <v/>
      </c>
      <c r="N49">
        <f>2*SQRT(L49/PI())</f>
        <v/>
      </c>
      <c r="P49" t="inlineStr">
        <is>
          <t>是</t>
        </is>
      </c>
      <c r="Q49" t="inlineStr">
        <is>
          <t>auto_pipeline;review_png_green</t>
        </is>
      </c>
      <c r="R49" t="inlineStr">
        <is>
          <t>样品2</t>
        </is>
      </c>
    </row>
    <row r="50">
      <c r="A50" t="n">
        <v>49</v>
      </c>
      <c r="B50" t="inlineStr">
        <is>
          <t>2 (2).tif</t>
        </is>
      </c>
      <c r="C50" t="inlineStr">
        <is>
          <t>2(2)-V01</t>
        </is>
      </c>
      <c r="D50" t="n">
        <v>1</v>
      </c>
      <c r="E50" t="inlineStr">
        <is>
          <t>primary</t>
        </is>
      </c>
      <c r="F50" t="n">
        <v>623.7476370510396</v>
      </c>
      <c r="G50">
        <f>2*SQRT(F50/PI())</f>
        <v/>
      </c>
      <c r="H50" t="n">
        <v>94.06909069289331</v>
      </c>
      <c r="I50" t="n">
        <v>886</v>
      </c>
      <c r="J50" t="n">
        <v>465</v>
      </c>
      <c r="K50" t="n">
        <v>611.2726843100188</v>
      </c>
      <c r="L50" t="n">
        <v>636.2225897920605</v>
      </c>
      <c r="M50">
        <f>2*SQRT(K50/PI())</f>
        <v/>
      </c>
      <c r="N50">
        <f>2*SQRT(L50/PI())</f>
        <v/>
      </c>
      <c r="P50" t="inlineStr">
        <is>
          <t>是</t>
        </is>
      </c>
      <c r="Q50" t="inlineStr">
        <is>
          <t>auto_pipeline;review_png_green</t>
        </is>
      </c>
      <c r="R50" t="inlineStr">
        <is>
          <t>样品2</t>
        </is>
      </c>
    </row>
    <row r="51">
      <c r="A51" t="n">
        <v>50</v>
      </c>
      <c r="B51" t="inlineStr">
        <is>
          <t>2 (2).tif</t>
        </is>
      </c>
      <c r="C51" t="inlineStr">
        <is>
          <t>2(2)-V02</t>
        </is>
      </c>
      <c r="D51" t="n">
        <v>2</v>
      </c>
      <c r="E51" t="inlineStr">
        <is>
          <t>primary</t>
        </is>
      </c>
      <c r="F51" t="n">
        <v>622.6606805293005</v>
      </c>
      <c r="G51">
        <f>2*SQRT(F51/PI())</f>
        <v/>
      </c>
      <c r="H51" t="n">
        <v>93.81440092688021</v>
      </c>
      <c r="I51" t="n">
        <v>444</v>
      </c>
      <c r="J51" t="n">
        <v>326</v>
      </c>
      <c r="K51" t="n">
        <v>610.2074669187145</v>
      </c>
      <c r="L51" t="n">
        <v>635.1138941398865</v>
      </c>
      <c r="M51">
        <f>2*SQRT(K51/PI())</f>
        <v/>
      </c>
      <c r="N51">
        <f>2*SQRT(L51/PI())</f>
        <v/>
      </c>
      <c r="P51" t="inlineStr">
        <is>
          <t>是</t>
        </is>
      </c>
      <c r="Q51" t="inlineStr">
        <is>
          <t>auto_pipeline;review_png_green</t>
        </is>
      </c>
      <c r="R51" t="inlineStr">
        <is>
          <t>样品2</t>
        </is>
      </c>
    </row>
    <row r="52">
      <c r="A52" t="n">
        <v>51</v>
      </c>
      <c r="B52" t="inlineStr">
        <is>
          <t>2 (2).tif</t>
        </is>
      </c>
      <c r="C52" t="inlineStr">
        <is>
          <t>2(2)-V03</t>
        </is>
      </c>
      <c r="D52" t="n">
        <v>3</v>
      </c>
      <c r="E52" t="inlineStr">
        <is>
          <t>primary</t>
        </is>
      </c>
      <c r="F52" t="n">
        <v>407.2542533081286</v>
      </c>
      <c r="G52">
        <f>2*SQRT(F52/PI())</f>
        <v/>
      </c>
      <c r="H52" t="n">
        <v>75.89561698229416</v>
      </c>
      <c r="I52" t="n">
        <v>153</v>
      </c>
      <c r="J52" t="n">
        <v>258</v>
      </c>
      <c r="K52" t="n">
        <v>399.109168241966</v>
      </c>
      <c r="L52" t="n">
        <v>415.3993383742911</v>
      </c>
      <c r="M52">
        <f>2*SQRT(K52/PI())</f>
        <v/>
      </c>
      <c r="N52">
        <f>2*SQRT(L52/PI())</f>
        <v/>
      </c>
      <c r="P52" t="inlineStr">
        <is>
          <t>是</t>
        </is>
      </c>
      <c r="Q52" t="inlineStr">
        <is>
          <t>auto_pipeline;review_png_green</t>
        </is>
      </c>
      <c r="R52" t="inlineStr">
        <is>
          <t>样品2</t>
        </is>
      </c>
    </row>
    <row r="53">
      <c r="A53" t="n">
        <v>52</v>
      </c>
      <c r="B53" t="inlineStr">
        <is>
          <t>2 (2).tif</t>
        </is>
      </c>
      <c r="C53" t="inlineStr">
        <is>
          <t>2(2)-V04</t>
        </is>
      </c>
      <c r="D53" t="n">
        <v>4</v>
      </c>
      <c r="E53" t="inlineStr">
        <is>
          <t>primary</t>
        </is>
      </c>
      <c r="F53" t="n">
        <v>166.5406427221172</v>
      </c>
      <c r="G53">
        <f>2*SQRT(F53/PI())</f>
        <v/>
      </c>
      <c r="H53" t="n">
        <v>49.45222367411074</v>
      </c>
      <c r="I53" t="n">
        <v>520</v>
      </c>
      <c r="J53" t="n">
        <v>420</v>
      </c>
      <c r="K53" t="n">
        <v>163.2098298676749</v>
      </c>
      <c r="L53" t="n">
        <v>169.8714555765596</v>
      </c>
      <c r="M53">
        <f>2*SQRT(K53/PI())</f>
        <v/>
      </c>
      <c r="N53">
        <f>2*SQRT(L53/PI())</f>
        <v/>
      </c>
      <c r="P53" t="inlineStr">
        <is>
          <t>是</t>
        </is>
      </c>
      <c r="Q53" t="inlineStr">
        <is>
          <t>auto_pipeline;review_png_green</t>
        </is>
      </c>
      <c r="R53" t="inlineStr">
        <is>
          <t>样品2</t>
        </is>
      </c>
    </row>
    <row r="54">
      <c r="A54" t="n">
        <v>53</v>
      </c>
      <c r="B54" t="inlineStr">
        <is>
          <t>2 (2).tif</t>
        </is>
      </c>
      <c r="C54" t="inlineStr">
        <is>
          <t>2(2)-V05</t>
        </is>
      </c>
      <c r="D54" t="n">
        <v>5</v>
      </c>
      <c r="E54" t="inlineStr">
        <is>
          <t>primary</t>
        </is>
      </c>
      <c r="F54" t="n">
        <v>160.3497164461248</v>
      </c>
      <c r="G54">
        <f>2*SQRT(F54/PI())</f>
        <v/>
      </c>
      <c r="H54" t="n">
        <v>48.58265845671944</v>
      </c>
      <c r="I54" t="n">
        <v>104</v>
      </c>
      <c r="J54" t="n">
        <v>165</v>
      </c>
      <c r="K54" t="n">
        <v>157.1427221172023</v>
      </c>
      <c r="L54" t="n">
        <v>163.5567107750473</v>
      </c>
      <c r="M54">
        <f>2*SQRT(K54/PI())</f>
        <v/>
      </c>
      <c r="N54">
        <f>2*SQRT(L54/PI())</f>
        <v/>
      </c>
      <c r="P54" t="inlineStr">
        <is>
          <t>是</t>
        </is>
      </c>
      <c r="Q54" t="inlineStr">
        <is>
          <t>auto_pipeline;review_png_green</t>
        </is>
      </c>
      <c r="R54" t="inlineStr">
        <is>
          <t>样品2</t>
        </is>
      </c>
    </row>
    <row r="55">
      <c r="A55" t="n">
        <v>54</v>
      </c>
      <c r="B55" t="inlineStr">
        <is>
          <t>2 (2).tif</t>
        </is>
      </c>
      <c r="C55" t="inlineStr">
        <is>
          <t>2(2)-V06</t>
        </is>
      </c>
      <c r="D55" t="n">
        <v>6</v>
      </c>
      <c r="E55" t="inlineStr">
        <is>
          <t>primary</t>
        </is>
      </c>
      <c r="F55" t="n">
        <v>129.7495274102079</v>
      </c>
      <c r="G55">
        <f>2*SQRT(F55/PI())</f>
        <v/>
      </c>
      <c r="H55" t="n">
        <v>44.87155678479568</v>
      </c>
      <c r="I55" t="n">
        <v>213</v>
      </c>
      <c r="J55" t="n">
        <v>414</v>
      </c>
      <c r="K55" t="n">
        <v>127.1545368620038</v>
      </c>
      <c r="L55" t="n">
        <v>132.3445179584121</v>
      </c>
      <c r="M55">
        <f>2*SQRT(K55/PI())</f>
        <v/>
      </c>
      <c r="N55">
        <f>2*SQRT(L55/PI())</f>
        <v/>
      </c>
      <c r="P55" t="inlineStr">
        <is>
          <t>是</t>
        </is>
      </c>
      <c r="Q55" t="inlineStr">
        <is>
          <t>auto_pipeline;review_png_green</t>
        </is>
      </c>
      <c r="R55" t="inlineStr">
        <is>
          <t>样品2</t>
        </is>
      </c>
    </row>
    <row r="56">
      <c r="A56" t="n">
        <v>55</v>
      </c>
      <c r="B56" t="inlineStr">
        <is>
          <t>2 (3).tif</t>
        </is>
      </c>
      <c r="C56" t="inlineStr">
        <is>
          <t>2(3)-V01</t>
        </is>
      </c>
      <c r="D56" t="n">
        <v>1</v>
      </c>
      <c r="E56" t="inlineStr">
        <is>
          <t>primary</t>
        </is>
      </c>
      <c r="F56" t="n">
        <v>559.4045368620037</v>
      </c>
      <c r="G56">
        <f>2*SQRT(F56/PI())</f>
        <v/>
      </c>
      <c r="H56" t="n">
        <v>88.87354835220005</v>
      </c>
      <c r="I56" t="n">
        <v>239</v>
      </c>
      <c r="J56" t="n">
        <v>446</v>
      </c>
      <c r="K56" t="n">
        <v>548.2164461247637</v>
      </c>
      <c r="L56" t="n">
        <v>570.5926275992438</v>
      </c>
      <c r="M56">
        <f>2*SQRT(K56/PI())</f>
        <v/>
      </c>
      <c r="N56">
        <f>2*SQRT(L56/PI())</f>
        <v/>
      </c>
      <c r="P56" t="inlineStr">
        <is>
          <t>是</t>
        </is>
      </c>
      <c r="Q56" t="inlineStr">
        <is>
          <t>auto_pipeline;review_png_green</t>
        </is>
      </c>
      <c r="R56" t="inlineStr">
        <is>
          <t>样品2</t>
        </is>
      </c>
    </row>
    <row r="57">
      <c r="A57" t="n">
        <v>56</v>
      </c>
      <c r="B57" t="inlineStr">
        <is>
          <t>2 (3).tif</t>
        </is>
      </c>
      <c r="C57" t="inlineStr">
        <is>
          <t>2(3)-V02</t>
        </is>
      </c>
      <c r="D57" t="n">
        <v>2</v>
      </c>
      <c r="E57" t="inlineStr">
        <is>
          <t>primary</t>
        </is>
      </c>
      <c r="F57" t="n">
        <v>472.5425330812855</v>
      </c>
      <c r="G57">
        <f>2*SQRT(F57/PI())</f>
        <v/>
      </c>
      <c r="H57" t="n">
        <v>81.45134500835253</v>
      </c>
      <c r="I57" t="n">
        <v>459</v>
      </c>
      <c r="J57" t="n">
        <v>322</v>
      </c>
      <c r="K57" t="n">
        <v>463.0916824196597</v>
      </c>
      <c r="L57" t="n">
        <v>481.9933837429112</v>
      </c>
      <c r="M57">
        <f>2*SQRT(K57/PI())</f>
        <v/>
      </c>
      <c r="N57">
        <f>2*SQRT(L57/PI())</f>
        <v/>
      </c>
      <c r="O57" t="inlineStr">
        <is>
          <t>2(3)-P01</t>
        </is>
      </c>
      <c r="P57" t="inlineStr">
        <is>
          <t>是</t>
        </is>
      </c>
      <c r="Q57" t="inlineStr">
        <is>
          <t>auto_pipeline;review_png_green</t>
        </is>
      </c>
      <c r="R57" t="inlineStr">
        <is>
          <t>样品2</t>
        </is>
      </c>
    </row>
    <row r="58">
      <c r="A58" t="n">
        <v>57</v>
      </c>
      <c r="B58" t="inlineStr">
        <is>
          <t>2 (3).tif</t>
        </is>
      </c>
      <c r="C58" t="inlineStr">
        <is>
          <t>2(3)-V03</t>
        </is>
      </c>
      <c r="D58" t="n">
        <v>3</v>
      </c>
      <c r="E58" t="inlineStr">
        <is>
          <t>primary</t>
        </is>
      </c>
      <c r="F58" t="n">
        <v>393.5727788279773</v>
      </c>
      <c r="G58">
        <f>2*SQRT(F58/PI())</f>
        <v/>
      </c>
      <c r="H58" t="n">
        <v>74.28383143051811</v>
      </c>
      <c r="I58" t="n">
        <v>561</v>
      </c>
      <c r="J58" t="n">
        <v>397</v>
      </c>
      <c r="K58" t="n">
        <v>385.7013232514178</v>
      </c>
      <c r="L58" t="n">
        <v>401.4442344045369</v>
      </c>
      <c r="M58">
        <f>2*SQRT(K58/PI())</f>
        <v/>
      </c>
      <c r="N58">
        <f>2*SQRT(L58/PI())</f>
        <v/>
      </c>
      <c r="O58" t="inlineStr">
        <is>
          <t>2(3)-P01</t>
        </is>
      </c>
      <c r="P58" t="inlineStr">
        <is>
          <t>是</t>
        </is>
      </c>
      <c r="Q58" t="inlineStr">
        <is>
          <t>auto_pipeline;review_png_green</t>
        </is>
      </c>
      <c r="R58" t="inlineStr">
        <is>
          <t>样品2</t>
        </is>
      </c>
    </row>
    <row r="59">
      <c r="A59" t="n">
        <v>58</v>
      </c>
      <c r="B59" t="inlineStr">
        <is>
          <t>2 (3).tif</t>
        </is>
      </c>
      <c r="C59" t="inlineStr">
        <is>
          <t>2(3)-V04</t>
        </is>
      </c>
      <c r="D59" t="n">
        <v>4</v>
      </c>
      <c r="E59" t="inlineStr">
        <is>
          <t>primary</t>
        </is>
      </c>
      <c r="F59" t="n">
        <v>279.4423440453686</v>
      </c>
      <c r="G59">
        <f>2*SQRT(F59/PI())</f>
        <v/>
      </c>
      <c r="H59" t="n">
        <v>62.91768561238828</v>
      </c>
      <c r="I59" t="n">
        <v>725</v>
      </c>
      <c r="J59" t="n">
        <v>513</v>
      </c>
      <c r="K59" t="n">
        <v>273.8534971644612</v>
      </c>
      <c r="L59" t="n">
        <v>285.031190926276</v>
      </c>
      <c r="M59">
        <f>2*SQRT(K59/PI())</f>
        <v/>
      </c>
      <c r="N59">
        <f>2*SQRT(L59/PI())</f>
        <v/>
      </c>
      <c r="P59" t="inlineStr">
        <is>
          <t>是</t>
        </is>
      </c>
      <c r="Q59" t="inlineStr">
        <is>
          <t>auto_pipeline;review_png_green</t>
        </is>
      </c>
      <c r="R59" t="inlineStr">
        <is>
          <t>样品2</t>
        </is>
      </c>
    </row>
    <row r="60">
      <c r="A60" t="n">
        <v>59</v>
      </c>
      <c r="B60" t="inlineStr">
        <is>
          <t>2 (3).tif</t>
        </is>
      </c>
      <c r="C60" t="inlineStr">
        <is>
          <t>2(3)-V05</t>
        </is>
      </c>
      <c r="D60" t="n">
        <v>5</v>
      </c>
      <c r="E60" t="inlineStr">
        <is>
          <t>primary</t>
        </is>
      </c>
      <c r="F60" t="n">
        <v>255.741965973535</v>
      </c>
      <c r="G60">
        <f>2*SQRT(F60/PI())</f>
        <v/>
      </c>
      <c r="H60" t="n">
        <v>60.07614915785582</v>
      </c>
      <c r="I60" t="n">
        <v>811</v>
      </c>
      <c r="J60" t="n">
        <v>568</v>
      </c>
      <c r="K60" t="n">
        <v>250.6271266540643</v>
      </c>
      <c r="L60" t="n">
        <v>260.8568052930057</v>
      </c>
      <c r="M60">
        <f>2*SQRT(K60/PI())</f>
        <v/>
      </c>
      <c r="N60">
        <f>2*SQRT(L60/PI())</f>
        <v/>
      </c>
      <c r="P60" t="inlineStr">
        <is>
          <t>是</t>
        </is>
      </c>
      <c r="Q60" t="inlineStr">
        <is>
          <t>auto_pipeline;review_png_green</t>
        </is>
      </c>
      <c r="R60" t="inlineStr">
        <is>
          <t>样品2</t>
        </is>
      </c>
    </row>
    <row r="61">
      <c r="A61" t="n">
        <v>60</v>
      </c>
      <c r="B61" t="inlineStr">
        <is>
          <t>2 (3).tif</t>
        </is>
      </c>
      <c r="C61" t="inlineStr">
        <is>
          <t>2(3)-V06</t>
        </is>
      </c>
      <c r="D61" t="n">
        <v>6</v>
      </c>
      <c r="E61" t="inlineStr">
        <is>
          <t>primary</t>
        </is>
      </c>
      <c r="F61" t="n">
        <v>187.4054820415879</v>
      </c>
      <c r="G61">
        <f>2*SQRT(F61/PI())</f>
        <v/>
      </c>
      <c r="H61" t="n">
        <v>51.16950514523879</v>
      </c>
      <c r="I61" t="n">
        <v>88</v>
      </c>
      <c r="J61" t="n">
        <v>333</v>
      </c>
      <c r="K61" t="n">
        <v>183.6573724007561</v>
      </c>
      <c r="L61" t="n">
        <v>191.1535916824197</v>
      </c>
      <c r="M61">
        <f>2*SQRT(K61/PI())</f>
        <v/>
      </c>
      <c r="N61">
        <f>2*SQRT(L61/PI())</f>
        <v/>
      </c>
      <c r="P61" t="inlineStr">
        <is>
          <t>是</t>
        </is>
      </c>
      <c r="Q61" t="inlineStr">
        <is>
          <t>auto_pipeline;review_png_green</t>
        </is>
      </c>
      <c r="R61" t="inlineStr">
        <is>
          <t>样品2</t>
        </is>
      </c>
    </row>
    <row r="62">
      <c r="A62" t="n">
        <v>61</v>
      </c>
      <c r="B62" t="inlineStr">
        <is>
          <t>2 (3).tif</t>
        </is>
      </c>
      <c r="C62" t="inlineStr">
        <is>
          <t>2(3)-V07</t>
        </is>
      </c>
      <c r="D62" t="n">
        <v>7</v>
      </c>
      <c r="E62" t="inlineStr">
        <is>
          <t>primary</t>
        </is>
      </c>
      <c r="F62" t="n">
        <v>179.7022684310019</v>
      </c>
      <c r="G62">
        <f>2*SQRT(F62/PI())</f>
        <v/>
      </c>
      <c r="H62" t="n">
        <v>69.8704584525979</v>
      </c>
      <c r="I62" t="n">
        <v>191</v>
      </c>
      <c r="J62" t="n">
        <v>180</v>
      </c>
      <c r="K62" t="n">
        <v>176.1082230623819</v>
      </c>
      <c r="L62" t="n">
        <v>183.2963137996219</v>
      </c>
      <c r="M62">
        <f>2*SQRT(K62/PI())</f>
        <v/>
      </c>
      <c r="N62">
        <f>2*SQRT(L62/PI())</f>
        <v/>
      </c>
      <c r="P62" t="inlineStr">
        <is>
          <t>是</t>
        </is>
      </c>
      <c r="Q62" t="inlineStr">
        <is>
          <t>auto_pipeline;review_png_green</t>
        </is>
      </c>
      <c r="R62" t="inlineStr">
        <is>
          <t>样品2</t>
        </is>
      </c>
    </row>
    <row r="63">
      <c r="A63" t="n">
        <v>62</v>
      </c>
      <c r="B63" t="inlineStr">
        <is>
          <t>2 (3).tif</t>
        </is>
      </c>
      <c r="C63" t="inlineStr">
        <is>
          <t>2(3)-V08</t>
        </is>
      </c>
      <c r="D63" t="n">
        <v>8</v>
      </c>
      <c r="E63" t="inlineStr">
        <is>
          <t>primary</t>
        </is>
      </c>
      <c r="F63" t="n">
        <v>142.8875236294896</v>
      </c>
      <c r="G63">
        <f>2*SQRT(F63/PI())</f>
        <v/>
      </c>
      <c r="H63" t="n">
        <v>47.07636882429537</v>
      </c>
      <c r="I63" t="n">
        <v>880</v>
      </c>
      <c r="J63" t="n">
        <v>127</v>
      </c>
      <c r="K63" t="n">
        <v>140.0297731568998</v>
      </c>
      <c r="L63" t="n">
        <v>145.7452741020794</v>
      </c>
      <c r="M63">
        <f>2*SQRT(K63/PI())</f>
        <v/>
      </c>
      <c r="N63">
        <f>2*SQRT(L63/PI())</f>
        <v/>
      </c>
      <c r="P63" t="inlineStr">
        <is>
          <t>是</t>
        </is>
      </c>
      <c r="Q63" t="inlineStr">
        <is>
          <t>auto_pipeline;review_png_green</t>
        </is>
      </c>
      <c r="R63" t="inlineStr">
        <is>
          <t>样品2</t>
        </is>
      </c>
    </row>
    <row r="64">
      <c r="A64" t="n">
        <v>63</v>
      </c>
      <c r="B64" t="inlineStr">
        <is>
          <t>2 (4).tif</t>
        </is>
      </c>
      <c r="C64" t="inlineStr">
        <is>
          <t>2(4)-V01</t>
        </is>
      </c>
      <c r="D64" t="n">
        <v>1</v>
      </c>
      <c r="E64" t="inlineStr">
        <is>
          <t>primary</t>
        </is>
      </c>
      <c r="F64" t="n">
        <v>756.758034026465</v>
      </c>
      <c r="G64">
        <f>2*SQRT(F64/PI())</f>
        <v/>
      </c>
      <c r="H64" t="n">
        <v>102.9538857418558</v>
      </c>
      <c r="I64" t="n">
        <v>445</v>
      </c>
      <c r="J64" t="n">
        <v>316</v>
      </c>
      <c r="K64" t="n">
        <v>741.6228733459357</v>
      </c>
      <c r="L64" t="n">
        <v>771.8931947069943</v>
      </c>
      <c r="M64">
        <f>2*SQRT(K64/PI())</f>
        <v/>
      </c>
      <c r="N64">
        <f>2*SQRT(L64/PI())</f>
        <v/>
      </c>
      <c r="O64" t="inlineStr">
        <is>
          <t>2(4)-P01</t>
        </is>
      </c>
      <c r="P64" t="inlineStr">
        <is>
          <t>是</t>
        </is>
      </c>
      <c r="Q64" t="inlineStr">
        <is>
          <t>auto_pipeline;review_png_green</t>
        </is>
      </c>
      <c r="R64" t="inlineStr">
        <is>
          <t>样品2</t>
        </is>
      </c>
    </row>
    <row r="65">
      <c r="A65" t="n">
        <v>64</v>
      </c>
      <c r="B65" t="inlineStr">
        <is>
          <t>2 (4).tif</t>
        </is>
      </c>
      <c r="C65" t="inlineStr">
        <is>
          <t>2(4)-V02</t>
        </is>
      </c>
      <c r="D65" t="n">
        <v>2</v>
      </c>
      <c r="E65" t="inlineStr">
        <is>
          <t>primary</t>
        </is>
      </c>
      <c r="F65" t="n">
        <v>606.6635160680529</v>
      </c>
      <c r="G65">
        <f>2*SQRT(F65/PI())</f>
        <v/>
      </c>
      <c r="H65" t="n">
        <v>92.20261537510416</v>
      </c>
      <c r="I65" t="n">
        <v>597</v>
      </c>
      <c r="J65" t="n">
        <v>370</v>
      </c>
      <c r="K65" t="n">
        <v>594.5302457466918</v>
      </c>
      <c r="L65" t="n">
        <v>618.796786389414</v>
      </c>
      <c r="M65">
        <f>2*SQRT(K65/PI())</f>
        <v/>
      </c>
      <c r="N65">
        <f>2*SQRT(L65/PI())</f>
        <v/>
      </c>
      <c r="O65" t="inlineStr">
        <is>
          <t>2(4)-P01</t>
        </is>
      </c>
      <c r="P65" t="inlineStr">
        <is>
          <t>是</t>
        </is>
      </c>
      <c r="Q65" t="inlineStr">
        <is>
          <t>auto_pipeline;review_png_green</t>
        </is>
      </c>
      <c r="R65" t="inlineStr">
        <is>
          <t>样品2</t>
        </is>
      </c>
    </row>
    <row r="66">
      <c r="A66" t="n">
        <v>65</v>
      </c>
      <c r="B66" t="inlineStr">
        <is>
          <t>2 (4).tif</t>
        </is>
      </c>
      <c r="C66" t="inlineStr">
        <is>
          <t>2(4)-V03</t>
        </is>
      </c>
      <c r="D66" t="n">
        <v>3</v>
      </c>
      <c r="E66" t="inlineStr">
        <is>
          <t>primary</t>
        </is>
      </c>
      <c r="F66" t="n">
        <v>378.0718336483932</v>
      </c>
      <c r="G66">
        <f>2*SQRT(F66/PI())</f>
        <v/>
      </c>
      <c r="H66" t="n">
        <v>72.7993907617486</v>
      </c>
      <c r="I66" t="n">
        <v>765</v>
      </c>
      <c r="J66" t="n">
        <v>432</v>
      </c>
      <c r="K66" t="n">
        <v>370.5103969754253</v>
      </c>
      <c r="L66" t="n">
        <v>385.6332703213611</v>
      </c>
      <c r="M66">
        <f>2*SQRT(K66/PI())</f>
        <v/>
      </c>
      <c r="N66">
        <f>2*SQRT(L66/PI())</f>
        <v/>
      </c>
      <c r="P66" t="inlineStr">
        <is>
          <t>是</t>
        </is>
      </c>
      <c r="Q66" t="inlineStr">
        <is>
          <t>auto_pipeline;review_png_green</t>
        </is>
      </c>
      <c r="R66" t="inlineStr">
        <is>
          <t>样品2</t>
        </is>
      </c>
    </row>
    <row r="67">
      <c r="A67" t="n">
        <v>66</v>
      </c>
      <c r="B67" t="inlineStr">
        <is>
          <t>2 (4).tif</t>
        </is>
      </c>
      <c r="C67" t="inlineStr">
        <is>
          <t>2(4)-V04</t>
        </is>
      </c>
      <c r="D67" t="n">
        <v>4</v>
      </c>
      <c r="E67" t="inlineStr">
        <is>
          <t>primary</t>
        </is>
      </c>
      <c r="F67" t="n">
        <v>142.1786389413989</v>
      </c>
      <c r="G67">
        <f>2*SQRT(F67/PI())</f>
        <v/>
      </c>
      <c r="H67" t="n">
        <v>44.61686701878257</v>
      </c>
      <c r="I67" t="n">
        <v>859</v>
      </c>
      <c r="J67" t="n">
        <v>462</v>
      </c>
      <c r="K67" t="n">
        <v>139.3350661625709</v>
      </c>
      <c r="L67" t="n">
        <v>145.0222117202269</v>
      </c>
      <c r="M67">
        <f>2*SQRT(K67/PI())</f>
        <v/>
      </c>
      <c r="N67">
        <f>2*SQRT(L67/PI())</f>
        <v/>
      </c>
      <c r="P67" t="inlineStr">
        <is>
          <t>是</t>
        </is>
      </c>
      <c r="Q67" t="inlineStr">
        <is>
          <t>auto_pipeline;review_png_green</t>
        </is>
      </c>
      <c r="R67" t="inlineStr">
        <is>
          <t>样品2</t>
        </is>
      </c>
    </row>
    <row r="68">
      <c r="A68" t="n">
        <v>67</v>
      </c>
      <c r="B68" t="inlineStr">
        <is>
          <t>2 (4).tif</t>
        </is>
      </c>
      <c r="C68" t="inlineStr">
        <is>
          <t>2(4)-V05</t>
        </is>
      </c>
      <c r="D68" t="n">
        <v>5</v>
      </c>
      <c r="E68" t="inlineStr">
        <is>
          <t>primary</t>
        </is>
      </c>
      <c r="F68" t="n">
        <v>100.2835538752363</v>
      </c>
      <c r="G68">
        <f>2*SQRT(F68/PI())</f>
        <v/>
      </c>
      <c r="H68" t="n">
        <v>44.38402621642403</v>
      </c>
      <c r="I68" t="n">
        <v>141</v>
      </c>
      <c r="J68" t="n">
        <v>474</v>
      </c>
      <c r="K68" t="n">
        <v>98.27788279773156</v>
      </c>
      <c r="L68" t="n">
        <v>102.289224952741</v>
      </c>
      <c r="M68">
        <f>2*SQRT(K68/PI())</f>
        <v/>
      </c>
      <c r="N68">
        <f>2*SQRT(L68/PI())</f>
        <v/>
      </c>
      <c r="P68" t="inlineStr">
        <is>
          <t>是</t>
        </is>
      </c>
      <c r="Q68" t="inlineStr">
        <is>
          <t>auto_pipeline;review_png_green</t>
        </is>
      </c>
      <c r="R68" t="inlineStr">
        <is>
          <t>样品2</t>
        </is>
      </c>
    </row>
    <row r="69">
      <c r="A69" t="n">
        <v>68</v>
      </c>
      <c r="B69" t="inlineStr">
        <is>
          <t>2 (5).tif</t>
        </is>
      </c>
      <c r="C69" t="inlineStr">
        <is>
          <t>2(5)-V01</t>
        </is>
      </c>
      <c r="D69" t="n">
        <v>1</v>
      </c>
      <c r="E69" t="inlineStr">
        <is>
          <t>primary</t>
        </is>
      </c>
      <c r="F69" t="n">
        <v>489.1776937618147</v>
      </c>
      <c r="G69">
        <f>2*SQRT(F69/PI())</f>
        <v/>
      </c>
      <c r="H69" t="n">
        <v>82.93578567712203</v>
      </c>
      <c r="I69" t="n">
        <v>454</v>
      </c>
      <c r="J69" t="n">
        <v>340</v>
      </c>
      <c r="K69" t="n">
        <v>479.3941398865784</v>
      </c>
      <c r="L69" t="n">
        <v>498.961247637051</v>
      </c>
      <c r="M69">
        <f>2*SQRT(K69/PI())</f>
        <v/>
      </c>
      <c r="N69">
        <f>2*SQRT(L69/PI())</f>
        <v/>
      </c>
      <c r="P69" t="inlineStr">
        <is>
          <t>是</t>
        </is>
      </c>
      <c r="Q69" t="inlineStr">
        <is>
          <t>auto_pipeline;review_png_green</t>
        </is>
      </c>
      <c r="R69" t="inlineStr">
        <is>
          <t>样品2</t>
        </is>
      </c>
    </row>
    <row r="70">
      <c r="A70" t="n">
        <v>69</v>
      </c>
      <c r="B70" t="inlineStr">
        <is>
          <t>2 (5).tif</t>
        </is>
      </c>
      <c r="C70" t="inlineStr">
        <is>
          <t>2(5)-V02</t>
        </is>
      </c>
      <c r="D70" t="n">
        <v>2</v>
      </c>
      <c r="E70" t="inlineStr">
        <is>
          <t>primary</t>
        </is>
      </c>
      <c r="F70" t="n">
        <v>423.2277882797732</v>
      </c>
      <c r="G70">
        <f>2*SQRT(F70/PI())</f>
        <v/>
      </c>
      <c r="H70" t="n">
        <v>77.38005765106367</v>
      </c>
      <c r="I70" t="n">
        <v>749</v>
      </c>
      <c r="J70" t="n">
        <v>112</v>
      </c>
      <c r="K70" t="n">
        <v>414.7632325141777</v>
      </c>
      <c r="L70" t="n">
        <v>431.6923440453687</v>
      </c>
      <c r="M70">
        <f>2*SQRT(K70/PI())</f>
        <v/>
      </c>
      <c r="N70">
        <f>2*SQRT(L70/PI())</f>
        <v/>
      </c>
      <c r="O70" t="inlineStr">
        <is>
          <t>2(5)-P01</t>
        </is>
      </c>
      <c r="P70" t="inlineStr">
        <is>
          <t>是</t>
        </is>
      </c>
      <c r="Q70" t="inlineStr">
        <is>
          <t>auto_pipeline;review_png_green</t>
        </is>
      </c>
      <c r="R70" t="inlineStr">
        <is>
          <t>样品2</t>
        </is>
      </c>
    </row>
    <row r="71">
      <c r="A71" t="n">
        <v>70</v>
      </c>
      <c r="B71" t="inlineStr">
        <is>
          <t>2 (5).tif</t>
        </is>
      </c>
      <c r="C71" t="inlineStr">
        <is>
          <t>2(5)-V03</t>
        </is>
      </c>
      <c r="D71" t="n">
        <v>3</v>
      </c>
      <c r="E71" t="inlineStr">
        <is>
          <t>primary</t>
        </is>
      </c>
      <c r="F71" t="n">
        <v>393.5491493383743</v>
      </c>
      <c r="G71">
        <f>2*SQRT(F71/PI())</f>
        <v/>
      </c>
      <c r="H71" t="n">
        <v>74.41117631352466</v>
      </c>
      <c r="I71" t="n">
        <v>858</v>
      </c>
      <c r="J71" t="n">
        <v>151</v>
      </c>
      <c r="K71" t="n">
        <v>385.6781663516068</v>
      </c>
      <c r="L71" t="n">
        <v>401.4201323251418</v>
      </c>
      <c r="M71">
        <f>2*SQRT(K71/PI())</f>
        <v/>
      </c>
      <c r="N71">
        <f>2*SQRT(L71/PI())</f>
        <v/>
      </c>
      <c r="P71" t="inlineStr">
        <is>
          <t>是</t>
        </is>
      </c>
      <c r="Q71" t="inlineStr">
        <is>
          <t>auto_pipeline;review_png_green</t>
        </is>
      </c>
      <c r="R71" t="inlineStr">
        <is>
          <t>样品2</t>
        </is>
      </c>
    </row>
    <row r="72">
      <c r="A72" t="n">
        <v>71</v>
      </c>
      <c r="B72" t="inlineStr">
        <is>
          <t>2 (5).tif</t>
        </is>
      </c>
      <c r="C72" t="inlineStr">
        <is>
          <t>2(5)-V04</t>
        </is>
      </c>
      <c r="D72" t="n">
        <v>4</v>
      </c>
      <c r="E72" t="inlineStr">
        <is>
          <t>primary</t>
        </is>
      </c>
      <c r="F72" t="n">
        <v>99.05482041587902</v>
      </c>
      <c r="G72">
        <f>2*SQRT(F72/PI())</f>
        <v/>
      </c>
      <c r="H72" t="n">
        <v>41.0112612662108</v>
      </c>
      <c r="I72" t="n">
        <v>774</v>
      </c>
      <c r="J72" t="n">
        <v>132</v>
      </c>
      <c r="K72" t="n">
        <v>97.07372400756144</v>
      </c>
      <c r="L72" t="n">
        <v>101.0359168241966</v>
      </c>
      <c r="M72">
        <f>2*SQRT(K72/PI())</f>
        <v/>
      </c>
      <c r="N72">
        <f>2*SQRT(L72/PI())</f>
        <v/>
      </c>
      <c r="O72" t="inlineStr">
        <is>
          <t>2(5)-P01</t>
        </is>
      </c>
      <c r="P72" t="inlineStr">
        <is>
          <t>是</t>
        </is>
      </c>
      <c r="Q72" t="inlineStr">
        <is>
          <t>auto_pipeline;review_png_green</t>
        </is>
      </c>
      <c r="R72" t="inlineStr">
        <is>
          <t>样品2</t>
        </is>
      </c>
    </row>
    <row r="73">
      <c r="A73" t="n">
        <v>72</v>
      </c>
      <c r="B73" t="inlineStr">
        <is>
          <t>2 (6).tif</t>
        </is>
      </c>
      <c r="C73" t="inlineStr">
        <is>
          <t>2(6)-V01</t>
        </is>
      </c>
      <c r="D73" t="n">
        <v>1</v>
      </c>
      <c r="E73" t="inlineStr">
        <is>
          <t>primary</t>
        </is>
      </c>
      <c r="F73" t="n">
        <v>865.5718336483932</v>
      </c>
      <c r="G73">
        <f>2*SQRT(F73/PI())</f>
        <v/>
      </c>
      <c r="H73" t="n">
        <v>110.5034339687099</v>
      </c>
      <c r="I73" t="n">
        <v>563</v>
      </c>
      <c r="J73" t="n">
        <v>308</v>
      </c>
      <c r="K73" t="n">
        <v>848.2603969754254</v>
      </c>
      <c r="L73" t="n">
        <v>882.883270321361</v>
      </c>
      <c r="M73">
        <f>2*SQRT(K73/PI())</f>
        <v/>
      </c>
      <c r="N73">
        <f>2*SQRT(L73/PI())</f>
        <v/>
      </c>
      <c r="O73" t="inlineStr">
        <is>
          <t>2(6)-P01</t>
        </is>
      </c>
      <c r="P73" t="inlineStr">
        <is>
          <t>是</t>
        </is>
      </c>
      <c r="Q73" t="inlineStr">
        <is>
          <t>auto_pipeline;review_png_green</t>
        </is>
      </c>
      <c r="R73" t="inlineStr">
        <is>
          <t>样品2</t>
        </is>
      </c>
    </row>
    <row r="74">
      <c r="A74" t="n">
        <v>73</v>
      </c>
      <c r="B74" t="inlineStr">
        <is>
          <t>2 (6).tif</t>
        </is>
      </c>
      <c r="C74" t="inlineStr">
        <is>
          <t>2(6)-V02</t>
        </is>
      </c>
      <c r="D74" t="n">
        <v>2</v>
      </c>
      <c r="E74" t="inlineStr">
        <is>
          <t>primary</t>
        </is>
      </c>
      <c r="F74" t="n">
        <v>693.7618147448015</v>
      </c>
      <c r="G74">
        <f>2*SQRT(F74/PI())</f>
        <v/>
      </c>
      <c r="H74" t="n">
        <v>98.75525350156038</v>
      </c>
      <c r="I74" t="n">
        <v>408</v>
      </c>
      <c r="J74" t="n">
        <v>360</v>
      </c>
      <c r="K74" t="n">
        <v>679.8865784499055</v>
      </c>
      <c r="L74" t="n">
        <v>707.6370510396976</v>
      </c>
      <c r="M74">
        <f>2*SQRT(K74/PI())</f>
        <v/>
      </c>
      <c r="N74">
        <f>2*SQRT(L74/PI())</f>
        <v/>
      </c>
      <c r="O74" t="inlineStr">
        <is>
          <t>2(6)-P01</t>
        </is>
      </c>
      <c r="P74" t="inlineStr">
        <is>
          <t>是</t>
        </is>
      </c>
      <c r="Q74" t="inlineStr">
        <is>
          <t>auto_pipeline;review_png_green</t>
        </is>
      </c>
      <c r="R74" t="inlineStr">
        <is>
          <t>样品2</t>
        </is>
      </c>
    </row>
    <row r="75">
      <c r="A75" t="n">
        <v>74</v>
      </c>
      <c r="B75" t="inlineStr">
        <is>
          <t>2 (6).tif</t>
        </is>
      </c>
      <c r="C75" t="inlineStr">
        <is>
          <t>2(6)-V03</t>
        </is>
      </c>
      <c r="D75" t="n">
        <v>3</v>
      </c>
      <c r="E75" t="inlineStr">
        <is>
          <t>primary</t>
        </is>
      </c>
      <c r="F75" t="n">
        <v>625.2362948960302</v>
      </c>
      <c r="G75">
        <f>2*SQRT(F75/PI())</f>
        <v/>
      </c>
      <c r="H75" t="n">
        <v>96.40124761539957</v>
      </c>
      <c r="I75" t="n">
        <v>307</v>
      </c>
      <c r="J75" t="n">
        <v>134</v>
      </c>
      <c r="K75" t="n">
        <v>612.7315689981097</v>
      </c>
      <c r="L75" t="n">
        <v>637.7410207939508</v>
      </c>
      <c r="M75">
        <f>2*SQRT(K75/PI())</f>
        <v/>
      </c>
      <c r="N75">
        <f>2*SQRT(L75/PI())</f>
        <v/>
      </c>
      <c r="P75" t="inlineStr">
        <is>
          <t>是</t>
        </is>
      </c>
      <c r="Q75" t="inlineStr">
        <is>
          <t>auto_pipeline;review_png_green</t>
        </is>
      </c>
      <c r="R75" t="inlineStr">
        <is>
          <t>样品2</t>
        </is>
      </c>
    </row>
    <row r="76">
      <c r="A76" t="n">
        <v>75</v>
      </c>
      <c r="B76" t="inlineStr">
        <is>
          <t>2 (6).tif</t>
        </is>
      </c>
      <c r="C76" t="inlineStr">
        <is>
          <t>2(6)-V04</t>
        </is>
      </c>
      <c r="D76" t="n">
        <v>4</v>
      </c>
      <c r="E76" t="inlineStr">
        <is>
          <t>primary</t>
        </is>
      </c>
      <c r="F76" t="n">
        <v>571.8100189035916</v>
      </c>
      <c r="G76">
        <f>2*SQRT(F76/PI())</f>
        <v/>
      </c>
      <c r="H76" t="n">
        <v>100.9201165126718</v>
      </c>
      <c r="I76" t="n">
        <v>662</v>
      </c>
      <c r="J76" t="n">
        <v>458</v>
      </c>
      <c r="K76" t="n">
        <v>560.3738185255198</v>
      </c>
      <c r="L76" t="n">
        <v>583.2462192816635</v>
      </c>
      <c r="M76">
        <f>2*SQRT(K76/PI())</f>
        <v/>
      </c>
      <c r="N76">
        <f>2*SQRT(L76/PI())</f>
        <v/>
      </c>
      <c r="P76" t="inlineStr">
        <is>
          <t>是</t>
        </is>
      </c>
      <c r="Q76" t="inlineStr">
        <is>
          <t>auto_pipeline;review_png_green</t>
        </is>
      </c>
      <c r="R76" t="inlineStr">
        <is>
          <t>样品2</t>
        </is>
      </c>
    </row>
    <row r="77">
      <c r="A77" t="n">
        <v>76</v>
      </c>
      <c r="B77" t="inlineStr">
        <is>
          <t>2 (6).tif</t>
        </is>
      </c>
      <c r="C77" t="inlineStr">
        <is>
          <t>2(6)-V05</t>
        </is>
      </c>
      <c r="D77" t="n">
        <v>5</v>
      </c>
      <c r="E77" t="inlineStr">
        <is>
          <t>primary</t>
        </is>
      </c>
      <c r="F77" t="n">
        <v>374.8109640831758</v>
      </c>
      <c r="G77">
        <f>2*SQRT(F77/PI())</f>
        <v/>
      </c>
      <c r="H77" t="n">
        <v>73.05408052776171</v>
      </c>
      <c r="I77" t="n">
        <v>146</v>
      </c>
      <c r="J77" t="n">
        <v>166</v>
      </c>
      <c r="K77" t="n">
        <v>367.3147448015123</v>
      </c>
      <c r="L77" t="n">
        <v>382.3071833648393</v>
      </c>
      <c r="M77">
        <f>2*SQRT(K77/PI())</f>
        <v/>
      </c>
      <c r="N77">
        <f>2*SQRT(L77/PI())</f>
        <v/>
      </c>
      <c r="P77" t="inlineStr">
        <is>
          <t>是</t>
        </is>
      </c>
      <c r="Q77" t="inlineStr">
        <is>
          <t>auto_pipeline;review_png_green</t>
        </is>
      </c>
      <c r="R77" t="inlineStr">
        <is>
          <t>样品2</t>
        </is>
      </c>
    </row>
    <row r="78">
      <c r="A78" t="n">
        <v>77</v>
      </c>
      <c r="B78" t="inlineStr">
        <is>
          <t>2 (6).tif</t>
        </is>
      </c>
      <c r="C78" t="inlineStr">
        <is>
          <t>2(6)-V06</t>
        </is>
      </c>
      <c r="D78" t="n">
        <v>6</v>
      </c>
      <c r="E78" t="inlineStr">
        <is>
          <t>primary</t>
        </is>
      </c>
      <c r="F78" t="n">
        <v>162.523629489603</v>
      </c>
      <c r="G78">
        <f>2*SQRT(F78/PI())</f>
        <v/>
      </c>
      <c r="H78" t="n">
        <v>61.43324494361877</v>
      </c>
      <c r="I78" t="n">
        <v>636</v>
      </c>
      <c r="J78" t="n">
        <v>442</v>
      </c>
      <c r="K78" t="n">
        <v>159.273156899811</v>
      </c>
      <c r="L78" t="n">
        <v>165.7741020793951</v>
      </c>
      <c r="M78">
        <f>2*SQRT(K78/PI())</f>
        <v/>
      </c>
      <c r="N78">
        <f>2*SQRT(L78/PI())</f>
        <v/>
      </c>
      <c r="P78" t="inlineStr">
        <is>
          <t>是</t>
        </is>
      </c>
      <c r="Q78" t="inlineStr">
        <is>
          <t>auto_pipeline;review_png_green</t>
        </is>
      </c>
      <c r="R78" t="inlineStr">
        <is>
          <t>样品2</t>
        </is>
      </c>
    </row>
    <row r="79">
      <c r="A79" t="n">
        <v>78</v>
      </c>
      <c r="B79" t="inlineStr">
        <is>
          <t>2 (6).tif</t>
        </is>
      </c>
      <c r="C79" t="inlineStr">
        <is>
          <t>2(6)-V07</t>
        </is>
      </c>
      <c r="D79" t="n">
        <v>7</v>
      </c>
      <c r="E79" t="inlineStr">
        <is>
          <t>primary</t>
        </is>
      </c>
      <c r="F79" t="n">
        <v>101.7249527410208</v>
      </c>
      <c r="G79">
        <f>2*SQRT(F79/PI())</f>
        <v/>
      </c>
      <c r="H79" t="n">
        <v>42.05186929391778</v>
      </c>
      <c r="I79" t="n">
        <v>931</v>
      </c>
      <c r="J79" t="n">
        <v>313</v>
      </c>
      <c r="K79" t="n">
        <v>99.69045368620039</v>
      </c>
      <c r="L79" t="n">
        <v>103.7594517958412</v>
      </c>
      <c r="M79">
        <f>2*SQRT(K79/PI())</f>
        <v/>
      </c>
      <c r="N79">
        <f>2*SQRT(L79/PI())</f>
        <v/>
      </c>
      <c r="P79" t="inlineStr">
        <is>
          <t>是</t>
        </is>
      </c>
      <c r="Q79" t="inlineStr">
        <is>
          <t>auto_pipeline;review_png_green</t>
        </is>
      </c>
      <c r="R79" t="inlineStr">
        <is>
          <t>样品2</t>
        </is>
      </c>
    </row>
    <row r="80">
      <c r="A80" t="n">
        <v>79</v>
      </c>
      <c r="B80" t="inlineStr">
        <is>
          <t>2 (7).tif</t>
        </is>
      </c>
      <c r="C80" t="inlineStr">
        <is>
          <t>2(7)-V01</t>
        </is>
      </c>
      <c r="D80" t="n">
        <v>1</v>
      </c>
      <c r="E80" t="inlineStr">
        <is>
          <t>primary</t>
        </is>
      </c>
      <c r="F80" t="n">
        <v>956.4272211720227</v>
      </c>
      <c r="G80">
        <f>2*SQRT(F80/PI())</f>
        <v/>
      </c>
      <c r="H80" t="n">
        <v>116.0591619947682</v>
      </c>
      <c r="I80" t="n">
        <v>511</v>
      </c>
      <c r="J80" t="n">
        <v>281</v>
      </c>
      <c r="K80" t="n">
        <v>937.2986767485822</v>
      </c>
      <c r="L80" t="n">
        <v>975.5557655954631</v>
      </c>
      <c r="M80">
        <f>2*SQRT(K80/PI())</f>
        <v/>
      </c>
      <c r="N80">
        <f>2*SQRT(L80/PI())</f>
        <v/>
      </c>
      <c r="O80" t="inlineStr">
        <is>
          <t>2(7)-P01</t>
        </is>
      </c>
      <c r="P80" t="inlineStr">
        <is>
          <t>是</t>
        </is>
      </c>
      <c r="Q80" t="inlineStr">
        <is>
          <t>auto_pipeline;review_png_green</t>
        </is>
      </c>
      <c r="R80" t="inlineStr">
        <is>
          <t>样品2</t>
        </is>
      </c>
    </row>
    <row r="81">
      <c r="A81" t="n">
        <v>80</v>
      </c>
      <c r="B81" t="inlineStr">
        <is>
          <t>2 (7).tif</t>
        </is>
      </c>
      <c r="C81" t="inlineStr">
        <is>
          <t>2(7)-V02</t>
        </is>
      </c>
      <c r="D81" t="n">
        <v>2</v>
      </c>
      <c r="E81" t="inlineStr">
        <is>
          <t>primary</t>
        </is>
      </c>
      <c r="F81" t="n">
        <v>701.0160680529301</v>
      </c>
      <c r="G81">
        <f>2*SQRT(F81/PI())</f>
        <v/>
      </c>
      <c r="H81" t="n">
        <v>99.49747383594513</v>
      </c>
      <c r="I81" t="n">
        <v>749</v>
      </c>
      <c r="J81" t="n">
        <v>582</v>
      </c>
      <c r="K81" t="n">
        <v>686.9957466918715</v>
      </c>
      <c r="L81" t="n">
        <v>715.0363894139887</v>
      </c>
      <c r="M81">
        <f>2*SQRT(K81/PI())</f>
        <v/>
      </c>
      <c r="N81">
        <f>2*SQRT(L81/PI())</f>
        <v/>
      </c>
      <c r="P81" t="inlineStr">
        <is>
          <t>是</t>
        </is>
      </c>
      <c r="Q81" t="inlineStr">
        <is>
          <t>auto_pipeline;review_png_green</t>
        </is>
      </c>
      <c r="R81" t="inlineStr">
        <is>
          <t>样品2</t>
        </is>
      </c>
    </row>
    <row r="82">
      <c r="A82" t="n">
        <v>81</v>
      </c>
      <c r="B82" t="inlineStr">
        <is>
          <t>2 (7).tif</t>
        </is>
      </c>
      <c r="C82" t="inlineStr">
        <is>
          <t>2(7)-V03</t>
        </is>
      </c>
      <c r="D82" t="n">
        <v>3</v>
      </c>
      <c r="E82" t="inlineStr">
        <is>
          <t>primary</t>
        </is>
      </c>
      <c r="F82" t="n">
        <v>590.1937618147448</v>
      </c>
      <c r="G82">
        <f>2*SQRT(F82/PI())</f>
        <v/>
      </c>
      <c r="H82" t="n">
        <v>92.94483570948891</v>
      </c>
      <c r="I82" t="n">
        <v>748</v>
      </c>
      <c r="J82" t="n">
        <v>324</v>
      </c>
      <c r="K82" t="n">
        <v>578.3898865784499</v>
      </c>
      <c r="L82" t="n">
        <v>601.9976370510396</v>
      </c>
      <c r="M82">
        <f>2*SQRT(K82/PI())</f>
        <v/>
      </c>
      <c r="N82">
        <f>2*SQRT(L82/PI())</f>
        <v/>
      </c>
      <c r="P82" t="inlineStr">
        <is>
          <t>是</t>
        </is>
      </c>
      <c r="Q82" t="inlineStr">
        <is>
          <t>auto_pipeline;review_png_green</t>
        </is>
      </c>
      <c r="R82" t="inlineStr">
        <is>
          <t>样品2</t>
        </is>
      </c>
    </row>
    <row r="83">
      <c r="A83" t="n">
        <v>82</v>
      </c>
      <c r="B83" t="inlineStr">
        <is>
          <t>2 (7).tif</t>
        </is>
      </c>
      <c r="C83" t="inlineStr">
        <is>
          <t>2(7)-V04</t>
        </is>
      </c>
      <c r="D83" t="n">
        <v>4</v>
      </c>
      <c r="E83" t="inlineStr">
        <is>
          <t>primary</t>
        </is>
      </c>
      <c r="F83" t="n">
        <v>521.195652173913</v>
      </c>
      <c r="G83">
        <f>2*SQRT(F83/PI())</f>
        <v/>
      </c>
      <c r="H83" t="n">
        <v>86.03201189766759</v>
      </c>
      <c r="I83" t="n">
        <v>350</v>
      </c>
      <c r="J83" t="n">
        <v>583</v>
      </c>
      <c r="K83" t="n">
        <v>510.7717391304348</v>
      </c>
      <c r="L83" t="n">
        <v>531.6195652173913</v>
      </c>
      <c r="M83">
        <f>2*SQRT(K83/PI())</f>
        <v/>
      </c>
      <c r="N83">
        <f>2*SQRT(L83/PI())</f>
        <v/>
      </c>
      <c r="P83" t="inlineStr">
        <is>
          <t>是</t>
        </is>
      </c>
      <c r="Q83" t="inlineStr">
        <is>
          <t>auto_pipeline;review_png_green</t>
        </is>
      </c>
      <c r="R83" t="inlineStr">
        <is>
          <t>样品2</t>
        </is>
      </c>
    </row>
    <row r="84">
      <c r="A84" t="n">
        <v>83</v>
      </c>
      <c r="B84" t="inlineStr">
        <is>
          <t>2 (7).tif</t>
        </is>
      </c>
      <c r="C84" t="inlineStr">
        <is>
          <t>2(7)-V05</t>
        </is>
      </c>
      <c r="D84" t="n">
        <v>5</v>
      </c>
      <c r="E84" t="inlineStr">
        <is>
          <t>primary</t>
        </is>
      </c>
      <c r="F84" t="n">
        <v>500.5671077504726</v>
      </c>
      <c r="G84">
        <f>2*SQRT(F84/PI())</f>
        <v/>
      </c>
      <c r="H84" t="n">
        <v>84.78041203125663</v>
      </c>
      <c r="I84" t="n">
        <v>884</v>
      </c>
      <c r="J84" t="n">
        <v>318</v>
      </c>
      <c r="K84" t="n">
        <v>490.5557655954631</v>
      </c>
      <c r="L84" t="n">
        <v>510.578449905482</v>
      </c>
      <c r="M84">
        <f>2*SQRT(K84/PI())</f>
        <v/>
      </c>
      <c r="N84">
        <f>2*SQRT(L84/PI())</f>
        <v/>
      </c>
      <c r="P84" t="inlineStr">
        <is>
          <t>是</t>
        </is>
      </c>
      <c r="Q84" t="inlineStr">
        <is>
          <t>auto_pipeline;review_png_green</t>
        </is>
      </c>
      <c r="R84" t="inlineStr">
        <is>
          <t>样品2</t>
        </is>
      </c>
    </row>
    <row r="85">
      <c r="A85" t="n">
        <v>84</v>
      </c>
      <c r="B85" t="inlineStr">
        <is>
          <t>2 (7).tif</t>
        </is>
      </c>
      <c r="C85" t="inlineStr">
        <is>
          <t>2(7)-V06</t>
        </is>
      </c>
      <c r="D85" t="n">
        <v>6</v>
      </c>
      <c r="E85" t="inlineStr">
        <is>
          <t>primary</t>
        </is>
      </c>
      <c r="F85" t="n">
        <v>484.4990548204159</v>
      </c>
      <c r="G85">
        <f>2*SQRT(F85/PI())</f>
        <v/>
      </c>
      <c r="H85" t="n">
        <v>83.29597136248712</v>
      </c>
      <c r="I85" t="n">
        <v>639</v>
      </c>
      <c r="J85" t="n">
        <v>119</v>
      </c>
      <c r="K85" t="n">
        <v>474.8090737240076</v>
      </c>
      <c r="L85" t="n">
        <v>494.1890359168242</v>
      </c>
      <c r="M85">
        <f>2*SQRT(K85/PI())</f>
        <v/>
      </c>
      <c r="N85">
        <f>2*SQRT(L85/PI())</f>
        <v/>
      </c>
      <c r="P85" t="inlineStr">
        <is>
          <t>是</t>
        </is>
      </c>
      <c r="Q85" t="inlineStr">
        <is>
          <t>auto_pipeline;review_png_green</t>
        </is>
      </c>
      <c r="R85" t="inlineStr">
        <is>
          <t>样品2</t>
        </is>
      </c>
    </row>
    <row r="86">
      <c r="A86" t="n">
        <v>85</v>
      </c>
      <c r="B86" t="inlineStr">
        <is>
          <t>2 (7).tif</t>
        </is>
      </c>
      <c r="C86" t="inlineStr">
        <is>
          <t>2(7)-V07</t>
        </is>
      </c>
      <c r="D86" t="n">
        <v>7</v>
      </c>
      <c r="E86" t="inlineStr">
        <is>
          <t>primary</t>
        </is>
      </c>
      <c r="F86" t="n">
        <v>383.9083175803403</v>
      </c>
      <c r="G86">
        <f>2*SQRT(F86/PI())</f>
        <v/>
      </c>
      <c r="H86" t="n">
        <v>73.54161109613335</v>
      </c>
      <c r="I86" t="n">
        <v>466</v>
      </c>
      <c r="J86" t="n">
        <v>413</v>
      </c>
      <c r="K86" t="n">
        <v>376.2301512287335</v>
      </c>
      <c r="L86" t="n">
        <v>391.5864839319471</v>
      </c>
      <c r="M86">
        <f>2*SQRT(K86/PI())</f>
        <v/>
      </c>
      <c r="N86">
        <f>2*SQRT(L86/PI())</f>
        <v/>
      </c>
      <c r="O86" t="inlineStr">
        <is>
          <t>2(7)-P01</t>
        </is>
      </c>
      <c r="P86" t="inlineStr">
        <is>
          <t>是</t>
        </is>
      </c>
      <c r="Q86" t="inlineStr">
        <is>
          <t>auto_pipeline;review_png_green</t>
        </is>
      </c>
      <c r="R86" t="inlineStr">
        <is>
          <t>样品2</t>
        </is>
      </c>
    </row>
    <row r="87">
      <c r="A87" t="n">
        <v>86</v>
      </c>
      <c r="B87" t="inlineStr">
        <is>
          <t>2 (8).tif</t>
        </is>
      </c>
      <c r="C87" t="inlineStr">
        <is>
          <t>2(8)-V01</t>
        </is>
      </c>
      <c r="D87" t="n">
        <v>1</v>
      </c>
      <c r="E87" t="inlineStr">
        <is>
          <t>primary</t>
        </is>
      </c>
      <c r="F87" t="n">
        <v>812.547258979206</v>
      </c>
      <c r="G87">
        <f>2*SQRT(F87/PI())</f>
        <v/>
      </c>
      <c r="H87" t="n">
        <v>106.9196771797926</v>
      </c>
      <c r="I87" t="n">
        <v>409</v>
      </c>
      <c r="J87" t="n">
        <v>346</v>
      </c>
      <c r="K87" t="n">
        <v>796.2963137996219</v>
      </c>
      <c r="L87" t="n">
        <v>828.7982041587902</v>
      </c>
      <c r="M87">
        <f>2*SQRT(K87/PI())</f>
        <v/>
      </c>
      <c r="N87">
        <f>2*SQRT(L87/PI())</f>
        <v/>
      </c>
      <c r="O87" t="inlineStr">
        <is>
          <t>2(8)-P01</t>
        </is>
      </c>
      <c r="P87" t="inlineStr">
        <is>
          <t>是</t>
        </is>
      </c>
      <c r="Q87" t="inlineStr">
        <is>
          <t>auto_pipeline;review_png_green</t>
        </is>
      </c>
      <c r="R87" t="inlineStr">
        <is>
          <t>样品2</t>
        </is>
      </c>
    </row>
    <row r="88">
      <c r="A88" t="n">
        <v>87</v>
      </c>
      <c r="B88" t="inlineStr">
        <is>
          <t>2 (8).tif</t>
        </is>
      </c>
      <c r="C88" t="inlineStr">
        <is>
          <t>2(8)-V02</t>
        </is>
      </c>
      <c r="D88" t="n">
        <v>2</v>
      </c>
      <c r="E88" t="inlineStr">
        <is>
          <t>primary</t>
        </is>
      </c>
      <c r="F88" t="n">
        <v>644.2816635160681</v>
      </c>
      <c r="G88">
        <f>2*SQRT(F88/PI())</f>
        <v/>
      </c>
      <c r="H88" t="n">
        <v>95.17149671264316</v>
      </c>
      <c r="I88" t="n">
        <v>568</v>
      </c>
      <c r="J88" t="n">
        <v>371</v>
      </c>
      <c r="K88" t="n">
        <v>631.3960302457467</v>
      </c>
      <c r="L88" t="n">
        <v>657.1672967863894</v>
      </c>
      <c r="M88">
        <f>2*SQRT(K88/PI())</f>
        <v/>
      </c>
      <c r="N88">
        <f>2*SQRT(L88/PI())</f>
        <v/>
      </c>
      <c r="O88" t="inlineStr">
        <is>
          <t>2(8)-P01</t>
        </is>
      </c>
      <c r="P88" t="inlineStr">
        <is>
          <t>是</t>
        </is>
      </c>
      <c r="Q88" t="inlineStr">
        <is>
          <t>auto_pipeline;review_png_green</t>
        </is>
      </c>
      <c r="R88" t="inlineStr">
        <is>
          <t>样品2</t>
        </is>
      </c>
    </row>
    <row r="89">
      <c r="A89" t="n">
        <v>88</v>
      </c>
      <c r="B89" t="inlineStr">
        <is>
          <t>2 (8).tif</t>
        </is>
      </c>
      <c r="C89" t="inlineStr">
        <is>
          <t>2(8)-V03</t>
        </is>
      </c>
      <c r="D89" t="n">
        <v>3</v>
      </c>
      <c r="E89" t="inlineStr">
        <is>
          <t>primary</t>
        </is>
      </c>
      <c r="F89" t="n">
        <v>622.3771266540642</v>
      </c>
      <c r="G89">
        <f>2*SQRT(F89/PI())</f>
        <v/>
      </c>
      <c r="H89" t="n">
        <v>98.40411784856215</v>
      </c>
      <c r="I89" t="n">
        <v>814</v>
      </c>
      <c r="J89" t="n">
        <v>67</v>
      </c>
      <c r="K89" t="n">
        <v>609.9295841209829</v>
      </c>
      <c r="L89" t="n">
        <v>634.8246691871456</v>
      </c>
      <c r="M89">
        <f>2*SQRT(K89/PI())</f>
        <v/>
      </c>
      <c r="N89">
        <f>2*SQRT(L89/PI())</f>
        <v/>
      </c>
      <c r="P89" t="inlineStr">
        <is>
          <t>是</t>
        </is>
      </c>
      <c r="Q89" t="inlineStr">
        <is>
          <t>auto_pipeline;review_png_green</t>
        </is>
      </c>
      <c r="R89" t="inlineStr">
        <is>
          <t>样品2</t>
        </is>
      </c>
    </row>
    <row r="90">
      <c r="A90" t="n">
        <v>89</v>
      </c>
      <c r="B90" t="inlineStr">
        <is>
          <t>2 (8).tif</t>
        </is>
      </c>
      <c r="C90" t="inlineStr">
        <is>
          <t>2(8)-V04</t>
        </is>
      </c>
      <c r="D90" t="n">
        <v>4</v>
      </c>
      <c r="E90" t="inlineStr">
        <is>
          <t>primary</t>
        </is>
      </c>
      <c r="F90" t="n">
        <v>499.2911153119093</v>
      </c>
      <c r="G90">
        <f>2*SQRT(F90/PI())</f>
        <v/>
      </c>
      <c r="H90" t="n">
        <v>83.80535089451334</v>
      </c>
      <c r="I90" t="n">
        <v>217</v>
      </c>
      <c r="J90" t="n">
        <v>211</v>
      </c>
      <c r="K90" t="n">
        <v>489.305293005671</v>
      </c>
      <c r="L90" t="n">
        <v>509.2769376181475</v>
      </c>
      <c r="M90">
        <f>2*SQRT(K90/PI())</f>
        <v/>
      </c>
      <c r="N90">
        <f>2*SQRT(L90/PI())</f>
        <v/>
      </c>
      <c r="P90" t="inlineStr">
        <is>
          <t>是</t>
        </is>
      </c>
      <c r="Q90" t="inlineStr">
        <is>
          <t>auto_pipeline;review_png_green</t>
        </is>
      </c>
      <c r="R90" t="inlineStr">
        <is>
          <t>样品2</t>
        </is>
      </c>
    </row>
    <row r="91">
      <c r="A91" t="n">
        <v>90</v>
      </c>
      <c r="B91" t="inlineStr">
        <is>
          <t>2 (8).tif</t>
        </is>
      </c>
      <c r="C91" t="inlineStr">
        <is>
          <t>2(8)-V05</t>
        </is>
      </c>
      <c r="D91" t="n">
        <v>5</v>
      </c>
      <c r="E91" t="inlineStr">
        <is>
          <t>primary</t>
        </is>
      </c>
      <c r="F91" t="n">
        <v>423.2277882797732</v>
      </c>
      <c r="G91">
        <f>2*SQRT(F91/PI())</f>
        <v/>
      </c>
      <c r="H91" t="n">
        <v>77.38005765106367</v>
      </c>
      <c r="I91" t="n">
        <v>89</v>
      </c>
      <c r="J91" t="n">
        <v>152</v>
      </c>
      <c r="K91" t="n">
        <v>414.7632325141777</v>
      </c>
      <c r="L91" t="n">
        <v>431.6923440453687</v>
      </c>
      <c r="M91">
        <f>2*SQRT(K91/PI())</f>
        <v/>
      </c>
      <c r="N91">
        <f>2*SQRT(L91/PI())</f>
        <v/>
      </c>
      <c r="P91" t="inlineStr">
        <is>
          <t>是</t>
        </is>
      </c>
      <c r="Q91" t="inlineStr">
        <is>
          <t>auto_pipeline;review_png_green</t>
        </is>
      </c>
      <c r="R91" t="inlineStr">
        <is>
          <t>样品2</t>
        </is>
      </c>
    </row>
    <row r="92">
      <c r="A92" t="n">
        <v>91</v>
      </c>
      <c r="B92" t="inlineStr">
        <is>
          <t>2 (8).tif</t>
        </is>
      </c>
      <c r="C92" t="inlineStr">
        <is>
          <t>2(8)-V06</t>
        </is>
      </c>
      <c r="D92" t="n">
        <v>6</v>
      </c>
      <c r="E92" t="inlineStr">
        <is>
          <t>primary</t>
        </is>
      </c>
      <c r="F92" t="n">
        <v>392.0604914933837</v>
      </c>
      <c r="G92">
        <f>2*SQRT(F92/PI())</f>
        <v/>
      </c>
      <c r="H92" t="n">
        <v>74.28383143051811</v>
      </c>
      <c r="I92" t="n">
        <v>942</v>
      </c>
      <c r="J92" t="n">
        <v>515</v>
      </c>
      <c r="K92" t="n">
        <v>384.219281663516</v>
      </c>
      <c r="L92" t="n">
        <v>399.9017013232514</v>
      </c>
      <c r="M92">
        <f>2*SQRT(K92/PI())</f>
        <v/>
      </c>
      <c r="N92">
        <f>2*SQRT(L92/PI())</f>
        <v/>
      </c>
      <c r="P92" t="inlineStr">
        <is>
          <t>是</t>
        </is>
      </c>
      <c r="Q92" t="inlineStr">
        <is>
          <t>auto_pipeline;review_png_green</t>
        </is>
      </c>
      <c r="R92" t="inlineStr">
        <is>
          <t>样品2</t>
        </is>
      </c>
    </row>
    <row r="93">
      <c r="A93" t="n">
        <v>92</v>
      </c>
      <c r="B93" t="inlineStr">
        <is>
          <t>2 (8).tif</t>
        </is>
      </c>
      <c r="C93" t="inlineStr">
        <is>
          <t>2(8)-V07</t>
        </is>
      </c>
      <c r="D93" t="n">
        <v>7</v>
      </c>
      <c r="E93" t="inlineStr">
        <is>
          <t>primary</t>
        </is>
      </c>
      <c r="F93" t="n">
        <v>135.8695652173913</v>
      </c>
      <c r="G93">
        <f>2*SQRT(F93/PI())</f>
        <v/>
      </c>
      <c r="H93" t="n">
        <v>60.20349404086237</v>
      </c>
      <c r="I93" t="n">
        <v>606</v>
      </c>
      <c r="J93" t="n">
        <v>53</v>
      </c>
      <c r="K93" t="n">
        <v>133.1521739130435</v>
      </c>
      <c r="L93" t="n">
        <v>138.5869565217392</v>
      </c>
      <c r="M93">
        <f>2*SQRT(K93/PI())</f>
        <v/>
      </c>
      <c r="N93">
        <f>2*SQRT(L93/PI())</f>
        <v/>
      </c>
      <c r="P93" t="inlineStr">
        <is>
          <t>是</t>
        </is>
      </c>
      <c r="Q93" t="inlineStr">
        <is>
          <t>auto_pipeline;review_png_green</t>
        </is>
      </c>
      <c r="R93" t="inlineStr">
        <is>
          <t>样品2</t>
        </is>
      </c>
    </row>
    <row r="94">
      <c r="A94" t="n">
        <v>93</v>
      </c>
      <c r="B94" t="inlineStr">
        <is>
          <t>2 (9).tif</t>
        </is>
      </c>
      <c r="C94" t="inlineStr">
        <is>
          <t>2(9)-V01</t>
        </is>
      </c>
      <c r="D94" t="n">
        <v>1</v>
      </c>
      <c r="E94" t="inlineStr">
        <is>
          <t>primary</t>
        </is>
      </c>
      <c r="F94" t="n">
        <v>755.7183364839319</v>
      </c>
      <c r="G94">
        <f>2*SQRT(F94/PI())</f>
        <v/>
      </c>
      <c r="H94" t="n">
        <v>103.2085755078689</v>
      </c>
      <c r="I94" t="n">
        <v>783</v>
      </c>
      <c r="J94" t="n">
        <v>149</v>
      </c>
      <c r="K94" t="n">
        <v>740.6039697542533</v>
      </c>
      <c r="L94" t="n">
        <v>770.8327032136106</v>
      </c>
      <c r="M94">
        <f>2*SQRT(K94/PI())</f>
        <v/>
      </c>
      <c r="N94">
        <f>2*SQRT(L94/PI())</f>
        <v/>
      </c>
      <c r="P94" t="inlineStr">
        <is>
          <t>是</t>
        </is>
      </c>
      <c r="Q94" t="inlineStr">
        <is>
          <t>auto_pipeline;review_png_green</t>
        </is>
      </c>
      <c r="R94" t="inlineStr">
        <is>
          <t>样品2</t>
        </is>
      </c>
    </row>
    <row r="95">
      <c r="A95" t="n">
        <v>94</v>
      </c>
      <c r="B95" t="inlineStr">
        <is>
          <t>2 (9).tif</t>
        </is>
      </c>
      <c r="C95" t="inlineStr">
        <is>
          <t>2(9)-V02</t>
        </is>
      </c>
      <c r="D95" t="n">
        <v>2</v>
      </c>
      <c r="E95" t="inlineStr">
        <is>
          <t>primary</t>
        </is>
      </c>
      <c r="F95" t="n">
        <v>748.7948960302457</v>
      </c>
      <c r="G95">
        <f>2*SQRT(F95/PI())</f>
        <v/>
      </c>
      <c r="H95" t="n">
        <v>103.8452999229016</v>
      </c>
      <c r="I95" t="n">
        <v>125</v>
      </c>
      <c r="J95" t="n">
        <v>239</v>
      </c>
      <c r="K95" t="n">
        <v>733.8189981096408</v>
      </c>
      <c r="L95" t="n">
        <v>763.7707939508506</v>
      </c>
      <c r="M95">
        <f>2*SQRT(K95/PI())</f>
        <v/>
      </c>
      <c r="N95">
        <f>2*SQRT(L95/PI())</f>
        <v/>
      </c>
      <c r="P95" t="inlineStr">
        <is>
          <t>是</t>
        </is>
      </c>
      <c r="Q95" t="inlineStr">
        <is>
          <t>auto_pipeline;review_png_green</t>
        </is>
      </c>
      <c r="R95" t="inlineStr">
        <is>
          <t>样品2</t>
        </is>
      </c>
    </row>
    <row r="96">
      <c r="A96" t="n">
        <v>95</v>
      </c>
      <c r="B96" t="inlineStr">
        <is>
          <t>2 (9).tif</t>
        </is>
      </c>
      <c r="C96" t="inlineStr">
        <is>
          <t>2(9)-V03</t>
        </is>
      </c>
      <c r="D96" t="n">
        <v>3</v>
      </c>
      <c r="E96" t="inlineStr">
        <is>
          <t>primary</t>
        </is>
      </c>
      <c r="F96" t="n">
        <v>722.9678638941399</v>
      </c>
      <c r="G96">
        <f>2*SQRT(F96/PI())</f>
        <v/>
      </c>
      <c r="H96" t="n">
        <v>100.8545696217081</v>
      </c>
      <c r="I96" t="n">
        <v>655</v>
      </c>
      <c r="J96" t="n">
        <v>449</v>
      </c>
      <c r="K96" t="n">
        <v>708.5085066162571</v>
      </c>
      <c r="L96" t="n">
        <v>737.4272211720227</v>
      </c>
      <c r="M96">
        <f>2*SQRT(K96/PI())</f>
        <v/>
      </c>
      <c r="N96">
        <f>2*SQRT(L96/PI())</f>
        <v/>
      </c>
      <c r="P96" t="inlineStr">
        <is>
          <t>是</t>
        </is>
      </c>
      <c r="Q96" t="inlineStr">
        <is>
          <t>auto_pipeline;review_png_green</t>
        </is>
      </c>
      <c r="R96" t="inlineStr">
        <is>
          <t>样品2</t>
        </is>
      </c>
    </row>
    <row r="97">
      <c r="A97" t="n">
        <v>96</v>
      </c>
      <c r="B97" t="inlineStr">
        <is>
          <t>2 (9).tif</t>
        </is>
      </c>
      <c r="C97" t="inlineStr">
        <is>
          <t>2(9)-V04</t>
        </is>
      </c>
      <c r="D97" t="n">
        <v>4</v>
      </c>
      <c r="E97" t="inlineStr">
        <is>
          <t>primary</t>
        </is>
      </c>
      <c r="F97" t="n">
        <v>626.2051039697543</v>
      </c>
      <c r="G97">
        <f>2*SQRT(F97/PI())</f>
        <v/>
      </c>
      <c r="H97" t="n">
        <v>94.06909069289331</v>
      </c>
      <c r="I97" t="n">
        <v>554</v>
      </c>
      <c r="J97" t="n">
        <v>347</v>
      </c>
      <c r="K97" t="n">
        <v>613.6810018903592</v>
      </c>
      <c r="L97" t="n">
        <v>638.7292060491494</v>
      </c>
      <c r="M97">
        <f>2*SQRT(K97/PI())</f>
        <v/>
      </c>
      <c r="N97">
        <f>2*SQRT(L97/PI())</f>
        <v/>
      </c>
      <c r="O97" t="inlineStr">
        <is>
          <t>2(9)-P01</t>
        </is>
      </c>
      <c r="P97" t="inlineStr">
        <is>
          <t>是</t>
        </is>
      </c>
      <c r="Q97" t="inlineStr">
        <is>
          <t>auto_pipeline;review_png_green</t>
        </is>
      </c>
      <c r="R97" t="inlineStr">
        <is>
          <t>样品2</t>
        </is>
      </c>
    </row>
    <row r="98">
      <c r="A98" t="n">
        <v>97</v>
      </c>
      <c r="B98" t="inlineStr">
        <is>
          <t>2 (9).tif</t>
        </is>
      </c>
      <c r="C98" t="inlineStr">
        <is>
          <t>2(9)-V05</t>
        </is>
      </c>
      <c r="D98" t="n">
        <v>5</v>
      </c>
      <c r="E98" t="inlineStr">
        <is>
          <t>primary</t>
        </is>
      </c>
      <c r="F98" t="n">
        <v>498.7712665406427</v>
      </c>
      <c r="G98">
        <f>2*SQRT(F98/PI())</f>
        <v/>
      </c>
      <c r="H98" t="n">
        <v>83.55066112850024</v>
      </c>
      <c r="I98" t="n">
        <v>957</v>
      </c>
      <c r="J98" t="n">
        <v>103</v>
      </c>
      <c r="K98" t="n">
        <v>488.7958412098299</v>
      </c>
      <c r="L98" t="n">
        <v>508.7466918714556</v>
      </c>
      <c r="M98">
        <f>2*SQRT(K98/PI())</f>
        <v/>
      </c>
      <c r="N98">
        <f>2*SQRT(L98/PI())</f>
        <v/>
      </c>
      <c r="P98" t="inlineStr">
        <is>
          <t>是</t>
        </is>
      </c>
      <c r="Q98" t="inlineStr">
        <is>
          <t>auto_pipeline;review_png_green</t>
        </is>
      </c>
      <c r="R98" t="inlineStr">
        <is>
          <t>样品2</t>
        </is>
      </c>
    </row>
    <row r="99">
      <c r="A99" t="n">
        <v>98</v>
      </c>
      <c r="B99" t="inlineStr">
        <is>
          <t>2 (9).tif</t>
        </is>
      </c>
      <c r="C99" t="inlineStr">
        <is>
          <t>2(9)-V06</t>
        </is>
      </c>
      <c r="D99" t="n">
        <v>6</v>
      </c>
      <c r="E99" t="inlineStr">
        <is>
          <t>primary</t>
        </is>
      </c>
      <c r="F99" t="n">
        <v>439.0359168241966</v>
      </c>
      <c r="G99">
        <f>2*SQRT(F99/PI())</f>
        <v/>
      </c>
      <c r="H99" t="n">
        <v>78.73715343682662</v>
      </c>
      <c r="I99" t="n">
        <v>406</v>
      </c>
      <c r="J99" t="n">
        <v>382</v>
      </c>
      <c r="K99" t="n">
        <v>430.2551984877127</v>
      </c>
      <c r="L99" t="n">
        <v>447.8166351606805</v>
      </c>
      <c r="M99">
        <f>2*SQRT(K99/PI())</f>
        <v/>
      </c>
      <c r="N99">
        <f>2*SQRT(L99/PI())</f>
        <v/>
      </c>
      <c r="O99" t="inlineStr">
        <is>
          <t>2(9)-P01</t>
        </is>
      </c>
      <c r="P99" t="inlineStr">
        <is>
          <t>是</t>
        </is>
      </c>
      <c r="Q99" t="inlineStr">
        <is>
          <t>auto_pipeline;review_png_green</t>
        </is>
      </c>
      <c r="R99" t="inlineStr">
        <is>
          <t>样品2</t>
        </is>
      </c>
    </row>
    <row r="100">
      <c r="A100" t="n">
        <v>99</v>
      </c>
      <c r="B100" t="inlineStr">
        <is>
          <t>2 (10).tif</t>
        </is>
      </c>
      <c r="C100" t="inlineStr">
        <is>
          <t>2(10)-V01</t>
        </is>
      </c>
      <c r="D100" t="n">
        <v>1</v>
      </c>
      <c r="E100" t="inlineStr">
        <is>
          <t>primary</t>
        </is>
      </c>
      <c r="F100" t="n">
        <v>994.3761814744802</v>
      </c>
      <c r="G100">
        <f>2*SQRT(F100/PI())</f>
        <v/>
      </c>
      <c r="H100" t="n">
        <v>119.3882290176723</v>
      </c>
      <c r="I100" t="n">
        <v>200</v>
      </c>
      <c r="J100" t="n">
        <v>182</v>
      </c>
      <c r="K100" t="n">
        <v>974.4886578449906</v>
      </c>
      <c r="L100" t="n">
        <v>1014.26370510397</v>
      </c>
      <c r="M100">
        <f>2*SQRT(K100/PI())</f>
        <v/>
      </c>
      <c r="N100">
        <f>2*SQRT(L100/PI())</f>
        <v/>
      </c>
      <c r="P100" t="inlineStr">
        <is>
          <t>是</t>
        </is>
      </c>
      <c r="Q100" t="inlineStr">
        <is>
          <t>auto_pipeline;review_png_green</t>
        </is>
      </c>
      <c r="R100" t="inlineStr">
        <is>
          <t>样品2</t>
        </is>
      </c>
    </row>
    <row r="101">
      <c r="A101" t="n">
        <v>100</v>
      </c>
      <c r="B101" t="inlineStr">
        <is>
          <t>2 (10).tif</t>
        </is>
      </c>
      <c r="C101" t="inlineStr">
        <is>
          <t>2(10)-V02</t>
        </is>
      </c>
      <c r="D101" t="n">
        <v>2</v>
      </c>
      <c r="E101" t="inlineStr">
        <is>
          <t>primary</t>
        </is>
      </c>
      <c r="F101" t="n">
        <v>889.2485822306238</v>
      </c>
      <c r="G101">
        <f>2*SQRT(F101/PI())</f>
        <v/>
      </c>
      <c r="H101" t="n">
        <v>111.9878746374794</v>
      </c>
      <c r="I101" t="n">
        <v>647</v>
      </c>
      <c r="J101" t="n">
        <v>379</v>
      </c>
      <c r="K101" t="n">
        <v>871.4636105860113</v>
      </c>
      <c r="L101" t="n">
        <v>907.0335538752363</v>
      </c>
      <c r="M101">
        <f>2*SQRT(K101/PI())</f>
        <v/>
      </c>
      <c r="N101">
        <f>2*SQRT(L101/PI())</f>
        <v/>
      </c>
      <c r="P101" t="inlineStr">
        <is>
          <t>是</t>
        </is>
      </c>
      <c r="Q101" t="inlineStr">
        <is>
          <t>auto_pipeline;review_png_green</t>
        </is>
      </c>
      <c r="R101" t="inlineStr">
        <is>
          <t>样品2</t>
        </is>
      </c>
    </row>
    <row r="102">
      <c r="A102" t="n">
        <v>101</v>
      </c>
      <c r="B102" t="inlineStr">
        <is>
          <t>2 (10).tif</t>
        </is>
      </c>
      <c r="C102" t="inlineStr">
        <is>
          <t>2(10)-V03</t>
        </is>
      </c>
      <c r="D102" t="n">
        <v>3</v>
      </c>
      <c r="E102" t="inlineStr">
        <is>
          <t>primary</t>
        </is>
      </c>
      <c r="F102" t="n">
        <v>775.945179584121</v>
      </c>
      <c r="G102">
        <f>2*SQRT(F102/PI())</f>
        <v/>
      </c>
      <c r="H102" t="n">
        <v>105.5625813940297</v>
      </c>
      <c r="I102" t="n">
        <v>413</v>
      </c>
      <c r="J102" t="n">
        <v>385</v>
      </c>
      <c r="K102" t="n">
        <v>760.4262759924385</v>
      </c>
      <c r="L102" t="n">
        <v>791.4640831758035</v>
      </c>
      <c r="M102">
        <f>2*SQRT(K102/PI())</f>
        <v/>
      </c>
      <c r="N102">
        <f>2*SQRT(L102/PI())</f>
        <v/>
      </c>
      <c r="P102" t="inlineStr">
        <is>
          <t>是</t>
        </is>
      </c>
      <c r="Q102" t="inlineStr">
        <is>
          <t>auto_pipeline;review_png_green</t>
        </is>
      </c>
      <c r="R102" t="inlineStr">
        <is>
          <t>样品2</t>
        </is>
      </c>
    </row>
    <row r="103">
      <c r="A103" t="n">
        <v>102</v>
      </c>
      <c r="B103" t="inlineStr">
        <is>
          <t>2 (10).tif</t>
        </is>
      </c>
      <c r="C103" t="inlineStr">
        <is>
          <t>2(10)-V04</t>
        </is>
      </c>
      <c r="D103" t="n">
        <v>4</v>
      </c>
      <c r="E103" t="inlineStr">
        <is>
          <t>primary</t>
        </is>
      </c>
      <c r="F103" t="n">
        <v>251.2051039697542</v>
      </c>
      <c r="G103">
        <f>2*SQRT(F103/PI())</f>
        <v/>
      </c>
      <c r="H103" t="n">
        <v>62.06996935865153</v>
      </c>
      <c r="I103" t="n">
        <v>67</v>
      </c>
      <c r="J103" t="n">
        <v>606</v>
      </c>
      <c r="K103" t="n">
        <v>246.1810018903592</v>
      </c>
      <c r="L103" t="n">
        <v>256.2292060491494</v>
      </c>
      <c r="M103">
        <f>2*SQRT(K103/PI())</f>
        <v/>
      </c>
      <c r="N103">
        <f>2*SQRT(L103/PI())</f>
        <v/>
      </c>
      <c r="P103" t="inlineStr">
        <is>
          <t>是</t>
        </is>
      </c>
      <c r="Q103" t="inlineStr">
        <is>
          <t>auto_pipeline;review_png_green</t>
        </is>
      </c>
      <c r="R103" t="inlineStr">
        <is>
          <t>样品2</t>
        </is>
      </c>
    </row>
    <row r="104">
      <c r="A104" t="n">
        <v>103</v>
      </c>
      <c r="B104" t="inlineStr">
        <is>
          <t>2 (11).tif</t>
        </is>
      </c>
      <c r="C104" t="inlineStr">
        <is>
          <t>2(11)-V01</t>
        </is>
      </c>
      <c r="D104" t="n">
        <v>1</v>
      </c>
      <c r="E104" t="inlineStr">
        <is>
          <t>primary</t>
        </is>
      </c>
      <c r="F104" t="n">
        <v>1145.179584120983</v>
      </c>
      <c r="G104">
        <f>2*SQRT(F104/PI())</f>
        <v/>
      </c>
      <c r="H104" t="n">
        <v>126.8104323615199</v>
      </c>
      <c r="I104" t="n">
        <v>392</v>
      </c>
      <c r="J104" t="n">
        <v>357</v>
      </c>
      <c r="K104" t="n">
        <v>1122.275992438563</v>
      </c>
      <c r="L104" t="n">
        <v>1168.083175803403</v>
      </c>
      <c r="M104">
        <f>2*SQRT(K104/PI())</f>
        <v/>
      </c>
      <c r="N104">
        <f>2*SQRT(L104/PI())</f>
        <v/>
      </c>
      <c r="P104" t="inlineStr">
        <is>
          <t>是</t>
        </is>
      </c>
      <c r="Q104" t="inlineStr">
        <is>
          <t>auto_pipeline;review_png_green</t>
        </is>
      </c>
      <c r="R104" t="inlineStr">
        <is>
          <t>样品2</t>
        </is>
      </c>
    </row>
    <row r="105">
      <c r="A105" t="n">
        <v>104</v>
      </c>
      <c r="B105" t="inlineStr">
        <is>
          <t>2 (11).tif</t>
        </is>
      </c>
      <c r="C105" t="inlineStr">
        <is>
          <t>2(11)-V02</t>
        </is>
      </c>
      <c r="D105" t="n">
        <v>2</v>
      </c>
      <c r="E105" t="inlineStr">
        <is>
          <t>primary</t>
        </is>
      </c>
      <c r="F105" t="n">
        <v>1022.826086956522</v>
      </c>
      <c r="G105">
        <f>2*SQRT(F105/PI())</f>
        <v/>
      </c>
      <c r="H105" t="n">
        <v>119.8976085496985</v>
      </c>
      <c r="I105" t="n">
        <v>617</v>
      </c>
      <c r="J105" t="n">
        <v>347</v>
      </c>
      <c r="K105" t="n">
        <v>1002.369565217391</v>
      </c>
      <c r="L105" t="n">
        <v>1043.282608695652</v>
      </c>
      <c r="M105">
        <f>2*SQRT(K105/PI())</f>
        <v/>
      </c>
      <c r="N105">
        <f>2*SQRT(L105/PI())</f>
        <v/>
      </c>
      <c r="P105" t="inlineStr">
        <is>
          <t>是</t>
        </is>
      </c>
      <c r="Q105" t="inlineStr">
        <is>
          <t>auto_pipeline;review_png_green</t>
        </is>
      </c>
      <c r="R105" t="inlineStr">
        <is>
          <t>样品2</t>
        </is>
      </c>
    </row>
    <row r="106">
      <c r="A106" t="n">
        <v>105</v>
      </c>
      <c r="B106" t="inlineStr">
        <is>
          <t>2 (11).tif</t>
        </is>
      </c>
      <c r="C106" t="inlineStr">
        <is>
          <t>2(11)-V03</t>
        </is>
      </c>
      <c r="D106" t="n">
        <v>3</v>
      </c>
      <c r="E106" t="inlineStr">
        <is>
          <t>primary</t>
        </is>
      </c>
      <c r="F106" t="n">
        <v>662.547258979206</v>
      </c>
      <c r="G106">
        <f>2*SQRT(F106/PI())</f>
        <v/>
      </c>
      <c r="H106" t="n">
        <v>97.65284748181053</v>
      </c>
      <c r="I106" t="n">
        <v>861</v>
      </c>
      <c r="J106" t="n">
        <v>377</v>
      </c>
      <c r="K106" t="n">
        <v>649.2963137996219</v>
      </c>
      <c r="L106" t="n">
        <v>675.7982041587902</v>
      </c>
      <c r="M106">
        <f>2*SQRT(K106/PI())</f>
        <v/>
      </c>
      <c r="N106">
        <f>2*SQRT(L106/PI())</f>
        <v/>
      </c>
      <c r="P106" t="inlineStr">
        <is>
          <t>是</t>
        </is>
      </c>
      <c r="Q106" t="inlineStr">
        <is>
          <t>auto_pipeline;review_png_green</t>
        </is>
      </c>
      <c r="R106" t="inlineStr">
        <is>
          <t>样品2</t>
        </is>
      </c>
    </row>
    <row r="107">
      <c r="A107" t="n">
        <v>106</v>
      </c>
      <c r="B107" t="inlineStr">
        <is>
          <t>2 (12).tif</t>
        </is>
      </c>
      <c r="C107" t="inlineStr">
        <is>
          <t>2(12)-V01</t>
        </is>
      </c>
      <c r="D107" t="n">
        <v>1</v>
      </c>
      <c r="E107" t="inlineStr">
        <is>
          <t>primary</t>
        </is>
      </c>
      <c r="F107" t="n">
        <v>765.9971644612476</v>
      </c>
      <c r="G107">
        <f>2*SQRT(F107/PI())</f>
        <v/>
      </c>
      <c r="H107" t="n">
        <v>103.9507958422536</v>
      </c>
      <c r="I107" t="n">
        <v>684</v>
      </c>
      <c r="J107" t="n">
        <v>270</v>
      </c>
      <c r="K107" t="n">
        <v>750.6772211720227</v>
      </c>
      <c r="L107" t="n">
        <v>781.3171077504726</v>
      </c>
      <c r="M107">
        <f>2*SQRT(K107/PI())</f>
        <v/>
      </c>
      <c r="N107">
        <f>2*SQRT(L107/PI())</f>
        <v/>
      </c>
      <c r="P107" t="inlineStr">
        <is>
          <t>是</t>
        </is>
      </c>
      <c r="Q107" t="inlineStr">
        <is>
          <t>auto_pipeline;review_png_green</t>
        </is>
      </c>
      <c r="R107" t="inlineStr">
        <is>
          <t>样品2</t>
        </is>
      </c>
    </row>
    <row r="108">
      <c r="A108" t="n">
        <v>107</v>
      </c>
      <c r="B108" t="inlineStr">
        <is>
          <t>2 (12).tif</t>
        </is>
      </c>
      <c r="C108" t="inlineStr">
        <is>
          <t>2(12)-V02</t>
        </is>
      </c>
      <c r="D108" t="n">
        <v>2</v>
      </c>
      <c r="E108" t="inlineStr">
        <is>
          <t>primary</t>
        </is>
      </c>
      <c r="F108" t="n">
        <v>690.5954631379963</v>
      </c>
      <c r="G108">
        <f>2*SQRT(F108/PI())</f>
        <v/>
      </c>
      <c r="H108" t="n">
        <v>99.11543918692547</v>
      </c>
      <c r="I108" t="n">
        <v>295</v>
      </c>
      <c r="J108" t="n">
        <v>424</v>
      </c>
      <c r="K108" t="n">
        <v>676.7835538752363</v>
      </c>
      <c r="L108" t="n">
        <v>704.4073724007562</v>
      </c>
      <c r="M108">
        <f>2*SQRT(K108/PI())</f>
        <v/>
      </c>
      <c r="N108">
        <f>2*SQRT(L108/PI())</f>
        <v/>
      </c>
      <c r="P108" t="inlineStr">
        <is>
          <t>是</t>
        </is>
      </c>
      <c r="Q108" t="inlineStr">
        <is>
          <t>auto_pipeline;review_png_green</t>
        </is>
      </c>
      <c r="R108" t="inlineStr">
        <is>
          <t>样品2</t>
        </is>
      </c>
    </row>
    <row r="109">
      <c r="A109" t="n">
        <v>108</v>
      </c>
      <c r="B109" t="inlineStr">
        <is>
          <t>2 (12).tif</t>
        </is>
      </c>
      <c r="C109" t="inlineStr">
        <is>
          <t>2(12)-V03</t>
        </is>
      </c>
      <c r="D109" t="n">
        <v>3</v>
      </c>
      <c r="E109" t="inlineStr">
        <is>
          <t>primary</t>
        </is>
      </c>
      <c r="F109" t="n">
        <v>662.5</v>
      </c>
      <c r="G109">
        <f>2*SQRT(F109/PI())</f>
        <v/>
      </c>
      <c r="H109" t="n">
        <v>97.29266179644543</v>
      </c>
      <c r="I109" t="n">
        <v>526</v>
      </c>
      <c r="J109" t="n">
        <v>210</v>
      </c>
      <c r="K109" t="n">
        <v>649.25</v>
      </c>
      <c r="L109" t="n">
        <v>675.75</v>
      </c>
      <c r="M109">
        <f>2*SQRT(K109/PI())</f>
        <v/>
      </c>
      <c r="N109">
        <f>2*SQRT(L109/PI())</f>
        <v/>
      </c>
      <c r="P109" t="inlineStr">
        <is>
          <t>是</t>
        </is>
      </c>
      <c r="Q109" t="inlineStr">
        <is>
          <t>auto_pipeline;review_png_green</t>
        </is>
      </c>
      <c r="R109" t="inlineStr">
        <is>
          <t>样品2</t>
        </is>
      </c>
    </row>
    <row r="110">
      <c r="A110" t="n">
        <v>109</v>
      </c>
      <c r="B110" t="inlineStr">
        <is>
          <t>2 (12).tif</t>
        </is>
      </c>
      <c r="C110" t="inlineStr">
        <is>
          <t>2(12)-V04</t>
        </is>
      </c>
      <c r="D110" t="n">
        <v>4</v>
      </c>
      <c r="E110" t="inlineStr">
        <is>
          <t>primary</t>
        </is>
      </c>
      <c r="F110" t="n">
        <v>249.4328922495274</v>
      </c>
      <c r="G110">
        <f>2*SQRT(F110/PI())</f>
        <v/>
      </c>
      <c r="H110" t="n">
        <v>61.07305925825368</v>
      </c>
      <c r="I110" t="n">
        <v>429</v>
      </c>
      <c r="J110" t="n">
        <v>540</v>
      </c>
      <c r="K110" t="n">
        <v>244.4442344045369</v>
      </c>
      <c r="L110" t="n">
        <v>254.421550094518</v>
      </c>
      <c r="M110">
        <f>2*SQRT(K110/PI())</f>
        <v/>
      </c>
      <c r="N110">
        <f>2*SQRT(L110/PI())</f>
        <v/>
      </c>
      <c r="P110" t="inlineStr">
        <is>
          <t>是</t>
        </is>
      </c>
      <c r="Q110" t="inlineStr">
        <is>
          <t>auto_pipeline;review_png_green</t>
        </is>
      </c>
      <c r="R110" t="inlineStr">
        <is>
          <t>样品2</t>
        </is>
      </c>
    </row>
    <row r="111">
      <c r="A111" t="n">
        <v>110</v>
      </c>
      <c r="B111" t="inlineStr">
        <is>
          <t>2 (12).tif</t>
        </is>
      </c>
      <c r="C111" t="inlineStr">
        <is>
          <t>2(12)-V05</t>
        </is>
      </c>
      <c r="D111" t="n">
        <v>5</v>
      </c>
      <c r="E111" t="inlineStr">
        <is>
          <t>primary</t>
        </is>
      </c>
      <c r="F111" t="n">
        <v>124.7164461247637</v>
      </c>
      <c r="G111">
        <f>2*SQRT(F111/PI())</f>
        <v/>
      </c>
      <c r="H111" t="n">
        <v>45.71927303853242</v>
      </c>
      <c r="I111" t="n">
        <v>682</v>
      </c>
      <c r="J111" t="n">
        <v>167</v>
      </c>
      <c r="K111" t="n">
        <v>122.2221172022684</v>
      </c>
      <c r="L111" t="n">
        <v>127.210775047259</v>
      </c>
      <c r="M111">
        <f>2*SQRT(K111/PI())</f>
        <v/>
      </c>
      <c r="N111">
        <f>2*SQRT(L111/PI())</f>
        <v/>
      </c>
      <c r="P111" t="inlineStr">
        <is>
          <t>是</t>
        </is>
      </c>
      <c r="Q111" t="inlineStr">
        <is>
          <t>auto_pipeline;review_png_green</t>
        </is>
      </c>
      <c r="R111" t="inlineStr">
        <is>
          <t>样品2</t>
        </is>
      </c>
    </row>
    <row r="112">
      <c r="A112" t="n">
        <v>111</v>
      </c>
      <c r="B112" t="inlineStr">
        <is>
          <t>2 (12).tif</t>
        </is>
      </c>
      <c r="C112" t="inlineStr">
        <is>
          <t>2(12)-V06</t>
        </is>
      </c>
      <c r="D112" t="n">
        <v>6</v>
      </c>
      <c r="E112" t="inlineStr">
        <is>
          <t>primary</t>
        </is>
      </c>
      <c r="F112" t="n">
        <v>104.4187145557656</v>
      </c>
      <c r="G112">
        <f>2*SQRT(F112/PI())</f>
        <v/>
      </c>
      <c r="H112" t="n">
        <v>42.98323250335196</v>
      </c>
      <c r="I112" t="n">
        <v>804</v>
      </c>
      <c r="J112" t="n">
        <v>250</v>
      </c>
      <c r="K112" t="n">
        <v>102.3303402646503</v>
      </c>
      <c r="L112" t="n">
        <v>106.5070888468809</v>
      </c>
      <c r="M112">
        <f>2*SQRT(K112/PI())</f>
        <v/>
      </c>
      <c r="N112">
        <f>2*SQRT(L112/PI())</f>
        <v/>
      </c>
      <c r="P112" t="inlineStr">
        <is>
          <t>是</t>
        </is>
      </c>
      <c r="Q112" t="inlineStr">
        <is>
          <t>auto_pipeline;review_png_green</t>
        </is>
      </c>
      <c r="R112" t="inlineStr">
        <is>
          <t>样品2</t>
        </is>
      </c>
    </row>
    <row r="113">
      <c r="A113" t="n">
        <v>112</v>
      </c>
      <c r="B113" t="inlineStr">
        <is>
          <t>2 (13).tif</t>
        </is>
      </c>
      <c r="C113" t="inlineStr">
        <is>
          <t>2(13)-V01</t>
        </is>
      </c>
      <c r="D113" t="n">
        <v>1</v>
      </c>
      <c r="E113" t="inlineStr">
        <is>
          <t>primary</t>
        </is>
      </c>
      <c r="F113" t="n">
        <v>448.9839319470699</v>
      </c>
      <c r="G113">
        <f>2*SQRT(F113/PI())</f>
        <v/>
      </c>
      <c r="H113" t="n">
        <v>79.47937377121137</v>
      </c>
      <c r="I113" t="n">
        <v>495</v>
      </c>
      <c r="J113" t="n">
        <v>329</v>
      </c>
      <c r="K113" t="n">
        <v>440.0042533081286</v>
      </c>
      <c r="L113" t="n">
        <v>457.9636105860113</v>
      </c>
      <c r="M113">
        <f>2*SQRT(K113/PI())</f>
        <v/>
      </c>
      <c r="N113">
        <f>2*SQRT(L113/PI())</f>
        <v/>
      </c>
      <c r="O113" t="inlineStr">
        <is>
          <t>2(13)-P01</t>
        </is>
      </c>
      <c r="P113" t="inlineStr">
        <is>
          <t>是</t>
        </is>
      </c>
      <c r="Q113" t="inlineStr">
        <is>
          <t>auto_pipeline;review_png_green</t>
        </is>
      </c>
      <c r="R113" t="inlineStr">
        <is>
          <t>样品2</t>
        </is>
      </c>
    </row>
    <row r="114">
      <c r="A114" t="n">
        <v>113</v>
      </c>
      <c r="B114" t="inlineStr">
        <is>
          <t>2 (13).tif</t>
        </is>
      </c>
      <c r="C114" t="inlineStr">
        <is>
          <t>2(13)-V02</t>
        </is>
      </c>
      <c r="D114" t="n">
        <v>2</v>
      </c>
      <c r="E114" t="inlineStr">
        <is>
          <t>primary</t>
        </is>
      </c>
      <c r="F114" t="n">
        <v>398.9603024574669</v>
      </c>
      <c r="G114">
        <f>2*SQRT(F114/PI())</f>
        <v/>
      </c>
      <c r="H114" t="n">
        <v>75.15339664790942</v>
      </c>
      <c r="I114" t="n">
        <v>565</v>
      </c>
      <c r="J114" t="n">
        <v>436</v>
      </c>
      <c r="K114" t="n">
        <v>390.9810964083176</v>
      </c>
      <c r="L114" t="n">
        <v>406.9395085066163</v>
      </c>
      <c r="M114">
        <f>2*SQRT(K114/PI())</f>
        <v/>
      </c>
      <c r="N114">
        <f>2*SQRT(L114/PI())</f>
        <v/>
      </c>
      <c r="O114" t="inlineStr">
        <is>
          <t>2(13)-P01</t>
        </is>
      </c>
      <c r="P114" t="inlineStr">
        <is>
          <t>是</t>
        </is>
      </c>
      <c r="Q114" t="inlineStr">
        <is>
          <t>auto_pipeline;review_png_green</t>
        </is>
      </c>
      <c r="R114" t="inlineStr">
        <is>
          <t>样品2</t>
        </is>
      </c>
    </row>
    <row r="115">
      <c r="A115" t="n">
        <v>114</v>
      </c>
      <c r="B115" t="inlineStr">
        <is>
          <t>2 (13).tif</t>
        </is>
      </c>
      <c r="C115" t="inlineStr">
        <is>
          <t>2(13)-V03</t>
        </is>
      </c>
      <c r="D115" t="n">
        <v>3</v>
      </c>
      <c r="E115" t="inlineStr">
        <is>
          <t>primary</t>
        </is>
      </c>
      <c r="F115" t="n">
        <v>207.679584120983</v>
      </c>
      <c r="G115">
        <f>2*SQRT(F115/PI())</f>
        <v/>
      </c>
      <c r="H115" t="n">
        <v>63.80909979343414</v>
      </c>
      <c r="I115" t="n">
        <v>189</v>
      </c>
      <c r="J115" t="n">
        <v>400</v>
      </c>
      <c r="K115" t="n">
        <v>203.5259924385633</v>
      </c>
      <c r="L115" t="n">
        <v>211.8331758034026</v>
      </c>
      <c r="M115">
        <f>2*SQRT(K115/PI())</f>
        <v/>
      </c>
      <c r="N115">
        <f>2*SQRT(L115/PI())</f>
        <v/>
      </c>
      <c r="P115" t="inlineStr">
        <is>
          <t>是</t>
        </is>
      </c>
      <c r="Q115" t="inlineStr">
        <is>
          <t>auto_pipeline;review_png_green</t>
        </is>
      </c>
      <c r="R115" t="inlineStr">
        <is>
          <t>样品2</t>
        </is>
      </c>
    </row>
    <row r="116">
      <c r="A116" t="n">
        <v>115</v>
      </c>
      <c r="B116" t="inlineStr">
        <is>
          <t>2 (13).tif</t>
        </is>
      </c>
      <c r="C116" t="inlineStr">
        <is>
          <t>2(13)-V04</t>
        </is>
      </c>
      <c r="D116" t="n">
        <v>4</v>
      </c>
      <c r="E116" t="inlineStr">
        <is>
          <t>primary</t>
        </is>
      </c>
      <c r="F116" t="n">
        <v>197.140831758034</v>
      </c>
      <c r="G116">
        <f>2*SQRT(F116/PI())</f>
        <v/>
      </c>
      <c r="H116" t="n">
        <v>53.8836967167647</v>
      </c>
      <c r="I116" t="n">
        <v>180</v>
      </c>
      <c r="J116" t="n">
        <v>233</v>
      </c>
      <c r="K116" t="n">
        <v>193.1980151228734</v>
      </c>
      <c r="L116" t="n">
        <v>201.0836483931947</v>
      </c>
      <c r="M116">
        <f>2*SQRT(K116/PI())</f>
        <v/>
      </c>
      <c r="N116">
        <f>2*SQRT(L116/PI())</f>
        <v/>
      </c>
      <c r="P116" t="inlineStr">
        <is>
          <t>是</t>
        </is>
      </c>
      <c r="Q116" t="inlineStr">
        <is>
          <t>auto_pipeline;review_png_green</t>
        </is>
      </c>
      <c r="R116" t="inlineStr">
        <is>
          <t>样品2</t>
        </is>
      </c>
    </row>
    <row r="117">
      <c r="A117" t="n">
        <v>116</v>
      </c>
      <c r="B117" t="inlineStr">
        <is>
          <t>2 (13).tif</t>
        </is>
      </c>
      <c r="C117" t="inlineStr">
        <is>
          <t>2(13)-V05</t>
        </is>
      </c>
      <c r="D117" t="n">
        <v>5</v>
      </c>
      <c r="E117" t="inlineStr">
        <is>
          <t>primary</t>
        </is>
      </c>
      <c r="F117" t="n">
        <v>118.3837429111531</v>
      </c>
      <c r="G117">
        <f>2*SQRT(F117/PI())</f>
        <v/>
      </c>
      <c r="H117" t="n">
        <v>43.25977123301962</v>
      </c>
      <c r="I117" t="n">
        <v>240</v>
      </c>
      <c r="J117" t="n">
        <v>345</v>
      </c>
      <c r="K117" t="n">
        <v>116.0160680529301</v>
      </c>
      <c r="L117" t="n">
        <v>120.7514177693762</v>
      </c>
      <c r="M117">
        <f>2*SQRT(K117/PI())</f>
        <v/>
      </c>
      <c r="N117">
        <f>2*SQRT(L117/PI())</f>
        <v/>
      </c>
      <c r="P117" t="inlineStr">
        <is>
          <t>是</t>
        </is>
      </c>
      <c r="Q117" t="inlineStr">
        <is>
          <t>auto_pipeline;review_png_green</t>
        </is>
      </c>
      <c r="R117" t="inlineStr">
        <is>
          <t>样品2</t>
        </is>
      </c>
    </row>
    <row r="118">
      <c r="A118" t="n">
        <v>117</v>
      </c>
      <c r="B118" t="inlineStr">
        <is>
          <t>2 (13).tif</t>
        </is>
      </c>
      <c r="C118" t="inlineStr">
        <is>
          <t>2(13)-V06</t>
        </is>
      </c>
      <c r="D118" t="n">
        <v>6</v>
      </c>
      <c r="E118" t="inlineStr">
        <is>
          <t>primary</t>
        </is>
      </c>
      <c r="F118" t="n">
        <v>114.7448015122873</v>
      </c>
      <c r="G118">
        <f>2*SQRT(F118/PI())</f>
        <v/>
      </c>
      <c r="H118" t="n">
        <v>53.7744518984919</v>
      </c>
      <c r="I118" t="n">
        <v>531</v>
      </c>
      <c r="J118" t="n">
        <v>635</v>
      </c>
      <c r="K118" t="n">
        <v>112.4499054820416</v>
      </c>
      <c r="L118" t="n">
        <v>117.0396975425331</v>
      </c>
      <c r="M118">
        <f>2*SQRT(K118/PI())</f>
        <v/>
      </c>
      <c r="N118">
        <f>2*SQRT(L118/PI())</f>
        <v/>
      </c>
      <c r="P118" t="inlineStr">
        <is>
          <t>是</t>
        </is>
      </c>
      <c r="Q118" t="inlineStr">
        <is>
          <t>auto_pipeline;review_png_green</t>
        </is>
      </c>
      <c r="R118" t="inlineStr">
        <is>
          <t>样品2</t>
        </is>
      </c>
    </row>
    <row r="119">
      <c r="A119" t="n">
        <v>118</v>
      </c>
      <c r="B119" t="inlineStr">
        <is>
          <t>2 (13).tif</t>
        </is>
      </c>
      <c r="C119" t="inlineStr">
        <is>
          <t>2(13)-V07</t>
        </is>
      </c>
      <c r="D119" t="n">
        <v>7</v>
      </c>
      <c r="E119" t="inlineStr">
        <is>
          <t>primary</t>
        </is>
      </c>
      <c r="F119" t="n">
        <v>108.8610586011342</v>
      </c>
      <c r="G119">
        <f>2*SQRT(F119/PI())</f>
        <v/>
      </c>
      <c r="H119" t="n">
        <v>41.39329591523046</v>
      </c>
      <c r="I119" t="n">
        <v>948</v>
      </c>
      <c r="J119" t="n">
        <v>44</v>
      </c>
      <c r="K119" t="n">
        <v>106.6838374291115</v>
      </c>
      <c r="L119" t="n">
        <v>111.0382797731569</v>
      </c>
      <c r="M119">
        <f>2*SQRT(K119/PI())</f>
        <v/>
      </c>
      <c r="N119">
        <f>2*SQRT(L119/PI())</f>
        <v/>
      </c>
      <c r="P119" t="inlineStr">
        <is>
          <t>是</t>
        </is>
      </c>
      <c r="Q119" t="inlineStr">
        <is>
          <t>auto_pipeline;review_png_green</t>
        </is>
      </c>
      <c r="R119" t="inlineStr">
        <is>
          <t>样品2</t>
        </is>
      </c>
    </row>
    <row r="120">
      <c r="A120" t="n">
        <v>119</v>
      </c>
      <c r="B120" t="inlineStr">
        <is>
          <t>2 (13).tif</t>
        </is>
      </c>
      <c r="C120" t="inlineStr">
        <is>
          <t>2(13)-V08</t>
        </is>
      </c>
      <c r="D120" t="n">
        <v>8</v>
      </c>
      <c r="E120" t="inlineStr">
        <is>
          <t>primary</t>
        </is>
      </c>
      <c r="F120" t="n">
        <v>103.9461247637051</v>
      </c>
      <c r="G120">
        <f>2*SQRT(F120/PI())</f>
        <v/>
      </c>
      <c r="H120" t="n">
        <v>38.57360842435256</v>
      </c>
      <c r="I120" t="n">
        <v>270</v>
      </c>
      <c r="J120" t="n">
        <v>434</v>
      </c>
      <c r="K120" t="n">
        <v>101.867202268431</v>
      </c>
      <c r="L120" t="n">
        <v>106.0250472589792</v>
      </c>
      <c r="M120">
        <f>2*SQRT(K120/PI())</f>
        <v/>
      </c>
      <c r="N120">
        <f>2*SQRT(L120/PI())</f>
        <v/>
      </c>
      <c r="P120" t="inlineStr">
        <is>
          <t>是</t>
        </is>
      </c>
      <c r="Q120" t="inlineStr">
        <is>
          <t>auto_pipeline;review_png_green</t>
        </is>
      </c>
      <c r="R120" t="inlineStr">
        <is>
          <t>样品2</t>
        </is>
      </c>
    </row>
    <row r="121">
      <c r="A121" t="n">
        <v>120</v>
      </c>
      <c r="B121" t="inlineStr">
        <is>
          <t>2 (14).tif</t>
        </is>
      </c>
      <c r="C121" t="inlineStr">
        <is>
          <t>2(14)-V01</t>
        </is>
      </c>
      <c r="D121" t="n">
        <v>1</v>
      </c>
      <c r="E121" t="inlineStr">
        <is>
          <t>primary</t>
        </is>
      </c>
      <c r="F121" t="n">
        <v>800.2126654064273</v>
      </c>
      <c r="G121">
        <f>2*SQRT(F121/PI())</f>
        <v/>
      </c>
      <c r="H121" t="n">
        <v>106.0501119624013</v>
      </c>
      <c r="I121" t="n">
        <v>531</v>
      </c>
      <c r="J121" t="n">
        <v>464</v>
      </c>
      <c r="K121" t="n">
        <v>784.2084120982987</v>
      </c>
      <c r="L121" t="n">
        <v>816.2169187145558</v>
      </c>
      <c r="M121">
        <f>2*SQRT(K121/PI())</f>
        <v/>
      </c>
      <c r="N121">
        <f>2*SQRT(L121/PI())</f>
        <v/>
      </c>
      <c r="O121" t="inlineStr">
        <is>
          <t>2(14)-P01</t>
        </is>
      </c>
      <c r="P121" t="inlineStr">
        <is>
          <t>是</t>
        </is>
      </c>
      <c r="Q121" t="inlineStr">
        <is>
          <t>auto_pipeline;review_png_green</t>
        </is>
      </c>
      <c r="R121" t="inlineStr">
        <is>
          <t>样品2</t>
        </is>
      </c>
    </row>
    <row r="122">
      <c r="A122" t="n">
        <v>121</v>
      </c>
      <c r="B122" t="inlineStr">
        <is>
          <t>2 (14).tif</t>
        </is>
      </c>
      <c r="C122" t="inlineStr">
        <is>
          <t>2(14)-V02</t>
        </is>
      </c>
      <c r="D122" t="n">
        <v>2</v>
      </c>
      <c r="E122" t="inlineStr">
        <is>
          <t>primary</t>
        </is>
      </c>
      <c r="F122" t="n">
        <v>726.1342155009452</v>
      </c>
      <c r="G122">
        <f>2*SQRT(F122/PI())</f>
        <v/>
      </c>
      <c r="H122" t="n">
        <v>101.1092593877212</v>
      </c>
      <c r="I122" t="n">
        <v>157</v>
      </c>
      <c r="J122" t="n">
        <v>373</v>
      </c>
      <c r="K122" t="n">
        <v>711.6115311909263</v>
      </c>
      <c r="L122" t="n">
        <v>740.6568998109641</v>
      </c>
      <c r="M122">
        <f>2*SQRT(K122/PI())</f>
        <v/>
      </c>
      <c r="N122">
        <f>2*SQRT(L122/PI())</f>
        <v/>
      </c>
      <c r="P122" t="inlineStr">
        <is>
          <t>是</t>
        </is>
      </c>
      <c r="Q122" t="inlineStr">
        <is>
          <t>auto_pipeline;review_png_green</t>
        </is>
      </c>
      <c r="R122" t="inlineStr">
        <is>
          <t>样品2</t>
        </is>
      </c>
    </row>
    <row r="123">
      <c r="A123" t="n">
        <v>122</v>
      </c>
      <c r="B123" t="inlineStr">
        <is>
          <t>2 (14).tif</t>
        </is>
      </c>
      <c r="C123" t="inlineStr">
        <is>
          <t>2(14)-V03</t>
        </is>
      </c>
      <c r="D123" t="n">
        <v>3</v>
      </c>
      <c r="E123" t="inlineStr">
        <is>
          <t>primary</t>
        </is>
      </c>
      <c r="F123" t="n">
        <v>645.7466918714556</v>
      </c>
      <c r="G123">
        <f>2*SQRT(F123/PI())</f>
        <v/>
      </c>
      <c r="H123" t="n">
        <v>95.42618647865626</v>
      </c>
      <c r="I123" t="n">
        <v>506</v>
      </c>
      <c r="J123" t="n">
        <v>315</v>
      </c>
      <c r="K123" t="n">
        <v>632.8317580340265</v>
      </c>
      <c r="L123" t="n">
        <v>658.6616257088847</v>
      </c>
      <c r="M123">
        <f>2*SQRT(K123/PI())</f>
        <v/>
      </c>
      <c r="N123">
        <f>2*SQRT(L123/PI())</f>
        <v/>
      </c>
      <c r="O123" t="inlineStr">
        <is>
          <t>2(14)-P01</t>
        </is>
      </c>
      <c r="P123" t="inlineStr">
        <is>
          <t>是</t>
        </is>
      </c>
      <c r="Q123" t="inlineStr">
        <is>
          <t>auto_pipeline;review_png_green</t>
        </is>
      </c>
      <c r="R123" t="inlineStr">
        <is>
          <t>样品2</t>
        </is>
      </c>
    </row>
    <row r="124">
      <c r="A124" t="n">
        <v>123</v>
      </c>
      <c r="B124" t="inlineStr">
        <is>
          <t>2 (14).tif</t>
        </is>
      </c>
      <c r="C124" t="inlineStr">
        <is>
          <t>2(14)-V04</t>
        </is>
      </c>
      <c r="D124" t="n">
        <v>4</v>
      </c>
      <c r="E124" t="inlineStr">
        <is>
          <t>primary</t>
        </is>
      </c>
      <c r="F124" t="n">
        <v>530.4347826086956</v>
      </c>
      <c r="G124">
        <f>2*SQRT(F124/PI())</f>
        <v/>
      </c>
      <c r="H124" t="n">
        <v>87.74929336879565</v>
      </c>
      <c r="I124" t="n">
        <v>863</v>
      </c>
      <c r="J124" t="n">
        <v>430</v>
      </c>
      <c r="K124" t="n">
        <v>519.8260869565217</v>
      </c>
      <c r="L124" t="n">
        <v>541.0434782608695</v>
      </c>
      <c r="M124">
        <f>2*SQRT(K124/PI())</f>
        <v/>
      </c>
      <c r="N124">
        <f>2*SQRT(L124/PI())</f>
        <v/>
      </c>
      <c r="P124" t="inlineStr">
        <is>
          <t>是</t>
        </is>
      </c>
      <c r="Q124" t="inlineStr">
        <is>
          <t>auto_pipeline;review_png_green</t>
        </is>
      </c>
      <c r="R124" t="inlineStr">
        <is>
          <t>样品2</t>
        </is>
      </c>
    </row>
    <row r="125">
      <c r="A125" t="n">
        <v>124</v>
      </c>
      <c r="B125" t="inlineStr">
        <is>
          <t>2 (14).tif</t>
        </is>
      </c>
      <c r="C125" t="inlineStr">
        <is>
          <t>2(14)-V05</t>
        </is>
      </c>
      <c r="D125" t="n">
        <v>5</v>
      </c>
      <c r="E125" t="inlineStr">
        <is>
          <t>primary</t>
        </is>
      </c>
      <c r="F125" t="n">
        <v>455.6947069943289</v>
      </c>
      <c r="G125">
        <f>2*SQRT(F125/PI())</f>
        <v/>
      </c>
      <c r="H125" t="n">
        <v>80.70912467396778</v>
      </c>
      <c r="I125" t="n">
        <v>158</v>
      </c>
      <c r="J125" t="n">
        <v>219</v>
      </c>
      <c r="K125" t="n">
        <v>446.5808128544423</v>
      </c>
      <c r="L125" t="n">
        <v>464.8086011342155</v>
      </c>
      <c r="M125">
        <f>2*SQRT(K125/PI())</f>
        <v/>
      </c>
      <c r="N125">
        <f>2*SQRT(L125/PI())</f>
        <v/>
      </c>
      <c r="P125" t="inlineStr">
        <is>
          <t>是</t>
        </is>
      </c>
      <c r="Q125" t="inlineStr">
        <is>
          <t>auto_pipeline;review_png_green</t>
        </is>
      </c>
      <c r="R125" t="inlineStr">
        <is>
          <t>样品2</t>
        </is>
      </c>
    </row>
    <row r="126">
      <c r="A126" t="n">
        <v>125</v>
      </c>
      <c r="B126" t="inlineStr">
        <is>
          <t>2 (14).tif</t>
        </is>
      </c>
      <c r="C126" t="inlineStr">
        <is>
          <t>2(14)-V06</t>
        </is>
      </c>
      <c r="D126" t="n">
        <v>6</v>
      </c>
      <c r="E126" t="inlineStr">
        <is>
          <t>primary</t>
        </is>
      </c>
      <c r="F126" t="n">
        <v>392.4621928166351</v>
      </c>
      <c r="G126">
        <f>2*SQRT(F126/PI())</f>
        <v/>
      </c>
      <c r="H126" t="n">
        <v>74.15648654751155</v>
      </c>
      <c r="I126" t="n">
        <v>881</v>
      </c>
      <c r="J126" t="n">
        <v>577</v>
      </c>
      <c r="K126" t="n">
        <v>384.6129489603024</v>
      </c>
      <c r="L126" t="n">
        <v>400.3114366729678</v>
      </c>
      <c r="M126">
        <f>2*SQRT(K126/PI())</f>
        <v/>
      </c>
      <c r="N126">
        <f>2*SQRT(L126/PI())</f>
        <v/>
      </c>
      <c r="P126" t="inlineStr">
        <is>
          <t>是</t>
        </is>
      </c>
      <c r="Q126" t="inlineStr">
        <is>
          <t>auto_pipeline;review_png_green</t>
        </is>
      </c>
      <c r="R126" t="inlineStr">
        <is>
          <t>样品2</t>
        </is>
      </c>
    </row>
    <row r="127">
      <c r="A127" t="n">
        <v>126</v>
      </c>
      <c r="B127" t="inlineStr">
        <is>
          <t>2 (14).tif</t>
        </is>
      </c>
      <c r="C127" t="inlineStr">
        <is>
          <t>2(14)-V07</t>
        </is>
      </c>
      <c r="D127" t="n">
        <v>7</v>
      </c>
      <c r="E127" t="inlineStr">
        <is>
          <t>primary</t>
        </is>
      </c>
      <c r="F127" t="n">
        <v>332.2778827977316</v>
      </c>
      <c r="G127">
        <f>2*SQRT(F127/PI())</f>
        <v/>
      </c>
      <c r="H127" t="n">
        <v>68.60075852145319</v>
      </c>
      <c r="I127" t="n">
        <v>176</v>
      </c>
      <c r="J127" t="n">
        <v>94</v>
      </c>
      <c r="K127" t="n">
        <v>325.632325141777</v>
      </c>
      <c r="L127" t="n">
        <v>338.9234404536862</v>
      </c>
      <c r="M127">
        <f>2*SQRT(K127/PI())</f>
        <v/>
      </c>
      <c r="N127">
        <f>2*SQRT(L127/PI())</f>
        <v/>
      </c>
      <c r="P127" t="inlineStr">
        <is>
          <t>是</t>
        </is>
      </c>
      <c r="Q127" t="inlineStr">
        <is>
          <t>auto_pipeline;review_png_green</t>
        </is>
      </c>
      <c r="R127" t="inlineStr">
        <is>
          <t>样品2</t>
        </is>
      </c>
    </row>
    <row r="128">
      <c r="A128" t="n">
        <v>127</v>
      </c>
      <c r="B128" t="inlineStr">
        <is>
          <t>3 (1).tif</t>
        </is>
      </c>
      <c r="C128" t="inlineStr">
        <is>
          <t>3(1)-V01</t>
        </is>
      </c>
      <c r="D128" t="n">
        <v>1</v>
      </c>
      <c r="E128" t="inlineStr">
        <is>
          <t>primary</t>
        </is>
      </c>
      <c r="F128" t="n">
        <v>891.2098298676749</v>
      </c>
      <c r="G128">
        <f>2*SQRT(F128/PI())</f>
        <v/>
      </c>
      <c r="H128" t="n">
        <v>112.7300949718641</v>
      </c>
      <c r="I128" t="n">
        <v>93</v>
      </c>
      <c r="J128" t="n">
        <v>147</v>
      </c>
      <c r="K128" t="n">
        <v>873.3856332703214</v>
      </c>
      <c r="L128" t="n">
        <v>909.0340264650284</v>
      </c>
      <c r="M128">
        <f>2*SQRT(K128/PI())</f>
        <v/>
      </c>
      <c r="N128">
        <f>2*SQRT(L128/PI())</f>
        <v/>
      </c>
      <c r="P128" t="inlineStr">
        <is>
          <t>是</t>
        </is>
      </c>
      <c r="Q128" t="inlineStr">
        <is>
          <t>auto_pipeline;review_png_green</t>
        </is>
      </c>
      <c r="R128" t="inlineStr">
        <is>
          <t>样品3</t>
        </is>
      </c>
    </row>
    <row r="129">
      <c r="A129" t="n">
        <v>128</v>
      </c>
      <c r="B129" t="inlineStr">
        <is>
          <t>3 (1).tif</t>
        </is>
      </c>
      <c r="C129" t="inlineStr">
        <is>
          <t>3(1)-V02</t>
        </is>
      </c>
      <c r="D129" t="n">
        <v>2</v>
      </c>
      <c r="E129" t="inlineStr">
        <is>
          <t>primary</t>
        </is>
      </c>
      <c r="F129" t="n">
        <v>598.3695652173913</v>
      </c>
      <c r="G129">
        <f>2*SQRT(F129/PI())</f>
        <v/>
      </c>
      <c r="H129" t="n">
        <v>91.4603950407194</v>
      </c>
      <c r="I129" t="n">
        <v>519</v>
      </c>
      <c r="J129" t="n">
        <v>450</v>
      </c>
      <c r="K129" t="n">
        <v>586.4021739130434</v>
      </c>
      <c r="L129" t="n">
        <v>610.3369565217391</v>
      </c>
      <c r="M129">
        <f>2*SQRT(K129/PI())</f>
        <v/>
      </c>
      <c r="N129">
        <f>2*SQRT(L129/PI())</f>
        <v/>
      </c>
      <c r="O129" t="inlineStr">
        <is>
          <t>3(1)-P01</t>
        </is>
      </c>
      <c r="P129" t="inlineStr">
        <is>
          <t>是</t>
        </is>
      </c>
      <c r="Q129" t="inlineStr">
        <is>
          <t>auto_pipeline;review_png_green</t>
        </is>
      </c>
      <c r="R129" t="inlineStr">
        <is>
          <t>样品3</t>
        </is>
      </c>
    </row>
    <row r="130">
      <c r="A130" t="n">
        <v>129</v>
      </c>
      <c r="B130" t="inlineStr">
        <is>
          <t>3 (1).tif</t>
        </is>
      </c>
      <c r="C130" t="inlineStr">
        <is>
          <t>3(1)-V03</t>
        </is>
      </c>
      <c r="D130" t="n">
        <v>3</v>
      </c>
      <c r="E130" t="inlineStr">
        <is>
          <t>primary</t>
        </is>
      </c>
      <c r="F130" t="n">
        <v>571.5500945179584</v>
      </c>
      <c r="G130">
        <f>2*SQRT(F130/PI())</f>
        <v/>
      </c>
      <c r="H130" t="n">
        <v>91.48224400437397</v>
      </c>
      <c r="I130" t="n">
        <v>121</v>
      </c>
      <c r="J130" t="n">
        <v>466</v>
      </c>
      <c r="K130" t="n">
        <v>560.1190926275992</v>
      </c>
      <c r="L130" t="n">
        <v>582.9810964083176</v>
      </c>
      <c r="M130">
        <f>2*SQRT(K130/PI())</f>
        <v/>
      </c>
      <c r="N130">
        <f>2*SQRT(L130/PI())</f>
        <v/>
      </c>
      <c r="P130" t="inlineStr">
        <is>
          <t>是</t>
        </is>
      </c>
      <c r="Q130" t="inlineStr">
        <is>
          <t>auto_pipeline;review_png_green</t>
        </is>
      </c>
      <c r="R130" t="inlineStr">
        <is>
          <t>样品3</t>
        </is>
      </c>
    </row>
    <row r="131">
      <c r="A131" t="n">
        <v>130</v>
      </c>
      <c r="B131" t="inlineStr">
        <is>
          <t>3 (1).tif</t>
        </is>
      </c>
      <c r="C131" t="inlineStr">
        <is>
          <t>3(1)-V04</t>
        </is>
      </c>
      <c r="D131" t="n">
        <v>4</v>
      </c>
      <c r="E131" t="inlineStr">
        <is>
          <t>primary</t>
        </is>
      </c>
      <c r="F131" t="n">
        <v>567.6984877126654</v>
      </c>
      <c r="G131">
        <f>2*SQRT(F131/PI())</f>
        <v/>
      </c>
      <c r="H131" t="n">
        <v>89.3610789205717</v>
      </c>
      <c r="I131" t="n">
        <v>489</v>
      </c>
      <c r="J131" t="n">
        <v>315</v>
      </c>
      <c r="K131" t="n">
        <v>556.3445179584121</v>
      </c>
      <c r="L131" t="n">
        <v>579.0524574669187</v>
      </c>
      <c r="M131">
        <f>2*SQRT(K131/PI())</f>
        <v/>
      </c>
      <c r="N131">
        <f>2*SQRT(L131/PI())</f>
        <v/>
      </c>
      <c r="O131" t="inlineStr">
        <is>
          <t>3(1)-P01</t>
        </is>
      </c>
      <c r="P131" t="inlineStr">
        <is>
          <t>是</t>
        </is>
      </c>
      <c r="Q131" t="inlineStr">
        <is>
          <t>auto_pipeline;review_png_green</t>
        </is>
      </c>
      <c r="R131" t="inlineStr">
        <is>
          <t>样品3</t>
        </is>
      </c>
    </row>
    <row r="132">
      <c r="A132" t="n">
        <v>131</v>
      </c>
      <c r="B132" t="inlineStr">
        <is>
          <t>3 (1).tif</t>
        </is>
      </c>
      <c r="C132" t="inlineStr">
        <is>
          <t>3(1)-V05</t>
        </is>
      </c>
      <c r="D132" t="n">
        <v>5</v>
      </c>
      <c r="E132" t="inlineStr">
        <is>
          <t>primary</t>
        </is>
      </c>
      <c r="F132" t="n">
        <v>205.5529300567108</v>
      </c>
      <c r="G132">
        <f>2*SQRT(F132/PI())</f>
        <v/>
      </c>
      <c r="H132" t="n">
        <v>54.3930762487909</v>
      </c>
      <c r="I132" t="n">
        <v>625</v>
      </c>
      <c r="J132" t="n">
        <v>554</v>
      </c>
      <c r="K132" t="n">
        <v>201.4418714555765</v>
      </c>
      <c r="L132" t="n">
        <v>209.663988657845</v>
      </c>
      <c r="M132">
        <f>2*SQRT(K132/PI())</f>
        <v/>
      </c>
      <c r="N132">
        <f>2*SQRT(L132/PI())</f>
        <v/>
      </c>
      <c r="P132" t="inlineStr">
        <is>
          <t>是</t>
        </is>
      </c>
      <c r="Q132" t="inlineStr">
        <is>
          <t>auto_pipeline;review_png_green</t>
        </is>
      </c>
      <c r="R132" t="inlineStr">
        <is>
          <t>样品3</t>
        </is>
      </c>
    </row>
    <row r="133">
      <c r="A133" t="n">
        <v>132</v>
      </c>
      <c r="B133" t="inlineStr">
        <is>
          <t>3 (2).tif</t>
        </is>
      </c>
      <c r="C133" t="inlineStr">
        <is>
          <t>3(2)-V01</t>
        </is>
      </c>
      <c r="D133" t="n">
        <v>1</v>
      </c>
      <c r="E133" t="inlineStr">
        <is>
          <t>primary</t>
        </is>
      </c>
      <c r="F133" t="n">
        <v>1610.751417769376</v>
      </c>
      <c r="G133">
        <f>2*SQRT(F133/PI())</f>
        <v/>
      </c>
      <c r="H133" t="n">
        <v>151.1545095495556</v>
      </c>
      <c r="I133" t="n">
        <v>475</v>
      </c>
      <c r="J133" t="n">
        <v>245</v>
      </c>
      <c r="K133" t="n">
        <v>1578.536389413988</v>
      </c>
      <c r="L133" t="n">
        <v>1642.966446124764</v>
      </c>
      <c r="M133">
        <f>2*SQRT(K133/PI())</f>
        <v/>
      </c>
      <c r="N133">
        <f>2*SQRT(L133/PI())</f>
        <v/>
      </c>
      <c r="O133" t="inlineStr">
        <is>
          <t>3(2)-P01</t>
        </is>
      </c>
      <c r="P133" t="inlineStr">
        <is>
          <t>是</t>
        </is>
      </c>
      <c r="Q133" t="inlineStr">
        <is>
          <t>auto_pipeline;review_png_green</t>
        </is>
      </c>
      <c r="R133" t="inlineStr">
        <is>
          <t>样品3</t>
        </is>
      </c>
    </row>
    <row r="134">
      <c r="A134" t="n">
        <v>133</v>
      </c>
      <c r="B134" t="inlineStr">
        <is>
          <t>3 (2).tif</t>
        </is>
      </c>
      <c r="C134" t="inlineStr">
        <is>
          <t>3(2)-V02</t>
        </is>
      </c>
      <c r="D134" t="n">
        <v>2</v>
      </c>
      <c r="E134" t="inlineStr">
        <is>
          <t>primary</t>
        </is>
      </c>
      <c r="F134" t="n">
        <v>970.9120982986767</v>
      </c>
      <c r="G134">
        <f>2*SQRT(F134/PI())</f>
        <v/>
      </c>
      <c r="H134" t="n">
        <v>116.801382329153</v>
      </c>
      <c r="I134" t="n">
        <v>433</v>
      </c>
      <c r="J134" t="n">
        <v>449</v>
      </c>
      <c r="K134" t="n">
        <v>951.4938563327031</v>
      </c>
      <c r="L134" t="n">
        <v>990.3303402646503</v>
      </c>
      <c r="M134">
        <f>2*SQRT(K134/PI())</f>
        <v/>
      </c>
      <c r="N134">
        <f>2*SQRT(L134/PI())</f>
        <v/>
      </c>
      <c r="O134" t="inlineStr">
        <is>
          <t>3(2)-P01</t>
        </is>
      </c>
      <c r="P134" t="inlineStr">
        <is>
          <t>是</t>
        </is>
      </c>
      <c r="Q134" t="inlineStr">
        <is>
          <t>auto_pipeline;review_png_green</t>
        </is>
      </c>
      <c r="R134" t="inlineStr">
        <is>
          <t>样品3</t>
        </is>
      </c>
    </row>
    <row r="135">
      <c r="A135" t="n">
        <v>134</v>
      </c>
      <c r="B135" t="inlineStr">
        <is>
          <t>3 (2).tif</t>
        </is>
      </c>
      <c r="C135" t="inlineStr">
        <is>
          <t>3(2)-V03</t>
        </is>
      </c>
      <c r="D135" t="n">
        <v>3</v>
      </c>
      <c r="E135" t="inlineStr">
        <is>
          <t>primary</t>
        </is>
      </c>
      <c r="F135" t="n">
        <v>890.2410207939508</v>
      </c>
      <c r="G135">
        <f>2*SQRT(F135/PI())</f>
        <v/>
      </c>
      <c r="H135" t="n">
        <v>111.7331848714663</v>
      </c>
      <c r="I135" t="n">
        <v>797</v>
      </c>
      <c r="J135" t="n">
        <v>242</v>
      </c>
      <c r="K135" t="n">
        <v>872.4362003780718</v>
      </c>
      <c r="L135" t="n">
        <v>908.0458412098299</v>
      </c>
      <c r="M135">
        <f>2*SQRT(K135/PI())</f>
        <v/>
      </c>
      <c r="N135">
        <f>2*SQRT(L135/PI())</f>
        <v/>
      </c>
      <c r="P135" t="inlineStr">
        <is>
          <t>是</t>
        </is>
      </c>
      <c r="Q135" t="inlineStr">
        <is>
          <t>auto_pipeline;review_png_green</t>
        </is>
      </c>
      <c r="R135" t="inlineStr">
        <is>
          <t>样品3</t>
        </is>
      </c>
    </row>
    <row r="136">
      <c r="A136" t="n">
        <v>135</v>
      </c>
      <c r="B136" t="inlineStr">
        <is>
          <t>3 (2).tif</t>
        </is>
      </c>
      <c r="C136" t="inlineStr">
        <is>
          <t>3(2)-V04</t>
        </is>
      </c>
      <c r="D136" t="n">
        <v>4</v>
      </c>
      <c r="E136" t="inlineStr">
        <is>
          <t>primary</t>
        </is>
      </c>
      <c r="F136" t="n">
        <v>840.8317580340265</v>
      </c>
      <c r="G136">
        <f>2*SQRT(F136/PI())</f>
        <v/>
      </c>
      <c r="H136" t="n">
        <v>108.8916484169338</v>
      </c>
      <c r="I136" t="n">
        <v>219</v>
      </c>
      <c r="J136" t="n">
        <v>99</v>
      </c>
      <c r="K136" t="n">
        <v>824.0151228733459</v>
      </c>
      <c r="L136" t="n">
        <v>857.6483931947071</v>
      </c>
      <c r="M136">
        <f>2*SQRT(K136/PI())</f>
        <v/>
      </c>
      <c r="N136">
        <f>2*SQRT(L136/PI())</f>
        <v/>
      </c>
      <c r="P136" t="inlineStr">
        <is>
          <t>是</t>
        </is>
      </c>
      <c r="Q136" t="inlineStr">
        <is>
          <t>auto_pipeline;review_png_green</t>
        </is>
      </c>
      <c r="R136" t="inlineStr">
        <is>
          <t>样品3</t>
        </is>
      </c>
    </row>
    <row r="137">
      <c r="A137" t="n">
        <v>136</v>
      </c>
      <c r="B137" t="inlineStr">
        <is>
          <t>3 (2).tif</t>
        </is>
      </c>
      <c r="C137" t="inlineStr">
        <is>
          <t>3(2)-V05</t>
        </is>
      </c>
      <c r="D137" t="n">
        <v>5</v>
      </c>
      <c r="E137" t="inlineStr">
        <is>
          <t>primary</t>
        </is>
      </c>
      <c r="F137" t="n">
        <v>108.4120982986768</v>
      </c>
      <c r="G137">
        <f>2*SQRT(F137/PI())</f>
        <v/>
      </c>
      <c r="H137" t="n">
        <v>52.06091932628465</v>
      </c>
      <c r="I137" t="n">
        <v>981</v>
      </c>
      <c r="J137" t="n">
        <v>272</v>
      </c>
      <c r="K137" t="n">
        <v>106.2438563327032</v>
      </c>
      <c r="L137" t="n">
        <v>110.5803402646503</v>
      </c>
      <c r="M137">
        <f>2*SQRT(K137/PI())</f>
        <v/>
      </c>
      <c r="N137">
        <f>2*SQRT(L137/PI())</f>
        <v/>
      </c>
      <c r="P137" t="inlineStr">
        <is>
          <t>是</t>
        </is>
      </c>
      <c r="Q137" t="inlineStr">
        <is>
          <t>auto_pipeline;review_png_green</t>
        </is>
      </c>
      <c r="R137" t="inlineStr">
        <is>
          <t>样品3</t>
        </is>
      </c>
    </row>
    <row r="138">
      <c r="A138" t="n">
        <v>137</v>
      </c>
      <c r="B138" t="inlineStr">
        <is>
          <t>3 (3).tif</t>
        </is>
      </c>
      <c r="C138" t="inlineStr">
        <is>
          <t>3(3)-V01</t>
        </is>
      </c>
      <c r="D138" t="n">
        <v>1</v>
      </c>
      <c r="E138" t="inlineStr">
        <is>
          <t>primary</t>
        </is>
      </c>
      <c r="F138" t="n">
        <v>906.7107750472589</v>
      </c>
      <c r="G138">
        <f>2*SQRT(F138/PI())</f>
        <v/>
      </c>
      <c r="H138" t="n">
        <v>113.5996601892554</v>
      </c>
      <c r="I138" t="n">
        <v>447</v>
      </c>
      <c r="J138" t="n">
        <v>290</v>
      </c>
      <c r="K138" t="n">
        <v>888.5765595463138</v>
      </c>
      <c r="L138" t="n">
        <v>924.8449905482041</v>
      </c>
      <c r="M138">
        <f>2*SQRT(K138/PI())</f>
        <v/>
      </c>
      <c r="N138">
        <f>2*SQRT(L138/PI())</f>
        <v/>
      </c>
      <c r="P138" t="inlineStr">
        <is>
          <t>是</t>
        </is>
      </c>
      <c r="Q138" t="inlineStr">
        <is>
          <t>auto_pipeline;review_png_green</t>
        </is>
      </c>
      <c r="R138" t="inlineStr">
        <is>
          <t>样品3</t>
        </is>
      </c>
    </row>
    <row r="139">
      <c r="A139" t="n">
        <v>138</v>
      </c>
      <c r="B139" t="inlineStr">
        <is>
          <t>3 (3).tif</t>
        </is>
      </c>
      <c r="C139" t="inlineStr">
        <is>
          <t>3(3)-V02</t>
        </is>
      </c>
      <c r="D139" t="n">
        <v>2</v>
      </c>
      <c r="E139" t="inlineStr">
        <is>
          <t>primary</t>
        </is>
      </c>
      <c r="F139" t="n">
        <v>546.7627599243856</v>
      </c>
      <c r="G139">
        <f>2*SQRT(F139/PI())</f>
        <v/>
      </c>
      <c r="H139" t="n">
        <v>88.13132801781529</v>
      </c>
      <c r="I139" t="n">
        <v>206</v>
      </c>
      <c r="J139" t="n">
        <v>359</v>
      </c>
      <c r="K139" t="n">
        <v>535.8275047258978</v>
      </c>
      <c r="L139" t="n">
        <v>557.6980151228734</v>
      </c>
      <c r="M139">
        <f>2*SQRT(K139/PI())</f>
        <v/>
      </c>
      <c r="N139">
        <f>2*SQRT(L139/PI())</f>
        <v/>
      </c>
      <c r="P139" t="inlineStr">
        <is>
          <t>是</t>
        </is>
      </c>
      <c r="Q139" t="inlineStr">
        <is>
          <t>auto_pipeline;review_png_green</t>
        </is>
      </c>
      <c r="R139" t="inlineStr">
        <is>
          <t>样品3</t>
        </is>
      </c>
    </row>
    <row r="140">
      <c r="A140" t="n">
        <v>139</v>
      </c>
      <c r="B140" t="inlineStr">
        <is>
          <t>3 (4).tif</t>
        </is>
      </c>
      <c r="C140" t="inlineStr">
        <is>
          <t>3(4)-V01</t>
        </is>
      </c>
      <c r="D140" t="n">
        <v>1</v>
      </c>
      <c r="E140" t="inlineStr">
        <is>
          <t>primary</t>
        </is>
      </c>
      <c r="F140" t="n">
        <v>1162.405482041588</v>
      </c>
      <c r="G140">
        <f>2*SQRT(F140/PI())</f>
        <v/>
      </c>
      <c r="H140" t="n">
        <v>127.8073424619177</v>
      </c>
      <c r="I140" t="n">
        <v>445</v>
      </c>
      <c r="J140" t="n">
        <v>288</v>
      </c>
      <c r="K140" t="n">
        <v>1139.157372400756</v>
      </c>
      <c r="L140" t="n">
        <v>1185.65359168242</v>
      </c>
      <c r="M140">
        <f>2*SQRT(K140/PI())</f>
        <v/>
      </c>
      <c r="N140">
        <f>2*SQRT(L140/PI())</f>
        <v/>
      </c>
      <c r="O140" t="inlineStr">
        <is>
          <t>3(4)-P01</t>
        </is>
      </c>
      <c r="P140" t="inlineStr">
        <is>
          <t>是</t>
        </is>
      </c>
      <c r="Q140" t="inlineStr">
        <is>
          <t>auto_pipeline;review_png_green</t>
        </is>
      </c>
      <c r="R140" t="inlineStr">
        <is>
          <t>样品3</t>
        </is>
      </c>
    </row>
    <row r="141">
      <c r="A141" t="n">
        <v>140</v>
      </c>
      <c r="B141" t="inlineStr">
        <is>
          <t>3 (4).tif</t>
        </is>
      </c>
      <c r="C141" t="inlineStr">
        <is>
          <t>3(4)-V02</t>
        </is>
      </c>
      <c r="D141" t="n">
        <v>2</v>
      </c>
      <c r="E141" t="inlineStr">
        <is>
          <t>primary</t>
        </is>
      </c>
      <c r="F141" t="n">
        <v>1058.057655954631</v>
      </c>
      <c r="G141">
        <f>2*SQRT(F141/PI())</f>
        <v/>
      </c>
      <c r="H141" t="n">
        <v>121.8695797868397</v>
      </c>
      <c r="I141" t="n">
        <v>529</v>
      </c>
      <c r="J141" t="n">
        <v>464</v>
      </c>
      <c r="K141" t="n">
        <v>1036.896502835539</v>
      </c>
      <c r="L141" t="n">
        <v>1079.218809073724</v>
      </c>
      <c r="M141">
        <f>2*SQRT(K141/PI())</f>
        <v/>
      </c>
      <c r="N141">
        <f>2*SQRT(L141/PI())</f>
        <v/>
      </c>
      <c r="O141" t="inlineStr">
        <is>
          <t>3(4)-P01</t>
        </is>
      </c>
      <c r="P141" t="inlineStr">
        <is>
          <t>是</t>
        </is>
      </c>
      <c r="Q141" t="inlineStr">
        <is>
          <t>auto_pipeline;review_png_green</t>
        </is>
      </c>
      <c r="R141" t="inlineStr">
        <is>
          <t>样品3</t>
        </is>
      </c>
    </row>
    <row r="142">
      <c r="A142" t="n">
        <v>141</v>
      </c>
      <c r="B142" t="inlineStr">
        <is>
          <t>3 (4).tif</t>
        </is>
      </c>
      <c r="C142" t="inlineStr">
        <is>
          <t>3(4)-V03</t>
        </is>
      </c>
      <c r="D142" t="n">
        <v>3</v>
      </c>
      <c r="E142" t="inlineStr">
        <is>
          <t>primary</t>
        </is>
      </c>
      <c r="F142" t="n">
        <v>854.3714555765596</v>
      </c>
      <c r="G142">
        <f>2*SQRT(F142/PI())</f>
        <v/>
      </c>
      <c r="H142" t="n">
        <v>110.863619654075</v>
      </c>
      <c r="I142" t="n">
        <v>661</v>
      </c>
      <c r="J142" t="n">
        <v>90</v>
      </c>
      <c r="K142" t="n">
        <v>837.2840264650284</v>
      </c>
      <c r="L142" t="n">
        <v>871.4588846880907</v>
      </c>
      <c r="M142">
        <f>2*SQRT(K142/PI())</f>
        <v/>
      </c>
      <c r="N142">
        <f>2*SQRT(L142/PI())</f>
        <v/>
      </c>
      <c r="P142" t="inlineStr">
        <is>
          <t>是</t>
        </is>
      </c>
      <c r="Q142" t="inlineStr">
        <is>
          <t>auto_pipeline;review_png_green</t>
        </is>
      </c>
      <c r="R142" t="inlineStr">
        <is>
          <t>样品3</t>
        </is>
      </c>
    </row>
    <row r="143">
      <c r="A143" t="n">
        <v>142</v>
      </c>
      <c r="B143" t="inlineStr">
        <is>
          <t>3 (4).tif</t>
        </is>
      </c>
      <c r="C143" t="inlineStr">
        <is>
          <t>3(4)-V04</t>
        </is>
      </c>
      <c r="D143" t="n">
        <v>4</v>
      </c>
      <c r="E143" t="inlineStr">
        <is>
          <t>primary</t>
        </is>
      </c>
      <c r="F143" t="n">
        <v>608.0812854442344</v>
      </c>
      <c r="G143">
        <f>2*SQRT(F143/PI())</f>
        <v/>
      </c>
      <c r="H143" t="n">
        <v>96.25205376873845</v>
      </c>
      <c r="I143" t="n">
        <v>379</v>
      </c>
      <c r="J143" t="n">
        <v>471</v>
      </c>
      <c r="K143" t="n">
        <v>595.9196597353497</v>
      </c>
      <c r="L143" t="n">
        <v>620.2429111531191</v>
      </c>
      <c r="M143">
        <f>2*SQRT(K143/PI())</f>
        <v/>
      </c>
      <c r="N143">
        <f>2*SQRT(L143/PI())</f>
        <v/>
      </c>
      <c r="P143" t="inlineStr">
        <is>
          <t>是</t>
        </is>
      </c>
      <c r="Q143" t="inlineStr">
        <is>
          <t>auto_pipeline;review_png_green</t>
        </is>
      </c>
      <c r="R143" t="inlineStr">
        <is>
          <t>样品3</t>
        </is>
      </c>
    </row>
    <row r="144">
      <c r="A144" t="n">
        <v>143</v>
      </c>
      <c r="B144" t="inlineStr">
        <is>
          <t>3 (4).tif</t>
        </is>
      </c>
      <c r="C144" t="inlineStr">
        <is>
          <t>3(4)-V05</t>
        </is>
      </c>
      <c r="D144" t="n">
        <v>5</v>
      </c>
      <c r="E144" t="inlineStr">
        <is>
          <t>primary</t>
        </is>
      </c>
      <c r="F144" t="n">
        <v>603.6862003780718</v>
      </c>
      <c r="G144">
        <f>2*SQRT(F144/PI())</f>
        <v/>
      </c>
      <c r="H144" t="n">
        <v>92.20261537510416</v>
      </c>
      <c r="I144" t="n">
        <v>156</v>
      </c>
      <c r="J144" t="n">
        <v>593</v>
      </c>
      <c r="K144" t="n">
        <v>591.6124763705104</v>
      </c>
      <c r="L144" t="n">
        <v>615.7599243856332</v>
      </c>
      <c r="M144">
        <f>2*SQRT(K144/PI())</f>
        <v/>
      </c>
      <c r="N144">
        <f>2*SQRT(L144/PI())</f>
        <v/>
      </c>
      <c r="P144" t="inlineStr">
        <is>
          <t>是</t>
        </is>
      </c>
      <c r="Q144" t="inlineStr">
        <is>
          <t>auto_pipeline;review_png_green</t>
        </is>
      </c>
      <c r="R144" t="inlineStr">
        <is>
          <t>样品3</t>
        </is>
      </c>
    </row>
    <row r="145">
      <c r="A145" t="n">
        <v>144</v>
      </c>
      <c r="B145" t="inlineStr">
        <is>
          <t>3 (4).tif</t>
        </is>
      </c>
      <c r="C145" t="inlineStr">
        <is>
          <t>3(4)-V06</t>
        </is>
      </c>
      <c r="D145" t="n">
        <v>6</v>
      </c>
      <c r="E145" t="inlineStr">
        <is>
          <t>primary</t>
        </is>
      </c>
      <c r="F145" t="n">
        <v>498.2041587901701</v>
      </c>
      <c r="G145">
        <f>2*SQRT(F145/PI())</f>
        <v/>
      </c>
      <c r="H145" t="n">
        <v>83.80535089451334</v>
      </c>
      <c r="I145" t="n">
        <v>955</v>
      </c>
      <c r="J145" t="n">
        <v>231</v>
      </c>
      <c r="K145" t="n">
        <v>488.2400756143667</v>
      </c>
      <c r="L145" t="n">
        <v>508.1682419659736</v>
      </c>
      <c r="M145">
        <f>2*SQRT(K145/PI())</f>
        <v/>
      </c>
      <c r="N145">
        <f>2*SQRT(L145/PI())</f>
        <v/>
      </c>
      <c r="P145" t="inlineStr">
        <is>
          <t>是</t>
        </is>
      </c>
      <c r="Q145" t="inlineStr">
        <is>
          <t>auto_pipeline;review_png_green</t>
        </is>
      </c>
      <c r="R145" t="inlineStr">
        <is>
          <t>样品3</t>
        </is>
      </c>
    </row>
    <row r="146">
      <c r="A146" t="n">
        <v>145</v>
      </c>
      <c r="B146" t="inlineStr">
        <is>
          <t>3 (4).tif</t>
        </is>
      </c>
      <c r="C146" t="inlineStr">
        <is>
          <t>3(4)-V07</t>
        </is>
      </c>
      <c r="D146" t="n">
        <v>7</v>
      </c>
      <c r="E146" t="inlineStr">
        <is>
          <t>primary</t>
        </is>
      </c>
      <c r="F146" t="n">
        <v>174.6691871455577</v>
      </c>
      <c r="G146">
        <f>2*SQRT(F146/PI())</f>
        <v/>
      </c>
      <c r="H146" t="n">
        <v>51.40234594759734</v>
      </c>
      <c r="I146" t="n">
        <v>891</v>
      </c>
      <c r="J146" t="n">
        <v>73</v>
      </c>
      <c r="K146" t="n">
        <v>171.1758034026465</v>
      </c>
      <c r="L146" t="n">
        <v>178.1625708884688</v>
      </c>
      <c r="M146">
        <f>2*SQRT(K146/PI())</f>
        <v/>
      </c>
      <c r="N146">
        <f>2*SQRT(L146/PI())</f>
        <v/>
      </c>
      <c r="P146" t="inlineStr">
        <is>
          <t>是</t>
        </is>
      </c>
      <c r="Q146" t="inlineStr">
        <is>
          <t>auto_pipeline;review_png_green</t>
        </is>
      </c>
      <c r="R146" t="inlineStr">
        <is>
          <t>样品3</t>
        </is>
      </c>
    </row>
    <row r="147">
      <c r="A147" t="n">
        <v>146</v>
      </c>
      <c r="B147" t="inlineStr">
        <is>
          <t>3 (5).tif</t>
        </is>
      </c>
      <c r="C147" t="inlineStr">
        <is>
          <t>3(5)-V01</t>
        </is>
      </c>
      <c r="D147" t="n">
        <v>1</v>
      </c>
      <c r="E147" t="inlineStr">
        <is>
          <t>primary</t>
        </is>
      </c>
      <c r="F147" t="n">
        <v>779.3950850661626</v>
      </c>
      <c r="G147">
        <f>2*SQRT(F147/PI())</f>
        <v/>
      </c>
      <c r="H147" t="n">
        <v>104.6930161766384</v>
      </c>
      <c r="I147" t="n">
        <v>528</v>
      </c>
      <c r="J147" t="n">
        <v>445</v>
      </c>
      <c r="K147" t="n">
        <v>763.8071833648393</v>
      </c>
      <c r="L147" t="n">
        <v>794.9829867674858</v>
      </c>
      <c r="M147">
        <f>2*SQRT(K147/PI())</f>
        <v/>
      </c>
      <c r="N147">
        <f>2*SQRT(L147/PI())</f>
        <v/>
      </c>
      <c r="O147" t="inlineStr">
        <is>
          <t>3(5)-P01</t>
        </is>
      </c>
      <c r="P147" t="inlineStr">
        <is>
          <t>是</t>
        </is>
      </c>
      <c r="Q147" t="inlineStr">
        <is>
          <t>auto_pipeline;review_png_green</t>
        </is>
      </c>
      <c r="R147" t="inlineStr">
        <is>
          <t>样品3</t>
        </is>
      </c>
    </row>
    <row r="148">
      <c r="A148" t="n">
        <v>147</v>
      </c>
      <c r="B148" t="inlineStr">
        <is>
          <t>3 (5).tif</t>
        </is>
      </c>
      <c r="C148" t="inlineStr">
        <is>
          <t>3(5)-V02</t>
        </is>
      </c>
      <c r="D148" t="n">
        <v>2</v>
      </c>
      <c r="E148" t="inlineStr">
        <is>
          <t>primary</t>
        </is>
      </c>
      <c r="F148" t="n">
        <v>666.0207939508507</v>
      </c>
      <c r="G148">
        <f>2*SQRT(F148/PI())</f>
        <v/>
      </c>
      <c r="H148" t="n">
        <v>96.65593738141267</v>
      </c>
      <c r="I148" t="n">
        <v>454</v>
      </c>
      <c r="J148" t="n">
        <v>302</v>
      </c>
      <c r="K148" t="n">
        <v>652.7003780718337</v>
      </c>
      <c r="L148" t="n">
        <v>679.3412098298677</v>
      </c>
      <c r="M148">
        <f>2*SQRT(K148/PI())</f>
        <v/>
      </c>
      <c r="N148">
        <f>2*SQRT(L148/PI())</f>
        <v/>
      </c>
      <c r="O148" t="inlineStr">
        <is>
          <t>3(5)-P01</t>
        </is>
      </c>
      <c r="P148" t="inlineStr">
        <is>
          <t>是</t>
        </is>
      </c>
      <c r="Q148" t="inlineStr">
        <is>
          <t>auto_pipeline;review_png_green</t>
        </is>
      </c>
      <c r="R148" t="inlineStr">
        <is>
          <t>样品3</t>
        </is>
      </c>
    </row>
    <row r="149">
      <c r="A149" t="n">
        <v>148</v>
      </c>
      <c r="B149" t="inlineStr">
        <is>
          <t>3 (5).tif</t>
        </is>
      </c>
      <c r="C149" t="inlineStr">
        <is>
          <t>3(5)-V03</t>
        </is>
      </c>
      <c r="D149" t="n">
        <v>3</v>
      </c>
      <c r="E149" t="inlineStr">
        <is>
          <t>primary</t>
        </is>
      </c>
      <c r="F149" t="n">
        <v>518.8563327032136</v>
      </c>
      <c r="G149">
        <f>2*SQRT(F149/PI())</f>
        <v/>
      </c>
      <c r="H149" t="n">
        <v>86.26485270002614</v>
      </c>
      <c r="I149" t="n">
        <v>251</v>
      </c>
      <c r="J149" t="n">
        <v>308</v>
      </c>
      <c r="K149" t="n">
        <v>508.4792060491494</v>
      </c>
      <c r="L149" t="n">
        <v>529.2334593572779</v>
      </c>
      <c r="M149">
        <f>2*SQRT(K149/PI())</f>
        <v/>
      </c>
      <c r="N149">
        <f>2*SQRT(L149/PI())</f>
        <v/>
      </c>
      <c r="P149" t="inlineStr">
        <is>
          <t>是</t>
        </is>
      </c>
      <c r="Q149" t="inlineStr">
        <is>
          <t>auto_pipeline;review_png_green</t>
        </is>
      </c>
      <c r="R149" t="inlineStr">
        <is>
          <t>样品3</t>
        </is>
      </c>
    </row>
    <row r="150">
      <c r="A150" t="n">
        <v>149</v>
      </c>
      <c r="B150" t="inlineStr">
        <is>
          <t>3 (5).tif</t>
        </is>
      </c>
      <c r="C150" t="inlineStr">
        <is>
          <t>3(5)-V04</t>
        </is>
      </c>
      <c r="D150" t="n">
        <v>4</v>
      </c>
      <c r="E150" t="inlineStr">
        <is>
          <t>primary</t>
        </is>
      </c>
      <c r="F150" t="n">
        <v>424.6691871455577</v>
      </c>
      <c r="G150">
        <f>2*SQRT(F150/PI())</f>
        <v/>
      </c>
      <c r="H150" t="n">
        <v>77.50740253407022</v>
      </c>
      <c r="I150" t="n">
        <v>862</v>
      </c>
      <c r="J150" t="n">
        <v>108</v>
      </c>
      <c r="K150" t="n">
        <v>416.1758034026465</v>
      </c>
      <c r="L150" t="n">
        <v>433.1625708884688</v>
      </c>
      <c r="M150">
        <f>2*SQRT(K150/PI())</f>
        <v/>
      </c>
      <c r="N150">
        <f>2*SQRT(L150/PI())</f>
        <v/>
      </c>
      <c r="P150" t="inlineStr">
        <is>
          <t>是</t>
        </is>
      </c>
      <c r="Q150" t="inlineStr">
        <is>
          <t>auto_pipeline;review_png_green</t>
        </is>
      </c>
      <c r="R150" t="inlineStr">
        <is>
          <t>样品3</t>
        </is>
      </c>
    </row>
    <row r="151">
      <c r="A151" t="n">
        <v>150</v>
      </c>
      <c r="B151" t="inlineStr">
        <is>
          <t>3 (5).tif</t>
        </is>
      </c>
      <c r="C151" t="inlineStr">
        <is>
          <t>3(5)-V05</t>
        </is>
      </c>
      <c r="D151" t="n">
        <v>5</v>
      </c>
      <c r="E151" t="inlineStr">
        <is>
          <t>primary</t>
        </is>
      </c>
      <c r="F151" t="n">
        <v>311.0113421550095</v>
      </c>
      <c r="G151">
        <f>2*SQRT(F151/PI())</f>
        <v/>
      </c>
      <c r="H151" t="n">
        <v>66.24675263529238</v>
      </c>
      <c r="I151" t="n">
        <v>187</v>
      </c>
      <c r="J151" t="n">
        <v>64</v>
      </c>
      <c r="K151" t="n">
        <v>304.7911153119093</v>
      </c>
      <c r="L151" t="n">
        <v>317.2315689981097</v>
      </c>
      <c r="M151">
        <f>2*SQRT(K151/PI())</f>
        <v/>
      </c>
      <c r="N151">
        <f>2*SQRT(L151/PI())</f>
        <v/>
      </c>
      <c r="P151" t="inlineStr">
        <is>
          <t>是</t>
        </is>
      </c>
      <c r="Q151" t="inlineStr">
        <is>
          <t>auto_pipeline;review_png_green</t>
        </is>
      </c>
      <c r="R151" t="inlineStr">
        <is>
          <t>样品3</t>
        </is>
      </c>
    </row>
    <row r="152">
      <c r="A152" t="n">
        <v>151</v>
      </c>
      <c r="B152" t="inlineStr">
        <is>
          <t>3 (5).tif</t>
        </is>
      </c>
      <c r="C152" t="inlineStr">
        <is>
          <t>3(5)-V06</t>
        </is>
      </c>
      <c r="D152" t="n">
        <v>6</v>
      </c>
      <c r="E152" t="inlineStr">
        <is>
          <t>primary</t>
        </is>
      </c>
      <c r="F152" t="n">
        <v>135.4678638941399</v>
      </c>
      <c r="G152">
        <f>2*SQRT(F152/PI())</f>
        <v/>
      </c>
      <c r="H152" t="n">
        <v>50.9585133065348</v>
      </c>
      <c r="I152" t="n">
        <v>244</v>
      </c>
      <c r="J152" t="n">
        <v>118</v>
      </c>
      <c r="K152" t="n">
        <v>132.7585066162571</v>
      </c>
      <c r="L152" t="n">
        <v>138.1772211720227</v>
      </c>
      <c r="M152">
        <f>2*SQRT(K152/PI())</f>
        <v/>
      </c>
      <c r="N152">
        <f>2*SQRT(L152/PI())</f>
        <v/>
      </c>
      <c r="P152" t="inlineStr">
        <is>
          <t>是</t>
        </is>
      </c>
      <c r="Q152" t="inlineStr">
        <is>
          <t>auto_pipeline;review_png_green</t>
        </is>
      </c>
      <c r="R152" t="inlineStr">
        <is>
          <t>样品3</t>
        </is>
      </c>
    </row>
    <row r="153">
      <c r="A153" t="n">
        <v>152</v>
      </c>
      <c r="B153" t="inlineStr">
        <is>
          <t>3 (6).tif</t>
        </is>
      </c>
      <c r="C153" t="inlineStr">
        <is>
          <t>3(6)-V01</t>
        </is>
      </c>
      <c r="D153" t="n">
        <v>1</v>
      </c>
      <c r="E153" t="inlineStr">
        <is>
          <t>primary</t>
        </is>
      </c>
      <c r="F153" t="n">
        <v>653.0245746691871</v>
      </c>
      <c r="G153">
        <f>2*SQRT(F153/PI())</f>
        <v/>
      </c>
      <c r="H153" t="n">
        <v>96.04106193003447</v>
      </c>
      <c r="I153" t="n">
        <v>416</v>
      </c>
      <c r="J153" t="n">
        <v>353</v>
      </c>
      <c r="K153" t="n">
        <v>639.9640831758034</v>
      </c>
      <c r="L153" t="n">
        <v>666.0850661625709</v>
      </c>
      <c r="M153">
        <f>2*SQRT(K153/PI())</f>
        <v/>
      </c>
      <c r="N153">
        <f>2*SQRT(L153/PI())</f>
        <v/>
      </c>
      <c r="P153" t="inlineStr">
        <is>
          <t>是</t>
        </is>
      </c>
      <c r="Q153" t="inlineStr">
        <is>
          <t>auto_pipeline;review_png_green</t>
        </is>
      </c>
      <c r="R153" t="inlineStr">
        <is>
          <t>样品3</t>
        </is>
      </c>
    </row>
    <row r="154">
      <c r="A154" t="n">
        <v>153</v>
      </c>
      <c r="B154" t="inlineStr">
        <is>
          <t>3 (6).tif</t>
        </is>
      </c>
      <c r="C154" t="inlineStr">
        <is>
          <t>3(6)-V02</t>
        </is>
      </c>
      <c r="D154" t="n">
        <v>2</v>
      </c>
      <c r="E154" t="inlineStr">
        <is>
          <t>primary</t>
        </is>
      </c>
      <c r="F154" t="n">
        <v>623.5586011342155</v>
      </c>
      <c r="G154">
        <f>2*SQRT(F154/PI())</f>
        <v/>
      </c>
      <c r="H154" t="n">
        <v>94.06909069289331</v>
      </c>
      <c r="I154" t="n">
        <v>75</v>
      </c>
      <c r="J154" t="n">
        <v>265</v>
      </c>
      <c r="K154" t="n">
        <v>611.0874291115312</v>
      </c>
      <c r="L154" t="n">
        <v>636.0297731568998</v>
      </c>
      <c r="M154">
        <f>2*SQRT(K154/PI())</f>
        <v/>
      </c>
      <c r="N154">
        <f>2*SQRT(L154/PI())</f>
        <v/>
      </c>
      <c r="P154" t="inlineStr">
        <is>
          <t>是</t>
        </is>
      </c>
      <c r="Q154" t="inlineStr">
        <is>
          <t>auto_pipeline;review_png_green</t>
        </is>
      </c>
      <c r="R154" t="inlineStr">
        <is>
          <t>样品3</t>
        </is>
      </c>
    </row>
    <row r="155">
      <c r="A155" t="n">
        <v>154</v>
      </c>
      <c r="B155" t="inlineStr">
        <is>
          <t>3 (6).tif</t>
        </is>
      </c>
      <c r="C155" t="inlineStr">
        <is>
          <t>3(6)-V03</t>
        </is>
      </c>
      <c r="D155" t="n">
        <v>3</v>
      </c>
      <c r="E155" t="inlineStr">
        <is>
          <t>primary</t>
        </is>
      </c>
      <c r="F155" t="n">
        <v>583.624763705104</v>
      </c>
      <c r="G155">
        <f>2*SQRT(F155/PI())</f>
        <v/>
      </c>
      <c r="H155" t="n">
        <v>91.10020935535431</v>
      </c>
      <c r="I155" t="n">
        <v>846</v>
      </c>
      <c r="J155" t="n">
        <v>210</v>
      </c>
      <c r="K155" t="n">
        <v>571.9522684310019</v>
      </c>
      <c r="L155" t="n">
        <v>595.297258979206</v>
      </c>
      <c r="M155">
        <f>2*SQRT(K155/PI())</f>
        <v/>
      </c>
      <c r="N155">
        <f>2*SQRT(L155/PI())</f>
        <v/>
      </c>
      <c r="P155" t="inlineStr">
        <is>
          <t>是</t>
        </is>
      </c>
      <c r="Q155" t="inlineStr">
        <is>
          <t>auto_pipeline;review_png_green</t>
        </is>
      </c>
      <c r="R155" t="inlineStr">
        <is>
          <t>样品3</t>
        </is>
      </c>
    </row>
    <row r="156">
      <c r="A156" t="n">
        <v>155</v>
      </c>
      <c r="B156" t="inlineStr">
        <is>
          <t>3 (6).tif</t>
        </is>
      </c>
      <c r="C156" t="inlineStr">
        <is>
          <t>3(6)-V04</t>
        </is>
      </c>
      <c r="D156" t="n">
        <v>4</v>
      </c>
      <c r="E156" t="inlineStr">
        <is>
          <t>primary</t>
        </is>
      </c>
      <c r="F156" t="n">
        <v>577.6937618147448</v>
      </c>
      <c r="G156">
        <f>2*SQRT(F156/PI())</f>
        <v/>
      </c>
      <c r="H156" t="n">
        <v>91.07836039169975</v>
      </c>
      <c r="I156" t="n">
        <v>587</v>
      </c>
      <c r="J156" t="n">
        <v>322</v>
      </c>
      <c r="K156" t="n">
        <v>566.1398865784499</v>
      </c>
      <c r="L156" t="n">
        <v>589.2476370510396</v>
      </c>
      <c r="M156">
        <f>2*SQRT(K156/PI())</f>
        <v/>
      </c>
      <c r="N156">
        <f>2*SQRT(L156/PI())</f>
        <v/>
      </c>
      <c r="P156" t="inlineStr">
        <is>
          <t>是</t>
        </is>
      </c>
      <c r="Q156" t="inlineStr">
        <is>
          <t>auto_pipeline;review_png_green</t>
        </is>
      </c>
      <c r="R156" t="inlineStr">
        <is>
          <t>样品3</t>
        </is>
      </c>
    </row>
    <row r="157">
      <c r="A157" t="n">
        <v>156</v>
      </c>
      <c r="B157" t="inlineStr">
        <is>
          <t>3 (6).tif</t>
        </is>
      </c>
      <c r="C157" t="inlineStr">
        <is>
          <t>3(6)-V05</t>
        </is>
      </c>
      <c r="D157" t="n">
        <v>5</v>
      </c>
      <c r="E157" t="inlineStr">
        <is>
          <t>primary</t>
        </is>
      </c>
      <c r="F157" t="n">
        <v>201.3941398865784</v>
      </c>
      <c r="G157">
        <f>2*SQRT(F157/PI())</f>
        <v/>
      </c>
      <c r="H157" t="n">
        <v>53.8836967167647</v>
      </c>
      <c r="I157" t="n">
        <v>184</v>
      </c>
      <c r="J157" t="n">
        <v>199</v>
      </c>
      <c r="K157" t="n">
        <v>197.3662570888469</v>
      </c>
      <c r="L157" t="n">
        <v>205.42202268431</v>
      </c>
      <c r="M157">
        <f>2*SQRT(K157/PI())</f>
        <v/>
      </c>
      <c r="N157">
        <f>2*SQRT(L157/PI())</f>
        <v/>
      </c>
      <c r="P157" t="inlineStr">
        <is>
          <t>是</t>
        </is>
      </c>
      <c r="Q157" t="inlineStr">
        <is>
          <t>auto_pipeline;review_png_green</t>
        </is>
      </c>
      <c r="R157" t="inlineStr">
        <is>
          <t>样品3</t>
        </is>
      </c>
    </row>
    <row r="158">
      <c r="A158" t="n">
        <v>157</v>
      </c>
      <c r="B158" t="inlineStr">
        <is>
          <t>3 (6).tif</t>
        </is>
      </c>
      <c r="C158" t="inlineStr">
        <is>
          <t>3(6)-V06</t>
        </is>
      </c>
      <c r="D158" t="n">
        <v>6</v>
      </c>
      <c r="E158" t="inlineStr">
        <is>
          <t>primary</t>
        </is>
      </c>
      <c r="F158" t="n">
        <v>122.8733459357278</v>
      </c>
      <c r="G158">
        <f>2*SQRT(F158/PI())</f>
        <v/>
      </c>
      <c r="H158" t="n">
        <v>48.3897666827492</v>
      </c>
      <c r="I158" t="n">
        <v>519</v>
      </c>
      <c r="J158" t="n">
        <v>272</v>
      </c>
      <c r="K158" t="n">
        <v>120.4158790170132</v>
      </c>
      <c r="L158" t="n">
        <v>125.3308128544423</v>
      </c>
      <c r="M158">
        <f>2*SQRT(K158/PI())</f>
        <v/>
      </c>
      <c r="N158">
        <f>2*SQRT(L158/PI())</f>
        <v/>
      </c>
      <c r="P158" t="inlineStr">
        <is>
          <t>是</t>
        </is>
      </c>
      <c r="Q158" t="inlineStr">
        <is>
          <t>auto_pipeline;review_png_green</t>
        </is>
      </c>
      <c r="R158" t="inlineStr">
        <is>
          <t>样品3</t>
        </is>
      </c>
    </row>
    <row r="159">
      <c r="A159" t="n">
        <v>158</v>
      </c>
      <c r="B159" t="inlineStr">
        <is>
          <t>3 (7).tif</t>
        </is>
      </c>
      <c r="C159" t="inlineStr">
        <is>
          <t>3(7)-V01</t>
        </is>
      </c>
      <c r="D159" t="n">
        <v>1</v>
      </c>
      <c r="E159" t="inlineStr">
        <is>
          <t>primary</t>
        </is>
      </c>
      <c r="F159" t="n">
        <v>1420.463137996219</v>
      </c>
      <c r="G159">
        <f>2*SQRT(F159/PI())</f>
        <v/>
      </c>
      <c r="H159" t="n">
        <v>161.698536976524</v>
      </c>
      <c r="I159" t="n">
        <v>479</v>
      </c>
      <c r="J159" t="n">
        <v>371</v>
      </c>
      <c r="K159" t="n">
        <v>1392.053875236295</v>
      </c>
      <c r="L159" t="n">
        <v>1448.872400756144</v>
      </c>
      <c r="M159">
        <f>2*SQRT(K159/PI())</f>
        <v/>
      </c>
      <c r="N159">
        <f>2*SQRT(L159/PI())</f>
        <v/>
      </c>
      <c r="P159" t="inlineStr">
        <is>
          <t>是</t>
        </is>
      </c>
      <c r="Q159" t="inlineStr">
        <is>
          <t>auto_pipeline;review_png_green</t>
        </is>
      </c>
      <c r="R159" t="inlineStr">
        <is>
          <t>样品3</t>
        </is>
      </c>
    </row>
    <row r="160">
      <c r="A160" t="n">
        <v>159</v>
      </c>
      <c r="B160" t="inlineStr">
        <is>
          <t>3 (7).tif</t>
        </is>
      </c>
      <c r="C160" t="inlineStr">
        <is>
          <t>3(7)-V02</t>
        </is>
      </c>
      <c r="D160" t="n">
        <v>2</v>
      </c>
      <c r="E160" t="inlineStr">
        <is>
          <t>primary</t>
        </is>
      </c>
      <c r="F160" t="n">
        <v>682.1124763705104</v>
      </c>
      <c r="G160">
        <f>2*SQRT(F160/PI())</f>
        <v/>
      </c>
      <c r="H160" t="n">
        <v>99.24278406993203</v>
      </c>
      <c r="I160" t="n">
        <v>95</v>
      </c>
      <c r="J160" t="n">
        <v>138</v>
      </c>
      <c r="K160" t="n">
        <v>668.4702268431002</v>
      </c>
      <c r="L160" t="n">
        <v>695.7547258979206</v>
      </c>
      <c r="M160">
        <f>2*SQRT(K160/PI())</f>
        <v/>
      </c>
      <c r="N160">
        <f>2*SQRT(L160/PI())</f>
        <v/>
      </c>
      <c r="P160" t="inlineStr">
        <is>
          <t>是</t>
        </is>
      </c>
      <c r="Q160" t="inlineStr">
        <is>
          <t>auto_pipeline;review_png_green</t>
        </is>
      </c>
      <c r="R160" t="inlineStr">
        <is>
          <t>样品3</t>
        </is>
      </c>
    </row>
    <row r="161">
      <c r="A161" t="n">
        <v>160</v>
      </c>
      <c r="B161" t="inlineStr">
        <is>
          <t>3 (7).tif</t>
        </is>
      </c>
      <c r="C161" t="inlineStr">
        <is>
          <t>3(7)-V03</t>
        </is>
      </c>
      <c r="D161" t="n">
        <v>3</v>
      </c>
      <c r="E161" t="inlineStr">
        <is>
          <t>primary</t>
        </is>
      </c>
      <c r="F161" t="n">
        <v>112.476370510397</v>
      </c>
      <c r="G161">
        <f>2*SQRT(F161/PI())</f>
        <v/>
      </c>
      <c r="H161" t="n">
        <v>53.50166206774504</v>
      </c>
      <c r="I161" t="n">
        <v>378</v>
      </c>
      <c r="J161" t="n">
        <v>85</v>
      </c>
      <c r="K161" t="n">
        <v>110.226843100189</v>
      </c>
      <c r="L161" t="n">
        <v>114.7258979206049</v>
      </c>
      <c r="M161">
        <f>2*SQRT(K161/PI())</f>
        <v/>
      </c>
      <c r="N161">
        <f>2*SQRT(L161/PI())</f>
        <v/>
      </c>
      <c r="P161" t="inlineStr">
        <is>
          <t>是</t>
        </is>
      </c>
      <c r="Q161" t="inlineStr">
        <is>
          <t>auto_pipeline;review_png_green</t>
        </is>
      </c>
      <c r="R161" t="inlineStr">
        <is>
          <t>样品3</t>
        </is>
      </c>
    </row>
    <row r="162">
      <c r="A162" t="n">
        <v>161</v>
      </c>
      <c r="B162" t="inlineStr">
        <is>
          <t>3 (8).tif</t>
        </is>
      </c>
      <c r="C162" t="inlineStr">
        <is>
          <t>3(8)-V01</t>
        </is>
      </c>
      <c r="D162" t="n">
        <v>1</v>
      </c>
      <c r="E162" t="inlineStr">
        <is>
          <t>primary</t>
        </is>
      </c>
      <c r="F162" t="n">
        <v>735.5151228733459</v>
      </c>
      <c r="G162">
        <f>2*SQRT(F162/PI())</f>
        <v/>
      </c>
      <c r="H162" t="n">
        <v>101.5967899560928</v>
      </c>
      <c r="I162" t="n">
        <v>786</v>
      </c>
      <c r="J162" t="n">
        <v>110</v>
      </c>
      <c r="K162" t="n">
        <v>720.804820415879</v>
      </c>
      <c r="L162" t="n">
        <v>750.2254253308129</v>
      </c>
      <c r="M162">
        <f>2*SQRT(K162/PI())</f>
        <v/>
      </c>
      <c r="N162">
        <f>2*SQRT(L162/PI())</f>
        <v/>
      </c>
      <c r="P162" t="inlineStr">
        <is>
          <t>是</t>
        </is>
      </c>
      <c r="Q162" t="inlineStr">
        <is>
          <t>auto_pipeline;review_png_green</t>
        </is>
      </c>
      <c r="R162" t="inlineStr">
        <is>
          <t>样品3</t>
        </is>
      </c>
    </row>
    <row r="163">
      <c r="A163" t="n">
        <v>162</v>
      </c>
      <c r="B163" t="inlineStr">
        <is>
          <t>3 (8).tif</t>
        </is>
      </c>
      <c r="C163" t="inlineStr">
        <is>
          <t>3(8)-V02</t>
        </is>
      </c>
      <c r="D163" t="n">
        <v>2</v>
      </c>
      <c r="E163" t="inlineStr">
        <is>
          <t>primary</t>
        </is>
      </c>
      <c r="F163" t="n">
        <v>644.4706994328923</v>
      </c>
      <c r="G163">
        <f>2*SQRT(F163/PI())</f>
        <v/>
      </c>
      <c r="H163" t="n">
        <v>95.17149671264316</v>
      </c>
      <c r="I163" t="n">
        <v>454</v>
      </c>
      <c r="J163" t="n">
        <v>337</v>
      </c>
      <c r="K163" t="n">
        <v>631.5812854442344</v>
      </c>
      <c r="L163" t="n">
        <v>657.3601134215502</v>
      </c>
      <c r="M163">
        <f>2*SQRT(K163/PI())</f>
        <v/>
      </c>
      <c r="N163">
        <f>2*SQRT(L163/PI())</f>
        <v/>
      </c>
      <c r="O163" t="inlineStr">
        <is>
          <t>3(8)-P01</t>
        </is>
      </c>
      <c r="P163" t="inlineStr">
        <is>
          <t>是</t>
        </is>
      </c>
      <c r="Q163" t="inlineStr">
        <is>
          <t>auto_pipeline;review_png_green</t>
        </is>
      </c>
      <c r="R163" t="inlineStr">
        <is>
          <t>样品3</t>
        </is>
      </c>
    </row>
    <row r="164">
      <c r="A164" t="n">
        <v>163</v>
      </c>
      <c r="B164" t="inlineStr">
        <is>
          <t>3 (8).tif</t>
        </is>
      </c>
      <c r="C164" t="inlineStr">
        <is>
          <t>3(8)-V03</t>
        </is>
      </c>
      <c r="D164" t="n">
        <v>3</v>
      </c>
      <c r="E164" t="inlineStr">
        <is>
          <t>primary</t>
        </is>
      </c>
      <c r="F164" t="n">
        <v>569.3525519848771</v>
      </c>
      <c r="G164">
        <f>2*SQRT(F164/PI())</f>
        <v/>
      </c>
      <c r="H164" t="n">
        <v>89.6157686865848</v>
      </c>
      <c r="I164" t="n">
        <v>599</v>
      </c>
      <c r="J164" t="n">
        <v>313</v>
      </c>
      <c r="K164" t="n">
        <v>557.9655009451795</v>
      </c>
      <c r="L164" t="n">
        <v>580.7396030245746</v>
      </c>
      <c r="M164">
        <f>2*SQRT(K164/PI())</f>
        <v/>
      </c>
      <c r="N164">
        <f>2*SQRT(L164/PI())</f>
        <v/>
      </c>
      <c r="O164" t="inlineStr">
        <is>
          <t>3(8)-P01</t>
        </is>
      </c>
      <c r="P164" t="inlineStr">
        <is>
          <t>是</t>
        </is>
      </c>
      <c r="Q164" t="inlineStr">
        <is>
          <t>auto_pipeline;review_png_green</t>
        </is>
      </c>
      <c r="R164" t="inlineStr">
        <is>
          <t>样品3</t>
        </is>
      </c>
    </row>
    <row r="165">
      <c r="A165" t="n">
        <v>164</v>
      </c>
      <c r="B165" t="inlineStr">
        <is>
          <t>3 (8).tif</t>
        </is>
      </c>
      <c r="C165" t="inlineStr">
        <is>
          <t>3(8)-V04</t>
        </is>
      </c>
      <c r="D165" t="n">
        <v>4</v>
      </c>
      <c r="E165" t="inlineStr">
        <is>
          <t>primary</t>
        </is>
      </c>
      <c r="F165" t="n">
        <v>143.1947069943289</v>
      </c>
      <c r="G165">
        <f>2*SQRT(F165/PI())</f>
        <v/>
      </c>
      <c r="H165" t="n">
        <v>49.85610728678496</v>
      </c>
      <c r="I165" t="n">
        <v>178</v>
      </c>
      <c r="J165" t="n">
        <v>370</v>
      </c>
      <c r="K165" t="n">
        <v>140.3308128544423</v>
      </c>
      <c r="L165" t="n">
        <v>146.0586011342155</v>
      </c>
      <c r="M165">
        <f>2*SQRT(K165/PI())</f>
        <v/>
      </c>
      <c r="N165">
        <f>2*SQRT(L165/PI())</f>
        <v/>
      </c>
      <c r="P165" t="inlineStr">
        <is>
          <t>是</t>
        </is>
      </c>
      <c r="Q165" t="inlineStr">
        <is>
          <t>auto_pipeline;review_png_green</t>
        </is>
      </c>
      <c r="R165" t="inlineStr">
        <is>
          <t>样品3</t>
        </is>
      </c>
    </row>
    <row r="166">
      <c r="A166" t="n">
        <v>165</v>
      </c>
      <c r="B166" t="inlineStr">
        <is>
          <t>3 (8).tif</t>
        </is>
      </c>
      <c r="C166" t="inlineStr">
        <is>
          <t>3(8)-V05</t>
        </is>
      </c>
      <c r="D166" t="n">
        <v>5</v>
      </c>
      <c r="E166" t="inlineStr">
        <is>
          <t>primary</t>
        </is>
      </c>
      <c r="F166" t="n">
        <v>139.9574669187145</v>
      </c>
      <c r="G166">
        <f>2*SQRT(F166/PI())</f>
        <v/>
      </c>
      <c r="H166" t="n">
        <v>49.36857671841331</v>
      </c>
      <c r="I166" t="n">
        <v>917</v>
      </c>
      <c r="J166" t="n">
        <v>430</v>
      </c>
      <c r="K166" t="n">
        <v>137.1583175803403</v>
      </c>
      <c r="L166" t="n">
        <v>142.7566162570888</v>
      </c>
      <c r="M166">
        <f>2*SQRT(K166/PI())</f>
        <v/>
      </c>
      <c r="N166">
        <f>2*SQRT(L166/PI())</f>
        <v/>
      </c>
      <c r="P166" t="inlineStr">
        <is>
          <t>是</t>
        </is>
      </c>
      <c r="Q166" t="inlineStr">
        <is>
          <t>auto_pipeline;review_png_green</t>
        </is>
      </c>
      <c r="R166" t="inlineStr">
        <is>
          <t>样品3</t>
        </is>
      </c>
    </row>
    <row r="167">
      <c r="A167" t="n">
        <v>166</v>
      </c>
      <c r="B167" t="inlineStr">
        <is>
          <t>3 (9).tif</t>
        </is>
      </c>
      <c r="C167" t="inlineStr">
        <is>
          <t>3(9)-V01</t>
        </is>
      </c>
      <c r="D167" t="n">
        <v>1</v>
      </c>
      <c r="E167" t="inlineStr">
        <is>
          <t>primary</t>
        </is>
      </c>
      <c r="F167" t="n">
        <v>773.2277882797731</v>
      </c>
      <c r="G167">
        <f>2*SQRT(F167/PI())</f>
        <v/>
      </c>
      <c r="H167" t="n">
        <v>104.8203610596449</v>
      </c>
      <c r="I167" t="n">
        <v>571</v>
      </c>
      <c r="J167" t="n">
        <v>369</v>
      </c>
      <c r="K167" t="n">
        <v>757.7632325141776</v>
      </c>
      <c r="L167" t="n">
        <v>788.6923440453686</v>
      </c>
      <c r="M167">
        <f>2*SQRT(K167/PI())</f>
        <v/>
      </c>
      <c r="N167">
        <f>2*SQRT(L167/PI())</f>
        <v/>
      </c>
      <c r="O167" t="inlineStr">
        <is>
          <t>3(9)-P01</t>
        </is>
      </c>
      <c r="P167" t="inlineStr">
        <is>
          <t>是</t>
        </is>
      </c>
      <c r="Q167" t="inlineStr">
        <is>
          <t>auto_pipeline;review_png_green</t>
        </is>
      </c>
      <c r="R167" t="inlineStr">
        <is>
          <t>样品3</t>
        </is>
      </c>
    </row>
    <row r="168">
      <c r="A168" t="n">
        <v>167</v>
      </c>
      <c r="B168" t="inlineStr">
        <is>
          <t>3 (9).tif</t>
        </is>
      </c>
      <c r="C168" t="inlineStr">
        <is>
          <t>3(9)-V02</t>
        </is>
      </c>
      <c r="D168" t="n">
        <v>2</v>
      </c>
      <c r="E168" t="inlineStr">
        <is>
          <t>primary</t>
        </is>
      </c>
      <c r="F168" t="n">
        <v>758.1994328922495</v>
      </c>
      <c r="G168">
        <f>2*SQRT(F168/PI())</f>
        <v/>
      </c>
      <c r="H168" t="n">
        <v>103.0812306248623</v>
      </c>
      <c r="I168" t="n">
        <v>398</v>
      </c>
      <c r="J168" t="n">
        <v>335</v>
      </c>
      <c r="K168" t="n">
        <v>743.0354442344045</v>
      </c>
      <c r="L168" t="n">
        <v>773.3634215500946</v>
      </c>
      <c r="M168">
        <f>2*SQRT(K168/PI())</f>
        <v/>
      </c>
      <c r="N168">
        <f>2*SQRT(L168/PI())</f>
        <v/>
      </c>
      <c r="O168" t="inlineStr">
        <is>
          <t>3(9)-P01</t>
        </is>
      </c>
      <c r="P168" t="inlineStr">
        <is>
          <t>是</t>
        </is>
      </c>
      <c r="Q168" t="inlineStr">
        <is>
          <t>auto_pipeline;review_png_green</t>
        </is>
      </c>
      <c r="R168" t="inlineStr">
        <is>
          <t>样品3</t>
        </is>
      </c>
    </row>
    <row r="169">
      <c r="A169" t="n">
        <v>168</v>
      </c>
      <c r="B169" t="inlineStr">
        <is>
          <t>3 (9).tif</t>
        </is>
      </c>
      <c r="C169" t="inlineStr">
        <is>
          <t>3(9)-V03</t>
        </is>
      </c>
      <c r="D169" t="n">
        <v>3</v>
      </c>
      <c r="E169" t="inlineStr">
        <is>
          <t>primary</t>
        </is>
      </c>
      <c r="F169" t="n">
        <v>439.6030245746692</v>
      </c>
      <c r="G169">
        <f>2*SQRT(F169/PI())</f>
        <v/>
      </c>
      <c r="H169" t="n">
        <v>79.96690433958302</v>
      </c>
      <c r="I169" t="n">
        <v>592</v>
      </c>
      <c r="J169" t="n">
        <v>605</v>
      </c>
      <c r="K169" t="n">
        <v>430.8109640831758</v>
      </c>
      <c r="L169" t="n">
        <v>448.3950850661626</v>
      </c>
      <c r="M169">
        <f>2*SQRT(K169/PI())</f>
        <v/>
      </c>
      <c r="N169">
        <f>2*SQRT(L169/PI())</f>
        <v/>
      </c>
      <c r="P169" t="inlineStr">
        <is>
          <t>是</t>
        </is>
      </c>
      <c r="Q169" t="inlineStr">
        <is>
          <t>auto_pipeline;review_png_green</t>
        </is>
      </c>
      <c r="R169" t="inlineStr">
        <is>
          <t>样品3</t>
        </is>
      </c>
    </row>
    <row r="170">
      <c r="A170" t="n">
        <v>169</v>
      </c>
      <c r="B170" t="inlineStr">
        <is>
          <t>3 (9).tif</t>
        </is>
      </c>
      <c r="C170" t="inlineStr">
        <is>
          <t>3(9)-V04</t>
        </is>
      </c>
      <c r="D170" t="n">
        <v>4</v>
      </c>
      <c r="E170" t="inlineStr">
        <is>
          <t>primary</t>
        </is>
      </c>
      <c r="F170" t="n">
        <v>260.6805293005671</v>
      </c>
      <c r="G170">
        <f>2*SQRT(F170/PI())</f>
        <v/>
      </c>
      <c r="H170" t="n">
        <v>60.81836949224057</v>
      </c>
      <c r="I170" t="n">
        <v>155</v>
      </c>
      <c r="J170" t="n">
        <v>600</v>
      </c>
      <c r="K170" t="n">
        <v>255.4669187145558</v>
      </c>
      <c r="L170" t="n">
        <v>265.8941398865784</v>
      </c>
      <c r="M170">
        <f>2*SQRT(K170/PI())</f>
        <v/>
      </c>
      <c r="N170">
        <f>2*SQRT(L170/PI())</f>
        <v/>
      </c>
      <c r="P170" t="inlineStr">
        <is>
          <t>是</t>
        </is>
      </c>
      <c r="Q170" t="inlineStr">
        <is>
          <t>auto_pipeline;review_png_green</t>
        </is>
      </c>
      <c r="R170" t="inlineStr">
        <is>
          <t>样品3</t>
        </is>
      </c>
    </row>
    <row r="171">
      <c r="A171" t="n">
        <v>170</v>
      </c>
      <c r="B171" t="inlineStr">
        <is>
          <t>3 (9).tif</t>
        </is>
      </c>
      <c r="C171" t="inlineStr">
        <is>
          <t>3(9)-V05</t>
        </is>
      </c>
      <c r="D171" t="n">
        <v>5</v>
      </c>
      <c r="E171" t="inlineStr">
        <is>
          <t>primary</t>
        </is>
      </c>
      <c r="F171" t="n">
        <v>202.1266540642722</v>
      </c>
      <c r="G171">
        <f>2*SQRT(F171/PI())</f>
        <v/>
      </c>
      <c r="H171" t="n">
        <v>55.60097818789275</v>
      </c>
      <c r="I171" t="n">
        <v>59</v>
      </c>
      <c r="J171" t="n">
        <v>558</v>
      </c>
      <c r="K171" t="n">
        <v>198.0841209829867</v>
      </c>
      <c r="L171" t="n">
        <v>206.1691871455577</v>
      </c>
      <c r="M171">
        <f>2*SQRT(K171/PI())</f>
        <v/>
      </c>
      <c r="N171">
        <f>2*SQRT(L171/PI())</f>
        <v/>
      </c>
      <c r="P171" t="inlineStr">
        <is>
          <t>是</t>
        </is>
      </c>
      <c r="Q171" t="inlineStr">
        <is>
          <t>auto_pipeline;review_png_green</t>
        </is>
      </c>
      <c r="R171" t="inlineStr">
        <is>
          <t>样品3</t>
        </is>
      </c>
    </row>
    <row r="172">
      <c r="A172" t="n">
        <v>171</v>
      </c>
      <c r="B172" t="inlineStr">
        <is>
          <t>3 (9).tif</t>
        </is>
      </c>
      <c r="C172" t="inlineStr">
        <is>
          <t>3(9)-V06</t>
        </is>
      </c>
      <c r="D172" t="n">
        <v>6</v>
      </c>
      <c r="E172" t="inlineStr">
        <is>
          <t>primary</t>
        </is>
      </c>
      <c r="F172" t="n">
        <v>200.2126654064272</v>
      </c>
      <c r="G172">
        <f>2*SQRT(F172/PI())</f>
        <v/>
      </c>
      <c r="H172" t="n">
        <v>74.11278862020244</v>
      </c>
      <c r="I172" t="n">
        <v>652</v>
      </c>
      <c r="J172" t="n">
        <v>277</v>
      </c>
      <c r="K172" t="n">
        <v>196.2084120982987</v>
      </c>
      <c r="L172" t="n">
        <v>204.2169187145558</v>
      </c>
      <c r="M172">
        <f>2*SQRT(K172/PI())</f>
        <v/>
      </c>
      <c r="N172">
        <f>2*SQRT(L172/PI())</f>
        <v/>
      </c>
      <c r="P172" t="inlineStr">
        <is>
          <t>是</t>
        </is>
      </c>
      <c r="Q172" t="inlineStr">
        <is>
          <t>auto_pipeline;review_png_green</t>
        </is>
      </c>
      <c r="R172" t="inlineStr">
        <is>
          <t>样品3</t>
        </is>
      </c>
    </row>
    <row r="173">
      <c r="A173" t="n">
        <v>172</v>
      </c>
      <c r="B173" t="inlineStr">
        <is>
          <t>3 (9).tif</t>
        </is>
      </c>
      <c r="C173" t="inlineStr">
        <is>
          <t>3(9)-V07</t>
        </is>
      </c>
      <c r="D173" t="n">
        <v>7</v>
      </c>
      <c r="E173" t="inlineStr">
        <is>
          <t>primary</t>
        </is>
      </c>
      <c r="F173" t="n">
        <v>104.0170132325142</v>
      </c>
      <c r="G173">
        <f>2*SQRT(F173/PI())</f>
        <v/>
      </c>
      <c r="H173" t="n">
        <v>42.53939986228943</v>
      </c>
      <c r="I173" t="n">
        <v>825</v>
      </c>
      <c r="J173" t="n">
        <v>49</v>
      </c>
      <c r="K173" t="n">
        <v>101.9366729678639</v>
      </c>
      <c r="L173" t="n">
        <v>106.0973534971645</v>
      </c>
      <c r="M173">
        <f>2*SQRT(K173/PI())</f>
        <v/>
      </c>
      <c r="N173">
        <f>2*SQRT(L173/PI())</f>
        <v/>
      </c>
      <c r="P173" t="inlineStr">
        <is>
          <t>是</t>
        </is>
      </c>
      <c r="Q173" t="inlineStr">
        <is>
          <t>auto_pipeline;review_png_green</t>
        </is>
      </c>
      <c r="R173" t="inlineStr">
        <is>
          <t>样品3</t>
        </is>
      </c>
    </row>
    <row r="174">
      <c r="A174" t="n">
        <v>173</v>
      </c>
      <c r="B174" t="inlineStr">
        <is>
          <t>3 (9).tif</t>
        </is>
      </c>
      <c r="C174" t="inlineStr">
        <is>
          <t>3(9)-V08</t>
        </is>
      </c>
      <c r="D174" t="n">
        <v>8</v>
      </c>
      <c r="E174" t="inlineStr">
        <is>
          <t>primary</t>
        </is>
      </c>
      <c r="F174" t="n">
        <v>104.0170132325142</v>
      </c>
      <c r="G174">
        <f>2*SQRT(F174/PI())</f>
        <v/>
      </c>
      <c r="H174" t="n">
        <v>45.65747504648955</v>
      </c>
      <c r="I174" t="n">
        <v>713</v>
      </c>
      <c r="J174" t="n">
        <v>505</v>
      </c>
      <c r="K174" t="n">
        <v>101.9366729678639</v>
      </c>
      <c r="L174" t="n">
        <v>106.0973534971645</v>
      </c>
      <c r="M174">
        <f>2*SQRT(K174/PI())</f>
        <v/>
      </c>
      <c r="N174">
        <f>2*SQRT(L174/PI())</f>
        <v/>
      </c>
      <c r="P174" t="inlineStr">
        <is>
          <t>是</t>
        </is>
      </c>
      <c r="Q174" t="inlineStr">
        <is>
          <t>auto_pipeline;review_png_green</t>
        </is>
      </c>
      <c r="R174" t="inlineStr">
        <is>
          <t>样品3</t>
        </is>
      </c>
    </row>
    <row r="175">
      <c r="A175" t="n">
        <v>174</v>
      </c>
      <c r="B175" t="inlineStr">
        <is>
          <t>4 (1).tif</t>
        </is>
      </c>
      <c r="C175" t="inlineStr">
        <is>
          <t>4(1)-V01</t>
        </is>
      </c>
      <c r="D175" t="n">
        <v>1</v>
      </c>
      <c r="E175" t="inlineStr">
        <is>
          <t>primary</t>
        </is>
      </c>
      <c r="F175" t="n">
        <v>1265.689981096408</v>
      </c>
      <c r="G175">
        <f>2*SQRT(F175/PI())</f>
        <v/>
      </c>
      <c r="H175" t="n">
        <v>133.7232561733412</v>
      </c>
      <c r="I175" t="n">
        <v>444</v>
      </c>
      <c r="J175" t="n">
        <v>450</v>
      </c>
      <c r="K175" t="n">
        <v>1240.37618147448</v>
      </c>
      <c r="L175" t="n">
        <v>1291.003780718336</v>
      </c>
      <c r="M175">
        <f>2*SQRT(K175/PI())</f>
        <v/>
      </c>
      <c r="N175">
        <f>2*SQRT(L175/PI())</f>
        <v/>
      </c>
      <c r="O175" t="inlineStr">
        <is>
          <t>4(1)-P01</t>
        </is>
      </c>
      <c r="P175" t="inlineStr">
        <is>
          <t>是</t>
        </is>
      </c>
      <c r="Q175" t="inlineStr">
        <is>
          <t>auto_pipeline;review_png_green</t>
        </is>
      </c>
      <c r="R175" t="inlineStr">
        <is>
          <t>样品4</t>
        </is>
      </c>
    </row>
    <row r="176">
      <c r="A176" t="n">
        <v>175</v>
      </c>
      <c r="B176" t="inlineStr">
        <is>
          <t>4 (1).tif</t>
        </is>
      </c>
      <c r="C176" t="inlineStr">
        <is>
          <t>4(1)-V02</t>
        </is>
      </c>
      <c r="D176" t="n">
        <v>2</v>
      </c>
      <c r="E176" t="inlineStr">
        <is>
          <t>primary</t>
        </is>
      </c>
      <c r="F176" t="n">
        <v>732.5141776937618</v>
      </c>
      <c r="G176">
        <f>2*SQRT(F176/PI())</f>
        <v/>
      </c>
      <c r="H176" t="n">
        <v>101.9788246051125</v>
      </c>
      <c r="I176" t="n">
        <v>539</v>
      </c>
      <c r="J176" t="n">
        <v>287</v>
      </c>
      <c r="K176" t="n">
        <v>717.8638941398865</v>
      </c>
      <c r="L176" t="n">
        <v>747.1644612476371</v>
      </c>
      <c r="M176">
        <f>2*SQRT(K176/PI())</f>
        <v/>
      </c>
      <c r="N176">
        <f>2*SQRT(L176/PI())</f>
        <v/>
      </c>
      <c r="O176" t="inlineStr">
        <is>
          <t>4(1)-P01</t>
        </is>
      </c>
      <c r="P176" t="inlineStr">
        <is>
          <t>是</t>
        </is>
      </c>
      <c r="Q176" t="inlineStr">
        <is>
          <t>auto_pipeline;review_png_green</t>
        </is>
      </c>
      <c r="R176" t="inlineStr">
        <is>
          <t>样品4</t>
        </is>
      </c>
    </row>
    <row r="177">
      <c r="A177" t="n">
        <v>176</v>
      </c>
      <c r="B177" t="inlineStr">
        <is>
          <t>4 (1).tif</t>
        </is>
      </c>
      <c r="C177" t="inlineStr">
        <is>
          <t>4(1)-V03</t>
        </is>
      </c>
      <c r="D177" t="n">
        <v>3</v>
      </c>
      <c r="E177" t="inlineStr">
        <is>
          <t>primary</t>
        </is>
      </c>
      <c r="F177" t="n">
        <v>262.476370510397</v>
      </c>
      <c r="G177">
        <f>2*SQRT(F177/PI())</f>
        <v/>
      </c>
      <c r="H177" t="n">
        <v>64.806009893832</v>
      </c>
      <c r="I177" t="n">
        <v>624</v>
      </c>
      <c r="J177" t="n">
        <v>291</v>
      </c>
      <c r="K177" t="n">
        <v>257.2268431001891</v>
      </c>
      <c r="L177" t="n">
        <v>267.7258979206049</v>
      </c>
      <c r="M177">
        <f>2*SQRT(K177/PI())</f>
        <v/>
      </c>
      <c r="N177">
        <f>2*SQRT(L177/PI())</f>
        <v/>
      </c>
      <c r="P177" t="inlineStr">
        <is>
          <t>是</t>
        </is>
      </c>
      <c r="Q177" t="inlineStr">
        <is>
          <t>auto_pipeline;review_png_green</t>
        </is>
      </c>
      <c r="R177" t="inlineStr">
        <is>
          <t>样品4</t>
        </is>
      </c>
    </row>
    <row r="178">
      <c r="A178" t="n">
        <v>177</v>
      </c>
      <c r="B178" t="inlineStr">
        <is>
          <t>4 (1).tif</t>
        </is>
      </c>
      <c r="C178" t="inlineStr">
        <is>
          <t>4(1)-V04</t>
        </is>
      </c>
      <c r="D178" t="n">
        <v>4</v>
      </c>
      <c r="E178" t="inlineStr">
        <is>
          <t>primary</t>
        </is>
      </c>
      <c r="F178" t="n">
        <v>174.2674858223062</v>
      </c>
      <c r="G178">
        <f>2*SQRT(F178/PI())</f>
        <v/>
      </c>
      <c r="H178" t="n">
        <v>67.47275463912798</v>
      </c>
      <c r="I178" t="n">
        <v>170</v>
      </c>
      <c r="J178" t="n">
        <v>278</v>
      </c>
      <c r="K178" t="n">
        <v>170.7821361058601</v>
      </c>
      <c r="L178" t="n">
        <v>177.7528355387524</v>
      </c>
      <c r="M178">
        <f>2*SQRT(K178/PI())</f>
        <v/>
      </c>
      <c r="N178">
        <f>2*SQRT(L178/PI())</f>
        <v/>
      </c>
      <c r="P178" t="inlineStr">
        <is>
          <t>是</t>
        </is>
      </c>
      <c r="Q178" t="inlineStr">
        <is>
          <t>auto_pipeline;review_png_green</t>
        </is>
      </c>
      <c r="R178" t="inlineStr">
        <is>
          <t>样品4</t>
        </is>
      </c>
    </row>
    <row r="179">
      <c r="A179" t="n">
        <v>178</v>
      </c>
      <c r="B179" t="inlineStr">
        <is>
          <t>4 (1).tif</t>
        </is>
      </c>
      <c r="C179" t="inlineStr">
        <is>
          <t>4(1)-V05</t>
        </is>
      </c>
      <c r="D179" t="n">
        <v>5</v>
      </c>
      <c r="E179" t="inlineStr">
        <is>
          <t>primary</t>
        </is>
      </c>
      <c r="F179" t="n">
        <v>166.351606805293</v>
      </c>
      <c r="G179">
        <f>2*SQRT(F179/PI())</f>
        <v/>
      </c>
      <c r="H179" t="n">
        <v>57.76209230008332</v>
      </c>
      <c r="I179" t="n">
        <v>80</v>
      </c>
      <c r="J179" t="n">
        <v>376</v>
      </c>
      <c r="K179" t="n">
        <v>163.0245746691872</v>
      </c>
      <c r="L179" t="n">
        <v>169.6786389413989</v>
      </c>
      <c r="M179">
        <f>2*SQRT(K179/PI())</f>
        <v/>
      </c>
      <c r="N179">
        <f>2*SQRT(L179/PI())</f>
        <v/>
      </c>
      <c r="P179" t="inlineStr">
        <is>
          <t>是</t>
        </is>
      </c>
      <c r="Q179" t="inlineStr">
        <is>
          <t>auto_pipeline;review_png_green</t>
        </is>
      </c>
      <c r="R179" t="inlineStr">
        <is>
          <t>样品4</t>
        </is>
      </c>
    </row>
    <row r="180">
      <c r="A180" t="n">
        <v>179</v>
      </c>
      <c r="B180" t="inlineStr">
        <is>
          <t>4 (2).tif</t>
        </is>
      </c>
      <c r="C180" t="inlineStr">
        <is>
          <t>4(2)-V01</t>
        </is>
      </c>
      <c r="D180" t="n">
        <v>1</v>
      </c>
      <c r="E180" t="inlineStr">
        <is>
          <t>primary</t>
        </is>
      </c>
      <c r="F180" t="n">
        <v>1068.501890359168</v>
      </c>
      <c r="G180">
        <f>2*SQRT(F180/PI())</f>
        <v/>
      </c>
      <c r="H180" t="n">
        <v>122.9938347702441</v>
      </c>
      <c r="I180" t="n">
        <v>440</v>
      </c>
      <c r="J180" t="n">
        <v>311</v>
      </c>
      <c r="K180" t="n">
        <v>1047.131852551985</v>
      </c>
      <c r="L180" t="n">
        <v>1089.871928166352</v>
      </c>
      <c r="M180">
        <f>2*SQRT(K180/PI())</f>
        <v/>
      </c>
      <c r="N180">
        <f>2*SQRT(L180/PI())</f>
        <v/>
      </c>
      <c r="O180" t="inlineStr">
        <is>
          <t>4(2)-P01</t>
        </is>
      </c>
      <c r="P180" t="inlineStr">
        <is>
          <t>是</t>
        </is>
      </c>
      <c r="Q180" t="inlineStr">
        <is>
          <t>auto_pipeline;review_png_green</t>
        </is>
      </c>
      <c r="R180" t="inlineStr">
        <is>
          <t>样品4</t>
        </is>
      </c>
    </row>
    <row r="181">
      <c r="A181" t="n">
        <v>180</v>
      </c>
      <c r="B181" t="inlineStr">
        <is>
          <t>4 (2).tif</t>
        </is>
      </c>
      <c r="C181" t="inlineStr">
        <is>
          <t>4(2)-V02</t>
        </is>
      </c>
      <c r="D181" t="n">
        <v>2</v>
      </c>
      <c r="E181" t="inlineStr">
        <is>
          <t>primary</t>
        </is>
      </c>
      <c r="F181" t="n">
        <v>559.617202268431</v>
      </c>
      <c r="G181">
        <f>2*SQRT(F181/PI())</f>
        <v/>
      </c>
      <c r="H181" t="n">
        <v>89.0008932352066</v>
      </c>
      <c r="I181" t="n">
        <v>543</v>
      </c>
      <c r="J181" t="n">
        <v>436</v>
      </c>
      <c r="K181" t="n">
        <v>548.4248582230624</v>
      </c>
      <c r="L181" t="n">
        <v>570.8095463137996</v>
      </c>
      <c r="M181">
        <f>2*SQRT(K181/PI())</f>
        <v/>
      </c>
      <c r="N181">
        <f>2*SQRT(L181/PI())</f>
        <v/>
      </c>
      <c r="O181" t="inlineStr">
        <is>
          <t>4(2)-P01</t>
        </is>
      </c>
      <c r="P181" t="inlineStr">
        <is>
          <t>是</t>
        </is>
      </c>
      <c r="Q181" t="inlineStr">
        <is>
          <t>auto_pipeline;review_png_green</t>
        </is>
      </c>
      <c r="R181" t="inlineStr">
        <is>
          <t>样品4</t>
        </is>
      </c>
    </row>
    <row r="182">
      <c r="A182" t="n">
        <v>181</v>
      </c>
      <c r="B182" t="inlineStr">
        <is>
          <t>4 (2).tif</t>
        </is>
      </c>
      <c r="C182" t="inlineStr">
        <is>
          <t>4(2)-V03</t>
        </is>
      </c>
      <c r="D182" t="n">
        <v>3</v>
      </c>
      <c r="E182" t="inlineStr">
        <is>
          <t>primary</t>
        </is>
      </c>
      <c r="F182" t="n">
        <v>259.7826086956522</v>
      </c>
      <c r="G182">
        <f>2*SQRT(F182/PI())</f>
        <v/>
      </c>
      <c r="H182" t="n">
        <v>88.04018326427625</v>
      </c>
      <c r="I182" t="n">
        <v>886</v>
      </c>
      <c r="J182" t="n">
        <v>425</v>
      </c>
      <c r="K182" t="n">
        <v>254.5869565217391</v>
      </c>
      <c r="L182" t="n">
        <v>264.9782608695652</v>
      </c>
      <c r="M182">
        <f>2*SQRT(K182/PI())</f>
        <v/>
      </c>
      <c r="N182">
        <f>2*SQRT(L182/PI())</f>
        <v/>
      </c>
      <c r="P182" t="inlineStr">
        <is>
          <t>是</t>
        </is>
      </c>
      <c r="Q182" t="inlineStr">
        <is>
          <t>auto_pipeline;review_png_green</t>
        </is>
      </c>
      <c r="R182" t="inlineStr">
        <is>
          <t>样品4</t>
        </is>
      </c>
    </row>
    <row r="183">
      <c r="A183" t="n">
        <v>182</v>
      </c>
      <c r="B183" t="inlineStr">
        <is>
          <t>4 (2).tif</t>
        </is>
      </c>
      <c r="C183" t="inlineStr">
        <is>
          <t>4(2)-V04</t>
        </is>
      </c>
      <c r="D183" t="n">
        <v>4</v>
      </c>
      <c r="E183" t="inlineStr">
        <is>
          <t>primary</t>
        </is>
      </c>
      <c r="F183" t="n">
        <v>186.7911153119093</v>
      </c>
      <c r="G183">
        <f>2*SQRT(F183/PI())</f>
        <v/>
      </c>
      <c r="H183" t="n">
        <v>61.47319397200709</v>
      </c>
      <c r="I183" t="n">
        <v>547</v>
      </c>
      <c r="J183" t="n">
        <v>110</v>
      </c>
      <c r="K183" t="n">
        <v>183.0552930056711</v>
      </c>
      <c r="L183" t="n">
        <v>190.5269376181475</v>
      </c>
      <c r="M183">
        <f>2*SQRT(K183/PI())</f>
        <v/>
      </c>
      <c r="N183">
        <f>2*SQRT(L183/PI())</f>
        <v/>
      </c>
      <c r="P183" t="inlineStr">
        <is>
          <t>是</t>
        </is>
      </c>
      <c r="Q183" t="inlineStr">
        <is>
          <t>auto_pipeline;review_png_green</t>
        </is>
      </c>
      <c r="R183" t="inlineStr">
        <is>
          <t>样品4</t>
        </is>
      </c>
    </row>
    <row r="184">
      <c r="A184" t="n">
        <v>183</v>
      </c>
      <c r="B184" t="inlineStr">
        <is>
          <t>4 (2).tif</t>
        </is>
      </c>
      <c r="C184" t="inlineStr">
        <is>
          <t>4(2)-V05</t>
        </is>
      </c>
      <c r="D184" t="n">
        <v>5</v>
      </c>
      <c r="E184" t="inlineStr">
        <is>
          <t>primary</t>
        </is>
      </c>
      <c r="F184" t="n">
        <v>130.8364839319471</v>
      </c>
      <c r="G184">
        <f>2*SQRT(F184/PI())</f>
        <v/>
      </c>
      <c r="H184" t="n">
        <v>47.79674019502557</v>
      </c>
      <c r="I184" t="n">
        <v>633</v>
      </c>
      <c r="J184" t="n">
        <v>182</v>
      </c>
      <c r="K184" t="n">
        <v>128.2197542533081</v>
      </c>
      <c r="L184" t="n">
        <v>133.453213610586</v>
      </c>
      <c r="M184">
        <f>2*SQRT(K184/PI())</f>
        <v/>
      </c>
      <c r="N184">
        <f>2*SQRT(L184/PI())</f>
        <v/>
      </c>
      <c r="P184" t="inlineStr">
        <is>
          <t>是</t>
        </is>
      </c>
      <c r="Q184" t="inlineStr">
        <is>
          <t>auto_pipeline;review_png_green</t>
        </is>
      </c>
      <c r="R184" t="inlineStr">
        <is>
          <t>样品4</t>
        </is>
      </c>
    </row>
    <row r="185">
      <c r="A185" t="n">
        <v>184</v>
      </c>
      <c r="B185" t="inlineStr">
        <is>
          <t>4 (3).tif</t>
        </is>
      </c>
      <c r="C185" t="inlineStr">
        <is>
          <t>4(3)-V01</t>
        </is>
      </c>
      <c r="D185" t="n">
        <v>1</v>
      </c>
      <c r="E185" t="inlineStr">
        <is>
          <t>primary</t>
        </is>
      </c>
      <c r="F185" t="n">
        <v>860.4206049149338</v>
      </c>
      <c r="G185">
        <f>2*SQRT(F185/PI())</f>
        <v/>
      </c>
      <c r="H185" t="n">
        <v>110.863619654075</v>
      </c>
      <c r="I185" t="n">
        <v>595</v>
      </c>
      <c r="J185" t="n">
        <v>407</v>
      </c>
      <c r="K185" t="n">
        <v>843.2121928166351</v>
      </c>
      <c r="L185" t="n">
        <v>877.6290170132326</v>
      </c>
      <c r="M185">
        <f>2*SQRT(K185/PI())</f>
        <v/>
      </c>
      <c r="N185">
        <f>2*SQRT(L185/PI())</f>
        <v/>
      </c>
      <c r="P185" t="inlineStr">
        <is>
          <t>是</t>
        </is>
      </c>
      <c r="Q185" t="inlineStr">
        <is>
          <t>auto_pipeline;review_png_green</t>
        </is>
      </c>
      <c r="R185" t="inlineStr">
        <is>
          <t>样品4</t>
        </is>
      </c>
    </row>
    <row r="186">
      <c r="A186" t="n">
        <v>185</v>
      </c>
      <c r="B186" t="inlineStr">
        <is>
          <t>4 (3).tif</t>
        </is>
      </c>
      <c r="C186" t="inlineStr">
        <is>
          <t>4(3)-V02</t>
        </is>
      </c>
      <c r="D186" t="n">
        <v>2</v>
      </c>
      <c r="E186" t="inlineStr">
        <is>
          <t>primary</t>
        </is>
      </c>
      <c r="F186" t="n">
        <v>214.5085066162571</v>
      </c>
      <c r="G186">
        <f>2*SQRT(F186/PI())</f>
        <v/>
      </c>
      <c r="H186" t="n">
        <v>82.04062259715536</v>
      </c>
      <c r="I186" t="n">
        <v>173</v>
      </c>
      <c r="J186" t="n">
        <v>531</v>
      </c>
      <c r="K186" t="n">
        <v>210.2183364839319</v>
      </c>
      <c r="L186" t="n">
        <v>218.7986767485822</v>
      </c>
      <c r="M186">
        <f>2*SQRT(K186/PI())</f>
        <v/>
      </c>
      <c r="N186">
        <f>2*SQRT(L186/PI())</f>
        <v/>
      </c>
      <c r="P186" t="inlineStr">
        <is>
          <t>是</t>
        </is>
      </c>
      <c r="Q186" t="inlineStr">
        <is>
          <t>auto_pipeline;review_png_green</t>
        </is>
      </c>
      <c r="R186" t="inlineStr">
        <is>
          <t>样品4</t>
        </is>
      </c>
    </row>
    <row r="187">
      <c r="A187" t="n">
        <v>186</v>
      </c>
      <c r="B187" t="inlineStr">
        <is>
          <t>4 (4).tif</t>
        </is>
      </c>
      <c r="C187" t="inlineStr">
        <is>
          <t>4(4)-V01</t>
        </is>
      </c>
      <c r="D187" t="n">
        <v>1</v>
      </c>
      <c r="E187" t="inlineStr">
        <is>
          <t>primary</t>
        </is>
      </c>
      <c r="F187" t="n">
        <v>2011.436672967864</v>
      </c>
      <c r="G187">
        <f>2*SQRT(F187/PI())</f>
        <v/>
      </c>
      <c r="H187" t="n">
        <v>167.9708874743918</v>
      </c>
      <c r="I187" t="n">
        <v>515</v>
      </c>
      <c r="J187" t="n">
        <v>517</v>
      </c>
      <c r="K187" t="n">
        <v>1971.207939508507</v>
      </c>
      <c r="L187" t="n">
        <v>2051.665406427221</v>
      </c>
      <c r="M187">
        <f>2*SQRT(K187/PI())</f>
        <v/>
      </c>
      <c r="N187">
        <f>2*SQRT(L187/PI())</f>
        <v/>
      </c>
      <c r="O187" t="inlineStr">
        <is>
          <t>4(4)-P01</t>
        </is>
      </c>
      <c r="P187" t="inlineStr">
        <is>
          <t>是</t>
        </is>
      </c>
      <c r="Q187" t="inlineStr">
        <is>
          <t>auto_pipeline;review_png_green</t>
        </is>
      </c>
      <c r="R187" t="inlineStr">
        <is>
          <t>样品4</t>
        </is>
      </c>
    </row>
    <row r="188">
      <c r="A188" t="n">
        <v>187</v>
      </c>
      <c r="B188" t="inlineStr">
        <is>
          <t>4 (4).tif</t>
        </is>
      </c>
      <c r="C188" t="inlineStr">
        <is>
          <t>4(4)-V02</t>
        </is>
      </c>
      <c r="D188" t="n">
        <v>2</v>
      </c>
      <c r="E188" t="inlineStr">
        <is>
          <t>primary</t>
        </is>
      </c>
      <c r="F188" t="n">
        <v>747.4952741020794</v>
      </c>
      <c r="G188">
        <f>2*SQRT(F188/PI())</f>
        <v/>
      </c>
      <c r="H188" t="n">
        <v>102.5937000564907</v>
      </c>
      <c r="I188" t="n">
        <v>571</v>
      </c>
      <c r="J188" t="n">
        <v>305</v>
      </c>
      <c r="K188" t="n">
        <v>732.5453686200378</v>
      </c>
      <c r="L188" t="n">
        <v>762.445179584121</v>
      </c>
      <c r="M188">
        <f>2*SQRT(K188/PI())</f>
        <v/>
      </c>
      <c r="N188">
        <f>2*SQRT(L188/PI())</f>
        <v/>
      </c>
      <c r="O188" t="inlineStr">
        <is>
          <t>4(4)-P01</t>
        </is>
      </c>
      <c r="P188" t="inlineStr">
        <is>
          <t>是</t>
        </is>
      </c>
      <c r="Q188" t="inlineStr">
        <is>
          <t>auto_pipeline;review_png_green</t>
        </is>
      </c>
      <c r="R188" t="inlineStr">
        <is>
          <t>样品4</t>
        </is>
      </c>
    </row>
    <row r="189">
      <c r="A189" t="n">
        <v>188</v>
      </c>
      <c r="B189" t="inlineStr">
        <is>
          <t>4 (4).tif</t>
        </is>
      </c>
      <c r="C189" t="inlineStr">
        <is>
          <t>4(4)-V03</t>
        </is>
      </c>
      <c r="D189" t="n">
        <v>3</v>
      </c>
      <c r="E189" t="inlineStr">
        <is>
          <t>primary</t>
        </is>
      </c>
      <c r="F189" t="n">
        <v>171.3610586011342</v>
      </c>
      <c r="G189">
        <f>2*SQRT(F189/PI())</f>
        <v/>
      </c>
      <c r="H189" t="n">
        <v>64.25293243449667</v>
      </c>
      <c r="I189" t="n">
        <v>183</v>
      </c>
      <c r="J189" t="n">
        <v>505</v>
      </c>
      <c r="K189" t="n">
        <v>167.9338374291115</v>
      </c>
      <c r="L189" t="n">
        <v>174.7882797731569</v>
      </c>
      <c r="M189">
        <f>2*SQRT(K189/PI())</f>
        <v/>
      </c>
      <c r="N189">
        <f>2*SQRT(L189/PI())</f>
        <v/>
      </c>
      <c r="P189" t="inlineStr">
        <is>
          <t>是</t>
        </is>
      </c>
      <c r="Q189" t="inlineStr">
        <is>
          <t>auto_pipeline;review_png_green</t>
        </is>
      </c>
      <c r="R189" t="inlineStr">
        <is>
          <t>样品4</t>
        </is>
      </c>
    </row>
    <row r="190">
      <c r="A190" t="n">
        <v>189</v>
      </c>
      <c r="B190" t="inlineStr">
        <is>
          <t>4 (4).tif</t>
        </is>
      </c>
      <c r="C190" t="inlineStr">
        <is>
          <t>4(4)-V04</t>
        </is>
      </c>
      <c r="D190" t="n">
        <v>4</v>
      </c>
      <c r="E190" t="inlineStr">
        <is>
          <t>primary</t>
        </is>
      </c>
      <c r="F190" t="n">
        <v>146.4083175803403</v>
      </c>
      <c r="G190">
        <f>2*SQRT(F190/PI())</f>
        <v/>
      </c>
      <c r="H190" t="n">
        <v>57.83138808996781</v>
      </c>
      <c r="I190" t="n">
        <v>384</v>
      </c>
      <c r="J190" t="n">
        <v>518</v>
      </c>
      <c r="K190" t="n">
        <v>143.4801512287334</v>
      </c>
      <c r="L190" t="n">
        <v>149.3364839319471</v>
      </c>
      <c r="M190">
        <f>2*SQRT(K190/PI())</f>
        <v/>
      </c>
      <c r="N190">
        <f>2*SQRT(L190/PI())</f>
        <v/>
      </c>
      <c r="P190" t="inlineStr">
        <is>
          <t>是</t>
        </is>
      </c>
      <c r="Q190" t="inlineStr">
        <is>
          <t>auto_pipeline;review_png_green</t>
        </is>
      </c>
      <c r="R190" t="inlineStr">
        <is>
          <t>样品4</t>
        </is>
      </c>
    </row>
    <row r="191">
      <c r="A191" t="n">
        <v>190</v>
      </c>
      <c r="B191" t="inlineStr">
        <is>
          <t>4 (4).tif</t>
        </is>
      </c>
      <c r="C191" t="inlineStr">
        <is>
          <t>4(4)-V05</t>
        </is>
      </c>
      <c r="D191" t="n">
        <v>5</v>
      </c>
      <c r="E191" t="inlineStr">
        <is>
          <t>primary</t>
        </is>
      </c>
      <c r="F191" t="n">
        <v>142.2258979206049</v>
      </c>
      <c r="G191">
        <f>2*SQRT(F191/PI())</f>
        <v/>
      </c>
      <c r="H191" t="n">
        <v>44.87155678479568</v>
      </c>
      <c r="I191" t="n">
        <v>375</v>
      </c>
      <c r="J191" t="n">
        <v>64</v>
      </c>
      <c r="K191" t="n">
        <v>139.3813799621928</v>
      </c>
      <c r="L191" t="n">
        <v>145.070415879017</v>
      </c>
      <c r="M191">
        <f>2*SQRT(K191/PI())</f>
        <v/>
      </c>
      <c r="N191">
        <f>2*SQRT(L191/PI())</f>
        <v/>
      </c>
      <c r="P191" t="inlineStr">
        <is>
          <t>是</t>
        </is>
      </c>
      <c r="Q191" t="inlineStr">
        <is>
          <t>auto_pipeline;review_png_green</t>
        </is>
      </c>
      <c r="R191" t="inlineStr">
        <is>
          <t>样品4</t>
        </is>
      </c>
    </row>
    <row r="192">
      <c r="A192" t="n">
        <v>191</v>
      </c>
      <c r="B192" t="inlineStr">
        <is>
          <t>4 (4).tif</t>
        </is>
      </c>
      <c r="C192" t="inlineStr">
        <is>
          <t>4(4)-V06</t>
        </is>
      </c>
      <c r="D192" t="n">
        <v>6</v>
      </c>
      <c r="E192" t="inlineStr">
        <is>
          <t>primary</t>
        </is>
      </c>
      <c r="F192" t="n">
        <v>112.8308128544423</v>
      </c>
      <c r="G192">
        <f>2*SQRT(F192/PI())</f>
        <v/>
      </c>
      <c r="H192" t="n">
        <v>42.87773658399996</v>
      </c>
      <c r="I192" t="n">
        <v>532</v>
      </c>
      <c r="J192" t="n">
        <v>57</v>
      </c>
      <c r="K192" t="n">
        <v>110.5741965973535</v>
      </c>
      <c r="L192" t="n">
        <v>115.0874291115312</v>
      </c>
      <c r="M192">
        <f>2*SQRT(K192/PI())</f>
        <v/>
      </c>
      <c r="N192">
        <f>2*SQRT(L192/PI())</f>
        <v/>
      </c>
      <c r="P192" t="inlineStr">
        <is>
          <t>是</t>
        </is>
      </c>
      <c r="Q192" t="inlineStr">
        <is>
          <t>auto_pipeline;review_png_green</t>
        </is>
      </c>
      <c r="R192" t="inlineStr">
        <is>
          <t>样品4</t>
        </is>
      </c>
    </row>
    <row r="193">
      <c r="A193" t="n">
        <v>192</v>
      </c>
      <c r="B193" t="inlineStr">
        <is>
          <t>4 (4).tif</t>
        </is>
      </c>
      <c r="C193" t="inlineStr">
        <is>
          <t>4(4)-V07</t>
        </is>
      </c>
      <c r="D193" t="n">
        <v>7</v>
      </c>
      <c r="E193" t="inlineStr">
        <is>
          <t>primary</t>
        </is>
      </c>
      <c r="F193" t="n">
        <v>111.2476370510397</v>
      </c>
      <c r="G193">
        <f>2*SQRT(F193/PI())</f>
        <v/>
      </c>
      <c r="H193" t="n">
        <v>40.90576534685881</v>
      </c>
      <c r="I193" t="n">
        <v>436</v>
      </c>
      <c r="J193" t="n">
        <v>112</v>
      </c>
      <c r="K193" t="n">
        <v>109.0226843100189</v>
      </c>
      <c r="L193" t="n">
        <v>113.4725897920605</v>
      </c>
      <c r="M193">
        <f>2*SQRT(K193/PI())</f>
        <v/>
      </c>
      <c r="N193">
        <f>2*SQRT(L193/PI())</f>
        <v/>
      </c>
      <c r="P193" t="inlineStr">
        <is>
          <t>是</t>
        </is>
      </c>
      <c r="Q193" t="inlineStr">
        <is>
          <t>auto_pipeline;review_png_green</t>
        </is>
      </c>
      <c r="R193" t="inlineStr">
        <is>
          <t>样品4</t>
        </is>
      </c>
    </row>
    <row r="194">
      <c r="A194" t="n">
        <v>193</v>
      </c>
      <c r="B194" t="inlineStr">
        <is>
          <t>4 (5).tif</t>
        </is>
      </c>
      <c r="C194" t="inlineStr">
        <is>
          <t>4(5)-V01</t>
        </is>
      </c>
      <c r="D194" t="n">
        <v>1</v>
      </c>
      <c r="E194" t="inlineStr">
        <is>
          <t>primary</t>
        </is>
      </c>
      <c r="F194" t="n">
        <v>1476.79584120983</v>
      </c>
      <c r="G194">
        <f>2*SQRT(F194/PI())</f>
        <v/>
      </c>
      <c r="H194" t="n">
        <v>144.1143408547277</v>
      </c>
      <c r="I194" t="n">
        <v>230</v>
      </c>
      <c r="J194" t="n">
        <v>116</v>
      </c>
      <c r="K194" t="n">
        <v>1447.259924385633</v>
      </c>
      <c r="L194" t="n">
        <v>1506.331758034027</v>
      </c>
      <c r="M194">
        <f>2*SQRT(K194/PI())</f>
        <v/>
      </c>
      <c r="N194">
        <f>2*SQRT(L194/PI())</f>
        <v/>
      </c>
      <c r="P194" t="inlineStr">
        <is>
          <t>是</t>
        </is>
      </c>
      <c r="Q194" t="inlineStr">
        <is>
          <t>auto_pipeline;review_png_green</t>
        </is>
      </c>
      <c r="R194" t="inlineStr">
        <is>
          <t>样品4</t>
        </is>
      </c>
    </row>
    <row r="195">
      <c r="A195" t="n">
        <v>194</v>
      </c>
      <c r="B195" t="inlineStr">
        <is>
          <t>4 (5).tif</t>
        </is>
      </c>
      <c r="C195" t="inlineStr">
        <is>
          <t>4(5)-V02</t>
        </is>
      </c>
      <c r="D195" t="n">
        <v>2</v>
      </c>
      <c r="E195" t="inlineStr">
        <is>
          <t>primary</t>
        </is>
      </c>
      <c r="F195" t="n">
        <v>1093.690926275993</v>
      </c>
      <c r="G195">
        <f>2*SQRT(F195/PI())</f>
        <v/>
      </c>
      <c r="H195" t="n">
        <v>123.9688959069874</v>
      </c>
      <c r="I195" t="n">
        <v>522</v>
      </c>
      <c r="J195" t="n">
        <v>302</v>
      </c>
      <c r="K195" t="n">
        <v>1071.817107750473</v>
      </c>
      <c r="L195" t="n">
        <v>1115.564744801512</v>
      </c>
      <c r="M195">
        <f>2*SQRT(K195/PI())</f>
        <v/>
      </c>
      <c r="N195">
        <f>2*SQRT(L195/PI())</f>
        <v/>
      </c>
      <c r="P195" t="inlineStr">
        <is>
          <t>是</t>
        </is>
      </c>
      <c r="Q195" t="inlineStr">
        <is>
          <t>auto_pipeline;review_png_green</t>
        </is>
      </c>
      <c r="R195" t="inlineStr">
        <is>
          <t>样品4</t>
        </is>
      </c>
    </row>
    <row r="196">
      <c r="A196" t="n">
        <v>195</v>
      </c>
      <c r="B196" t="inlineStr">
        <is>
          <t>4 (5).tif</t>
        </is>
      </c>
      <c r="C196" t="inlineStr">
        <is>
          <t>4(5)-V03</t>
        </is>
      </c>
      <c r="D196" t="n">
        <v>3</v>
      </c>
      <c r="E196" t="inlineStr">
        <is>
          <t>primary</t>
        </is>
      </c>
      <c r="F196" t="n">
        <v>862.7599243856333</v>
      </c>
      <c r="G196">
        <f>2*SQRT(F196/PI())</f>
        <v/>
      </c>
      <c r="H196" t="n">
        <v>110.6307788517164</v>
      </c>
      <c r="I196" t="n">
        <v>692</v>
      </c>
      <c r="J196" t="n">
        <v>128</v>
      </c>
      <c r="K196" t="n">
        <v>845.5047258979206</v>
      </c>
      <c r="L196" t="n">
        <v>880.0151228733461</v>
      </c>
      <c r="M196">
        <f>2*SQRT(K196/PI())</f>
        <v/>
      </c>
      <c r="N196">
        <f>2*SQRT(L196/PI())</f>
        <v/>
      </c>
      <c r="P196" t="inlineStr">
        <is>
          <t>是</t>
        </is>
      </c>
      <c r="Q196" t="inlineStr">
        <is>
          <t>auto_pipeline;review_png_green</t>
        </is>
      </c>
      <c r="R196" t="inlineStr">
        <is>
          <t>样品4</t>
        </is>
      </c>
    </row>
    <row r="197">
      <c r="A197" t="n">
        <v>196</v>
      </c>
      <c r="B197" t="inlineStr">
        <is>
          <t>4 (5).tif</t>
        </is>
      </c>
      <c r="C197" t="inlineStr">
        <is>
          <t>4(5)-V04</t>
        </is>
      </c>
      <c r="D197" t="n">
        <v>4</v>
      </c>
      <c r="E197" t="inlineStr">
        <is>
          <t>primary</t>
        </is>
      </c>
      <c r="F197" t="n">
        <v>125.6143667296786</v>
      </c>
      <c r="G197">
        <f>2*SQRT(F197/PI())</f>
        <v/>
      </c>
      <c r="H197" t="n">
        <v>49.45222367411074</v>
      </c>
      <c r="I197" t="n">
        <v>621</v>
      </c>
      <c r="J197" t="n">
        <v>381</v>
      </c>
      <c r="K197" t="n">
        <v>123.1020793950851</v>
      </c>
      <c r="L197" t="n">
        <v>128.1266540642722</v>
      </c>
      <c r="M197">
        <f>2*SQRT(K197/PI())</f>
        <v/>
      </c>
      <c r="N197">
        <f>2*SQRT(L197/PI())</f>
        <v/>
      </c>
      <c r="P197" t="inlineStr">
        <is>
          <t>是</t>
        </is>
      </c>
      <c r="Q197" t="inlineStr">
        <is>
          <t>auto_pipeline;review_png_green</t>
        </is>
      </c>
      <c r="R197" t="inlineStr">
        <is>
          <t>样品4</t>
        </is>
      </c>
    </row>
    <row r="198">
      <c r="A198" t="n">
        <v>197</v>
      </c>
      <c r="B198" t="inlineStr">
        <is>
          <t>4 (6).tif</t>
        </is>
      </c>
      <c r="C198" t="inlineStr">
        <is>
          <t>4(6)-V01</t>
        </is>
      </c>
      <c r="D198" t="n">
        <v>1</v>
      </c>
      <c r="E198" t="inlineStr">
        <is>
          <t>primary</t>
        </is>
      </c>
      <c r="F198" t="n">
        <v>1130.694706994329</v>
      </c>
      <c r="G198">
        <f>2*SQRT(F198/PI())</f>
        <v/>
      </c>
      <c r="H198" t="n">
        <v>127.2979629298915</v>
      </c>
      <c r="I198" t="n">
        <v>546</v>
      </c>
      <c r="J198" t="n">
        <v>416</v>
      </c>
      <c r="K198" t="n">
        <v>1108.080812854442</v>
      </c>
      <c r="L198" t="n">
        <v>1153.308601134215</v>
      </c>
      <c r="M198">
        <f>2*SQRT(K198/PI())</f>
        <v/>
      </c>
      <c r="N198">
        <f>2*SQRT(L198/PI())</f>
        <v/>
      </c>
      <c r="O198" t="inlineStr">
        <is>
          <t>4(6)-P01</t>
        </is>
      </c>
      <c r="P198" t="inlineStr">
        <is>
          <t>是</t>
        </is>
      </c>
      <c r="Q198" t="inlineStr">
        <is>
          <t>auto_pipeline;review_png_green</t>
        </is>
      </c>
      <c r="R198" t="inlineStr">
        <is>
          <t>样品4</t>
        </is>
      </c>
    </row>
    <row r="199">
      <c r="A199" t="n">
        <v>198</v>
      </c>
      <c r="B199" t="inlineStr">
        <is>
          <t>4 (6).tif</t>
        </is>
      </c>
      <c r="C199" t="inlineStr">
        <is>
          <t>4(6)-V02</t>
        </is>
      </c>
      <c r="D199" t="n">
        <v>2</v>
      </c>
      <c r="E199" t="inlineStr">
        <is>
          <t>primary</t>
        </is>
      </c>
      <c r="F199" t="n">
        <v>815.5718336483932</v>
      </c>
      <c r="G199">
        <f>2*SQRT(F199/PI())</f>
        <v/>
      </c>
      <c r="H199" t="n">
        <v>107.789242397184</v>
      </c>
      <c r="I199" t="n">
        <v>479</v>
      </c>
      <c r="J199" t="n">
        <v>245</v>
      </c>
      <c r="K199" t="n">
        <v>799.2603969754254</v>
      </c>
      <c r="L199" t="n">
        <v>831.883270321361</v>
      </c>
      <c r="M199">
        <f>2*SQRT(K199/PI())</f>
        <v/>
      </c>
      <c r="N199">
        <f>2*SQRT(L199/PI())</f>
        <v/>
      </c>
      <c r="O199" t="inlineStr">
        <is>
          <t>4(6)-P01</t>
        </is>
      </c>
      <c r="P199" t="inlineStr">
        <is>
          <t>是</t>
        </is>
      </c>
      <c r="Q199" t="inlineStr">
        <is>
          <t>auto_pipeline;review_png_green</t>
        </is>
      </c>
      <c r="R199" t="inlineStr">
        <is>
          <t>样品4</t>
        </is>
      </c>
    </row>
    <row r="200">
      <c r="A200" t="n">
        <v>199</v>
      </c>
      <c r="B200" t="inlineStr">
        <is>
          <t>4 (6).tif</t>
        </is>
      </c>
      <c r="C200" t="inlineStr">
        <is>
          <t>4(6)-V03</t>
        </is>
      </c>
      <c r="D200" t="n">
        <v>3</v>
      </c>
      <c r="E200" t="inlineStr">
        <is>
          <t>primary</t>
        </is>
      </c>
      <c r="F200" t="n">
        <v>424.2911153119093</v>
      </c>
      <c r="G200">
        <f>2*SQRT(F200/PI())</f>
        <v/>
      </c>
      <c r="H200" t="n">
        <v>130.7543748358022</v>
      </c>
      <c r="I200" t="n">
        <v>143</v>
      </c>
      <c r="J200" t="n">
        <v>229</v>
      </c>
      <c r="K200" t="n">
        <v>415.805293005671</v>
      </c>
      <c r="L200" t="n">
        <v>432.7769376181475</v>
      </c>
      <c r="M200">
        <f>2*SQRT(K200/PI())</f>
        <v/>
      </c>
      <c r="N200">
        <f>2*SQRT(L200/PI())</f>
        <v/>
      </c>
      <c r="P200" t="inlineStr">
        <is>
          <t>是</t>
        </is>
      </c>
      <c r="Q200" t="inlineStr">
        <is>
          <t>auto_pipeline;review_png_green</t>
        </is>
      </c>
      <c r="R200" t="inlineStr">
        <is>
          <t>样品4</t>
        </is>
      </c>
    </row>
    <row r="201">
      <c r="A201" t="n">
        <v>200</v>
      </c>
      <c r="B201" t="inlineStr">
        <is>
          <t>4 (6).tif</t>
        </is>
      </c>
      <c r="C201" t="inlineStr">
        <is>
          <t>4(6)-V04</t>
        </is>
      </c>
      <c r="D201" t="n">
        <v>4</v>
      </c>
      <c r="E201" t="inlineStr">
        <is>
          <t>primary</t>
        </is>
      </c>
      <c r="F201" t="n">
        <v>189.8865784499055</v>
      </c>
      <c r="G201">
        <f>2*SQRT(F201/PI())</f>
        <v/>
      </c>
      <c r="H201" t="n">
        <v>53.03598046302795</v>
      </c>
      <c r="I201" t="n">
        <v>869</v>
      </c>
      <c r="J201" t="n">
        <v>342</v>
      </c>
      <c r="K201" t="n">
        <v>186.0888468809074</v>
      </c>
      <c r="L201" t="n">
        <v>193.6843100189036</v>
      </c>
      <c r="M201">
        <f>2*SQRT(K201/PI())</f>
        <v/>
      </c>
      <c r="N201">
        <f>2*SQRT(L201/PI())</f>
        <v/>
      </c>
      <c r="P201" t="inlineStr">
        <is>
          <t>是</t>
        </is>
      </c>
      <c r="Q201" t="inlineStr">
        <is>
          <t>auto_pipeline;review_png_green</t>
        </is>
      </c>
      <c r="R201" t="inlineStr">
        <is>
          <t>样品4</t>
        </is>
      </c>
    </row>
    <row r="202">
      <c r="A202" t="n">
        <v>201</v>
      </c>
      <c r="B202" t="inlineStr">
        <is>
          <t>4 (6).tif</t>
        </is>
      </c>
      <c r="C202" t="inlineStr">
        <is>
          <t>4(6)-V05</t>
        </is>
      </c>
      <c r="D202" t="n">
        <v>5</v>
      </c>
      <c r="E202" t="inlineStr">
        <is>
          <t>primary</t>
        </is>
      </c>
      <c r="F202" t="n">
        <v>138.6814744801512</v>
      </c>
      <c r="G202">
        <f>2*SQRT(F202/PI())</f>
        <v/>
      </c>
      <c r="H202" t="n">
        <v>53.6290069507516</v>
      </c>
      <c r="I202" t="n">
        <v>255</v>
      </c>
      <c r="J202" t="n">
        <v>483</v>
      </c>
      <c r="K202" t="n">
        <v>135.9078449905482</v>
      </c>
      <c r="L202" t="n">
        <v>141.4551039697542</v>
      </c>
      <c r="M202">
        <f>2*SQRT(K202/PI())</f>
        <v/>
      </c>
      <c r="N202">
        <f>2*SQRT(L202/PI())</f>
        <v/>
      </c>
      <c r="P202" t="inlineStr">
        <is>
          <t>是</t>
        </is>
      </c>
      <c r="Q202" t="inlineStr">
        <is>
          <t>auto_pipeline;review_png_green</t>
        </is>
      </c>
      <c r="R202" t="inlineStr">
        <is>
          <t>样品4</t>
        </is>
      </c>
    </row>
    <row r="203">
      <c r="A203" t="n">
        <v>202</v>
      </c>
      <c r="B203" t="inlineStr">
        <is>
          <t>4 (6).tif</t>
        </is>
      </c>
      <c r="C203" t="inlineStr">
        <is>
          <t>4(6)-V06</t>
        </is>
      </c>
      <c r="D203" t="n">
        <v>6</v>
      </c>
      <c r="E203" t="inlineStr">
        <is>
          <t>primary</t>
        </is>
      </c>
      <c r="F203" t="n">
        <v>129.4659735349717</v>
      </c>
      <c r="G203">
        <f>2*SQRT(F203/PI())</f>
        <v/>
      </c>
      <c r="H203" t="n">
        <v>44.76606086544368</v>
      </c>
      <c r="I203" t="n">
        <v>382</v>
      </c>
      <c r="J203" t="n">
        <v>177</v>
      </c>
      <c r="K203" t="n">
        <v>126.8766540642722</v>
      </c>
      <c r="L203" t="n">
        <v>132.0552930056711</v>
      </c>
      <c r="M203">
        <f>2*SQRT(K203/PI())</f>
        <v/>
      </c>
      <c r="N203">
        <f>2*SQRT(L203/PI())</f>
        <v/>
      </c>
      <c r="P203" t="inlineStr">
        <is>
          <t>是</t>
        </is>
      </c>
      <c r="Q203" t="inlineStr">
        <is>
          <t>auto_pipeline;review_png_green</t>
        </is>
      </c>
      <c r="R203" t="inlineStr">
        <is>
          <t>样品4</t>
        </is>
      </c>
    </row>
    <row r="204">
      <c r="A204" t="n">
        <v>203</v>
      </c>
      <c r="B204" t="inlineStr">
        <is>
          <t>4 (7).tif</t>
        </is>
      </c>
      <c r="C204" t="inlineStr">
        <is>
          <t>4(7)-V01</t>
        </is>
      </c>
      <c r="D204" t="n">
        <v>1</v>
      </c>
      <c r="E204" t="inlineStr">
        <is>
          <t>primary</t>
        </is>
      </c>
      <c r="F204" t="n">
        <v>1284.310018903592</v>
      </c>
      <c r="G204">
        <f>2*SQRT(F204/PI())</f>
        <v/>
      </c>
      <c r="H204" t="n">
        <v>135.2076968421107</v>
      </c>
      <c r="I204" t="n">
        <v>886</v>
      </c>
      <c r="J204" t="n">
        <v>195</v>
      </c>
      <c r="K204" t="n">
        <v>1258.62381852552</v>
      </c>
      <c r="L204" t="n">
        <v>1309.996219281664</v>
      </c>
      <c r="M204">
        <f>2*SQRT(K204/PI())</f>
        <v/>
      </c>
      <c r="N204">
        <f>2*SQRT(L204/PI())</f>
        <v/>
      </c>
      <c r="P204" t="inlineStr">
        <is>
          <t>是</t>
        </is>
      </c>
      <c r="Q204" t="inlineStr">
        <is>
          <t>auto_pipeline;review_png_green</t>
        </is>
      </c>
      <c r="R204" t="inlineStr">
        <is>
          <t>样品4</t>
        </is>
      </c>
    </row>
    <row r="205">
      <c r="A205" t="n">
        <v>204</v>
      </c>
      <c r="B205" t="inlineStr">
        <is>
          <t>4 (7).tif</t>
        </is>
      </c>
      <c r="C205" t="inlineStr">
        <is>
          <t>4(7)-V02</t>
        </is>
      </c>
      <c r="D205" t="n">
        <v>2</v>
      </c>
      <c r="E205" t="inlineStr">
        <is>
          <t>primary</t>
        </is>
      </c>
      <c r="F205" t="n">
        <v>1072.400756143667</v>
      </c>
      <c r="G205">
        <f>2*SQRT(F205/PI())</f>
        <v/>
      </c>
      <c r="H205" t="n">
        <v>122.6118001212244</v>
      </c>
      <c r="I205" t="n">
        <v>458</v>
      </c>
      <c r="J205" t="n">
        <v>326</v>
      </c>
      <c r="K205" t="n">
        <v>1050.952741020794</v>
      </c>
      <c r="L205" t="n">
        <v>1093.848771266541</v>
      </c>
      <c r="M205">
        <f>2*SQRT(K205/PI())</f>
        <v/>
      </c>
      <c r="N205">
        <f>2*SQRT(L205/PI())</f>
        <v/>
      </c>
      <c r="P205" t="inlineStr">
        <is>
          <t>是</t>
        </is>
      </c>
      <c r="Q205" t="inlineStr">
        <is>
          <t>auto_pipeline;review_png_green</t>
        </is>
      </c>
      <c r="R205" t="inlineStr">
        <is>
          <t>样品4</t>
        </is>
      </c>
    </row>
    <row r="206">
      <c r="A206" t="n">
        <v>205</v>
      </c>
      <c r="B206" t="inlineStr">
        <is>
          <t>4 (8).tif</t>
        </is>
      </c>
      <c r="C206" t="inlineStr">
        <is>
          <t>4(8)-V01</t>
        </is>
      </c>
      <c r="D206" t="n">
        <v>1</v>
      </c>
      <c r="E206" t="inlineStr">
        <is>
          <t>primary</t>
        </is>
      </c>
      <c r="F206" t="n">
        <v>1157.088846880907</v>
      </c>
      <c r="G206">
        <f>2*SQRT(F206/PI())</f>
        <v/>
      </c>
      <c r="H206" t="n">
        <v>127.6799975789112</v>
      </c>
      <c r="I206" t="n">
        <v>619</v>
      </c>
      <c r="J206" t="n">
        <v>410</v>
      </c>
      <c r="K206" t="n">
        <v>1133.947069943289</v>
      </c>
      <c r="L206" t="n">
        <v>1180.230623818526</v>
      </c>
      <c r="M206">
        <f>2*SQRT(K206/PI())</f>
        <v/>
      </c>
      <c r="N206">
        <f>2*SQRT(L206/PI())</f>
        <v/>
      </c>
      <c r="P206" t="inlineStr">
        <is>
          <t>是</t>
        </is>
      </c>
      <c r="Q206" t="inlineStr">
        <is>
          <t>auto_pipeline;review_png_green</t>
        </is>
      </c>
      <c r="R206" t="inlineStr">
        <is>
          <t>样品4</t>
        </is>
      </c>
    </row>
    <row r="207">
      <c r="A207" t="n">
        <v>206</v>
      </c>
      <c r="B207" t="inlineStr">
        <is>
          <t>4 (8).tif</t>
        </is>
      </c>
      <c r="C207" t="inlineStr">
        <is>
          <t>4(8)-V02</t>
        </is>
      </c>
      <c r="D207" t="n">
        <v>2</v>
      </c>
      <c r="E207" t="inlineStr">
        <is>
          <t>primary</t>
        </is>
      </c>
      <c r="F207" t="n">
        <v>925.992438563327</v>
      </c>
      <c r="G207">
        <f>2*SQRT(F207/PI())</f>
        <v/>
      </c>
      <c r="H207" t="n">
        <v>113.9598458746205</v>
      </c>
      <c r="I207" t="n">
        <v>378</v>
      </c>
      <c r="J207" t="n">
        <v>382</v>
      </c>
      <c r="K207" t="n">
        <v>907.4725897920605</v>
      </c>
      <c r="L207" t="n">
        <v>944.5122873345936</v>
      </c>
      <c r="M207">
        <f>2*SQRT(K207/PI())</f>
        <v/>
      </c>
      <c r="N207">
        <f>2*SQRT(L207/PI())</f>
        <v/>
      </c>
      <c r="P207" t="inlineStr">
        <is>
          <t>是</t>
        </is>
      </c>
      <c r="Q207" t="inlineStr">
        <is>
          <t>auto_pipeline;review_png_green</t>
        </is>
      </c>
      <c r="R207" t="inlineStr">
        <is>
          <t>样品4</t>
        </is>
      </c>
    </row>
    <row r="208">
      <c r="A208" t="n">
        <v>207</v>
      </c>
      <c r="B208" t="inlineStr">
        <is>
          <t>4 (8).tif</t>
        </is>
      </c>
      <c r="C208" t="inlineStr">
        <is>
          <t>4(8)-V03</t>
        </is>
      </c>
      <c r="D208" t="n">
        <v>3</v>
      </c>
      <c r="E208" t="inlineStr">
        <is>
          <t>primary</t>
        </is>
      </c>
      <c r="F208" t="n">
        <v>183.5302457466919</v>
      </c>
      <c r="G208">
        <f>2*SQRT(F208/PI())</f>
        <v/>
      </c>
      <c r="H208" t="n">
        <v>52.5484498946563</v>
      </c>
      <c r="I208" t="n">
        <v>234</v>
      </c>
      <c r="J208" t="n">
        <v>377</v>
      </c>
      <c r="K208" t="n">
        <v>179.859640831758</v>
      </c>
      <c r="L208" t="n">
        <v>187.2008506616257</v>
      </c>
      <c r="M208">
        <f>2*SQRT(K208/PI())</f>
        <v/>
      </c>
      <c r="N208">
        <f>2*SQRT(L208/PI())</f>
        <v/>
      </c>
      <c r="P208" t="inlineStr">
        <is>
          <t>是</t>
        </is>
      </c>
      <c r="Q208" t="inlineStr">
        <is>
          <t>auto_pipeline;review_png_green</t>
        </is>
      </c>
      <c r="R208" t="inlineStr">
        <is>
          <t>样品4</t>
        </is>
      </c>
    </row>
    <row r="209">
      <c r="A209" t="n">
        <v>208</v>
      </c>
      <c r="B209" t="inlineStr">
        <is>
          <t>4 (8).tif</t>
        </is>
      </c>
      <c r="C209" t="inlineStr">
        <is>
          <t>4(8)-V04</t>
        </is>
      </c>
      <c r="D209" t="n">
        <v>4</v>
      </c>
      <c r="E209" t="inlineStr">
        <is>
          <t>primary</t>
        </is>
      </c>
      <c r="F209" t="n">
        <v>170.7466918714556</v>
      </c>
      <c r="G209">
        <f>2*SQRT(F209/PI())</f>
        <v/>
      </c>
      <c r="H209" t="n">
        <v>54.66961497845857</v>
      </c>
      <c r="I209" t="n">
        <v>473</v>
      </c>
      <c r="J209" t="n">
        <v>518</v>
      </c>
      <c r="K209" t="n">
        <v>167.3317580340264</v>
      </c>
      <c r="L209" t="n">
        <v>174.1616257088847</v>
      </c>
      <c r="M209">
        <f>2*SQRT(K209/PI())</f>
        <v/>
      </c>
      <c r="N209">
        <f>2*SQRT(L209/PI())</f>
        <v/>
      </c>
      <c r="P209" t="inlineStr">
        <is>
          <t>是</t>
        </is>
      </c>
      <c r="Q209" t="inlineStr">
        <is>
          <t>auto_pipeline;review_png_green</t>
        </is>
      </c>
      <c r="R209" t="inlineStr">
        <is>
          <t>样品4</t>
        </is>
      </c>
    </row>
    <row r="210">
      <c r="A210" t="n">
        <v>209</v>
      </c>
      <c r="B210" t="inlineStr">
        <is>
          <t>4 (8).tif</t>
        </is>
      </c>
      <c r="C210" t="inlineStr">
        <is>
          <t>4(8)-V05</t>
        </is>
      </c>
      <c r="D210" t="n">
        <v>5</v>
      </c>
      <c r="E210" t="inlineStr">
        <is>
          <t>primary</t>
        </is>
      </c>
      <c r="F210" t="n">
        <v>157.1597353497164</v>
      </c>
      <c r="G210">
        <f>2*SQRT(F210/PI())</f>
        <v/>
      </c>
      <c r="H210" t="n">
        <v>52.33745805595232</v>
      </c>
      <c r="I210" t="n">
        <v>893</v>
      </c>
      <c r="J210" t="n">
        <v>293</v>
      </c>
      <c r="K210" t="n">
        <v>154.0165406427221</v>
      </c>
      <c r="L210" t="n">
        <v>160.3029300567108</v>
      </c>
      <c r="M210">
        <f>2*SQRT(K210/PI())</f>
        <v/>
      </c>
      <c r="N210">
        <f>2*SQRT(L210/PI())</f>
        <v/>
      </c>
      <c r="P210" t="inlineStr">
        <is>
          <t>是</t>
        </is>
      </c>
      <c r="Q210" t="inlineStr">
        <is>
          <t>auto_pipeline;review_png_green</t>
        </is>
      </c>
      <c r="R210" t="inlineStr">
        <is>
          <t>样品4</t>
        </is>
      </c>
    </row>
    <row r="211">
      <c r="A211" t="n">
        <v>210</v>
      </c>
      <c r="B211" t="inlineStr">
        <is>
          <t>4 (8).tif</t>
        </is>
      </c>
      <c r="C211" t="inlineStr">
        <is>
          <t>4(8)-V06</t>
        </is>
      </c>
      <c r="D211" t="n">
        <v>6</v>
      </c>
      <c r="E211" t="inlineStr">
        <is>
          <t>primary</t>
        </is>
      </c>
      <c r="F211" t="n">
        <v>124.7400756143667</v>
      </c>
      <c r="G211">
        <f>2*SQRT(F211/PI())</f>
        <v/>
      </c>
      <c r="H211" t="n">
        <v>43.02693043066107</v>
      </c>
      <c r="I211" t="n">
        <v>65</v>
      </c>
      <c r="J211" t="n">
        <v>225</v>
      </c>
      <c r="K211" t="n">
        <v>122.2452741020794</v>
      </c>
      <c r="L211" t="n">
        <v>127.2348771266541</v>
      </c>
      <c r="M211">
        <f>2*SQRT(K211/PI())</f>
        <v/>
      </c>
      <c r="N211">
        <f>2*SQRT(L211/PI())</f>
        <v/>
      </c>
      <c r="P211" t="inlineStr">
        <is>
          <t>是</t>
        </is>
      </c>
      <c r="Q211" t="inlineStr">
        <is>
          <t>auto_pipeline;review_png_green</t>
        </is>
      </c>
      <c r="R211" t="inlineStr">
        <is>
          <t>样品4</t>
        </is>
      </c>
    </row>
    <row r="212">
      <c r="A212" t="n">
        <v>211</v>
      </c>
      <c r="B212" t="inlineStr">
        <is>
          <t>5 (1).tif</t>
        </is>
      </c>
      <c r="C212" t="inlineStr">
        <is>
          <t>5(1)-V01</t>
        </is>
      </c>
      <c r="D212" t="n">
        <v>1</v>
      </c>
      <c r="E212" t="inlineStr">
        <is>
          <t>primary</t>
        </is>
      </c>
      <c r="F212" t="n">
        <v>1657.821361058601</v>
      </c>
      <c r="G212">
        <f>2*SQRT(F212/PI())</f>
        <v/>
      </c>
      <c r="H212" t="n">
        <v>153.1483297503513</v>
      </c>
      <c r="I212" t="n">
        <v>383</v>
      </c>
      <c r="J212" t="n">
        <v>348</v>
      </c>
      <c r="K212" t="n">
        <v>1624.664933837429</v>
      </c>
      <c r="L212" t="n">
        <v>1690.977788279773</v>
      </c>
      <c r="M212">
        <f>2*SQRT(K212/PI())</f>
        <v/>
      </c>
      <c r="N212">
        <f>2*SQRT(L212/PI())</f>
        <v/>
      </c>
      <c r="P212" t="inlineStr">
        <is>
          <t>是</t>
        </is>
      </c>
      <c r="Q212" t="inlineStr">
        <is>
          <t>auto_pipeline;review_png_green</t>
        </is>
      </c>
      <c r="R212" t="inlineStr">
        <is>
          <t>样品5</t>
        </is>
      </c>
    </row>
    <row r="213">
      <c r="A213" t="n">
        <v>212</v>
      </c>
      <c r="B213" t="inlineStr">
        <is>
          <t>5 (1).tif</t>
        </is>
      </c>
      <c r="C213" t="inlineStr">
        <is>
          <t>5(1)-V02</t>
        </is>
      </c>
      <c r="D213" t="n">
        <v>2</v>
      </c>
      <c r="E213" t="inlineStr">
        <is>
          <t>primary</t>
        </is>
      </c>
      <c r="F213" t="n">
        <v>876.2523629489604</v>
      </c>
      <c r="G213">
        <f>2*SQRT(F213/PI())</f>
        <v/>
      </c>
      <c r="H213" t="n">
        <v>111.3729991861012</v>
      </c>
      <c r="I213" t="n">
        <v>585</v>
      </c>
      <c r="J213" t="n">
        <v>372</v>
      </c>
      <c r="K213" t="n">
        <v>858.7273156899811</v>
      </c>
      <c r="L213" t="n">
        <v>893.7774102079396</v>
      </c>
      <c r="M213">
        <f>2*SQRT(K213/PI())</f>
        <v/>
      </c>
      <c r="N213">
        <f>2*SQRT(L213/PI())</f>
        <v/>
      </c>
      <c r="P213" t="inlineStr">
        <is>
          <t>是</t>
        </is>
      </c>
      <c r="Q213" t="inlineStr">
        <is>
          <t>auto_pipeline;review_png_green</t>
        </is>
      </c>
      <c r="R213" t="inlineStr">
        <is>
          <t>样品5</t>
        </is>
      </c>
    </row>
    <row r="214">
      <c r="A214" t="n">
        <v>213</v>
      </c>
      <c r="B214" t="inlineStr">
        <is>
          <t>5 (1).tif</t>
        </is>
      </c>
      <c r="C214" t="inlineStr">
        <is>
          <t>5(1)-V03</t>
        </is>
      </c>
      <c r="D214" t="n">
        <v>3</v>
      </c>
      <c r="E214" t="inlineStr">
        <is>
          <t>primary</t>
        </is>
      </c>
      <c r="F214" t="n">
        <v>371.4083175803403</v>
      </c>
      <c r="G214">
        <f>2*SQRT(F214/PI())</f>
        <v/>
      </c>
      <c r="H214" t="n">
        <v>76.17215571196182</v>
      </c>
      <c r="I214" t="n">
        <v>429</v>
      </c>
      <c r="J214" t="n">
        <v>56</v>
      </c>
      <c r="K214" t="n">
        <v>363.9801512287335</v>
      </c>
      <c r="L214" t="n">
        <v>378.8364839319471</v>
      </c>
      <c r="M214">
        <f>2*SQRT(K214/PI())</f>
        <v/>
      </c>
      <c r="N214">
        <f>2*SQRT(L214/PI())</f>
        <v/>
      </c>
      <c r="P214" t="inlineStr">
        <is>
          <t>是</t>
        </is>
      </c>
      <c r="Q214" t="inlineStr">
        <is>
          <t>auto_pipeline;review_png_green</t>
        </is>
      </c>
      <c r="R214" t="inlineStr">
        <is>
          <t>样品5</t>
        </is>
      </c>
    </row>
    <row r="215">
      <c r="A215" t="n">
        <v>214</v>
      </c>
      <c r="B215" t="inlineStr">
        <is>
          <t>5 (1).tif</t>
        </is>
      </c>
      <c r="C215" t="inlineStr">
        <is>
          <t>5(1)-V04</t>
        </is>
      </c>
      <c r="D215" t="n">
        <v>4</v>
      </c>
      <c r="E215" t="inlineStr">
        <is>
          <t>primary</t>
        </is>
      </c>
      <c r="F215" t="n">
        <v>133.9555765595463</v>
      </c>
      <c r="G215">
        <f>2*SQRT(F215/PI())</f>
        <v/>
      </c>
      <c r="H215" t="n">
        <v>46.82167905828227</v>
      </c>
      <c r="I215" t="n">
        <v>586</v>
      </c>
      <c r="J215" t="n">
        <v>235</v>
      </c>
      <c r="K215" t="n">
        <v>131.2764650283554</v>
      </c>
      <c r="L215" t="n">
        <v>136.6346880907372</v>
      </c>
      <c r="M215">
        <f>2*SQRT(K215/PI())</f>
        <v/>
      </c>
      <c r="N215">
        <f>2*SQRT(L215/PI())</f>
        <v/>
      </c>
      <c r="P215" t="inlineStr">
        <is>
          <t>是</t>
        </is>
      </c>
      <c r="Q215" t="inlineStr">
        <is>
          <t>auto_pipeline;review_png_green</t>
        </is>
      </c>
      <c r="R215" t="inlineStr">
        <is>
          <t>样品5</t>
        </is>
      </c>
    </row>
    <row r="216">
      <c r="A216" t="n">
        <v>215</v>
      </c>
      <c r="B216" t="inlineStr">
        <is>
          <t>5 (1).tif</t>
        </is>
      </c>
      <c r="C216" t="inlineStr">
        <is>
          <t>5(1)-V05</t>
        </is>
      </c>
      <c r="D216" t="n">
        <v>5</v>
      </c>
      <c r="E216" t="inlineStr">
        <is>
          <t>primary</t>
        </is>
      </c>
      <c r="F216" t="n">
        <v>123.2986767485822</v>
      </c>
      <c r="G216">
        <f>2*SQRT(F216/PI())</f>
        <v/>
      </c>
      <c r="H216" t="n">
        <v>50.3398889562358</v>
      </c>
      <c r="I216" t="n">
        <v>393</v>
      </c>
      <c r="J216" t="n">
        <v>643</v>
      </c>
      <c r="K216" t="n">
        <v>120.8327032136106</v>
      </c>
      <c r="L216" t="n">
        <v>125.7646502835539</v>
      </c>
      <c r="M216">
        <f>2*SQRT(K216/PI())</f>
        <v/>
      </c>
      <c r="N216">
        <f>2*SQRT(L216/PI())</f>
        <v/>
      </c>
      <c r="P216" t="inlineStr">
        <is>
          <t>是</t>
        </is>
      </c>
      <c r="Q216" t="inlineStr">
        <is>
          <t>auto_pipeline;review_png_green</t>
        </is>
      </c>
      <c r="R216" t="inlineStr">
        <is>
          <t>样品5</t>
        </is>
      </c>
    </row>
    <row r="217">
      <c r="A217" t="n">
        <v>216</v>
      </c>
      <c r="B217" t="inlineStr">
        <is>
          <t>5 (1).tif</t>
        </is>
      </c>
      <c r="C217" t="inlineStr">
        <is>
          <t>5(1)-V06</t>
        </is>
      </c>
      <c r="D217" t="n">
        <v>6</v>
      </c>
      <c r="E217" t="inlineStr">
        <is>
          <t>primary</t>
        </is>
      </c>
      <c r="F217" t="n">
        <v>101.2051039697542</v>
      </c>
      <c r="G217">
        <f>2*SQRT(F217/PI())</f>
        <v/>
      </c>
      <c r="H217" t="n">
        <v>38.57360842435256</v>
      </c>
      <c r="I217" t="n">
        <v>938</v>
      </c>
      <c r="J217" t="n">
        <v>264</v>
      </c>
      <c r="K217" t="n">
        <v>99.18100189035916</v>
      </c>
      <c r="L217" t="n">
        <v>103.2292060491493</v>
      </c>
      <c r="M217">
        <f>2*SQRT(K217/PI())</f>
        <v/>
      </c>
      <c r="N217">
        <f>2*SQRT(L217/PI())</f>
        <v/>
      </c>
      <c r="P217" t="inlineStr">
        <is>
          <t>是</t>
        </is>
      </c>
      <c r="Q217" t="inlineStr">
        <is>
          <t>auto_pipeline;review_png_green</t>
        </is>
      </c>
      <c r="R217" t="inlineStr">
        <is>
          <t>样品5</t>
        </is>
      </c>
    </row>
    <row r="218">
      <c r="A218" t="n">
        <v>217</v>
      </c>
      <c r="B218" t="inlineStr">
        <is>
          <t>5 (2).tif</t>
        </is>
      </c>
      <c r="C218" t="inlineStr">
        <is>
          <t>5(2)-V01</t>
        </is>
      </c>
      <c r="D218" t="n">
        <v>1</v>
      </c>
      <c r="E218" t="inlineStr">
        <is>
          <t>primary</t>
        </is>
      </c>
      <c r="F218" t="n">
        <v>1458.506616257089</v>
      </c>
      <c r="G218">
        <f>2*SQRT(F218/PI())</f>
        <v/>
      </c>
      <c r="H218" t="n">
        <v>143.6049613227015</v>
      </c>
      <c r="I218" t="n">
        <v>126</v>
      </c>
      <c r="J218" t="n">
        <v>99</v>
      </c>
      <c r="K218" t="n">
        <v>1429.336483931947</v>
      </c>
      <c r="L218" t="n">
        <v>1487.676748582231</v>
      </c>
      <c r="M218">
        <f>2*SQRT(K218/PI())</f>
        <v/>
      </c>
      <c r="N218">
        <f>2*SQRT(L218/PI())</f>
        <v/>
      </c>
      <c r="P218" t="inlineStr">
        <is>
          <t>是</t>
        </is>
      </c>
      <c r="Q218" t="inlineStr">
        <is>
          <t>auto_pipeline;review_png_green</t>
        </is>
      </c>
      <c r="R218" t="inlineStr">
        <is>
          <t>样品5</t>
        </is>
      </c>
    </row>
    <row r="219">
      <c r="A219" t="n">
        <v>218</v>
      </c>
      <c r="B219" t="inlineStr">
        <is>
          <t>5 (2).tif</t>
        </is>
      </c>
      <c r="C219" t="inlineStr">
        <is>
          <t>5(2)-V02</t>
        </is>
      </c>
      <c r="D219" t="n">
        <v>2</v>
      </c>
      <c r="E219" t="inlineStr">
        <is>
          <t>primary</t>
        </is>
      </c>
      <c r="F219" t="n">
        <v>1057.254253308128</v>
      </c>
      <c r="G219">
        <f>2*SQRT(F219/PI())</f>
        <v/>
      </c>
      <c r="H219" t="n">
        <v>122.4844552382179</v>
      </c>
      <c r="I219" t="n">
        <v>616</v>
      </c>
      <c r="J219" t="n">
        <v>396</v>
      </c>
      <c r="K219" t="n">
        <v>1036.109168241966</v>
      </c>
      <c r="L219" t="n">
        <v>1078.399338374291</v>
      </c>
      <c r="M219">
        <f>2*SQRT(K219/PI())</f>
        <v/>
      </c>
      <c r="N219">
        <f>2*SQRT(L219/PI())</f>
        <v/>
      </c>
      <c r="O219" t="inlineStr">
        <is>
          <t>5(2)-P01</t>
        </is>
      </c>
      <c r="P219" t="inlineStr">
        <is>
          <t>是</t>
        </is>
      </c>
      <c r="Q219" t="inlineStr">
        <is>
          <t>auto_pipeline;review_png_green</t>
        </is>
      </c>
      <c r="R219" t="inlineStr">
        <is>
          <t>样品5</t>
        </is>
      </c>
    </row>
    <row r="220">
      <c r="A220" t="n">
        <v>219</v>
      </c>
      <c r="B220" t="inlineStr">
        <is>
          <t>5 (2).tif</t>
        </is>
      </c>
      <c r="C220" t="inlineStr">
        <is>
          <t>5(2)-V03</t>
        </is>
      </c>
      <c r="D220" t="n">
        <v>3</v>
      </c>
      <c r="E220" t="inlineStr">
        <is>
          <t>primary</t>
        </is>
      </c>
      <c r="F220" t="n">
        <v>1047.707939508507</v>
      </c>
      <c r="G220">
        <f>2*SQRT(F220/PI())</f>
        <v/>
      </c>
      <c r="H220" t="n">
        <v>121.2547043354615</v>
      </c>
      <c r="I220" t="n">
        <v>433</v>
      </c>
      <c r="J220" t="n">
        <v>366</v>
      </c>
      <c r="K220" t="n">
        <v>1026.753780718336</v>
      </c>
      <c r="L220" t="n">
        <v>1068.662098298677</v>
      </c>
      <c r="M220">
        <f>2*SQRT(K220/PI())</f>
        <v/>
      </c>
      <c r="N220">
        <f>2*SQRT(L220/PI())</f>
        <v/>
      </c>
      <c r="O220" t="inlineStr">
        <is>
          <t>5(2)-P01</t>
        </is>
      </c>
      <c r="P220" t="inlineStr">
        <is>
          <t>是</t>
        </is>
      </c>
      <c r="Q220" t="inlineStr">
        <is>
          <t>auto_pipeline;review_png_green</t>
        </is>
      </c>
      <c r="R220" t="inlineStr">
        <is>
          <t>样品5</t>
        </is>
      </c>
    </row>
    <row r="221">
      <c r="A221" t="n">
        <v>220</v>
      </c>
      <c r="B221" t="inlineStr">
        <is>
          <t>5 (2).tif</t>
        </is>
      </c>
      <c r="C221" t="inlineStr">
        <is>
          <t>5(2)-V04</t>
        </is>
      </c>
      <c r="D221" t="n">
        <v>4</v>
      </c>
      <c r="E221" t="inlineStr">
        <is>
          <t>primary</t>
        </is>
      </c>
      <c r="F221" t="n">
        <v>221.9045368620038</v>
      </c>
      <c r="G221">
        <f>2*SQRT(F221/PI())</f>
        <v/>
      </c>
      <c r="H221" t="n">
        <v>71.75878273404163</v>
      </c>
      <c r="I221" t="n">
        <v>748</v>
      </c>
      <c r="J221" t="n">
        <v>377</v>
      </c>
      <c r="K221" t="n">
        <v>217.4664461247637</v>
      </c>
      <c r="L221" t="n">
        <v>226.3426275992439</v>
      </c>
      <c r="M221">
        <f>2*SQRT(K221/PI())</f>
        <v/>
      </c>
      <c r="N221">
        <f>2*SQRT(L221/PI())</f>
        <v/>
      </c>
      <c r="P221" t="inlineStr">
        <is>
          <t>是</t>
        </is>
      </c>
      <c r="Q221" t="inlineStr">
        <is>
          <t>auto_pipeline;review_png_green</t>
        </is>
      </c>
      <c r="R221" t="inlineStr">
        <is>
          <t>样品5</t>
        </is>
      </c>
    </row>
    <row r="222">
      <c r="A222" t="n">
        <v>221</v>
      </c>
      <c r="B222" t="inlineStr">
        <is>
          <t>5 (2).tif</t>
        </is>
      </c>
      <c r="C222" t="inlineStr">
        <is>
          <t>5(2)-V05</t>
        </is>
      </c>
      <c r="D222" t="n">
        <v>5</v>
      </c>
      <c r="E222" t="inlineStr">
        <is>
          <t>primary</t>
        </is>
      </c>
      <c r="F222" t="n">
        <v>123.5822306238185</v>
      </c>
      <c r="G222">
        <f>2*SQRT(F222/PI())</f>
        <v/>
      </c>
      <c r="H222" t="n">
        <v>50.36548681881116</v>
      </c>
      <c r="I222" t="n">
        <v>611</v>
      </c>
      <c r="J222" t="n">
        <v>205</v>
      </c>
      <c r="K222" t="n">
        <v>121.1105860113422</v>
      </c>
      <c r="L222" t="n">
        <v>126.0538752362949</v>
      </c>
      <c r="M222">
        <f>2*SQRT(K222/PI())</f>
        <v/>
      </c>
      <c r="N222">
        <f>2*SQRT(L222/PI())</f>
        <v/>
      </c>
      <c r="P222" t="inlineStr">
        <is>
          <t>是</t>
        </is>
      </c>
      <c r="Q222" t="inlineStr">
        <is>
          <t>auto_pipeline;review_png_green</t>
        </is>
      </c>
      <c r="R222" t="inlineStr">
        <is>
          <t>样品5</t>
        </is>
      </c>
    </row>
    <row r="223">
      <c r="A223" t="n">
        <v>222</v>
      </c>
      <c r="B223" t="inlineStr">
        <is>
          <t>5 (2).tif</t>
        </is>
      </c>
      <c r="C223" t="inlineStr">
        <is>
          <t>5(2)-V06</t>
        </is>
      </c>
      <c r="D223" t="n">
        <v>6</v>
      </c>
      <c r="E223" t="inlineStr">
        <is>
          <t>primary</t>
        </is>
      </c>
      <c r="F223" t="n">
        <v>112.452741020794</v>
      </c>
      <c r="G223">
        <f>2*SQRT(F223/PI())</f>
        <v/>
      </c>
      <c r="H223" t="n">
        <v>45.08254862349966</v>
      </c>
      <c r="I223" t="n">
        <v>780</v>
      </c>
      <c r="J223" t="n">
        <v>502</v>
      </c>
      <c r="K223" t="n">
        <v>110.2036862003781</v>
      </c>
      <c r="L223" t="n">
        <v>114.7017958412098</v>
      </c>
      <c r="M223">
        <f>2*SQRT(K223/PI())</f>
        <v/>
      </c>
      <c r="N223">
        <f>2*SQRT(L223/PI())</f>
        <v/>
      </c>
      <c r="P223" t="inlineStr">
        <is>
          <t>是</t>
        </is>
      </c>
      <c r="Q223" t="inlineStr">
        <is>
          <t>auto_pipeline;review_png_green</t>
        </is>
      </c>
      <c r="R223" t="inlineStr">
        <is>
          <t>样品5</t>
        </is>
      </c>
    </row>
    <row r="224">
      <c r="A224" t="n">
        <v>223</v>
      </c>
      <c r="B224" t="inlineStr">
        <is>
          <t>5 (2).tif</t>
        </is>
      </c>
      <c r="C224" t="inlineStr">
        <is>
          <t>5(2)-V07</t>
        </is>
      </c>
      <c r="D224" t="n">
        <v>7</v>
      </c>
      <c r="E224" t="inlineStr">
        <is>
          <t>primary</t>
        </is>
      </c>
      <c r="F224" t="n">
        <v>109.8534971644612</v>
      </c>
      <c r="G224">
        <f>2*SQRT(F224/PI())</f>
        <v/>
      </c>
      <c r="H224" t="n">
        <v>42.05186929391778</v>
      </c>
      <c r="I224" t="n">
        <v>509</v>
      </c>
      <c r="J224" t="n">
        <v>190</v>
      </c>
      <c r="K224" t="n">
        <v>107.656427221172</v>
      </c>
      <c r="L224" t="n">
        <v>112.0505671077505</v>
      </c>
      <c r="M224">
        <f>2*SQRT(K224/PI())</f>
        <v/>
      </c>
      <c r="N224">
        <f>2*SQRT(L224/PI())</f>
        <v/>
      </c>
      <c r="P224" t="inlineStr">
        <is>
          <t>是</t>
        </is>
      </c>
      <c r="Q224" t="inlineStr">
        <is>
          <t>auto_pipeline;review_png_green</t>
        </is>
      </c>
      <c r="R224" t="inlineStr">
        <is>
          <t>样品5</t>
        </is>
      </c>
    </row>
    <row r="225">
      <c r="A225" t="n">
        <v>224</v>
      </c>
      <c r="B225" t="inlineStr">
        <is>
          <t>5 (3).tif</t>
        </is>
      </c>
      <c r="C225" t="inlineStr">
        <is>
          <t>5(3)-V01</t>
        </is>
      </c>
      <c r="D225" t="n">
        <v>1</v>
      </c>
      <c r="E225" t="inlineStr">
        <is>
          <t>primary</t>
        </is>
      </c>
      <c r="F225" t="n">
        <v>864.6975425330813</v>
      </c>
      <c r="G225">
        <f>2*SQRT(F225/PI())</f>
        <v/>
      </c>
      <c r="H225" t="n">
        <v>111.5003440691077</v>
      </c>
      <c r="I225" t="n">
        <v>107</v>
      </c>
      <c r="J225" t="n">
        <v>574</v>
      </c>
      <c r="K225" t="n">
        <v>847.4035916824197</v>
      </c>
      <c r="L225" t="n">
        <v>881.991493383743</v>
      </c>
      <c r="M225">
        <f>2*SQRT(K225/PI())</f>
        <v/>
      </c>
      <c r="N225">
        <f>2*SQRT(L225/PI())</f>
        <v/>
      </c>
      <c r="P225" t="inlineStr">
        <is>
          <t>是</t>
        </is>
      </c>
      <c r="Q225" t="inlineStr">
        <is>
          <t>auto_pipeline;review_png_green</t>
        </is>
      </c>
      <c r="R225" t="inlineStr">
        <is>
          <t>样品5</t>
        </is>
      </c>
    </row>
    <row r="226">
      <c r="A226" t="n">
        <v>225</v>
      </c>
      <c r="B226" t="inlineStr">
        <is>
          <t>5 (3).tif</t>
        </is>
      </c>
      <c r="C226" t="inlineStr">
        <is>
          <t>5(3)-V02</t>
        </is>
      </c>
      <c r="D226" t="n">
        <v>2</v>
      </c>
      <c r="E226" t="inlineStr">
        <is>
          <t>primary</t>
        </is>
      </c>
      <c r="F226" t="n">
        <v>808.5302457466919</v>
      </c>
      <c r="G226">
        <f>2*SQRT(F226/PI())</f>
        <v/>
      </c>
      <c r="H226" t="n">
        <v>109.3791789853055</v>
      </c>
      <c r="I226" t="n">
        <v>792</v>
      </c>
      <c r="J226" t="n">
        <v>293</v>
      </c>
      <c r="K226" t="n">
        <v>792.359640831758</v>
      </c>
      <c r="L226" t="n">
        <v>824.7008506616257</v>
      </c>
      <c r="M226">
        <f>2*SQRT(K226/PI())</f>
        <v/>
      </c>
      <c r="N226">
        <f>2*SQRT(L226/PI())</f>
        <v/>
      </c>
      <c r="P226" t="inlineStr">
        <is>
          <t>是</t>
        </is>
      </c>
      <c r="Q226" t="inlineStr">
        <is>
          <t>auto_pipeline;review_png_green</t>
        </is>
      </c>
      <c r="R226" t="inlineStr">
        <is>
          <t>样品5</t>
        </is>
      </c>
    </row>
    <row r="227">
      <c r="A227" t="n">
        <v>226</v>
      </c>
      <c r="B227" t="inlineStr">
        <is>
          <t>5 (3).tif</t>
        </is>
      </c>
      <c r="C227" t="inlineStr">
        <is>
          <t>5(3)-V03</t>
        </is>
      </c>
      <c r="D227" t="n">
        <v>3</v>
      </c>
      <c r="E227" t="inlineStr">
        <is>
          <t>primary</t>
        </is>
      </c>
      <c r="F227" t="n">
        <v>799.5037807183365</v>
      </c>
      <c r="G227">
        <f>2*SQRT(F227/PI())</f>
        <v/>
      </c>
      <c r="H227" t="n">
        <v>106.0501119624013</v>
      </c>
      <c r="I227" t="n">
        <v>552</v>
      </c>
      <c r="J227" t="n">
        <v>425</v>
      </c>
      <c r="K227" t="n">
        <v>783.5137051039698</v>
      </c>
      <c r="L227" t="n">
        <v>815.4938563327033</v>
      </c>
      <c r="M227">
        <f>2*SQRT(K227/PI())</f>
        <v/>
      </c>
      <c r="N227">
        <f>2*SQRT(L227/PI())</f>
        <v/>
      </c>
      <c r="O227" t="inlineStr">
        <is>
          <t>5(3)-P01</t>
        </is>
      </c>
      <c r="P227" t="inlineStr">
        <is>
          <t>是</t>
        </is>
      </c>
      <c r="Q227" t="inlineStr">
        <is>
          <t>auto_pipeline;review_png_green</t>
        </is>
      </c>
      <c r="R227" t="inlineStr">
        <is>
          <t>样品5</t>
        </is>
      </c>
    </row>
    <row r="228">
      <c r="A228" t="n">
        <v>227</v>
      </c>
      <c r="B228" t="inlineStr">
        <is>
          <t>5 (3).tif</t>
        </is>
      </c>
      <c r="C228" t="inlineStr">
        <is>
          <t>5(3)-V04</t>
        </is>
      </c>
      <c r="D228" t="n">
        <v>4</v>
      </c>
      <c r="E228" t="inlineStr">
        <is>
          <t>primary</t>
        </is>
      </c>
      <c r="F228" t="n">
        <v>747.140831758034</v>
      </c>
      <c r="G228">
        <f>2*SQRT(F228/PI())</f>
        <v/>
      </c>
      <c r="H228" t="n">
        <v>102.7210449394972</v>
      </c>
      <c r="I228" t="n">
        <v>432</v>
      </c>
      <c r="J228" t="n">
        <v>305</v>
      </c>
      <c r="K228" t="n">
        <v>732.1980151228732</v>
      </c>
      <c r="L228" t="n">
        <v>762.0836483931947</v>
      </c>
      <c r="M228">
        <f>2*SQRT(K228/PI())</f>
        <v/>
      </c>
      <c r="N228">
        <f>2*SQRT(L228/PI())</f>
        <v/>
      </c>
      <c r="O228" t="inlineStr">
        <is>
          <t>5(3)-P01</t>
        </is>
      </c>
      <c r="P228" t="inlineStr">
        <is>
          <t>是</t>
        </is>
      </c>
      <c r="Q228" t="inlineStr">
        <is>
          <t>auto_pipeline;review_png_green</t>
        </is>
      </c>
      <c r="R228" t="inlineStr">
        <is>
          <t>样品5</t>
        </is>
      </c>
    </row>
    <row r="229">
      <c r="A229" t="n">
        <v>228</v>
      </c>
      <c r="B229" t="inlineStr">
        <is>
          <t>5 (3).tif</t>
        </is>
      </c>
      <c r="C229" t="inlineStr">
        <is>
          <t>5(3)-V05</t>
        </is>
      </c>
      <c r="D229" t="n">
        <v>5</v>
      </c>
      <c r="E229" t="inlineStr">
        <is>
          <t>primary</t>
        </is>
      </c>
      <c r="F229" t="n">
        <v>146.9045368620038</v>
      </c>
      <c r="G229">
        <f>2*SQRT(F229/PI())</f>
        <v/>
      </c>
      <c r="H229" t="n">
        <v>48.81549925907798</v>
      </c>
      <c r="I229" t="n">
        <v>546</v>
      </c>
      <c r="J229" t="n">
        <v>172</v>
      </c>
      <c r="K229" t="n">
        <v>143.9664461247637</v>
      </c>
      <c r="L229" t="n">
        <v>149.8426275992439</v>
      </c>
      <c r="M229">
        <f>2*SQRT(K229/PI())</f>
        <v/>
      </c>
      <c r="N229">
        <f>2*SQRT(L229/PI())</f>
        <v/>
      </c>
      <c r="P229" t="inlineStr">
        <is>
          <t>是</t>
        </is>
      </c>
      <c r="Q229" t="inlineStr">
        <is>
          <t>auto_pipeline;review_png_green</t>
        </is>
      </c>
      <c r="R229" t="inlineStr">
        <is>
          <t>样品5</t>
        </is>
      </c>
    </row>
    <row r="230">
      <c r="A230" t="n">
        <v>229</v>
      </c>
      <c r="B230" t="inlineStr">
        <is>
          <t>5 (3).tif</t>
        </is>
      </c>
      <c r="C230" t="inlineStr">
        <is>
          <t>5(3)-V06</t>
        </is>
      </c>
      <c r="D230" t="n">
        <v>6</v>
      </c>
      <c r="E230" t="inlineStr">
        <is>
          <t>primary</t>
        </is>
      </c>
      <c r="F230" t="n">
        <v>127.0321361058601</v>
      </c>
      <c r="G230">
        <f>2*SQRT(F230/PI())</f>
        <v/>
      </c>
      <c r="H230" t="n">
        <v>59.75591250087903</v>
      </c>
      <c r="I230" t="n">
        <v>940</v>
      </c>
      <c r="J230" t="n">
        <v>400</v>
      </c>
      <c r="K230" t="n">
        <v>124.4914933837429</v>
      </c>
      <c r="L230" t="n">
        <v>129.5727788279773</v>
      </c>
      <c r="M230">
        <f>2*SQRT(K230/PI())</f>
        <v/>
      </c>
      <c r="N230">
        <f>2*SQRT(L230/PI())</f>
        <v/>
      </c>
      <c r="P230" t="inlineStr">
        <is>
          <t>是</t>
        </is>
      </c>
      <c r="Q230" t="inlineStr">
        <is>
          <t>auto_pipeline;review_png_green</t>
        </is>
      </c>
      <c r="R230" t="inlineStr">
        <is>
          <t>样品5</t>
        </is>
      </c>
    </row>
    <row r="231">
      <c r="A231" t="n">
        <v>230</v>
      </c>
      <c r="B231" t="inlineStr">
        <is>
          <t>5 (3).tif</t>
        </is>
      </c>
      <c r="C231" t="inlineStr">
        <is>
          <t>5(3)-V07</t>
        </is>
      </c>
      <c r="D231" t="n">
        <v>7</v>
      </c>
      <c r="E231" t="inlineStr">
        <is>
          <t>primary</t>
        </is>
      </c>
      <c r="F231" t="n">
        <v>110.2315689981096</v>
      </c>
      <c r="G231">
        <f>2*SQRT(F231/PI())</f>
        <v/>
      </c>
      <c r="H231" t="n">
        <v>42.26286113262177</v>
      </c>
      <c r="I231" t="n">
        <v>216</v>
      </c>
      <c r="J231" t="n">
        <v>154</v>
      </c>
      <c r="K231" t="n">
        <v>108.0269376181474</v>
      </c>
      <c r="L231" t="n">
        <v>112.4362003780718</v>
      </c>
      <c r="M231">
        <f>2*SQRT(K231/PI())</f>
        <v/>
      </c>
      <c r="N231">
        <f>2*SQRT(L231/PI())</f>
        <v/>
      </c>
      <c r="P231" t="inlineStr">
        <is>
          <t>是</t>
        </is>
      </c>
      <c r="Q231" t="inlineStr">
        <is>
          <t>auto_pipeline;review_png_green</t>
        </is>
      </c>
      <c r="R231" t="inlineStr">
        <is>
          <t>样品5</t>
        </is>
      </c>
    </row>
    <row r="232">
      <c r="A232" t="n">
        <v>231</v>
      </c>
      <c r="B232" t="inlineStr">
        <is>
          <t>5 (4).tif</t>
        </is>
      </c>
      <c r="C232" t="inlineStr">
        <is>
          <t>5(4)-V01</t>
        </is>
      </c>
      <c r="D232" t="n">
        <v>1</v>
      </c>
      <c r="E232" t="inlineStr">
        <is>
          <t>primary</t>
        </is>
      </c>
      <c r="F232" t="n">
        <v>1509.475425330813</v>
      </c>
      <c r="G232">
        <f>2*SQRT(F232/PI())</f>
        <v/>
      </c>
      <c r="H232" t="n">
        <v>147.7199466072995</v>
      </c>
      <c r="I232" t="n">
        <v>860</v>
      </c>
      <c r="J232" t="n">
        <v>254</v>
      </c>
      <c r="K232" t="n">
        <v>1479.285916824197</v>
      </c>
      <c r="L232" t="n">
        <v>1539.664933837429</v>
      </c>
      <c r="M232">
        <f>2*SQRT(K232/PI())</f>
        <v/>
      </c>
      <c r="N232">
        <f>2*SQRT(L232/PI())</f>
        <v/>
      </c>
      <c r="P232" t="inlineStr">
        <is>
          <t>是</t>
        </is>
      </c>
      <c r="Q232" t="inlineStr">
        <is>
          <t>auto_pipeline;review_png_green</t>
        </is>
      </c>
      <c r="R232" t="inlineStr">
        <is>
          <t>样品5</t>
        </is>
      </c>
    </row>
    <row r="233">
      <c r="A233" t="n">
        <v>232</v>
      </c>
      <c r="B233" t="inlineStr">
        <is>
          <t>5 (4).tif</t>
        </is>
      </c>
      <c r="C233" t="inlineStr">
        <is>
          <t>5(4)-V02</t>
        </is>
      </c>
      <c r="D233" t="n">
        <v>2</v>
      </c>
      <c r="E233" t="inlineStr">
        <is>
          <t>primary</t>
        </is>
      </c>
      <c r="F233" t="n">
        <v>1392.840264650284</v>
      </c>
      <c r="G233">
        <f>2*SQRT(F233/PI())</f>
        <v/>
      </c>
      <c r="H233" t="n">
        <v>139.7883637314257</v>
      </c>
      <c r="I233" t="n">
        <v>503</v>
      </c>
      <c r="J233" t="n">
        <v>475</v>
      </c>
      <c r="K233" t="n">
        <v>1364.983459357278</v>
      </c>
      <c r="L233" t="n">
        <v>1420.697069943289</v>
      </c>
      <c r="M233">
        <f>2*SQRT(K233/PI())</f>
        <v/>
      </c>
      <c r="N233">
        <f>2*SQRT(L233/PI())</f>
        <v/>
      </c>
      <c r="P233" t="inlineStr">
        <is>
          <t>是</t>
        </is>
      </c>
      <c r="Q233" t="inlineStr">
        <is>
          <t>auto_pipeline;review_png_green</t>
        </is>
      </c>
      <c r="R233" t="inlineStr">
        <is>
          <t>样品5</t>
        </is>
      </c>
    </row>
    <row r="234">
      <c r="A234" t="n">
        <v>233</v>
      </c>
      <c r="B234" t="inlineStr">
        <is>
          <t>5 (4).tif</t>
        </is>
      </c>
      <c r="C234" t="inlineStr">
        <is>
          <t>5(4)-V03</t>
        </is>
      </c>
      <c r="D234" t="n">
        <v>3</v>
      </c>
      <c r="E234" t="inlineStr">
        <is>
          <t>primary</t>
        </is>
      </c>
      <c r="F234" t="n">
        <v>121.0538752362949</v>
      </c>
      <c r="G234">
        <f>2*SQRT(F234/PI())</f>
        <v/>
      </c>
      <c r="H234" t="n">
        <v>43.53630996268728</v>
      </c>
      <c r="I234" t="n">
        <v>92</v>
      </c>
      <c r="J234" t="n">
        <v>359</v>
      </c>
      <c r="K234" t="n">
        <v>118.632797731569</v>
      </c>
      <c r="L234" t="n">
        <v>123.4749527410208</v>
      </c>
      <c r="M234">
        <f>2*SQRT(K234/PI())</f>
        <v/>
      </c>
      <c r="N234">
        <f>2*SQRT(L234/PI())</f>
        <v/>
      </c>
      <c r="P234" t="inlineStr">
        <is>
          <t>是</t>
        </is>
      </c>
      <c r="Q234" t="inlineStr">
        <is>
          <t>auto_pipeline;review_png_green</t>
        </is>
      </c>
      <c r="R234" t="inlineStr">
        <is>
          <t>样品5</t>
        </is>
      </c>
    </row>
    <row r="235">
      <c r="A235" t="n">
        <v>234</v>
      </c>
      <c r="B235" t="inlineStr">
        <is>
          <t>5 (4).tif</t>
        </is>
      </c>
      <c r="C235" t="inlineStr">
        <is>
          <t>5(4)-V04</t>
        </is>
      </c>
      <c r="D235" t="n">
        <v>4</v>
      </c>
      <c r="E235" t="inlineStr">
        <is>
          <t>primary</t>
        </is>
      </c>
      <c r="F235" t="n">
        <v>111.3657844990548</v>
      </c>
      <c r="G235">
        <f>2*SQRT(F235/PI())</f>
        <v/>
      </c>
      <c r="H235" t="n">
        <v>50.8093194598737</v>
      </c>
      <c r="I235" t="n">
        <v>344</v>
      </c>
      <c r="J235" t="n">
        <v>94</v>
      </c>
      <c r="K235" t="n">
        <v>109.1384688090737</v>
      </c>
      <c r="L235" t="n">
        <v>113.5931001890359</v>
      </c>
      <c r="M235">
        <f>2*SQRT(K235/PI())</f>
        <v/>
      </c>
      <c r="N235">
        <f>2*SQRT(L235/PI())</f>
        <v/>
      </c>
      <c r="P235" t="inlineStr">
        <is>
          <t>是</t>
        </is>
      </c>
      <c r="Q235" t="inlineStr">
        <is>
          <t>auto_pipeline;review_png_green</t>
        </is>
      </c>
      <c r="R235" t="inlineStr">
        <is>
          <t>样品5</t>
        </is>
      </c>
    </row>
    <row r="236">
      <c r="A236" t="n">
        <v>235</v>
      </c>
      <c r="B236" t="inlineStr">
        <is>
          <t>5 (4).tif</t>
        </is>
      </c>
      <c r="C236" t="inlineStr">
        <is>
          <t>5(4)-V05</t>
        </is>
      </c>
      <c r="D236" t="n">
        <v>5</v>
      </c>
      <c r="E236" t="inlineStr">
        <is>
          <t>primary</t>
        </is>
      </c>
      <c r="F236" t="n">
        <v>108.7429111531191</v>
      </c>
      <c r="G236">
        <f>2*SQRT(F236/PI())</f>
        <v/>
      </c>
      <c r="H236" t="n">
        <v>45.4208853452102</v>
      </c>
      <c r="I236" t="n">
        <v>299</v>
      </c>
      <c r="J236" t="n">
        <v>185</v>
      </c>
      <c r="K236" t="n">
        <v>106.5680529300567</v>
      </c>
      <c r="L236" t="n">
        <v>110.9177693761815</v>
      </c>
      <c r="M236">
        <f>2*SQRT(K236/PI())</f>
        <v/>
      </c>
      <c r="N236">
        <f>2*SQRT(L236/PI())</f>
        <v/>
      </c>
      <c r="P236" t="inlineStr">
        <is>
          <t>是</t>
        </is>
      </c>
      <c r="Q236" t="inlineStr">
        <is>
          <t>auto_pipeline;review_png_green</t>
        </is>
      </c>
      <c r="R236" t="inlineStr">
        <is>
          <t>样品5</t>
        </is>
      </c>
    </row>
    <row r="237">
      <c r="A237" t="n">
        <v>236</v>
      </c>
      <c r="B237" t="inlineStr">
        <is>
          <t>5 (5).tif</t>
        </is>
      </c>
      <c r="C237" t="inlineStr">
        <is>
          <t>5(5)-V01</t>
        </is>
      </c>
      <c r="D237" t="n">
        <v>1</v>
      </c>
      <c r="E237" t="inlineStr">
        <is>
          <t>primary</t>
        </is>
      </c>
      <c r="F237" t="n">
        <v>540.3355387523629</v>
      </c>
      <c r="G237">
        <f>2*SQRT(F237/PI())</f>
        <v/>
      </c>
      <c r="H237" t="n">
        <v>87.26176280042399</v>
      </c>
      <c r="I237" t="n">
        <v>443</v>
      </c>
      <c r="J237" t="n">
        <v>406</v>
      </c>
      <c r="K237" t="n">
        <v>529.5288279773157</v>
      </c>
      <c r="L237" t="n">
        <v>551.1422495274102</v>
      </c>
      <c r="M237">
        <f>2*SQRT(K237/PI())</f>
        <v/>
      </c>
      <c r="N237">
        <f>2*SQRT(L237/PI())</f>
        <v/>
      </c>
      <c r="P237" t="inlineStr">
        <is>
          <t>是</t>
        </is>
      </c>
      <c r="Q237" t="inlineStr">
        <is>
          <t>auto_pipeline;review_png_green</t>
        </is>
      </c>
      <c r="R237" t="inlineStr">
        <is>
          <t>样品5</t>
        </is>
      </c>
    </row>
    <row r="238">
      <c r="A238" t="n">
        <v>237</v>
      </c>
      <c r="B238" t="inlineStr">
        <is>
          <t>5 (5).tif</t>
        </is>
      </c>
      <c r="C238" t="inlineStr">
        <is>
          <t>5(5)-V02</t>
        </is>
      </c>
      <c r="D238" t="n">
        <v>2</v>
      </c>
      <c r="E238" t="inlineStr">
        <is>
          <t>primary</t>
        </is>
      </c>
      <c r="F238" t="n">
        <v>124.2674858223062</v>
      </c>
      <c r="G238">
        <f>2*SQRT(F238/PI())</f>
        <v/>
      </c>
      <c r="H238" t="n">
        <v>55.38623745026796</v>
      </c>
      <c r="I238" t="n">
        <v>925</v>
      </c>
      <c r="J238" t="n">
        <v>408</v>
      </c>
      <c r="K238" t="n">
        <v>121.7821361058601</v>
      </c>
      <c r="L238" t="n">
        <v>126.7528355387524</v>
      </c>
      <c r="M238">
        <f>2*SQRT(K238/PI())</f>
        <v/>
      </c>
      <c r="N238">
        <f>2*SQRT(L238/PI())</f>
        <v/>
      </c>
      <c r="P238" t="inlineStr">
        <is>
          <t>是</t>
        </is>
      </c>
      <c r="Q238" t="inlineStr">
        <is>
          <t>auto_pipeline;review_png_green</t>
        </is>
      </c>
      <c r="R238" t="inlineStr">
        <is>
          <t>样品5</t>
        </is>
      </c>
    </row>
    <row r="239">
      <c r="A239" t="n">
        <v>238</v>
      </c>
      <c r="B239" t="inlineStr">
        <is>
          <t>5 (5).tif</t>
        </is>
      </c>
      <c r="C239" t="inlineStr">
        <is>
          <t>5(5)-V03</t>
        </is>
      </c>
      <c r="D239" t="n">
        <v>3</v>
      </c>
      <c r="E239" t="inlineStr">
        <is>
          <t>primary</t>
        </is>
      </c>
      <c r="F239" t="n">
        <v>109.2863894139887</v>
      </c>
      <c r="G239">
        <f>2*SQRT(F239/PI())</f>
        <v/>
      </c>
      <c r="H239" t="n">
        <v>49.59766862185105</v>
      </c>
      <c r="I239" t="n">
        <v>823</v>
      </c>
      <c r="J239" t="n">
        <v>527</v>
      </c>
      <c r="K239" t="n">
        <v>107.1006616257089</v>
      </c>
      <c r="L239" t="n">
        <v>111.4721172022684</v>
      </c>
      <c r="M239">
        <f>2*SQRT(K239/PI())</f>
        <v/>
      </c>
      <c r="N239">
        <f>2*SQRT(L239/PI())</f>
        <v/>
      </c>
      <c r="P239" t="inlineStr">
        <is>
          <t>是</t>
        </is>
      </c>
      <c r="Q239" t="inlineStr">
        <is>
          <t>auto_pipeline;review_png_green</t>
        </is>
      </c>
      <c r="R239" t="inlineStr">
        <is>
          <t>样品5</t>
        </is>
      </c>
    </row>
    <row r="240">
      <c r="A240" t="n">
        <v>239</v>
      </c>
      <c r="B240" t="inlineStr">
        <is>
          <t>5 (6).tif</t>
        </is>
      </c>
      <c r="C240" t="inlineStr">
        <is>
          <t>5(6)-V01</t>
        </is>
      </c>
      <c r="D240" t="n">
        <v>1</v>
      </c>
      <c r="E240" t="inlineStr">
        <is>
          <t>primary</t>
        </is>
      </c>
      <c r="F240" t="n">
        <v>632.7268431001891</v>
      </c>
      <c r="G240">
        <f>2*SQRT(F240/PI())</f>
        <v/>
      </c>
      <c r="H240" t="n">
        <v>94.68396614427152</v>
      </c>
      <c r="I240" t="n">
        <v>480</v>
      </c>
      <c r="J240" t="n">
        <v>381</v>
      </c>
      <c r="K240" t="n">
        <v>620.0723062381853</v>
      </c>
      <c r="L240" t="n">
        <v>645.3813799621928</v>
      </c>
      <c r="M240">
        <f>2*SQRT(K240/PI())</f>
        <v/>
      </c>
      <c r="N240">
        <f>2*SQRT(L240/PI())</f>
        <v/>
      </c>
      <c r="P240" t="inlineStr">
        <is>
          <t>是</t>
        </is>
      </c>
      <c r="Q240" t="inlineStr">
        <is>
          <t>auto_pipeline;review_png_green</t>
        </is>
      </c>
      <c r="R240" t="inlineStr">
        <is>
          <t>样品5</t>
        </is>
      </c>
    </row>
    <row r="241">
      <c r="A241" t="n">
        <v>240</v>
      </c>
      <c r="B241" t="inlineStr">
        <is>
          <t>5 (6).tif</t>
        </is>
      </c>
      <c r="C241" t="inlineStr">
        <is>
          <t>5(6)-V02</t>
        </is>
      </c>
      <c r="D241" t="n">
        <v>2</v>
      </c>
      <c r="E241" t="inlineStr">
        <is>
          <t>primary</t>
        </is>
      </c>
      <c r="F241" t="n">
        <v>576.7249527410208</v>
      </c>
      <c r="G241">
        <f>2*SQRT(F241/PI())</f>
        <v/>
      </c>
      <c r="H241" t="n">
        <v>90.230644137963</v>
      </c>
      <c r="I241" t="n">
        <v>647</v>
      </c>
      <c r="J241" t="n">
        <v>372</v>
      </c>
      <c r="K241" t="n">
        <v>565.1904536862004</v>
      </c>
      <c r="L241" t="n">
        <v>588.2594517958413</v>
      </c>
      <c r="M241">
        <f>2*SQRT(K241/PI())</f>
        <v/>
      </c>
      <c r="N241">
        <f>2*SQRT(L241/PI())</f>
        <v/>
      </c>
      <c r="P241" t="inlineStr">
        <is>
          <t>是</t>
        </is>
      </c>
      <c r="Q241" t="inlineStr">
        <is>
          <t>auto_pipeline;review_png_green</t>
        </is>
      </c>
      <c r="R241" t="inlineStr">
        <is>
          <t>样品5</t>
        </is>
      </c>
    </row>
    <row r="242">
      <c r="A242" t="n">
        <v>241</v>
      </c>
      <c r="B242" t="inlineStr">
        <is>
          <t>5 (7).tif</t>
        </is>
      </c>
      <c r="C242" t="inlineStr">
        <is>
          <t>5(7)-V01</t>
        </is>
      </c>
      <c r="D242" t="n">
        <v>1</v>
      </c>
      <c r="E242" t="inlineStr">
        <is>
          <t>primary</t>
        </is>
      </c>
      <c r="F242" t="n">
        <v>1268.525519848771</v>
      </c>
      <c r="G242">
        <f>2*SQRT(F242/PI())</f>
        <v/>
      </c>
      <c r="H242" t="n">
        <v>134.7420152373936</v>
      </c>
      <c r="I242" t="n">
        <v>526</v>
      </c>
      <c r="J242" t="n">
        <v>456</v>
      </c>
      <c r="K242" t="n">
        <v>1243.155009451796</v>
      </c>
      <c r="L242" t="n">
        <v>1293.896030245747</v>
      </c>
      <c r="M242">
        <f>2*SQRT(K242/PI())</f>
        <v/>
      </c>
      <c r="N242">
        <f>2*SQRT(L242/PI())</f>
        <v/>
      </c>
      <c r="P242" t="inlineStr">
        <is>
          <t>是</t>
        </is>
      </c>
      <c r="Q242" t="inlineStr">
        <is>
          <t>auto_pipeline;review_png_green</t>
        </is>
      </c>
      <c r="R242" t="inlineStr">
        <is>
          <t>样品5</t>
        </is>
      </c>
    </row>
    <row r="243">
      <c r="A243" t="n">
        <v>242</v>
      </c>
      <c r="B243" t="inlineStr">
        <is>
          <t>5 (7).tif</t>
        </is>
      </c>
      <c r="C243" t="inlineStr">
        <is>
          <t>5(7)-V02</t>
        </is>
      </c>
      <c r="D243" t="n">
        <v>2</v>
      </c>
      <c r="E243" t="inlineStr">
        <is>
          <t>primary</t>
        </is>
      </c>
      <c r="F243" t="n">
        <v>112.7835538752363</v>
      </c>
      <c r="G243">
        <f>2*SQRT(F243/PI())</f>
        <v/>
      </c>
      <c r="H243" t="n">
        <v>44.10748748675636</v>
      </c>
      <c r="I243" t="n">
        <v>129</v>
      </c>
      <c r="J243" t="n">
        <v>435</v>
      </c>
      <c r="K243" t="n">
        <v>110.5278827977316</v>
      </c>
      <c r="L243" t="n">
        <v>115.039224952741</v>
      </c>
      <c r="M243">
        <f>2*SQRT(K243/PI())</f>
        <v/>
      </c>
      <c r="N243">
        <f>2*SQRT(L243/PI())</f>
        <v/>
      </c>
      <c r="P243" t="inlineStr">
        <is>
          <t>是</t>
        </is>
      </c>
      <c r="Q243" t="inlineStr">
        <is>
          <t>auto_pipeline;review_png_green</t>
        </is>
      </c>
      <c r="R243" t="inlineStr">
        <is>
          <t>样品5</t>
        </is>
      </c>
    </row>
    <row r="244">
      <c r="A244" t="n">
        <v>243</v>
      </c>
      <c r="B244" t="inlineStr">
        <is>
          <t>5 (8).tif</t>
        </is>
      </c>
      <c r="C244" t="inlineStr">
        <is>
          <t>5(8)-V01</t>
        </is>
      </c>
      <c r="D244" t="n">
        <v>1</v>
      </c>
      <c r="E244" t="inlineStr">
        <is>
          <t>primary</t>
        </is>
      </c>
      <c r="F244" t="n">
        <v>926.4650283553875</v>
      </c>
      <c r="G244">
        <f>2*SQRT(F244/PI())</f>
        <v/>
      </c>
      <c r="H244" t="n">
        <v>114.8294110920118</v>
      </c>
      <c r="I244" t="n">
        <v>466</v>
      </c>
      <c r="J244" t="n">
        <v>314</v>
      </c>
      <c r="K244" t="n">
        <v>907.9357277882798</v>
      </c>
      <c r="L244" t="n">
        <v>944.9943289224952</v>
      </c>
      <c r="M244">
        <f>2*SQRT(K244/PI())</f>
        <v/>
      </c>
      <c r="N244">
        <f>2*SQRT(L244/PI())</f>
        <v/>
      </c>
      <c r="P244" t="inlineStr">
        <is>
          <t>是</t>
        </is>
      </c>
      <c r="Q244" t="inlineStr">
        <is>
          <t>auto_pipeline;review_png_green</t>
        </is>
      </c>
      <c r="R244" t="inlineStr">
        <is>
          <t>样品5</t>
        </is>
      </c>
    </row>
    <row r="245">
      <c r="A245" t="n">
        <v>244</v>
      </c>
      <c r="B245" t="inlineStr">
        <is>
          <t>5 (8).tif</t>
        </is>
      </c>
      <c r="C245" t="inlineStr">
        <is>
          <t>5(8)-V02</t>
        </is>
      </c>
      <c r="D245" t="n">
        <v>2</v>
      </c>
      <c r="E245" t="inlineStr">
        <is>
          <t>primary</t>
        </is>
      </c>
      <c r="F245" t="n">
        <v>114.6030245746692</v>
      </c>
      <c r="G245">
        <f>2*SQRT(F245/PI())</f>
        <v/>
      </c>
      <c r="H245" t="n">
        <v>41.88082648360211</v>
      </c>
      <c r="I245" t="n">
        <v>879</v>
      </c>
      <c r="J245" t="n">
        <v>182</v>
      </c>
      <c r="K245" t="n">
        <v>112.3109640831758</v>
      </c>
      <c r="L245" t="n">
        <v>116.8950850661626</v>
      </c>
      <c r="M245">
        <f>2*SQRT(K245/PI())</f>
        <v/>
      </c>
      <c r="N245">
        <f>2*SQRT(L245/PI())</f>
        <v/>
      </c>
      <c r="P245" t="inlineStr">
        <is>
          <t>是</t>
        </is>
      </c>
      <c r="Q245" t="inlineStr">
        <is>
          <t>auto_pipeline;review_png_green</t>
        </is>
      </c>
      <c r="R245" t="inlineStr">
        <is>
          <t>样品5</t>
        </is>
      </c>
    </row>
    <row r="246">
      <c r="A246" t="n">
        <v>245</v>
      </c>
      <c r="B246" t="inlineStr">
        <is>
          <t>6 (1).tif</t>
        </is>
      </c>
      <c r="C246" t="inlineStr">
        <is>
          <t>6(1)-V01</t>
        </is>
      </c>
      <c r="D246" t="n">
        <v>1</v>
      </c>
      <c r="E246" t="inlineStr">
        <is>
          <t>primary</t>
        </is>
      </c>
      <c r="F246" t="n">
        <v>983.1049149338374</v>
      </c>
      <c r="G246">
        <f>2*SQRT(F246/PI())</f>
        <v/>
      </c>
      <c r="H246" t="n">
        <v>119.66476774734</v>
      </c>
      <c r="I246" t="n">
        <v>908</v>
      </c>
      <c r="J246" t="n">
        <v>114</v>
      </c>
      <c r="K246" t="n">
        <v>963.4428166351607</v>
      </c>
      <c r="L246" t="n">
        <v>1002.767013232514</v>
      </c>
      <c r="M246">
        <f>2*SQRT(K246/PI())</f>
        <v/>
      </c>
      <c r="N246">
        <f>2*SQRT(L246/PI())</f>
        <v/>
      </c>
      <c r="P246" t="inlineStr">
        <is>
          <t>是</t>
        </is>
      </c>
      <c r="Q246" t="inlineStr">
        <is>
          <t>auto_pipeline;review_png_green</t>
        </is>
      </c>
      <c r="R246" t="inlineStr">
        <is>
          <t>样品6</t>
        </is>
      </c>
    </row>
    <row r="247">
      <c r="A247" t="n">
        <v>246</v>
      </c>
      <c r="B247" t="inlineStr">
        <is>
          <t>6 (1).tif</t>
        </is>
      </c>
      <c r="C247" t="inlineStr">
        <is>
          <t>6(1)-V02</t>
        </is>
      </c>
      <c r="D247" t="n">
        <v>2</v>
      </c>
      <c r="E247" t="inlineStr">
        <is>
          <t>primary</t>
        </is>
      </c>
      <c r="F247" t="n">
        <v>651.8431001890359</v>
      </c>
      <c r="G247">
        <f>2*SQRT(F247/PI())</f>
        <v/>
      </c>
      <c r="H247" t="n">
        <v>95.78637216402136</v>
      </c>
      <c r="I247" t="n">
        <v>446</v>
      </c>
      <c r="J247" t="n">
        <v>499</v>
      </c>
      <c r="K247" t="n">
        <v>638.8062381852552</v>
      </c>
      <c r="L247" t="n">
        <v>664.8799621928166</v>
      </c>
      <c r="M247">
        <f>2*SQRT(K247/PI())</f>
        <v/>
      </c>
      <c r="N247">
        <f>2*SQRT(L247/PI())</f>
        <v/>
      </c>
      <c r="O247" t="inlineStr">
        <is>
          <t>6(1)-P01</t>
        </is>
      </c>
      <c r="P247" t="inlineStr">
        <is>
          <t>是</t>
        </is>
      </c>
      <c r="Q247" t="inlineStr">
        <is>
          <t>auto_pipeline;review_png_green</t>
        </is>
      </c>
      <c r="R247" t="inlineStr">
        <is>
          <t>样品6</t>
        </is>
      </c>
    </row>
    <row r="248">
      <c r="A248" t="n">
        <v>247</v>
      </c>
      <c r="B248" t="inlineStr">
        <is>
          <t>6 (1).tif</t>
        </is>
      </c>
      <c r="C248" t="inlineStr">
        <is>
          <t>6(1)-V03</t>
        </is>
      </c>
      <c r="D248" t="n">
        <v>3</v>
      </c>
      <c r="E248" t="inlineStr">
        <is>
          <t>primary</t>
        </is>
      </c>
      <c r="F248" t="n">
        <v>597.9206049149338</v>
      </c>
      <c r="G248">
        <f>2*SQRT(F248/PI())</f>
        <v/>
      </c>
      <c r="H248" t="n">
        <v>91.84242968973906</v>
      </c>
      <c r="I248" t="n">
        <v>308</v>
      </c>
      <c r="J248" t="n">
        <v>522</v>
      </c>
      <c r="K248" t="n">
        <v>585.9621928166351</v>
      </c>
      <c r="L248" t="n">
        <v>609.8790170132326</v>
      </c>
      <c r="M248">
        <f>2*SQRT(K248/PI())</f>
        <v/>
      </c>
      <c r="N248">
        <f>2*SQRT(L248/PI())</f>
        <v/>
      </c>
      <c r="O248" t="inlineStr">
        <is>
          <t>6(1)-P01</t>
        </is>
      </c>
      <c r="P248" t="inlineStr">
        <is>
          <t>是</t>
        </is>
      </c>
      <c r="Q248" t="inlineStr">
        <is>
          <t>auto_pipeline;review_png_green</t>
        </is>
      </c>
      <c r="R248" t="inlineStr">
        <is>
          <t>样品6</t>
        </is>
      </c>
    </row>
    <row r="249">
      <c r="A249" t="n">
        <v>248</v>
      </c>
      <c r="B249" t="inlineStr">
        <is>
          <t>6 (1).tif</t>
        </is>
      </c>
      <c r="C249" t="inlineStr">
        <is>
          <t>6(1)-V04</t>
        </is>
      </c>
      <c r="D249" t="n">
        <v>4</v>
      </c>
      <c r="E249" t="inlineStr">
        <is>
          <t>primary</t>
        </is>
      </c>
      <c r="F249" t="n">
        <v>534.2863894139887</v>
      </c>
      <c r="G249">
        <f>2*SQRT(F249/PI())</f>
        <v/>
      </c>
      <c r="H249" t="n">
        <v>87.62194848578909</v>
      </c>
      <c r="I249" t="n">
        <v>480</v>
      </c>
      <c r="J249" t="n">
        <v>202</v>
      </c>
      <c r="K249" t="n">
        <v>523.6006616257089</v>
      </c>
      <c r="L249" t="n">
        <v>544.9721172022685</v>
      </c>
      <c r="M249">
        <f>2*SQRT(K249/PI())</f>
        <v/>
      </c>
      <c r="N249">
        <f>2*SQRT(L249/PI())</f>
        <v/>
      </c>
      <c r="P249" t="inlineStr">
        <is>
          <t>是</t>
        </is>
      </c>
      <c r="Q249" t="inlineStr">
        <is>
          <t>auto_pipeline;review_png_green</t>
        </is>
      </c>
      <c r="R249" t="inlineStr">
        <is>
          <t>样品6</t>
        </is>
      </c>
    </row>
    <row r="250">
      <c r="A250" t="n">
        <v>249</v>
      </c>
      <c r="B250" t="inlineStr">
        <is>
          <t>6 (1).tif</t>
        </is>
      </c>
      <c r="C250" t="inlineStr">
        <is>
          <t>6(1)-V05</t>
        </is>
      </c>
      <c r="D250" t="n">
        <v>5</v>
      </c>
      <c r="E250" t="inlineStr">
        <is>
          <t>primary</t>
        </is>
      </c>
      <c r="F250" t="n">
        <v>400.6852551984877</v>
      </c>
      <c r="G250">
        <f>2*SQRT(F250/PI())</f>
        <v/>
      </c>
      <c r="H250" t="n">
        <v>75.02605176490286</v>
      </c>
      <c r="I250" t="n">
        <v>600</v>
      </c>
      <c r="J250" t="n">
        <v>166</v>
      </c>
      <c r="K250" t="n">
        <v>392.671550094518</v>
      </c>
      <c r="L250" t="n">
        <v>408.6989603024575</v>
      </c>
      <c r="M250">
        <f>2*SQRT(K250/PI())</f>
        <v/>
      </c>
      <c r="N250">
        <f>2*SQRT(L250/PI())</f>
        <v/>
      </c>
      <c r="P250" t="inlineStr">
        <is>
          <t>是</t>
        </is>
      </c>
      <c r="Q250" t="inlineStr">
        <is>
          <t>auto_pipeline;review_png_green</t>
        </is>
      </c>
      <c r="R250" t="inlineStr">
        <is>
          <t>样品6</t>
        </is>
      </c>
    </row>
    <row r="251">
      <c r="A251" t="n">
        <v>250</v>
      </c>
      <c r="B251" t="inlineStr">
        <is>
          <t>6 (1).tif</t>
        </is>
      </c>
      <c r="C251" t="inlineStr">
        <is>
          <t>6(1)-V06</t>
        </is>
      </c>
      <c r="D251" t="n">
        <v>6</v>
      </c>
      <c r="E251" t="inlineStr">
        <is>
          <t>primary</t>
        </is>
      </c>
      <c r="F251" t="n">
        <v>397.8024574669187</v>
      </c>
      <c r="G251">
        <f>2*SQRT(F251/PI())</f>
        <v/>
      </c>
      <c r="H251" t="n">
        <v>75.28074153091596</v>
      </c>
      <c r="I251" t="n">
        <v>169</v>
      </c>
      <c r="J251" t="n">
        <v>220</v>
      </c>
      <c r="K251" t="n">
        <v>389.8464083175804</v>
      </c>
      <c r="L251" t="n">
        <v>405.7585066162571</v>
      </c>
      <c r="M251">
        <f>2*SQRT(K251/PI())</f>
        <v/>
      </c>
      <c r="N251">
        <f>2*SQRT(L251/PI())</f>
        <v/>
      </c>
      <c r="P251" t="inlineStr">
        <is>
          <t>是</t>
        </is>
      </c>
      <c r="Q251" t="inlineStr">
        <is>
          <t>auto_pipeline;review_png_green</t>
        </is>
      </c>
      <c r="R251" t="inlineStr">
        <is>
          <t>样品6</t>
        </is>
      </c>
    </row>
    <row r="252">
      <c r="A252" t="n">
        <v>251</v>
      </c>
      <c r="B252" t="inlineStr">
        <is>
          <t>6 (2).tif</t>
        </is>
      </c>
      <c r="C252" t="inlineStr">
        <is>
          <t>6(2)-V01</t>
        </is>
      </c>
      <c r="D252" t="n">
        <v>1</v>
      </c>
      <c r="E252" t="inlineStr">
        <is>
          <t>primary</t>
        </is>
      </c>
      <c r="F252" t="n">
        <v>1156.474480151229</v>
      </c>
      <c r="G252">
        <f>2*SQRT(F252/PI())</f>
        <v/>
      </c>
      <c r="H252" t="n">
        <v>127.4253078128981</v>
      </c>
      <c r="I252" t="n">
        <v>466</v>
      </c>
      <c r="J252" t="n">
        <v>280</v>
      </c>
      <c r="K252" t="n">
        <v>1133.344990548204</v>
      </c>
      <c r="L252" t="n">
        <v>1179.603969754254</v>
      </c>
      <c r="M252">
        <f>2*SQRT(K252/PI())</f>
        <v/>
      </c>
      <c r="N252">
        <f>2*SQRT(L252/PI())</f>
        <v/>
      </c>
      <c r="P252" t="inlineStr">
        <is>
          <t>是</t>
        </is>
      </c>
      <c r="Q252" t="inlineStr">
        <is>
          <t>auto_pipeline;review_png_green</t>
        </is>
      </c>
      <c r="R252" t="inlineStr">
        <is>
          <t>样品6</t>
        </is>
      </c>
    </row>
    <row r="253">
      <c r="A253" t="n">
        <v>252</v>
      </c>
      <c r="B253" t="inlineStr">
        <is>
          <t>6 (2).tif</t>
        </is>
      </c>
      <c r="C253" t="inlineStr">
        <is>
          <t>6(2)-V02</t>
        </is>
      </c>
      <c r="D253" t="n">
        <v>2</v>
      </c>
      <c r="E253" t="inlineStr">
        <is>
          <t>primary</t>
        </is>
      </c>
      <c r="F253" t="n">
        <v>790.8790170132326</v>
      </c>
      <c r="G253">
        <f>2*SQRT(F253/PI())</f>
        <v/>
      </c>
      <c r="H253" t="n">
        <v>106.6868363774341</v>
      </c>
      <c r="I253" t="n">
        <v>461</v>
      </c>
      <c r="J253" t="n">
        <v>448</v>
      </c>
      <c r="K253" t="n">
        <v>775.0614366729679</v>
      </c>
      <c r="L253" t="n">
        <v>806.6965973534972</v>
      </c>
      <c r="M253">
        <f>2*SQRT(K253/PI())</f>
        <v/>
      </c>
      <c r="N253">
        <f>2*SQRT(L253/PI())</f>
        <v/>
      </c>
      <c r="P253" t="inlineStr">
        <is>
          <t>是</t>
        </is>
      </c>
      <c r="Q253" t="inlineStr">
        <is>
          <t>auto_pipeline;review_png_green</t>
        </is>
      </c>
      <c r="R253" t="inlineStr">
        <is>
          <t>样品6</t>
        </is>
      </c>
    </row>
    <row r="254">
      <c r="A254" t="n">
        <v>253</v>
      </c>
      <c r="B254" t="inlineStr">
        <is>
          <t>6 (2).tif</t>
        </is>
      </c>
      <c r="C254" t="inlineStr">
        <is>
          <t>6(2)-V03</t>
        </is>
      </c>
      <c r="D254" t="n">
        <v>3</v>
      </c>
      <c r="E254" t="inlineStr">
        <is>
          <t>primary</t>
        </is>
      </c>
      <c r="F254" t="n">
        <v>752.0557655954632</v>
      </c>
      <c r="G254">
        <f>2*SQRT(F254/PI())</f>
        <v/>
      </c>
      <c r="H254" t="n">
        <v>103.3359203908754</v>
      </c>
      <c r="I254" t="n">
        <v>707</v>
      </c>
      <c r="J254" t="n">
        <v>601</v>
      </c>
      <c r="K254" t="n">
        <v>737.0146502835539</v>
      </c>
      <c r="L254" t="n">
        <v>767.0968809073725</v>
      </c>
      <c r="M254">
        <f>2*SQRT(K254/PI())</f>
        <v/>
      </c>
      <c r="N254">
        <f>2*SQRT(L254/PI())</f>
        <v/>
      </c>
      <c r="P254" t="inlineStr">
        <is>
          <t>是</t>
        </is>
      </c>
      <c r="Q254" t="inlineStr">
        <is>
          <t>auto_pipeline;review_png_green</t>
        </is>
      </c>
      <c r="R254" t="inlineStr">
        <is>
          <t>样品6</t>
        </is>
      </c>
    </row>
    <row r="255">
      <c r="A255" t="n">
        <v>254</v>
      </c>
      <c r="B255" t="inlineStr">
        <is>
          <t>6 (2).tif</t>
        </is>
      </c>
      <c r="C255" t="inlineStr">
        <is>
          <t>6(2)-V04</t>
        </is>
      </c>
      <c r="D255" t="n">
        <v>4</v>
      </c>
      <c r="E255" t="inlineStr">
        <is>
          <t>primary</t>
        </is>
      </c>
      <c r="F255" t="n">
        <v>526.3941398865785</v>
      </c>
      <c r="G255">
        <f>2*SQRT(F255/PI())</f>
        <v/>
      </c>
      <c r="H255" t="n">
        <v>87.7711423324502</v>
      </c>
      <c r="I255" t="n">
        <v>719</v>
      </c>
      <c r="J255" t="n">
        <v>76</v>
      </c>
      <c r="K255" t="n">
        <v>515.866257088847</v>
      </c>
      <c r="L255" t="n">
        <v>536.92202268431</v>
      </c>
      <c r="M255">
        <f>2*SQRT(K255/PI())</f>
        <v/>
      </c>
      <c r="N255">
        <f>2*SQRT(L255/PI())</f>
        <v/>
      </c>
      <c r="P255" t="inlineStr">
        <is>
          <t>是</t>
        </is>
      </c>
      <c r="Q255" t="inlineStr">
        <is>
          <t>auto_pipeline;review_png_green</t>
        </is>
      </c>
      <c r="R255" t="inlineStr">
        <is>
          <t>样品6</t>
        </is>
      </c>
    </row>
    <row r="256">
      <c r="A256" t="n">
        <v>255</v>
      </c>
      <c r="B256" t="inlineStr">
        <is>
          <t>6 (2).tif</t>
        </is>
      </c>
      <c r="C256" t="inlineStr">
        <is>
          <t>6(2)-V05</t>
        </is>
      </c>
      <c r="D256" t="n">
        <v>5</v>
      </c>
      <c r="E256" t="inlineStr">
        <is>
          <t>primary</t>
        </is>
      </c>
      <c r="F256" t="n">
        <v>429.7495274102079</v>
      </c>
      <c r="G256">
        <f>2*SQRT(F256/PI())</f>
        <v/>
      </c>
      <c r="H256" t="n">
        <v>78.96999423918517</v>
      </c>
      <c r="I256" t="n">
        <v>86</v>
      </c>
      <c r="J256" t="n">
        <v>69</v>
      </c>
      <c r="K256" t="n">
        <v>421.1545368620037</v>
      </c>
      <c r="L256" t="n">
        <v>438.3445179584121</v>
      </c>
      <c r="M256">
        <f>2*SQRT(K256/PI())</f>
        <v/>
      </c>
      <c r="N256">
        <f>2*SQRT(L256/PI())</f>
        <v/>
      </c>
      <c r="P256" t="inlineStr">
        <is>
          <t>是</t>
        </is>
      </c>
      <c r="Q256" t="inlineStr">
        <is>
          <t>auto_pipeline;review_png_green</t>
        </is>
      </c>
      <c r="R256" t="inlineStr">
        <is>
          <t>样品6</t>
        </is>
      </c>
    </row>
    <row r="257">
      <c r="A257" t="n">
        <v>256</v>
      </c>
      <c r="B257" t="inlineStr">
        <is>
          <t>6 (2).tif</t>
        </is>
      </c>
      <c r="C257" t="inlineStr">
        <is>
          <t>6(2)-V06</t>
        </is>
      </c>
      <c r="D257" t="n">
        <v>6</v>
      </c>
      <c r="E257" t="inlineStr">
        <is>
          <t>primary</t>
        </is>
      </c>
      <c r="F257" t="n">
        <v>219.7306238185255</v>
      </c>
      <c r="G257">
        <f>2*SQRT(F257/PI())</f>
        <v/>
      </c>
      <c r="H257" t="n">
        <v>55.62282715154731</v>
      </c>
      <c r="I257" t="n">
        <v>41</v>
      </c>
      <c r="J257" t="n">
        <v>186</v>
      </c>
      <c r="K257" t="n">
        <v>215.336011342155</v>
      </c>
      <c r="L257" t="n">
        <v>224.125236294896</v>
      </c>
      <c r="M257">
        <f>2*SQRT(K257/PI())</f>
        <v/>
      </c>
      <c r="N257">
        <f>2*SQRT(L257/PI())</f>
        <v/>
      </c>
      <c r="P257" t="inlineStr">
        <is>
          <t>是</t>
        </is>
      </c>
      <c r="Q257" t="inlineStr">
        <is>
          <t>auto_pipeline;review_png_green</t>
        </is>
      </c>
      <c r="R257" t="inlineStr">
        <is>
          <t>样品6</t>
        </is>
      </c>
    </row>
    <row r="258">
      <c r="A258" t="n">
        <v>257</v>
      </c>
      <c r="B258" t="inlineStr">
        <is>
          <t>6 (3).tif</t>
        </is>
      </c>
      <c r="C258" t="inlineStr">
        <is>
          <t>6(3)-V01</t>
        </is>
      </c>
      <c r="D258" t="n">
        <v>1</v>
      </c>
      <c r="E258" t="inlineStr">
        <is>
          <t>primary</t>
        </is>
      </c>
      <c r="F258" t="n">
        <v>1565.028355387524</v>
      </c>
      <c r="G258">
        <f>2*SQRT(F258/PI())</f>
        <v/>
      </c>
      <c r="H258" t="n">
        <v>148.5676628610362</v>
      </c>
      <c r="I258" t="n">
        <v>364</v>
      </c>
      <c r="J258" t="n">
        <v>316</v>
      </c>
      <c r="K258" t="n">
        <v>1533.727788279773</v>
      </c>
      <c r="L258" t="n">
        <v>1596.328922495274</v>
      </c>
      <c r="M258">
        <f>2*SQRT(K258/PI())</f>
        <v/>
      </c>
      <c r="N258">
        <f>2*SQRT(L258/PI())</f>
        <v/>
      </c>
      <c r="O258" t="inlineStr">
        <is>
          <t>6(3)-P01</t>
        </is>
      </c>
      <c r="P258" t="inlineStr">
        <is>
          <t>是</t>
        </is>
      </c>
      <c r="Q258" t="inlineStr">
        <is>
          <t>auto_pipeline;review_png_green</t>
        </is>
      </c>
      <c r="R258" t="inlineStr">
        <is>
          <t>样品6</t>
        </is>
      </c>
    </row>
    <row r="259">
      <c r="A259" t="n">
        <v>258</v>
      </c>
      <c r="B259" t="inlineStr">
        <is>
          <t>6 (3).tif</t>
        </is>
      </c>
      <c r="C259" t="inlineStr">
        <is>
          <t>6(3)-V02</t>
        </is>
      </c>
      <c r="D259" t="n">
        <v>2</v>
      </c>
      <c r="E259" t="inlineStr">
        <is>
          <t>primary</t>
        </is>
      </c>
      <c r="F259" t="n">
        <v>921.3137996219282</v>
      </c>
      <c r="G259">
        <f>2*SQRT(F259/PI())</f>
        <v/>
      </c>
      <c r="H259" t="n">
        <v>114.2145356406336</v>
      </c>
      <c r="I259" t="n">
        <v>415</v>
      </c>
      <c r="J259" t="n">
        <v>114</v>
      </c>
      <c r="K259" t="n">
        <v>902.8875236294896</v>
      </c>
      <c r="L259" t="n">
        <v>939.7400756143668</v>
      </c>
      <c r="M259">
        <f>2*SQRT(K259/PI())</f>
        <v/>
      </c>
      <c r="N259">
        <f>2*SQRT(L259/PI())</f>
        <v/>
      </c>
      <c r="O259" t="inlineStr">
        <is>
          <t>6(3)-P01</t>
        </is>
      </c>
      <c r="P259" t="inlineStr">
        <is>
          <t>是</t>
        </is>
      </c>
      <c r="Q259" t="inlineStr">
        <is>
          <t>auto_pipeline;review_png_green</t>
        </is>
      </c>
      <c r="R259" t="inlineStr">
        <is>
          <t>样品6</t>
        </is>
      </c>
    </row>
    <row r="260">
      <c r="A260" t="n">
        <v>259</v>
      </c>
      <c r="B260" t="inlineStr">
        <is>
          <t>6 (3).tif</t>
        </is>
      </c>
      <c r="C260" t="inlineStr">
        <is>
          <t>6(3)-V03</t>
        </is>
      </c>
      <c r="D260" t="n">
        <v>3</v>
      </c>
      <c r="E260" t="inlineStr">
        <is>
          <t>primary</t>
        </is>
      </c>
      <c r="F260" t="n">
        <v>807.4432892249528</v>
      </c>
      <c r="G260">
        <f>2*SQRT(F260/PI())</f>
        <v/>
      </c>
      <c r="H260" t="n">
        <v>106.9196771797926</v>
      </c>
      <c r="I260" t="n">
        <v>614</v>
      </c>
      <c r="J260" t="n">
        <v>474</v>
      </c>
      <c r="K260" t="n">
        <v>791.2944234404537</v>
      </c>
      <c r="L260" t="n">
        <v>823.5921550094519</v>
      </c>
      <c r="M260">
        <f>2*SQRT(K260/PI())</f>
        <v/>
      </c>
      <c r="N260">
        <f>2*SQRT(L260/PI())</f>
        <v/>
      </c>
      <c r="P260" t="inlineStr">
        <is>
          <t>是</t>
        </is>
      </c>
      <c r="Q260" t="inlineStr">
        <is>
          <t>auto_pipeline;review_png_green</t>
        </is>
      </c>
      <c r="R260" t="inlineStr">
        <is>
          <t>样品6</t>
        </is>
      </c>
    </row>
    <row r="261">
      <c r="A261" t="n">
        <v>260</v>
      </c>
      <c r="B261" t="inlineStr">
        <is>
          <t>6 (3).tif</t>
        </is>
      </c>
      <c r="C261" t="inlineStr">
        <is>
          <t>6(3)-V04</t>
        </is>
      </c>
      <c r="D261" t="n">
        <v>4</v>
      </c>
      <c r="E261" t="inlineStr">
        <is>
          <t>primary</t>
        </is>
      </c>
      <c r="F261" t="n">
        <v>230.0803402646503</v>
      </c>
      <c r="G261">
        <f>2*SQRT(F261/PI())</f>
        <v/>
      </c>
      <c r="H261" t="n">
        <v>83.69610607624054</v>
      </c>
      <c r="I261" t="n">
        <v>917</v>
      </c>
      <c r="J261" t="n">
        <v>218</v>
      </c>
      <c r="K261" t="n">
        <v>225.4787334593573</v>
      </c>
      <c r="L261" t="n">
        <v>234.6819470699433</v>
      </c>
      <c r="M261">
        <f>2*SQRT(K261/PI())</f>
        <v/>
      </c>
      <c r="N261">
        <f>2*SQRT(L261/PI())</f>
        <v/>
      </c>
      <c r="P261" t="inlineStr">
        <is>
          <t>是</t>
        </is>
      </c>
      <c r="Q261" t="inlineStr">
        <is>
          <t>auto_pipeline;review_png_green</t>
        </is>
      </c>
      <c r="R261" t="inlineStr">
        <is>
          <t>样品6</t>
        </is>
      </c>
    </row>
    <row r="262">
      <c r="A262" t="n">
        <v>261</v>
      </c>
      <c r="B262" t="inlineStr">
        <is>
          <t>6 (3).tif</t>
        </is>
      </c>
      <c r="C262" t="inlineStr">
        <is>
          <t>6(3)-V05</t>
        </is>
      </c>
      <c r="D262" t="n">
        <v>5</v>
      </c>
      <c r="E262" t="inlineStr">
        <is>
          <t>primary</t>
        </is>
      </c>
      <c r="F262" t="n">
        <v>145.0850661625709</v>
      </c>
      <c r="G262">
        <f>2*SQRT(F262/PI())</f>
        <v/>
      </c>
      <c r="H262" t="n">
        <v>46.94902394128882</v>
      </c>
      <c r="I262" t="n">
        <v>834</v>
      </c>
      <c r="J262" t="n">
        <v>418</v>
      </c>
      <c r="K262" t="n">
        <v>142.1833648393195</v>
      </c>
      <c r="L262" t="n">
        <v>147.9867674858223</v>
      </c>
      <c r="M262">
        <f>2*SQRT(K262/PI())</f>
        <v/>
      </c>
      <c r="N262">
        <f>2*SQRT(L262/PI())</f>
        <v/>
      </c>
      <c r="P262" t="inlineStr">
        <is>
          <t>是</t>
        </is>
      </c>
      <c r="Q262" t="inlineStr">
        <is>
          <t>auto_pipeline;review_png_green</t>
        </is>
      </c>
      <c r="R262" t="inlineStr">
        <is>
          <t>样品6</t>
        </is>
      </c>
    </row>
    <row r="263">
      <c r="A263" t="n">
        <v>262</v>
      </c>
      <c r="B263" t="inlineStr">
        <is>
          <t>6 (4).tif</t>
        </is>
      </c>
      <c r="C263" t="inlineStr">
        <is>
          <t>6(4)-V01</t>
        </is>
      </c>
      <c r="D263" t="n">
        <v>1</v>
      </c>
      <c r="E263" t="inlineStr">
        <is>
          <t>primary</t>
        </is>
      </c>
      <c r="F263" t="n">
        <v>844.3998109640831</v>
      </c>
      <c r="G263">
        <f>2*SQRT(F263/PI())</f>
        <v/>
      </c>
      <c r="H263" t="n">
        <v>109.0189932999403</v>
      </c>
      <c r="I263" t="n">
        <v>532</v>
      </c>
      <c r="J263" t="n">
        <v>311</v>
      </c>
      <c r="K263" t="n">
        <v>827.5118147448014</v>
      </c>
      <c r="L263" t="n">
        <v>861.2878071833649</v>
      </c>
      <c r="M263">
        <f>2*SQRT(K263/PI())</f>
        <v/>
      </c>
      <c r="N263">
        <f>2*SQRT(L263/PI())</f>
        <v/>
      </c>
      <c r="O263" t="inlineStr">
        <is>
          <t>6(4)-P01</t>
        </is>
      </c>
      <c r="P263" t="inlineStr">
        <is>
          <t>是</t>
        </is>
      </c>
      <c r="Q263" t="inlineStr">
        <is>
          <t>auto_pipeline;review_png_green</t>
        </is>
      </c>
      <c r="R263" t="inlineStr">
        <is>
          <t>样品6</t>
        </is>
      </c>
    </row>
    <row r="264">
      <c r="A264" t="n">
        <v>263</v>
      </c>
      <c r="B264" t="inlineStr">
        <is>
          <t>6 (4).tif</t>
        </is>
      </c>
      <c r="C264" t="inlineStr">
        <is>
          <t>6(4)-V02</t>
        </is>
      </c>
      <c r="D264" t="n">
        <v>2</v>
      </c>
      <c r="E264" t="inlineStr">
        <is>
          <t>primary</t>
        </is>
      </c>
      <c r="F264" t="n">
        <v>726.0869565217391</v>
      </c>
      <c r="G264">
        <f>2*SQRT(F264/PI())</f>
        <v/>
      </c>
      <c r="H264" t="n">
        <v>100.8545696217081</v>
      </c>
      <c r="I264" t="n">
        <v>415</v>
      </c>
      <c r="J264" t="n">
        <v>451</v>
      </c>
      <c r="K264" t="n">
        <v>711.5652173913044</v>
      </c>
      <c r="L264" t="n">
        <v>740.6086956521739</v>
      </c>
      <c r="M264">
        <f>2*SQRT(K264/PI())</f>
        <v/>
      </c>
      <c r="N264">
        <f>2*SQRT(L264/PI())</f>
        <v/>
      </c>
      <c r="O264" t="inlineStr">
        <is>
          <t>6(4)-P01</t>
        </is>
      </c>
      <c r="P264" t="inlineStr">
        <is>
          <t>是</t>
        </is>
      </c>
      <c r="Q264" t="inlineStr">
        <is>
          <t>auto_pipeline;review_png_green</t>
        </is>
      </c>
      <c r="R264" t="inlineStr">
        <is>
          <t>样品6</t>
        </is>
      </c>
    </row>
    <row r="265">
      <c r="A265" t="n">
        <v>264</v>
      </c>
      <c r="B265" t="inlineStr">
        <is>
          <t>6 (4).tif</t>
        </is>
      </c>
      <c r="C265" t="inlineStr">
        <is>
          <t>6(4)-V03</t>
        </is>
      </c>
      <c r="D265" t="n">
        <v>3</v>
      </c>
      <c r="E265" t="inlineStr">
        <is>
          <t>primary</t>
        </is>
      </c>
      <c r="F265" t="n">
        <v>590.8317580340265</v>
      </c>
      <c r="G265">
        <f>2*SQRT(F265/PI())</f>
        <v/>
      </c>
      <c r="H265" t="n">
        <v>93.17767651184745</v>
      </c>
      <c r="I265" t="n">
        <v>814</v>
      </c>
      <c r="J265" t="n">
        <v>576</v>
      </c>
      <c r="K265" t="n">
        <v>579.0151228733459</v>
      </c>
      <c r="L265" t="n">
        <v>602.6483931947071</v>
      </c>
      <c r="M265">
        <f>2*SQRT(K265/PI())</f>
        <v/>
      </c>
      <c r="N265">
        <f>2*SQRT(L265/PI())</f>
        <v/>
      </c>
      <c r="P265" t="inlineStr">
        <is>
          <t>是</t>
        </is>
      </c>
      <c r="Q265" t="inlineStr">
        <is>
          <t>auto_pipeline;review_png_green</t>
        </is>
      </c>
      <c r="R265" t="inlineStr">
        <is>
          <t>样品6</t>
        </is>
      </c>
    </row>
    <row r="266">
      <c r="A266" t="n">
        <v>265</v>
      </c>
      <c r="B266" t="inlineStr">
        <is>
          <t>6 (4).tif</t>
        </is>
      </c>
      <c r="C266" t="inlineStr">
        <is>
          <t>6(4)-V04</t>
        </is>
      </c>
      <c r="D266" t="n">
        <v>4</v>
      </c>
      <c r="E266" t="inlineStr">
        <is>
          <t>primary</t>
        </is>
      </c>
      <c r="F266" t="n">
        <v>445.0850661625709</v>
      </c>
      <c r="G266">
        <f>2*SQRT(F266/PI())</f>
        <v/>
      </c>
      <c r="H266" t="n">
        <v>79.35202888820483</v>
      </c>
      <c r="I266" t="n">
        <v>898</v>
      </c>
      <c r="J266" t="n">
        <v>118</v>
      </c>
      <c r="K266" t="n">
        <v>436.1833648393195</v>
      </c>
      <c r="L266" t="n">
        <v>453.9867674858223</v>
      </c>
      <c r="M266">
        <f>2*SQRT(K266/PI())</f>
        <v/>
      </c>
      <c r="N266">
        <f>2*SQRT(L266/PI())</f>
        <v/>
      </c>
      <c r="P266" t="inlineStr">
        <is>
          <t>是</t>
        </is>
      </c>
      <c r="Q266" t="inlineStr">
        <is>
          <t>auto_pipeline;review_png_green</t>
        </is>
      </c>
      <c r="R266" t="inlineStr">
        <is>
          <t>样品6</t>
        </is>
      </c>
    </row>
    <row r="267">
      <c r="A267" t="n">
        <v>266</v>
      </c>
      <c r="B267" t="inlineStr">
        <is>
          <t>6 (4).tif</t>
        </is>
      </c>
      <c r="C267" t="inlineStr">
        <is>
          <t>6(4)-V05</t>
        </is>
      </c>
      <c r="D267" t="n">
        <v>5</v>
      </c>
      <c r="E267" t="inlineStr">
        <is>
          <t>primary</t>
        </is>
      </c>
      <c r="F267" t="n">
        <v>142.8638941398866</v>
      </c>
      <c r="G267">
        <f>2*SQRT(F267/PI())</f>
        <v/>
      </c>
      <c r="H267" t="n">
        <v>49.76871143216672</v>
      </c>
      <c r="I267" t="n">
        <v>496</v>
      </c>
      <c r="J267" t="n">
        <v>621</v>
      </c>
      <c r="K267" t="n">
        <v>140.0066162570888</v>
      </c>
      <c r="L267" t="n">
        <v>145.7211720226843</v>
      </c>
      <c r="M267">
        <f>2*SQRT(K267/PI())</f>
        <v/>
      </c>
      <c r="N267">
        <f>2*SQRT(L267/PI())</f>
        <v/>
      </c>
      <c r="P267" t="inlineStr">
        <is>
          <t>是</t>
        </is>
      </c>
      <c r="Q267" t="inlineStr">
        <is>
          <t>auto_pipeline;review_png_green</t>
        </is>
      </c>
      <c r="R267" t="inlineStr">
        <is>
          <t>样品6</t>
        </is>
      </c>
    </row>
    <row r="268">
      <c r="A268" t="n">
        <v>267</v>
      </c>
      <c r="B268" t="inlineStr">
        <is>
          <t>6 (4).tif</t>
        </is>
      </c>
      <c r="C268" t="inlineStr">
        <is>
          <t>6(4)-V06</t>
        </is>
      </c>
      <c r="D268" t="n">
        <v>6</v>
      </c>
      <c r="E268" t="inlineStr">
        <is>
          <t>primary</t>
        </is>
      </c>
      <c r="F268" t="n">
        <v>141.0916824196597</v>
      </c>
      <c r="G268">
        <f>2*SQRT(F268/PI())</f>
        <v/>
      </c>
      <c r="H268" t="n">
        <v>52.71574380605117</v>
      </c>
      <c r="I268" t="n">
        <v>599</v>
      </c>
      <c r="J268" t="n">
        <v>497</v>
      </c>
      <c r="K268" t="n">
        <v>138.2698487712665</v>
      </c>
      <c r="L268" t="n">
        <v>143.913516068053</v>
      </c>
      <c r="M268">
        <f>2*SQRT(K268/PI())</f>
        <v/>
      </c>
      <c r="N268">
        <f>2*SQRT(L268/PI())</f>
        <v/>
      </c>
      <c r="P268" t="inlineStr">
        <is>
          <t>是</t>
        </is>
      </c>
      <c r="Q268" t="inlineStr">
        <is>
          <t>auto_pipeline;review_png_green</t>
        </is>
      </c>
      <c r="R268" t="inlineStr">
        <is>
          <t>样品6</t>
        </is>
      </c>
    </row>
    <row r="269">
      <c r="A269" t="n">
        <v>268</v>
      </c>
      <c r="B269" t="inlineStr">
        <is>
          <t>6 (4).tif</t>
        </is>
      </c>
      <c r="C269" t="inlineStr">
        <is>
          <t>6(4)-V07</t>
        </is>
      </c>
      <c r="D269" t="n">
        <v>7</v>
      </c>
      <c r="E269" t="inlineStr">
        <is>
          <t>primary</t>
        </is>
      </c>
      <c r="F269" t="n">
        <v>123.038752362949</v>
      </c>
      <c r="G269">
        <f>2*SQRT(F269/PI())</f>
        <v/>
      </c>
      <c r="H269" t="n">
        <v>43.28162019667418</v>
      </c>
      <c r="I269" t="n">
        <v>61</v>
      </c>
      <c r="J269" t="n">
        <v>544</v>
      </c>
      <c r="K269" t="n">
        <v>120.57797731569</v>
      </c>
      <c r="L269" t="n">
        <v>125.4995274102079</v>
      </c>
      <c r="M269">
        <f>2*SQRT(K269/PI())</f>
        <v/>
      </c>
      <c r="N269">
        <f>2*SQRT(L269/PI())</f>
        <v/>
      </c>
      <c r="P269" t="inlineStr">
        <is>
          <t>是</t>
        </is>
      </c>
      <c r="Q269" t="inlineStr">
        <is>
          <t>auto_pipeline;review_png_green</t>
        </is>
      </c>
      <c r="R269" t="inlineStr">
        <is>
          <t>样品6</t>
        </is>
      </c>
    </row>
    <row r="270">
      <c r="A270" t="n">
        <v>269</v>
      </c>
      <c r="B270" t="inlineStr">
        <is>
          <t>6 (5).tif</t>
        </is>
      </c>
      <c r="C270" t="inlineStr">
        <is>
          <t>6(5)-V01</t>
        </is>
      </c>
      <c r="D270" t="n">
        <v>1</v>
      </c>
      <c r="E270" t="inlineStr">
        <is>
          <t>primary</t>
        </is>
      </c>
      <c r="F270" t="n">
        <v>1029.584120982987</v>
      </c>
      <c r="G270">
        <f>2*SQRT(F270/PI())</f>
        <v/>
      </c>
      <c r="H270" t="n">
        <v>124.9221080800761</v>
      </c>
      <c r="I270" t="n">
        <v>287</v>
      </c>
      <c r="J270" t="n">
        <v>199</v>
      </c>
      <c r="K270" t="n">
        <v>1008.992438563327</v>
      </c>
      <c r="L270" t="n">
        <v>1050.175803402647</v>
      </c>
      <c r="M270">
        <f>2*SQRT(K270/PI())</f>
        <v/>
      </c>
      <c r="N270">
        <f>2*SQRT(L270/PI())</f>
        <v/>
      </c>
      <c r="P270" t="inlineStr">
        <is>
          <t>是</t>
        </is>
      </c>
      <c r="Q270" t="inlineStr">
        <is>
          <t>auto_pipeline;review_png_green</t>
        </is>
      </c>
      <c r="R270" t="inlineStr">
        <is>
          <t>样品6</t>
        </is>
      </c>
    </row>
    <row r="271">
      <c r="A271" t="n">
        <v>270</v>
      </c>
      <c r="B271" t="inlineStr">
        <is>
          <t>6 (5).tif</t>
        </is>
      </c>
      <c r="C271" t="inlineStr">
        <is>
          <t>6(5)-V02</t>
        </is>
      </c>
      <c r="D271" t="n">
        <v>2</v>
      </c>
      <c r="E271" t="inlineStr">
        <is>
          <t>primary</t>
        </is>
      </c>
      <c r="F271" t="n">
        <v>823.086011342155</v>
      </c>
      <c r="G271">
        <f>2*SQRT(F271/PI())</f>
        <v/>
      </c>
      <c r="H271" t="n">
        <v>108.7643035339272</v>
      </c>
      <c r="I271" t="n">
        <v>408</v>
      </c>
      <c r="J271" t="n">
        <v>452</v>
      </c>
      <c r="K271" t="n">
        <v>806.6242911153118</v>
      </c>
      <c r="L271" t="n">
        <v>839.5477315689981</v>
      </c>
      <c r="M271">
        <f>2*SQRT(K271/PI())</f>
        <v/>
      </c>
      <c r="N271">
        <f>2*SQRT(L271/PI())</f>
        <v/>
      </c>
      <c r="P271" t="inlineStr">
        <is>
          <t>是</t>
        </is>
      </c>
      <c r="Q271" t="inlineStr">
        <is>
          <t>auto_pipeline;review_png_green</t>
        </is>
      </c>
      <c r="R271" t="inlineStr">
        <is>
          <t>样品6</t>
        </is>
      </c>
    </row>
    <row r="272">
      <c r="A272" t="n">
        <v>271</v>
      </c>
      <c r="B272" t="inlineStr">
        <is>
          <t>6 (5).tif</t>
        </is>
      </c>
      <c r="C272" t="inlineStr">
        <is>
          <t>6(5)-V03</t>
        </is>
      </c>
      <c r="D272" t="n">
        <v>3</v>
      </c>
      <c r="E272" t="inlineStr">
        <is>
          <t>primary</t>
        </is>
      </c>
      <c r="F272" t="n">
        <v>575.4962192816636</v>
      </c>
      <c r="G272">
        <f>2*SQRT(F272/PI())</f>
        <v/>
      </c>
      <c r="H272" t="n">
        <v>90.59082982332809</v>
      </c>
      <c r="I272" t="n">
        <v>518</v>
      </c>
      <c r="J272" t="n">
        <v>293</v>
      </c>
      <c r="K272" t="n">
        <v>563.9862948960302</v>
      </c>
      <c r="L272" t="n">
        <v>587.0061436672969</v>
      </c>
      <c r="M272">
        <f>2*SQRT(K272/PI())</f>
        <v/>
      </c>
      <c r="N272">
        <f>2*SQRT(L272/PI())</f>
        <v/>
      </c>
      <c r="P272" t="inlineStr">
        <is>
          <t>是</t>
        </is>
      </c>
      <c r="Q272" t="inlineStr">
        <is>
          <t>auto_pipeline;review_png_green</t>
        </is>
      </c>
      <c r="R272" t="inlineStr">
        <is>
          <t>样品6</t>
        </is>
      </c>
    </row>
    <row r="273">
      <c r="A273" t="n">
        <v>272</v>
      </c>
      <c r="B273" t="inlineStr">
        <is>
          <t>6 (5).tif</t>
        </is>
      </c>
      <c r="C273" t="inlineStr">
        <is>
          <t>6(5)-V04</t>
        </is>
      </c>
      <c r="D273" t="n">
        <v>4</v>
      </c>
      <c r="E273" t="inlineStr">
        <is>
          <t>primary</t>
        </is>
      </c>
      <c r="F273" t="n">
        <v>131.0491493383743</v>
      </c>
      <c r="G273">
        <f>2*SQRT(F273/PI())</f>
        <v/>
      </c>
      <c r="H273" t="n">
        <v>47.66939531201901</v>
      </c>
      <c r="I273" t="n">
        <v>760</v>
      </c>
      <c r="J273" t="n">
        <v>100</v>
      </c>
      <c r="K273" t="n">
        <v>128.4281663516068</v>
      </c>
      <c r="L273" t="n">
        <v>133.6701323251418</v>
      </c>
      <c r="M273">
        <f>2*SQRT(K273/PI())</f>
        <v/>
      </c>
      <c r="N273">
        <f>2*SQRT(L273/PI())</f>
        <v/>
      </c>
      <c r="P273" t="inlineStr">
        <is>
          <t>是</t>
        </is>
      </c>
      <c r="Q273" t="inlineStr">
        <is>
          <t>auto_pipeline;review_png_green</t>
        </is>
      </c>
      <c r="R273" t="inlineStr">
        <is>
          <t>样品6</t>
        </is>
      </c>
    </row>
    <row r="274">
      <c r="A274" t="n">
        <v>273</v>
      </c>
      <c r="B274" t="inlineStr">
        <is>
          <t>6 (5).tif</t>
        </is>
      </c>
      <c r="C274" t="inlineStr">
        <is>
          <t>6(5)-V05</t>
        </is>
      </c>
      <c r="D274" t="n">
        <v>5</v>
      </c>
      <c r="E274" t="inlineStr">
        <is>
          <t>primary</t>
        </is>
      </c>
      <c r="F274" t="n">
        <v>115.9735349716446</v>
      </c>
      <c r="G274">
        <f>2*SQRT(F274/PI())</f>
        <v/>
      </c>
      <c r="H274" t="n">
        <v>44.95520374049311</v>
      </c>
      <c r="I274" t="n">
        <v>746</v>
      </c>
      <c r="J274" t="n">
        <v>509</v>
      </c>
      <c r="K274" t="n">
        <v>113.6540642722117</v>
      </c>
      <c r="L274" t="n">
        <v>118.2930056710775</v>
      </c>
      <c r="M274">
        <f>2*SQRT(K274/PI())</f>
        <v/>
      </c>
      <c r="N274">
        <f>2*SQRT(L274/PI())</f>
        <v/>
      </c>
      <c r="P274" t="inlineStr">
        <is>
          <t>是</t>
        </is>
      </c>
      <c r="Q274" t="inlineStr">
        <is>
          <t>auto_pipeline;review_png_green</t>
        </is>
      </c>
      <c r="R274" t="inlineStr">
        <is>
          <t>样品6</t>
        </is>
      </c>
    </row>
    <row r="275">
      <c r="A275" t="n">
        <v>274</v>
      </c>
      <c r="B275" t="inlineStr">
        <is>
          <t>6 (5).tif</t>
        </is>
      </c>
      <c r="C275" t="inlineStr">
        <is>
          <t>6(5)-V06</t>
        </is>
      </c>
      <c r="D275" t="n">
        <v>6</v>
      </c>
      <c r="E275" t="inlineStr">
        <is>
          <t>primary</t>
        </is>
      </c>
      <c r="F275" t="n">
        <v>114.1776937618148</v>
      </c>
      <c r="G275">
        <f>2*SQRT(F275/PI())</f>
        <v/>
      </c>
      <c r="H275" t="n">
        <v>41.52064079823701</v>
      </c>
      <c r="I275" t="n">
        <v>158</v>
      </c>
      <c r="J275" t="n">
        <v>289</v>
      </c>
      <c r="K275" t="n">
        <v>111.8941398865785</v>
      </c>
      <c r="L275" t="n">
        <v>116.461247637051</v>
      </c>
      <c r="M275">
        <f>2*SQRT(K275/PI())</f>
        <v/>
      </c>
      <c r="N275">
        <f>2*SQRT(L275/PI())</f>
        <v/>
      </c>
      <c r="P275" t="inlineStr">
        <is>
          <t>是</t>
        </is>
      </c>
      <c r="Q275" t="inlineStr">
        <is>
          <t>auto_pipeline;review_png_green</t>
        </is>
      </c>
      <c r="R275" t="inlineStr">
        <is>
          <t>样品6</t>
        </is>
      </c>
    </row>
    <row r="276">
      <c r="A276" t="n">
        <v>275</v>
      </c>
      <c r="B276" t="inlineStr">
        <is>
          <t>6 (6).tif</t>
        </is>
      </c>
      <c r="C276" t="inlineStr">
        <is>
          <t>6(6)-V01</t>
        </is>
      </c>
      <c r="D276" t="n">
        <v>1</v>
      </c>
      <c r="E276" t="inlineStr">
        <is>
          <t>primary</t>
        </is>
      </c>
      <c r="F276" t="n">
        <v>683.8374291115312</v>
      </c>
      <c r="G276">
        <f>2*SQRT(F276/PI())</f>
        <v/>
      </c>
      <c r="H276" t="n">
        <v>97.88568828416906</v>
      </c>
      <c r="I276" t="n">
        <v>243</v>
      </c>
      <c r="J276" t="n">
        <v>590</v>
      </c>
      <c r="K276" t="n">
        <v>670.1606805293005</v>
      </c>
      <c r="L276" t="n">
        <v>697.5141776937618</v>
      </c>
      <c r="M276">
        <f>2*SQRT(K276/PI())</f>
        <v/>
      </c>
      <c r="N276">
        <f>2*SQRT(L276/PI())</f>
        <v/>
      </c>
      <c r="P276" t="inlineStr">
        <is>
          <t>是</t>
        </is>
      </c>
      <c r="Q276" t="inlineStr">
        <is>
          <t>auto_pipeline;review_png_green</t>
        </is>
      </c>
      <c r="R276" t="inlineStr">
        <is>
          <t>样品6</t>
        </is>
      </c>
    </row>
    <row r="277">
      <c r="A277" t="n">
        <v>276</v>
      </c>
      <c r="B277" t="inlineStr">
        <is>
          <t>6 (6).tif</t>
        </is>
      </c>
      <c r="C277" t="inlineStr">
        <is>
          <t>6(6)-V02</t>
        </is>
      </c>
      <c r="D277" t="n">
        <v>2</v>
      </c>
      <c r="E277" t="inlineStr">
        <is>
          <t>primary</t>
        </is>
      </c>
      <c r="F277" t="n">
        <v>674.8818525519849</v>
      </c>
      <c r="G277">
        <f>2*SQRT(F277/PI())</f>
        <v/>
      </c>
      <c r="H277" t="n">
        <v>97.39815771579742</v>
      </c>
      <c r="I277" t="n">
        <v>570</v>
      </c>
      <c r="J277" t="n">
        <v>350</v>
      </c>
      <c r="K277" t="n">
        <v>661.3842155009452</v>
      </c>
      <c r="L277" t="n">
        <v>688.3794896030247</v>
      </c>
      <c r="M277">
        <f>2*SQRT(K277/PI())</f>
        <v/>
      </c>
      <c r="N277">
        <f>2*SQRT(L277/PI())</f>
        <v/>
      </c>
      <c r="P277" t="inlineStr">
        <is>
          <t>是</t>
        </is>
      </c>
      <c r="Q277" t="inlineStr">
        <is>
          <t>auto_pipeline;review_png_green</t>
        </is>
      </c>
      <c r="R277" t="inlineStr">
        <is>
          <t>样品6</t>
        </is>
      </c>
    </row>
    <row r="278">
      <c r="A278" t="n">
        <v>277</v>
      </c>
      <c r="B278" t="inlineStr">
        <is>
          <t>6 (6).tif</t>
        </is>
      </c>
      <c r="C278" t="inlineStr">
        <is>
          <t>6(6)-V03</t>
        </is>
      </c>
      <c r="D278" t="n">
        <v>3</v>
      </c>
      <c r="E278" t="inlineStr">
        <is>
          <t>primary</t>
        </is>
      </c>
      <c r="F278" t="n">
        <v>175.023629489603</v>
      </c>
      <c r="G278">
        <f>2*SQRT(F278/PI())</f>
        <v/>
      </c>
      <c r="H278" t="n">
        <v>53.67270487806071</v>
      </c>
      <c r="I278" t="n">
        <v>838</v>
      </c>
      <c r="J278" t="n">
        <v>308</v>
      </c>
      <c r="K278" t="n">
        <v>171.523156899811</v>
      </c>
      <c r="L278" t="n">
        <v>178.5241020793951</v>
      </c>
      <c r="M278">
        <f>2*SQRT(K278/PI())</f>
        <v/>
      </c>
      <c r="N278">
        <f>2*SQRT(L278/PI())</f>
        <v/>
      </c>
      <c r="P278" t="inlineStr">
        <is>
          <t>是</t>
        </is>
      </c>
      <c r="Q278" t="inlineStr">
        <is>
          <t>auto_pipeline;review_png_green</t>
        </is>
      </c>
      <c r="R278" t="inlineStr">
        <is>
          <t>样品6</t>
        </is>
      </c>
    </row>
    <row r="279">
      <c r="A279" t="n">
        <v>278</v>
      </c>
      <c r="B279" t="inlineStr">
        <is>
          <t>6 (6).tif</t>
        </is>
      </c>
      <c r="C279" t="inlineStr">
        <is>
          <t>6(6)-V04</t>
        </is>
      </c>
      <c r="D279" t="n">
        <v>4</v>
      </c>
      <c r="E279" t="inlineStr">
        <is>
          <t>primary</t>
        </is>
      </c>
      <c r="F279" t="n">
        <v>136.8383742911153</v>
      </c>
      <c r="G279">
        <f>2*SQRT(F279/PI())</f>
        <v/>
      </c>
      <c r="H279" t="n">
        <v>48.8591971863871</v>
      </c>
      <c r="I279" t="n">
        <v>103</v>
      </c>
      <c r="J279" t="n">
        <v>281</v>
      </c>
      <c r="K279" t="n">
        <v>134.101606805293</v>
      </c>
      <c r="L279" t="n">
        <v>139.5751417769376</v>
      </c>
      <c r="M279">
        <f>2*SQRT(K279/PI())</f>
        <v/>
      </c>
      <c r="N279">
        <f>2*SQRT(L279/PI())</f>
        <v/>
      </c>
      <c r="P279" t="inlineStr">
        <is>
          <t>是</t>
        </is>
      </c>
      <c r="Q279" t="inlineStr">
        <is>
          <t>auto_pipeline;review_png_green</t>
        </is>
      </c>
      <c r="R279" t="inlineStr">
        <is>
          <t>样品6</t>
        </is>
      </c>
    </row>
    <row r="280">
      <c r="A280" t="n">
        <v>279</v>
      </c>
      <c r="B280" t="inlineStr">
        <is>
          <t>6 (6).tif</t>
        </is>
      </c>
      <c r="C280" t="inlineStr">
        <is>
          <t>6(6)-V05</t>
        </is>
      </c>
      <c r="D280" t="n">
        <v>5</v>
      </c>
      <c r="E280" t="inlineStr">
        <is>
          <t>primary</t>
        </is>
      </c>
      <c r="F280" t="n">
        <v>133.7901701323251</v>
      </c>
      <c r="G280">
        <f>2*SQRT(F280/PI())</f>
        <v/>
      </c>
      <c r="H280" t="n">
        <v>53.9929415350375</v>
      </c>
      <c r="I280" t="n">
        <v>418</v>
      </c>
      <c r="J280" t="n">
        <v>80</v>
      </c>
      <c r="K280" t="n">
        <v>131.1143667296786</v>
      </c>
      <c r="L280" t="n">
        <v>136.4659735349716</v>
      </c>
      <c r="M280">
        <f>2*SQRT(K280/PI())</f>
        <v/>
      </c>
      <c r="N280">
        <f>2*SQRT(L280/PI())</f>
        <v/>
      </c>
      <c r="P280" t="inlineStr">
        <is>
          <t>是</t>
        </is>
      </c>
      <c r="Q280" t="inlineStr">
        <is>
          <t>auto_pipeline;review_png_green</t>
        </is>
      </c>
      <c r="R280" t="inlineStr">
        <is>
          <t>样品6</t>
        </is>
      </c>
    </row>
    <row r="281">
      <c r="A281" t="n">
        <v>280</v>
      </c>
      <c r="B281" t="inlineStr">
        <is>
          <t>6 (6).tif</t>
        </is>
      </c>
      <c r="C281" t="inlineStr">
        <is>
          <t>6(6)-V06</t>
        </is>
      </c>
      <c r="D281" t="n">
        <v>6</v>
      </c>
      <c r="E281" t="inlineStr">
        <is>
          <t>primary</t>
        </is>
      </c>
      <c r="F281" t="n">
        <v>112.6654064272212</v>
      </c>
      <c r="G281">
        <f>2*SQRT(F281/PI())</f>
        <v/>
      </c>
      <c r="H281" t="n">
        <v>44.17303437772004</v>
      </c>
      <c r="I281" t="n">
        <v>919</v>
      </c>
      <c r="J281" t="n">
        <v>143</v>
      </c>
      <c r="K281" t="n">
        <v>110.4120982986767</v>
      </c>
      <c r="L281" t="n">
        <v>114.9187145557656</v>
      </c>
      <c r="M281">
        <f>2*SQRT(K281/PI())</f>
        <v/>
      </c>
      <c r="N281">
        <f>2*SQRT(L281/PI())</f>
        <v/>
      </c>
      <c r="P281" t="inlineStr">
        <is>
          <t>是</t>
        </is>
      </c>
      <c r="Q281" t="inlineStr">
        <is>
          <t>auto_pipeline;review_png_green</t>
        </is>
      </c>
      <c r="R281" t="inlineStr">
        <is>
          <t>样品6</t>
        </is>
      </c>
    </row>
    <row r="282">
      <c r="A282" t="n">
        <v>281</v>
      </c>
      <c r="B282" t="inlineStr">
        <is>
          <t>6 (7).tif</t>
        </is>
      </c>
      <c r="C282" t="inlineStr">
        <is>
          <t>6(7)-V01</t>
        </is>
      </c>
      <c r="D282" t="n">
        <v>1</v>
      </c>
      <c r="E282" t="inlineStr">
        <is>
          <t>primary</t>
        </is>
      </c>
      <c r="F282" t="n">
        <v>615.7844990548205</v>
      </c>
      <c r="G282">
        <f>2*SQRT(F282/PI())</f>
        <v/>
      </c>
      <c r="H282" t="n">
        <v>93.07218059249546</v>
      </c>
      <c r="I282" t="n">
        <v>931</v>
      </c>
      <c r="J282" t="n">
        <v>604</v>
      </c>
      <c r="K282" t="n">
        <v>603.4688090737241</v>
      </c>
      <c r="L282" t="n">
        <v>628.1001890359169</v>
      </c>
      <c r="M282">
        <f>2*SQRT(K282/PI())</f>
        <v/>
      </c>
      <c r="N282">
        <f>2*SQRT(L282/PI())</f>
        <v/>
      </c>
      <c r="P282" t="inlineStr">
        <is>
          <t>是</t>
        </is>
      </c>
      <c r="Q282" t="inlineStr">
        <is>
          <t>auto_pipeline;review_png_green</t>
        </is>
      </c>
      <c r="R282" t="inlineStr">
        <is>
          <t>样品6</t>
        </is>
      </c>
    </row>
    <row r="283">
      <c r="A283" t="n">
        <v>282</v>
      </c>
      <c r="B283" t="inlineStr">
        <is>
          <t>6 (7).tif</t>
        </is>
      </c>
      <c r="C283" t="inlineStr">
        <is>
          <t>6(7)-V02</t>
        </is>
      </c>
      <c r="D283" t="n">
        <v>2</v>
      </c>
      <c r="E283" t="inlineStr">
        <is>
          <t>primary</t>
        </is>
      </c>
      <c r="F283" t="n">
        <v>587.8780718336484</v>
      </c>
      <c r="G283">
        <f>2*SQRT(F283/PI())</f>
        <v/>
      </c>
      <c r="H283" t="n">
        <v>91.96977457274561</v>
      </c>
      <c r="I283" t="n">
        <v>295</v>
      </c>
      <c r="J283" t="n">
        <v>180</v>
      </c>
      <c r="K283" t="n">
        <v>576.1205103969754</v>
      </c>
      <c r="L283" t="n">
        <v>599.6356332703214</v>
      </c>
      <c r="M283">
        <f>2*SQRT(K283/PI())</f>
        <v/>
      </c>
      <c r="N283">
        <f>2*SQRT(L283/PI())</f>
        <v/>
      </c>
      <c r="P283" t="inlineStr">
        <is>
          <t>是</t>
        </is>
      </c>
      <c r="Q283" t="inlineStr">
        <is>
          <t>auto_pipeline;review_png_green</t>
        </is>
      </c>
      <c r="R283" t="inlineStr">
        <is>
          <t>样品6</t>
        </is>
      </c>
    </row>
    <row r="284">
      <c r="A284" t="n">
        <v>283</v>
      </c>
      <c r="B284" t="inlineStr">
        <is>
          <t>6 (7).tif</t>
        </is>
      </c>
      <c r="C284" t="inlineStr">
        <is>
          <t>6(7)-V03</t>
        </is>
      </c>
      <c r="D284" t="n">
        <v>3</v>
      </c>
      <c r="E284" t="inlineStr">
        <is>
          <t>primary</t>
        </is>
      </c>
      <c r="F284" t="n">
        <v>463.3270321361059</v>
      </c>
      <c r="G284">
        <f>2*SQRT(F284/PI())</f>
        <v/>
      </c>
      <c r="H284" t="n">
        <v>81.09115932298742</v>
      </c>
      <c r="I284" t="n">
        <v>437</v>
      </c>
      <c r="J284" t="n">
        <v>377</v>
      </c>
      <c r="K284" t="n">
        <v>454.0604914933837</v>
      </c>
      <c r="L284" t="n">
        <v>472.593572778828</v>
      </c>
      <c r="M284">
        <f>2*SQRT(K284/PI())</f>
        <v/>
      </c>
      <c r="N284">
        <f>2*SQRT(L284/PI())</f>
        <v/>
      </c>
      <c r="O284" t="inlineStr">
        <is>
          <t>6(7)-P01</t>
        </is>
      </c>
      <c r="P284" t="inlineStr">
        <is>
          <t>是</t>
        </is>
      </c>
      <c r="Q284" t="inlineStr">
        <is>
          <t>auto_pipeline;review_png_green</t>
        </is>
      </c>
      <c r="R284" t="inlineStr">
        <is>
          <t>样品6</t>
        </is>
      </c>
    </row>
    <row r="285">
      <c r="A285" t="n">
        <v>284</v>
      </c>
      <c r="B285" t="inlineStr">
        <is>
          <t>6 (7).tif</t>
        </is>
      </c>
      <c r="C285" t="inlineStr">
        <is>
          <t>6(7)-V04</t>
        </is>
      </c>
      <c r="D285" t="n">
        <v>4</v>
      </c>
      <c r="E285" t="inlineStr">
        <is>
          <t>primary</t>
        </is>
      </c>
      <c r="F285" t="n">
        <v>419.187145557656</v>
      </c>
      <c r="G285">
        <f>2*SQRT(F285/PI())</f>
        <v/>
      </c>
      <c r="H285" t="n">
        <v>77.61289845342222</v>
      </c>
      <c r="I285" t="n">
        <v>646</v>
      </c>
      <c r="J285" t="n">
        <v>573</v>
      </c>
      <c r="K285" t="n">
        <v>410.8034026465028</v>
      </c>
      <c r="L285" t="n">
        <v>427.5708884688091</v>
      </c>
      <c r="M285">
        <f>2*SQRT(K285/PI())</f>
        <v/>
      </c>
      <c r="N285">
        <f>2*SQRT(L285/PI())</f>
        <v/>
      </c>
      <c r="P285" t="inlineStr">
        <is>
          <t>是</t>
        </is>
      </c>
      <c r="Q285" t="inlineStr">
        <is>
          <t>auto_pipeline;review_png_green</t>
        </is>
      </c>
      <c r="R285" t="inlineStr">
        <is>
          <t>样品6</t>
        </is>
      </c>
    </row>
    <row r="286">
      <c r="A286" t="n">
        <v>285</v>
      </c>
      <c r="B286" t="inlineStr">
        <is>
          <t>6 (7).tif</t>
        </is>
      </c>
      <c r="C286" t="inlineStr">
        <is>
          <t>6(7)-V05</t>
        </is>
      </c>
      <c r="D286" t="n">
        <v>5</v>
      </c>
      <c r="E286" t="inlineStr">
        <is>
          <t>primary</t>
        </is>
      </c>
      <c r="F286" t="n">
        <v>408.1285444234405</v>
      </c>
      <c r="G286">
        <f>2*SQRT(F286/PI())</f>
        <v/>
      </c>
      <c r="H286" t="n">
        <v>76.02296186530072</v>
      </c>
      <c r="I286" t="n">
        <v>562</v>
      </c>
      <c r="J286" t="n">
        <v>358</v>
      </c>
      <c r="K286" t="n">
        <v>399.9659735349717</v>
      </c>
      <c r="L286" t="n">
        <v>416.2911153119093</v>
      </c>
      <c r="M286">
        <f>2*SQRT(K286/PI())</f>
        <v/>
      </c>
      <c r="N286">
        <f>2*SQRT(L286/PI())</f>
        <v/>
      </c>
      <c r="O286" t="inlineStr">
        <is>
          <t>6(7)-P01</t>
        </is>
      </c>
      <c r="P286" t="inlineStr">
        <is>
          <t>是</t>
        </is>
      </c>
      <c r="Q286" t="inlineStr">
        <is>
          <t>auto_pipeline;review_png_green</t>
        </is>
      </c>
      <c r="R286" t="inlineStr">
        <is>
          <t>样品6</t>
        </is>
      </c>
    </row>
    <row r="287">
      <c r="A287" t="n">
        <v>286</v>
      </c>
      <c r="B287" t="inlineStr">
        <is>
          <t>6 (7).tif</t>
        </is>
      </c>
      <c r="C287" t="inlineStr">
        <is>
          <t>6(7)-V06</t>
        </is>
      </c>
      <c r="D287" t="n">
        <v>6</v>
      </c>
      <c r="E287" t="inlineStr">
        <is>
          <t>primary</t>
        </is>
      </c>
      <c r="F287" t="n">
        <v>133.5066162570888</v>
      </c>
      <c r="G287">
        <f>2*SQRT(F287/PI())</f>
        <v/>
      </c>
      <c r="H287" t="n">
        <v>48.62635638402856</v>
      </c>
      <c r="I287" t="n">
        <v>784</v>
      </c>
      <c r="J287" t="n">
        <v>291</v>
      </c>
      <c r="K287" t="n">
        <v>130.836483931947</v>
      </c>
      <c r="L287" t="n">
        <v>136.1767485822306</v>
      </c>
      <c r="M287">
        <f>2*SQRT(K287/PI())</f>
        <v/>
      </c>
      <c r="N287">
        <f>2*SQRT(L287/PI())</f>
        <v/>
      </c>
      <c r="P287" t="inlineStr">
        <is>
          <t>是</t>
        </is>
      </c>
      <c r="Q287" t="inlineStr">
        <is>
          <t>auto_pipeline;review_png_green</t>
        </is>
      </c>
      <c r="R287" t="inlineStr">
        <is>
          <t>样品6</t>
        </is>
      </c>
    </row>
    <row r="288">
      <c r="A288" t="n">
        <v>287</v>
      </c>
      <c r="B288" t="inlineStr">
        <is>
          <t>6 (7).tif</t>
        </is>
      </c>
      <c r="C288" t="inlineStr">
        <is>
          <t>6(7)-V07</t>
        </is>
      </c>
      <c r="D288" t="n">
        <v>7</v>
      </c>
      <c r="E288" t="inlineStr">
        <is>
          <t>primary</t>
        </is>
      </c>
      <c r="F288" t="n">
        <v>125.1890359168242</v>
      </c>
      <c r="G288">
        <f>2*SQRT(F288/PI())</f>
        <v/>
      </c>
      <c r="H288" t="n">
        <v>55.7320719698201</v>
      </c>
      <c r="I288" t="n">
        <v>237</v>
      </c>
      <c r="J288" t="n">
        <v>335</v>
      </c>
      <c r="K288" t="n">
        <v>122.6852551984877</v>
      </c>
      <c r="L288" t="n">
        <v>127.6928166351607</v>
      </c>
      <c r="M288">
        <f>2*SQRT(K288/PI())</f>
        <v/>
      </c>
      <c r="N288">
        <f>2*SQRT(L288/PI())</f>
        <v/>
      </c>
      <c r="P288" t="inlineStr">
        <is>
          <t>是</t>
        </is>
      </c>
      <c r="Q288" t="inlineStr">
        <is>
          <t>auto_pipeline;review_png_green</t>
        </is>
      </c>
      <c r="R288" t="inlineStr">
        <is>
          <t>样品6</t>
        </is>
      </c>
    </row>
    <row r="289">
      <c r="A289" t="n">
        <v>288</v>
      </c>
      <c r="B289" t="inlineStr">
        <is>
          <t>6 (7).tif</t>
        </is>
      </c>
      <c r="C289" t="inlineStr">
        <is>
          <t>6(7)-V08</t>
        </is>
      </c>
      <c r="D289" t="n">
        <v>8</v>
      </c>
      <c r="E289" t="inlineStr">
        <is>
          <t>primary</t>
        </is>
      </c>
      <c r="F289" t="n">
        <v>119.7069943289225</v>
      </c>
      <c r="G289">
        <f>2*SQRT(F289/PI())</f>
        <v/>
      </c>
      <c r="H289" t="n">
        <v>42.28471009627632</v>
      </c>
      <c r="I289" t="n">
        <v>432</v>
      </c>
      <c r="J289" t="n">
        <v>98</v>
      </c>
      <c r="K289" t="n">
        <v>117.312854442344</v>
      </c>
      <c r="L289" t="n">
        <v>122.1011342155009</v>
      </c>
      <c r="M289">
        <f>2*SQRT(K289/PI())</f>
        <v/>
      </c>
      <c r="N289">
        <f>2*SQRT(L289/PI())</f>
        <v/>
      </c>
      <c r="P289" t="inlineStr">
        <is>
          <t>是</t>
        </is>
      </c>
      <c r="Q289" t="inlineStr">
        <is>
          <t>auto_pipeline;review_png_green</t>
        </is>
      </c>
      <c r="R289" t="inlineStr">
        <is>
          <t>样品6</t>
        </is>
      </c>
    </row>
    <row r="290">
      <c r="A290" t="n">
        <v>289</v>
      </c>
      <c r="B290" t="inlineStr">
        <is>
          <t>6 (8).tif</t>
        </is>
      </c>
      <c r="C290" t="inlineStr">
        <is>
          <t>6(8)-V01</t>
        </is>
      </c>
      <c r="D290" t="n">
        <v>1</v>
      </c>
      <c r="E290" t="inlineStr">
        <is>
          <t>primary</t>
        </is>
      </c>
      <c r="F290" t="n">
        <v>1520.415879017013</v>
      </c>
      <c r="G290">
        <f>2*SQRT(F290/PI())</f>
        <v/>
      </c>
      <c r="H290" t="n">
        <v>146.4683467408885</v>
      </c>
      <c r="I290" t="n">
        <v>406</v>
      </c>
      <c r="J290" t="n">
        <v>391</v>
      </c>
      <c r="K290" t="n">
        <v>1490.007561436673</v>
      </c>
      <c r="L290" t="n">
        <v>1550.824196597353</v>
      </c>
      <c r="M290">
        <f>2*SQRT(K290/PI())</f>
        <v/>
      </c>
      <c r="N290">
        <f>2*SQRT(L290/PI())</f>
        <v/>
      </c>
      <c r="P290" t="inlineStr">
        <is>
          <t>是</t>
        </is>
      </c>
      <c r="Q290" t="inlineStr">
        <is>
          <t>auto_pipeline;review_png_green</t>
        </is>
      </c>
      <c r="R290" t="inlineStr">
        <is>
          <t>样品6</t>
        </is>
      </c>
    </row>
    <row r="291">
      <c r="A291" t="n">
        <v>290</v>
      </c>
      <c r="B291" t="inlineStr">
        <is>
          <t>6 (8).tif</t>
        </is>
      </c>
      <c r="C291" t="inlineStr">
        <is>
          <t>6(8)-V02</t>
        </is>
      </c>
      <c r="D291" t="n">
        <v>2</v>
      </c>
      <c r="E291" t="inlineStr">
        <is>
          <t>primary</t>
        </is>
      </c>
      <c r="F291" t="n">
        <v>971.6682419659735</v>
      </c>
      <c r="G291">
        <f>2*SQRT(F291/PI())</f>
        <v/>
      </c>
      <c r="H291" t="n">
        <v>117.0560720951661</v>
      </c>
      <c r="I291" t="n">
        <v>603</v>
      </c>
      <c r="J291" t="n">
        <v>402</v>
      </c>
      <c r="K291" t="n">
        <v>952.2348771266541</v>
      </c>
      <c r="L291" t="n">
        <v>991.1016068052929</v>
      </c>
      <c r="M291">
        <f>2*SQRT(K291/PI())</f>
        <v/>
      </c>
      <c r="N291">
        <f>2*SQRT(L291/PI())</f>
        <v/>
      </c>
      <c r="P291" t="inlineStr">
        <is>
          <t>是</t>
        </is>
      </c>
      <c r="Q291" t="inlineStr">
        <is>
          <t>auto_pipeline;review_png_green</t>
        </is>
      </c>
      <c r="R291" t="inlineStr">
        <is>
          <t>样品6</t>
        </is>
      </c>
    </row>
    <row r="292">
      <c r="A292" t="n">
        <v>291</v>
      </c>
      <c r="B292" t="inlineStr">
        <is>
          <t>6 (8).tif</t>
        </is>
      </c>
      <c r="C292" t="inlineStr">
        <is>
          <t>6(8)-V03</t>
        </is>
      </c>
      <c r="D292" t="n">
        <v>3</v>
      </c>
      <c r="E292" t="inlineStr">
        <is>
          <t>primary</t>
        </is>
      </c>
      <c r="F292" t="n">
        <v>508.3175803402647</v>
      </c>
      <c r="G292">
        <f>2*SQRT(F292/PI())</f>
        <v/>
      </c>
      <c r="H292" t="n">
        <v>84.42022634589154</v>
      </c>
      <c r="I292" t="n">
        <v>379</v>
      </c>
      <c r="J292" t="n">
        <v>172</v>
      </c>
      <c r="K292" t="n">
        <v>498.1512287334594</v>
      </c>
      <c r="L292" t="n">
        <v>518.48393194707</v>
      </c>
      <c r="M292">
        <f>2*SQRT(K292/PI())</f>
        <v/>
      </c>
      <c r="N292">
        <f>2*SQRT(L292/PI())</f>
        <v/>
      </c>
      <c r="P292" t="inlineStr">
        <is>
          <t>是</t>
        </is>
      </c>
      <c r="Q292" t="inlineStr">
        <is>
          <t>auto_pipeline;review_png_green</t>
        </is>
      </c>
      <c r="R292" t="inlineStr">
        <is>
          <t>样品6</t>
        </is>
      </c>
    </row>
    <row r="293">
      <c r="A293" t="n">
        <v>292</v>
      </c>
      <c r="B293" t="inlineStr">
        <is>
          <t>6 (8).tif</t>
        </is>
      </c>
      <c r="C293" t="inlineStr">
        <is>
          <t>6(8)-V04</t>
        </is>
      </c>
      <c r="D293" t="n">
        <v>4</v>
      </c>
      <c r="E293" t="inlineStr">
        <is>
          <t>primary</t>
        </is>
      </c>
      <c r="F293" t="n">
        <v>160.0661625708885</v>
      </c>
      <c r="G293">
        <f>2*SQRT(F293/PI())</f>
        <v/>
      </c>
      <c r="H293" t="n">
        <v>51.61333778630132</v>
      </c>
      <c r="I293" t="n">
        <v>253</v>
      </c>
      <c r="J293" t="n">
        <v>210</v>
      </c>
      <c r="K293" t="n">
        <v>156.8648393194707</v>
      </c>
      <c r="L293" t="n">
        <v>163.2674858223062</v>
      </c>
      <c r="M293">
        <f>2*SQRT(K293/PI())</f>
        <v/>
      </c>
      <c r="N293">
        <f>2*SQRT(L293/PI())</f>
        <v/>
      </c>
      <c r="P293" t="inlineStr">
        <is>
          <t>是</t>
        </is>
      </c>
      <c r="Q293" t="inlineStr">
        <is>
          <t>auto_pipeline;review_png_green</t>
        </is>
      </c>
      <c r="R293" t="inlineStr">
        <is>
          <t>样品6</t>
        </is>
      </c>
    </row>
    <row r="294">
      <c r="A294" t="n">
        <v>293</v>
      </c>
      <c r="B294" t="inlineStr">
        <is>
          <t>6 (9).tif</t>
        </is>
      </c>
      <c r="C294" t="inlineStr">
        <is>
          <t>6(9)-V01</t>
        </is>
      </c>
      <c r="D294" t="n">
        <v>1</v>
      </c>
      <c r="E294" t="inlineStr">
        <is>
          <t>primary</t>
        </is>
      </c>
      <c r="F294" t="n">
        <v>909.8062381852552</v>
      </c>
      <c r="G294">
        <f>2*SQRT(F294/PI())</f>
        <v/>
      </c>
      <c r="H294" t="n">
        <v>113.2176255402358</v>
      </c>
      <c r="I294" t="n">
        <v>450</v>
      </c>
      <c r="J294" t="n">
        <v>304</v>
      </c>
      <c r="K294" t="n">
        <v>891.6101134215501</v>
      </c>
      <c r="L294" t="n">
        <v>928.0023629489604</v>
      </c>
      <c r="M294">
        <f>2*SQRT(K294/PI())</f>
        <v/>
      </c>
      <c r="N294">
        <f>2*SQRT(L294/PI())</f>
        <v/>
      </c>
      <c r="P294" t="inlineStr">
        <is>
          <t>是</t>
        </is>
      </c>
      <c r="Q294" t="inlineStr">
        <is>
          <t>auto_pipeline;review_png_green</t>
        </is>
      </c>
      <c r="R294" t="inlineStr">
        <is>
          <t>样品6</t>
        </is>
      </c>
    </row>
    <row r="295">
      <c r="A295" t="n">
        <v>294</v>
      </c>
      <c r="B295" t="inlineStr">
        <is>
          <t>6 (9).tif</t>
        </is>
      </c>
      <c r="C295" t="inlineStr">
        <is>
          <t>6(9)-V02</t>
        </is>
      </c>
      <c r="D295" t="n">
        <v>2</v>
      </c>
      <c r="E295" t="inlineStr">
        <is>
          <t>primary</t>
        </is>
      </c>
      <c r="F295" t="n">
        <v>637.429111531191</v>
      </c>
      <c r="G295">
        <f>2*SQRT(F295/PI())</f>
        <v/>
      </c>
      <c r="H295" t="n">
        <v>94.55662126126497</v>
      </c>
      <c r="I295" t="n">
        <v>497</v>
      </c>
      <c r="J295" t="n">
        <v>473</v>
      </c>
      <c r="K295" t="n">
        <v>624.6805293005672</v>
      </c>
      <c r="L295" t="n">
        <v>650.1776937618148</v>
      </c>
      <c r="M295">
        <f>2*SQRT(K295/PI())</f>
        <v/>
      </c>
      <c r="N295">
        <f>2*SQRT(L295/PI())</f>
        <v/>
      </c>
      <c r="P295" t="inlineStr">
        <is>
          <t>是</t>
        </is>
      </c>
      <c r="Q295" t="inlineStr">
        <is>
          <t>auto_pipeline;review_png_green</t>
        </is>
      </c>
      <c r="R295" t="inlineStr">
        <is>
          <t>样品6</t>
        </is>
      </c>
    </row>
    <row r="296">
      <c r="A296" t="n">
        <v>295</v>
      </c>
      <c r="B296" t="inlineStr">
        <is>
          <t>6 (9).tif</t>
        </is>
      </c>
      <c r="C296" t="inlineStr">
        <is>
          <t>6(9)-V03</t>
        </is>
      </c>
      <c r="D296" t="n">
        <v>3</v>
      </c>
      <c r="E296" t="inlineStr">
        <is>
          <t>primary</t>
        </is>
      </c>
      <c r="F296" t="n">
        <v>606.9234404536862</v>
      </c>
      <c r="G296">
        <f>2*SQRT(F296/PI())</f>
        <v/>
      </c>
      <c r="H296" t="n">
        <v>92.3299602581107</v>
      </c>
      <c r="I296" t="n">
        <v>866</v>
      </c>
      <c r="J296" t="n">
        <v>214</v>
      </c>
      <c r="K296" t="n">
        <v>594.7849716446125</v>
      </c>
      <c r="L296" t="n">
        <v>619.06190926276</v>
      </c>
      <c r="M296">
        <f>2*SQRT(K296/PI())</f>
        <v/>
      </c>
      <c r="N296">
        <f>2*SQRT(L296/PI())</f>
        <v/>
      </c>
      <c r="O296" t="inlineStr">
        <is>
          <t>6(9)-P01</t>
        </is>
      </c>
      <c r="P296" t="inlineStr">
        <is>
          <t>是</t>
        </is>
      </c>
      <c r="Q296" t="inlineStr">
        <is>
          <t>auto_pipeline;review_png_green</t>
        </is>
      </c>
      <c r="R296" t="inlineStr">
        <is>
          <t>样品6</t>
        </is>
      </c>
    </row>
    <row r="297">
      <c r="A297" t="n">
        <v>296</v>
      </c>
      <c r="B297" t="inlineStr">
        <is>
          <t>6 (9).tif</t>
        </is>
      </c>
      <c r="C297" t="inlineStr">
        <is>
          <t>6(9)-V04</t>
        </is>
      </c>
      <c r="D297" t="n">
        <v>4</v>
      </c>
      <c r="E297" t="inlineStr">
        <is>
          <t>primary</t>
        </is>
      </c>
      <c r="F297" t="n">
        <v>540.0283553875237</v>
      </c>
      <c r="G297">
        <f>2*SQRT(F297/PI())</f>
        <v/>
      </c>
      <c r="H297" t="n">
        <v>88.25867290082185</v>
      </c>
      <c r="I297" t="n">
        <v>236</v>
      </c>
      <c r="J297" t="n">
        <v>391</v>
      </c>
      <c r="K297" t="n">
        <v>529.2277882797732</v>
      </c>
      <c r="L297" t="n">
        <v>550.8289224952741</v>
      </c>
      <c r="M297">
        <f>2*SQRT(K297/PI())</f>
        <v/>
      </c>
      <c r="N297">
        <f>2*SQRT(L297/PI())</f>
        <v/>
      </c>
      <c r="P297" t="inlineStr">
        <is>
          <t>是</t>
        </is>
      </c>
      <c r="Q297" t="inlineStr">
        <is>
          <t>auto_pipeline;review_png_green</t>
        </is>
      </c>
      <c r="R297" t="inlineStr">
        <is>
          <t>样品6</t>
        </is>
      </c>
    </row>
    <row r="298">
      <c r="A298" t="n">
        <v>297</v>
      </c>
      <c r="B298" t="inlineStr">
        <is>
          <t>6 (9).tif</t>
        </is>
      </c>
      <c r="C298" t="inlineStr">
        <is>
          <t>6(9)-V05</t>
        </is>
      </c>
      <c r="D298" t="n">
        <v>5</v>
      </c>
      <c r="E298" t="inlineStr">
        <is>
          <t>primary</t>
        </is>
      </c>
      <c r="F298" t="n">
        <v>539.2249527410208</v>
      </c>
      <c r="G298">
        <f>2*SQRT(F298/PI())</f>
        <v/>
      </c>
      <c r="H298" t="n">
        <v>87.38910768343054</v>
      </c>
      <c r="I298" t="n">
        <v>735</v>
      </c>
      <c r="J298" t="n">
        <v>145</v>
      </c>
      <c r="K298" t="n">
        <v>528.4404536862004</v>
      </c>
      <c r="L298" t="n">
        <v>550.0094517958413</v>
      </c>
      <c r="M298">
        <f>2*SQRT(K298/PI())</f>
        <v/>
      </c>
      <c r="N298">
        <f>2*SQRT(L298/PI())</f>
        <v/>
      </c>
      <c r="O298" t="inlineStr">
        <is>
          <t>6(9)-P01</t>
        </is>
      </c>
      <c r="P298" t="inlineStr">
        <is>
          <t>是</t>
        </is>
      </c>
      <c r="Q298" t="inlineStr">
        <is>
          <t>auto_pipeline;review_png_green</t>
        </is>
      </c>
      <c r="R298" t="inlineStr">
        <is>
          <t>样品6</t>
        </is>
      </c>
    </row>
    <row r="299">
      <c r="A299" t="n">
        <v>298</v>
      </c>
      <c r="B299" t="inlineStr">
        <is>
          <t>6 (9).tif</t>
        </is>
      </c>
      <c r="C299" t="inlineStr">
        <is>
          <t>6(9)-V06</t>
        </is>
      </c>
      <c r="D299" t="n">
        <v>6</v>
      </c>
      <c r="E299" t="inlineStr">
        <is>
          <t>primary</t>
        </is>
      </c>
      <c r="F299" t="n">
        <v>511.2712665406427</v>
      </c>
      <c r="G299">
        <f>2*SQRT(F299/PI())</f>
        <v/>
      </c>
      <c r="H299" t="n">
        <v>85.16244668027629</v>
      </c>
      <c r="I299" t="n">
        <v>874</v>
      </c>
      <c r="J299" t="n">
        <v>373</v>
      </c>
      <c r="K299" t="n">
        <v>501.0458412098299</v>
      </c>
      <c r="L299" t="n">
        <v>521.4966918714556</v>
      </c>
      <c r="M299">
        <f>2*SQRT(K299/PI())</f>
        <v/>
      </c>
      <c r="N299">
        <f>2*SQRT(L299/PI())</f>
        <v/>
      </c>
      <c r="P299" t="inlineStr">
        <is>
          <t>是</t>
        </is>
      </c>
      <c r="Q299" t="inlineStr">
        <is>
          <t>auto_pipeline;review_png_green</t>
        </is>
      </c>
      <c r="R299" t="inlineStr">
        <is>
          <t>样品6</t>
        </is>
      </c>
    </row>
    <row r="300">
      <c r="A300" t="n">
        <v>299</v>
      </c>
      <c r="B300" t="inlineStr">
        <is>
          <t>6 (9).tif</t>
        </is>
      </c>
      <c r="C300" t="inlineStr">
        <is>
          <t>6(9)-V07</t>
        </is>
      </c>
      <c r="D300" t="n">
        <v>7</v>
      </c>
      <c r="E300" t="inlineStr">
        <is>
          <t>primary</t>
        </is>
      </c>
      <c r="F300" t="n">
        <v>277.4102079395085</v>
      </c>
      <c r="G300">
        <f>2*SQRT(F300/PI())</f>
        <v/>
      </c>
      <c r="H300" t="n">
        <v>65.27169149854909</v>
      </c>
      <c r="I300" t="n">
        <v>170</v>
      </c>
      <c r="J300" t="n">
        <v>111</v>
      </c>
      <c r="K300" t="n">
        <v>271.8620037807183</v>
      </c>
      <c r="L300" t="n">
        <v>282.9584120982987</v>
      </c>
      <c r="M300">
        <f>2*SQRT(K300/PI())</f>
        <v/>
      </c>
      <c r="N300">
        <f>2*SQRT(L300/PI())</f>
        <v/>
      </c>
      <c r="P300" t="inlineStr">
        <is>
          <t>是</t>
        </is>
      </c>
      <c r="Q300" t="inlineStr">
        <is>
          <t>auto_pipeline;review_png_green</t>
        </is>
      </c>
      <c r="R300" t="inlineStr">
        <is>
          <t>样品6</t>
        </is>
      </c>
    </row>
    <row r="301">
      <c r="A301" t="n">
        <v>300</v>
      </c>
      <c r="B301" t="inlineStr">
        <is>
          <t>6 (9).tif</t>
        </is>
      </c>
      <c r="C301" t="inlineStr">
        <is>
          <t>6(9)-V08</t>
        </is>
      </c>
      <c r="D301" t="n">
        <v>8</v>
      </c>
      <c r="E301" t="inlineStr">
        <is>
          <t>primary</t>
        </is>
      </c>
      <c r="F301" t="n">
        <v>185.7277882797732</v>
      </c>
      <c r="G301">
        <f>2*SQRT(F301/PI())</f>
        <v/>
      </c>
      <c r="H301" t="n">
        <v>54.47672320448834</v>
      </c>
      <c r="I301" t="n">
        <v>130</v>
      </c>
      <c r="J301" t="n">
        <v>190</v>
      </c>
      <c r="K301" t="n">
        <v>182.0132325141777</v>
      </c>
      <c r="L301" t="n">
        <v>189.4423440453686</v>
      </c>
      <c r="M301">
        <f>2*SQRT(K301/PI())</f>
        <v/>
      </c>
      <c r="N301">
        <f>2*SQRT(L301/PI())</f>
        <v/>
      </c>
      <c r="P301" t="inlineStr">
        <is>
          <t>是</t>
        </is>
      </c>
      <c r="Q301" t="inlineStr">
        <is>
          <t>auto_pipeline;review_png_green</t>
        </is>
      </c>
      <c r="R301" t="inlineStr">
        <is>
          <t>样品6</t>
        </is>
      </c>
    </row>
    <row r="302">
      <c r="A302" t="n">
        <v>301</v>
      </c>
      <c r="B302" t="inlineStr">
        <is>
          <t>6 (10).tif</t>
        </is>
      </c>
      <c r="C302" t="inlineStr">
        <is>
          <t>6(10)-V01</t>
        </is>
      </c>
      <c r="D302" t="n">
        <v>1</v>
      </c>
      <c r="E302" t="inlineStr">
        <is>
          <t>primary</t>
        </is>
      </c>
      <c r="F302" t="n">
        <v>1218.667296786389</v>
      </c>
      <c r="G302">
        <f>2*SQRT(F302/PI())</f>
        <v/>
      </c>
      <c r="H302" t="n">
        <v>133.7232561733412</v>
      </c>
      <c r="I302" t="n">
        <v>617</v>
      </c>
      <c r="J302" t="n">
        <v>353</v>
      </c>
      <c r="K302" t="n">
        <v>1194.293950850662</v>
      </c>
      <c r="L302" t="n">
        <v>1243.040642722117</v>
      </c>
      <c r="M302">
        <f>2*SQRT(K302/PI())</f>
        <v/>
      </c>
      <c r="N302">
        <f>2*SQRT(L302/PI())</f>
        <v/>
      </c>
      <c r="O302" t="inlineStr">
        <is>
          <t>6(10)-P01</t>
        </is>
      </c>
      <c r="P302" t="inlineStr">
        <is>
          <t>是</t>
        </is>
      </c>
      <c r="Q302" t="inlineStr">
        <is>
          <t>auto_pipeline;review_png_green</t>
        </is>
      </c>
      <c r="R302" t="inlineStr">
        <is>
          <t>样品6</t>
        </is>
      </c>
    </row>
    <row r="303">
      <c r="A303" t="n">
        <v>302</v>
      </c>
      <c r="B303" t="inlineStr">
        <is>
          <t>6 (10).tif</t>
        </is>
      </c>
      <c r="C303" t="inlineStr">
        <is>
          <t>6(10)-V02</t>
        </is>
      </c>
      <c r="D303" t="n">
        <v>2</v>
      </c>
      <c r="E303" t="inlineStr">
        <is>
          <t>primary</t>
        </is>
      </c>
      <c r="F303" t="n">
        <v>760.2788279773157</v>
      </c>
      <c r="G303">
        <f>2*SQRT(F303/PI())</f>
        <v/>
      </c>
      <c r="H303" t="n">
        <v>105.5407324303751</v>
      </c>
      <c r="I303" t="n">
        <v>427</v>
      </c>
      <c r="J303" t="n">
        <v>377</v>
      </c>
      <c r="K303" t="n">
        <v>745.0732514177694</v>
      </c>
      <c r="L303" t="n">
        <v>775.484404536862</v>
      </c>
      <c r="M303">
        <f>2*SQRT(K303/PI())</f>
        <v/>
      </c>
      <c r="N303">
        <f>2*SQRT(L303/PI())</f>
        <v/>
      </c>
      <c r="O303" t="inlineStr">
        <is>
          <t>6(10)-P01</t>
        </is>
      </c>
      <c r="P303" t="inlineStr">
        <is>
          <t>是</t>
        </is>
      </c>
      <c r="Q303" t="inlineStr">
        <is>
          <t>auto_pipeline;review_png_green</t>
        </is>
      </c>
      <c r="R303" t="inlineStr">
        <is>
          <t>样品6</t>
        </is>
      </c>
    </row>
    <row r="304">
      <c r="A304" t="n">
        <v>303</v>
      </c>
      <c r="B304" t="inlineStr">
        <is>
          <t>6 (10).tif</t>
        </is>
      </c>
      <c r="C304" t="inlineStr">
        <is>
          <t>6(10)-V03</t>
        </is>
      </c>
      <c r="D304" t="n">
        <v>3</v>
      </c>
      <c r="E304" t="inlineStr">
        <is>
          <t>primary</t>
        </is>
      </c>
      <c r="F304" t="n">
        <v>685.7986767485822</v>
      </c>
      <c r="G304">
        <f>2*SQRT(F304/PI())</f>
        <v/>
      </c>
      <c r="H304" t="n">
        <v>98.01303316717562</v>
      </c>
      <c r="I304" t="n">
        <v>946</v>
      </c>
      <c r="J304" t="n">
        <v>452</v>
      </c>
      <c r="K304" t="n">
        <v>672.0827032136106</v>
      </c>
      <c r="L304" t="n">
        <v>699.5146502835539</v>
      </c>
      <c r="M304">
        <f>2*SQRT(K304/PI())</f>
        <v/>
      </c>
      <c r="N304">
        <f>2*SQRT(L304/PI())</f>
        <v/>
      </c>
      <c r="P304" t="inlineStr">
        <is>
          <t>是</t>
        </is>
      </c>
      <c r="Q304" t="inlineStr">
        <is>
          <t>auto_pipeline;review_png_green</t>
        </is>
      </c>
      <c r="R304" t="inlineStr">
        <is>
          <t>样品6</t>
        </is>
      </c>
    </row>
    <row r="305">
      <c r="A305" t="n">
        <v>304</v>
      </c>
      <c r="B305" t="inlineStr">
        <is>
          <t>6 (10).tif</t>
        </is>
      </c>
      <c r="C305" t="inlineStr">
        <is>
          <t>6(10)-V04</t>
        </is>
      </c>
      <c r="D305" t="n">
        <v>4</v>
      </c>
      <c r="E305" t="inlineStr">
        <is>
          <t>primary</t>
        </is>
      </c>
      <c r="F305" t="n">
        <v>550.8506616257089</v>
      </c>
      <c r="G305">
        <f>2*SQRT(F305/PI())</f>
        <v/>
      </c>
      <c r="H305" t="n">
        <v>92.24631330241327</v>
      </c>
      <c r="I305" t="n">
        <v>869</v>
      </c>
      <c r="J305" t="n">
        <v>293</v>
      </c>
      <c r="K305" t="n">
        <v>539.8336483931947</v>
      </c>
      <c r="L305" t="n">
        <v>561.867674858223</v>
      </c>
      <c r="M305">
        <f>2*SQRT(K305/PI())</f>
        <v/>
      </c>
      <c r="N305">
        <f>2*SQRT(L305/PI())</f>
        <v/>
      </c>
      <c r="P305" t="inlineStr">
        <is>
          <t>是</t>
        </is>
      </c>
      <c r="Q305" t="inlineStr">
        <is>
          <t>auto_pipeline;review_png_green</t>
        </is>
      </c>
      <c r="R305" t="inlineStr">
        <is>
          <t>样品6</t>
        </is>
      </c>
    </row>
    <row r="306">
      <c r="A306" t="n">
        <v>305</v>
      </c>
      <c r="B306" t="inlineStr">
        <is>
          <t>6 (10).tif</t>
        </is>
      </c>
      <c r="C306" t="inlineStr">
        <is>
          <t>6(10)-V05</t>
        </is>
      </c>
      <c r="D306" t="n">
        <v>5</v>
      </c>
      <c r="E306" t="inlineStr">
        <is>
          <t>primary</t>
        </is>
      </c>
      <c r="F306" t="n">
        <v>130.5293005671078</v>
      </c>
      <c r="G306">
        <f>2*SQRT(F306/PI())</f>
        <v/>
      </c>
      <c r="H306" t="n">
        <v>47.75679116663726</v>
      </c>
      <c r="I306" t="n">
        <v>502</v>
      </c>
      <c r="J306" t="n">
        <v>230</v>
      </c>
      <c r="K306" t="n">
        <v>127.9187145557656</v>
      </c>
      <c r="L306" t="n">
        <v>133.1398865784499</v>
      </c>
      <c r="M306">
        <f>2*SQRT(K306/PI())</f>
        <v/>
      </c>
      <c r="N306">
        <f>2*SQRT(L306/PI())</f>
        <v/>
      </c>
      <c r="P306" t="inlineStr">
        <is>
          <t>是</t>
        </is>
      </c>
      <c r="Q306" t="inlineStr">
        <is>
          <t>auto_pipeline;review_png_green</t>
        </is>
      </c>
      <c r="R306" t="inlineStr">
        <is>
          <t>样品6</t>
        </is>
      </c>
    </row>
    <row r="307">
      <c r="A307" t="n">
        <v>306</v>
      </c>
      <c r="B307" t="inlineStr">
        <is>
          <t>6 (10).tif</t>
        </is>
      </c>
      <c r="C307" t="inlineStr">
        <is>
          <t>6(10)-V06</t>
        </is>
      </c>
      <c r="D307" t="n">
        <v>6</v>
      </c>
      <c r="E307" t="inlineStr">
        <is>
          <t>primary</t>
        </is>
      </c>
      <c r="F307" t="n">
        <v>128.2372400756144</v>
      </c>
      <c r="G307">
        <f>2*SQRT(F307/PI())</f>
        <v/>
      </c>
      <c r="H307" t="n">
        <v>45.99581176820008</v>
      </c>
      <c r="I307" t="n">
        <v>632</v>
      </c>
      <c r="J307" t="n">
        <v>119</v>
      </c>
      <c r="K307" t="n">
        <v>125.6724952741021</v>
      </c>
      <c r="L307" t="n">
        <v>130.8019848771267</v>
      </c>
      <c r="M307">
        <f>2*SQRT(K307/PI())</f>
        <v/>
      </c>
      <c r="N307">
        <f>2*SQRT(L307/PI())</f>
        <v/>
      </c>
      <c r="P307" t="inlineStr">
        <is>
          <t>是</t>
        </is>
      </c>
      <c r="Q307" t="inlineStr">
        <is>
          <t>auto_pipeline;review_png_green</t>
        </is>
      </c>
      <c r="R307" t="inlineStr">
        <is>
          <t>样品6</t>
        </is>
      </c>
    </row>
    <row r="308">
      <c r="A308" t="n">
        <v>307</v>
      </c>
      <c r="B308" t="inlineStr">
        <is>
          <t>6 (11).tif</t>
        </is>
      </c>
      <c r="C308" t="inlineStr">
        <is>
          <t>6(11)-V01</t>
        </is>
      </c>
      <c r="D308" t="n">
        <v>1</v>
      </c>
      <c r="E308" t="inlineStr">
        <is>
          <t>primary</t>
        </is>
      </c>
      <c r="F308" t="n">
        <v>886.7911153119093</v>
      </c>
      <c r="G308">
        <f>2*SQRT(F308/PI())</f>
        <v/>
      </c>
      <c r="H308" t="n">
        <v>111.9878746374794</v>
      </c>
      <c r="I308" t="n">
        <v>594</v>
      </c>
      <c r="J308" t="n">
        <v>388</v>
      </c>
      <c r="K308" t="n">
        <v>869.055293005671</v>
      </c>
      <c r="L308" t="n">
        <v>904.5269376181475</v>
      </c>
      <c r="M308">
        <f>2*SQRT(K308/PI())</f>
        <v/>
      </c>
      <c r="N308">
        <f>2*SQRT(L308/PI())</f>
        <v/>
      </c>
      <c r="O308" t="inlineStr">
        <is>
          <t>6(11)-P01</t>
        </is>
      </c>
      <c r="P308" t="inlineStr">
        <is>
          <t>是</t>
        </is>
      </c>
      <c r="Q308" t="inlineStr">
        <is>
          <t>auto_pipeline;review_png_green</t>
        </is>
      </c>
      <c r="R308" t="inlineStr">
        <is>
          <t>样品6</t>
        </is>
      </c>
    </row>
    <row r="309">
      <c r="A309" t="n">
        <v>308</v>
      </c>
      <c r="B309" t="inlineStr">
        <is>
          <t>6 (11).tif</t>
        </is>
      </c>
      <c r="C309" t="inlineStr">
        <is>
          <t>6(11)-V02</t>
        </is>
      </c>
      <c r="D309" t="n">
        <v>2</v>
      </c>
      <c r="E309" t="inlineStr">
        <is>
          <t>primary</t>
        </is>
      </c>
      <c r="F309" t="n">
        <v>727.6937618147448</v>
      </c>
      <c r="G309">
        <f>2*SQRT(F309/PI())</f>
        <v/>
      </c>
      <c r="H309" t="n">
        <v>101.9788246051125</v>
      </c>
      <c r="I309" t="n">
        <v>188</v>
      </c>
      <c r="J309" t="n">
        <v>346</v>
      </c>
      <c r="K309" t="n">
        <v>713.1398865784499</v>
      </c>
      <c r="L309" t="n">
        <v>742.2476370510396</v>
      </c>
      <c r="M309">
        <f>2*SQRT(K309/PI())</f>
        <v/>
      </c>
      <c r="N309">
        <f>2*SQRT(L309/PI())</f>
        <v/>
      </c>
      <c r="P309" t="inlineStr">
        <is>
          <t>是</t>
        </is>
      </c>
      <c r="Q309" t="inlineStr">
        <is>
          <t>auto_pipeline;review_png_green</t>
        </is>
      </c>
      <c r="R309" t="inlineStr">
        <is>
          <t>样品6</t>
        </is>
      </c>
    </row>
    <row r="310">
      <c r="A310" t="n">
        <v>309</v>
      </c>
      <c r="B310" t="inlineStr">
        <is>
          <t>6 (11).tif</t>
        </is>
      </c>
      <c r="C310" t="inlineStr">
        <is>
          <t>6(11)-V03</t>
        </is>
      </c>
      <c r="D310" t="n">
        <v>3</v>
      </c>
      <c r="E310" t="inlineStr">
        <is>
          <t>primary</t>
        </is>
      </c>
      <c r="F310" t="n">
        <v>501.5595463137996</v>
      </c>
      <c r="G310">
        <f>2*SQRT(F310/PI())</f>
        <v/>
      </c>
      <c r="H310" t="n">
        <v>84.78041203125663</v>
      </c>
      <c r="I310" t="n">
        <v>435</v>
      </c>
      <c r="J310" t="n">
        <v>363</v>
      </c>
      <c r="K310" t="n">
        <v>491.5283553875236</v>
      </c>
      <c r="L310" t="n">
        <v>511.5907372400756</v>
      </c>
      <c r="M310">
        <f>2*SQRT(K310/PI())</f>
        <v/>
      </c>
      <c r="N310">
        <f>2*SQRT(L310/PI())</f>
        <v/>
      </c>
      <c r="O310" t="inlineStr">
        <is>
          <t>6(11)-P01</t>
        </is>
      </c>
      <c r="P310" t="inlineStr">
        <is>
          <t>是</t>
        </is>
      </c>
      <c r="Q310" t="inlineStr">
        <is>
          <t>auto_pipeline;review_png_green</t>
        </is>
      </c>
      <c r="R310" t="inlineStr">
        <is>
          <t>样品6</t>
        </is>
      </c>
    </row>
    <row r="311">
      <c r="A311" t="n">
        <v>310</v>
      </c>
      <c r="B311" t="inlineStr">
        <is>
          <t>6 (11).tif</t>
        </is>
      </c>
      <c r="C311" t="inlineStr">
        <is>
          <t>6(11)-V04</t>
        </is>
      </c>
      <c r="D311" t="n">
        <v>4</v>
      </c>
      <c r="E311" t="inlineStr">
        <is>
          <t>primary</t>
        </is>
      </c>
      <c r="F311" t="n">
        <v>397.9206049149338</v>
      </c>
      <c r="G311">
        <f>2*SQRT(F311/PI())</f>
        <v/>
      </c>
      <c r="H311" t="n">
        <v>75.2588925672614</v>
      </c>
      <c r="I311" t="n">
        <v>936</v>
      </c>
      <c r="J311" t="n">
        <v>350</v>
      </c>
      <c r="K311" t="n">
        <v>389.9621928166351</v>
      </c>
      <c r="L311" t="n">
        <v>405.8790170132326</v>
      </c>
      <c r="M311">
        <f>2*SQRT(K311/PI())</f>
        <v/>
      </c>
      <c r="N311">
        <f>2*SQRT(L311/PI())</f>
        <v/>
      </c>
      <c r="P311" t="inlineStr">
        <is>
          <t>是</t>
        </is>
      </c>
      <c r="Q311" t="inlineStr">
        <is>
          <t>auto_pipeline;review_png_green</t>
        </is>
      </c>
      <c r="R311" t="inlineStr">
        <is>
          <t>样品6</t>
        </is>
      </c>
    </row>
    <row r="312">
      <c r="A312" t="n">
        <v>311</v>
      </c>
      <c r="B312" t="inlineStr">
        <is>
          <t>6 (11).tif</t>
        </is>
      </c>
      <c r="C312" t="inlineStr">
        <is>
          <t>6(11)-V05</t>
        </is>
      </c>
      <c r="D312" t="n">
        <v>5</v>
      </c>
      <c r="E312" t="inlineStr">
        <is>
          <t>primary</t>
        </is>
      </c>
      <c r="F312" t="n">
        <v>127.9773156899811</v>
      </c>
      <c r="G312">
        <f>2*SQRT(F312/PI())</f>
        <v/>
      </c>
      <c r="H312" t="n">
        <v>43.51446099903272</v>
      </c>
      <c r="I312" t="n">
        <v>134</v>
      </c>
      <c r="J312" t="n">
        <v>563</v>
      </c>
      <c r="K312" t="n">
        <v>125.4177693761815</v>
      </c>
      <c r="L312" t="n">
        <v>130.5368620037807</v>
      </c>
      <c r="M312">
        <f>2*SQRT(K312/PI())</f>
        <v/>
      </c>
      <c r="N312">
        <f>2*SQRT(L312/PI())</f>
        <v/>
      </c>
      <c r="P312" t="inlineStr">
        <is>
          <t>是</t>
        </is>
      </c>
      <c r="Q312" t="inlineStr">
        <is>
          <t>auto_pipeline;review_png_green</t>
        </is>
      </c>
      <c r="R312" t="inlineStr">
        <is>
          <t>样品6</t>
        </is>
      </c>
    </row>
    <row r="313">
      <c r="A313" t="n">
        <v>312</v>
      </c>
      <c r="B313" t="inlineStr">
        <is>
          <t>6 (11).tif</t>
        </is>
      </c>
      <c r="C313" t="inlineStr">
        <is>
          <t>6(11)-V06</t>
        </is>
      </c>
      <c r="D313" t="n">
        <v>6</v>
      </c>
      <c r="E313" t="inlineStr">
        <is>
          <t>primary</t>
        </is>
      </c>
      <c r="F313" t="n">
        <v>125.4253308128544</v>
      </c>
      <c r="G313">
        <f>2*SQRT(F313/PI())</f>
        <v/>
      </c>
      <c r="H313" t="n">
        <v>42.64489578164142</v>
      </c>
      <c r="I313" t="n">
        <v>443</v>
      </c>
      <c r="J313" t="n">
        <v>112</v>
      </c>
      <c r="K313" t="n">
        <v>122.9168241965973</v>
      </c>
      <c r="L313" t="n">
        <v>127.9338374291115</v>
      </c>
      <c r="M313">
        <f>2*SQRT(K313/PI())</f>
        <v/>
      </c>
      <c r="N313">
        <f>2*SQRT(L313/PI())</f>
        <v/>
      </c>
      <c r="P313" t="inlineStr">
        <is>
          <t>是</t>
        </is>
      </c>
      <c r="Q313" t="inlineStr">
        <is>
          <t>auto_pipeline;review_png_green</t>
        </is>
      </c>
      <c r="R313" t="inlineStr">
        <is>
          <t>样品6</t>
        </is>
      </c>
    </row>
    <row r="314">
      <c r="A314" t="n">
        <v>313</v>
      </c>
      <c r="B314" t="inlineStr">
        <is>
          <t>6 (11).tif</t>
        </is>
      </c>
      <c r="C314" t="inlineStr">
        <is>
          <t>6(11)-V07</t>
        </is>
      </c>
      <c r="D314" t="n">
        <v>7</v>
      </c>
      <c r="E314" t="inlineStr">
        <is>
          <t>primary</t>
        </is>
      </c>
      <c r="F314" t="n">
        <v>123.062381852552</v>
      </c>
      <c r="G314">
        <f>2*SQRT(F314/PI())</f>
        <v/>
      </c>
      <c r="H314" t="n">
        <v>43.00508146700652</v>
      </c>
      <c r="I314" t="n">
        <v>239</v>
      </c>
      <c r="J314" t="n">
        <v>482</v>
      </c>
      <c r="K314" t="n">
        <v>120.6011342155009</v>
      </c>
      <c r="L314" t="n">
        <v>125.523629489603</v>
      </c>
      <c r="M314">
        <f>2*SQRT(K314/PI())</f>
        <v/>
      </c>
      <c r="N314">
        <f>2*SQRT(L314/PI())</f>
        <v/>
      </c>
      <c r="P314" t="inlineStr">
        <is>
          <t>是</t>
        </is>
      </c>
      <c r="Q314" t="inlineStr">
        <is>
          <t>auto_pipeline;review_png_green</t>
        </is>
      </c>
      <c r="R314" t="inlineStr">
        <is>
          <t>样品6</t>
        </is>
      </c>
    </row>
    <row r="315">
      <c r="A315" t="n">
        <v>314</v>
      </c>
      <c r="B315" t="inlineStr">
        <is>
          <t>6 (12).tif</t>
        </is>
      </c>
      <c r="C315" t="inlineStr">
        <is>
          <t>6(12)-V01</t>
        </is>
      </c>
      <c r="D315" t="n">
        <v>1</v>
      </c>
      <c r="E315" t="inlineStr">
        <is>
          <t>primary</t>
        </is>
      </c>
      <c r="F315" t="n">
        <v>758.0812854442344</v>
      </c>
      <c r="G315">
        <f>2*SQRT(F315/PI())</f>
        <v/>
      </c>
      <c r="H315" t="n">
        <v>104.5875202572864</v>
      </c>
      <c r="I315" t="n">
        <v>458</v>
      </c>
      <c r="J315" t="n">
        <v>420</v>
      </c>
      <c r="K315" t="n">
        <v>742.9196597353497</v>
      </c>
      <c r="L315" t="n">
        <v>773.2429111531191</v>
      </c>
      <c r="M315">
        <f>2*SQRT(K315/PI())</f>
        <v/>
      </c>
      <c r="N315">
        <f>2*SQRT(L315/PI())</f>
        <v/>
      </c>
      <c r="O315" t="inlineStr">
        <is>
          <t>6(12)-P01</t>
        </is>
      </c>
      <c r="P315" t="inlineStr">
        <is>
          <t>是</t>
        </is>
      </c>
      <c r="Q315" t="inlineStr">
        <is>
          <t>auto_pipeline;review_png_green</t>
        </is>
      </c>
      <c r="R315" t="inlineStr">
        <is>
          <t>样品6</t>
        </is>
      </c>
    </row>
    <row r="316">
      <c r="A316" t="n">
        <v>315</v>
      </c>
      <c r="B316" t="inlineStr">
        <is>
          <t>6 (12).tif</t>
        </is>
      </c>
      <c r="C316" t="inlineStr">
        <is>
          <t>6(12)-V02</t>
        </is>
      </c>
      <c r="D316" t="n">
        <v>2</v>
      </c>
      <c r="E316" t="inlineStr">
        <is>
          <t>primary</t>
        </is>
      </c>
      <c r="F316" t="n">
        <v>754.6786389413988</v>
      </c>
      <c r="G316">
        <f>2*SQRT(F316/PI())</f>
        <v/>
      </c>
      <c r="H316" t="n">
        <v>103.8234509592471</v>
      </c>
      <c r="I316" t="n">
        <v>204</v>
      </c>
      <c r="J316" t="n">
        <v>149</v>
      </c>
      <c r="K316" t="n">
        <v>739.5850661625709</v>
      </c>
      <c r="L316" t="n">
        <v>769.7722117202268</v>
      </c>
      <c r="M316">
        <f>2*SQRT(K316/PI())</f>
        <v/>
      </c>
      <c r="N316">
        <f>2*SQRT(L316/PI())</f>
        <v/>
      </c>
      <c r="P316" t="inlineStr">
        <is>
          <t>是</t>
        </is>
      </c>
      <c r="Q316" t="inlineStr">
        <is>
          <t>auto_pipeline;review_png_green</t>
        </is>
      </c>
      <c r="R316" t="inlineStr">
        <is>
          <t>样品6</t>
        </is>
      </c>
    </row>
    <row r="317">
      <c r="A317" t="n">
        <v>316</v>
      </c>
      <c r="B317" t="inlineStr">
        <is>
          <t>6 (12).tif</t>
        </is>
      </c>
      <c r="C317" t="inlineStr">
        <is>
          <t>6(12)-V03</t>
        </is>
      </c>
      <c r="D317" t="n">
        <v>3</v>
      </c>
      <c r="E317" t="inlineStr">
        <is>
          <t>primary</t>
        </is>
      </c>
      <c r="F317" t="n">
        <v>472.8733459357278</v>
      </c>
      <c r="G317">
        <f>2*SQRT(F317/PI())</f>
        <v/>
      </c>
      <c r="H317" t="n">
        <v>81.45134500835253</v>
      </c>
      <c r="I317" t="n">
        <v>589</v>
      </c>
      <c r="J317" t="n">
        <v>352</v>
      </c>
      <c r="K317" t="n">
        <v>463.4158790170133</v>
      </c>
      <c r="L317" t="n">
        <v>482.3308128544423</v>
      </c>
      <c r="M317">
        <f>2*SQRT(K317/PI())</f>
        <v/>
      </c>
      <c r="N317">
        <f>2*SQRT(L317/PI())</f>
        <v/>
      </c>
      <c r="O317" t="inlineStr">
        <is>
          <t>6(12)-P01</t>
        </is>
      </c>
      <c r="P317" t="inlineStr">
        <is>
          <t>是</t>
        </is>
      </c>
      <c r="Q317" t="inlineStr">
        <is>
          <t>auto_pipeline;review_png_green</t>
        </is>
      </c>
      <c r="R317" t="inlineStr">
        <is>
          <t>样品6</t>
        </is>
      </c>
    </row>
    <row r="318">
      <c r="A318" t="n">
        <v>317</v>
      </c>
      <c r="B318" t="inlineStr">
        <is>
          <t>6 (12).tif</t>
        </is>
      </c>
      <c r="C318" t="inlineStr">
        <is>
          <t>6(12)-V04</t>
        </is>
      </c>
      <c r="D318" t="n">
        <v>4</v>
      </c>
      <c r="E318" t="inlineStr">
        <is>
          <t>primary</t>
        </is>
      </c>
      <c r="F318" t="n">
        <v>463.3034026465028</v>
      </c>
      <c r="G318">
        <f>2*SQRT(F318/PI())</f>
        <v/>
      </c>
      <c r="H318" t="n">
        <v>85.98831397035848</v>
      </c>
      <c r="I318" t="n">
        <v>213</v>
      </c>
      <c r="J318" t="n">
        <v>365</v>
      </c>
      <c r="K318" t="n">
        <v>454.0373345935728</v>
      </c>
      <c r="L318" t="n">
        <v>472.5694706994329</v>
      </c>
      <c r="M318">
        <f>2*SQRT(K318/PI())</f>
        <v/>
      </c>
      <c r="N318">
        <f>2*SQRT(L318/PI())</f>
        <v/>
      </c>
      <c r="P318" t="inlineStr">
        <is>
          <t>是</t>
        </is>
      </c>
      <c r="Q318" t="inlineStr">
        <is>
          <t>auto_pipeline;review_png_green</t>
        </is>
      </c>
      <c r="R318" t="inlineStr">
        <is>
          <t>样品6</t>
        </is>
      </c>
    </row>
    <row r="319">
      <c r="A319" t="n">
        <v>318</v>
      </c>
      <c r="B319" t="inlineStr">
        <is>
          <t>6 (12).tif</t>
        </is>
      </c>
      <c r="C319" t="inlineStr">
        <is>
          <t>6(12)-V05</t>
        </is>
      </c>
      <c r="D319" t="n">
        <v>5</v>
      </c>
      <c r="E319" t="inlineStr">
        <is>
          <t>primary</t>
        </is>
      </c>
      <c r="F319" t="n">
        <v>362.9962192816635</v>
      </c>
      <c r="G319">
        <f>2*SQRT(F319/PI())</f>
        <v/>
      </c>
      <c r="H319" t="n">
        <v>80.02870233162589</v>
      </c>
      <c r="I319" t="n">
        <v>130</v>
      </c>
      <c r="J319" t="n">
        <v>571</v>
      </c>
      <c r="K319" t="n">
        <v>355.7362948960302</v>
      </c>
      <c r="L319" t="n">
        <v>370.2561436672968</v>
      </c>
      <c r="M319">
        <f>2*SQRT(K319/PI())</f>
        <v/>
      </c>
      <c r="N319">
        <f>2*SQRT(L319/PI())</f>
        <v/>
      </c>
      <c r="P319" t="inlineStr">
        <is>
          <t>是</t>
        </is>
      </c>
      <c r="Q319" t="inlineStr">
        <is>
          <t>auto_pipeline;review_png_green</t>
        </is>
      </c>
      <c r="R319" t="inlineStr">
        <is>
          <t>样品6</t>
        </is>
      </c>
    </row>
    <row r="320">
      <c r="A320" t="n">
        <v>319</v>
      </c>
      <c r="B320" t="inlineStr">
        <is>
          <t>6 (12).tif</t>
        </is>
      </c>
      <c r="C320" t="inlineStr">
        <is>
          <t>6(12)-V06</t>
        </is>
      </c>
      <c r="D320" t="n">
        <v>6</v>
      </c>
      <c r="E320" t="inlineStr">
        <is>
          <t>primary</t>
        </is>
      </c>
      <c r="F320" t="n">
        <v>321.124763705104</v>
      </c>
      <c r="G320">
        <f>2*SQRT(F320/PI())</f>
        <v/>
      </c>
      <c r="H320" t="n">
        <v>67.11631785268369</v>
      </c>
      <c r="I320" t="n">
        <v>111</v>
      </c>
      <c r="J320" t="n">
        <v>300</v>
      </c>
      <c r="K320" t="n">
        <v>314.7022684310019</v>
      </c>
      <c r="L320" t="n">
        <v>327.547258979206</v>
      </c>
      <c r="M320">
        <f>2*SQRT(K320/PI())</f>
        <v/>
      </c>
      <c r="N320">
        <f>2*SQRT(L320/PI())</f>
        <v/>
      </c>
      <c r="P320" t="inlineStr">
        <is>
          <t>是</t>
        </is>
      </c>
      <c r="Q320" t="inlineStr">
        <is>
          <t>auto_pipeline;review_png_green</t>
        </is>
      </c>
      <c r="R320" t="inlineStr">
        <is>
          <t>样品6</t>
        </is>
      </c>
    </row>
    <row r="321">
      <c r="A321" t="n">
        <v>320</v>
      </c>
      <c r="B321" t="inlineStr">
        <is>
          <t>6 (12).tif</t>
        </is>
      </c>
      <c r="C321" t="inlineStr">
        <is>
          <t>6(12)-V07</t>
        </is>
      </c>
      <c r="D321" t="n">
        <v>7</v>
      </c>
      <c r="E321" t="inlineStr">
        <is>
          <t>primary</t>
        </is>
      </c>
      <c r="F321" t="n">
        <v>208.1049149338374</v>
      </c>
      <c r="G321">
        <f>2*SQRT(F321/PI())</f>
        <v/>
      </c>
      <c r="H321" t="n">
        <v>60.6473266819249</v>
      </c>
      <c r="I321" t="n">
        <v>667</v>
      </c>
      <c r="J321" t="n">
        <v>263</v>
      </c>
      <c r="K321" t="n">
        <v>203.9428166351607</v>
      </c>
      <c r="L321" t="n">
        <v>212.2670132325142</v>
      </c>
      <c r="M321">
        <f>2*SQRT(K321/PI())</f>
        <v/>
      </c>
      <c r="N321">
        <f>2*SQRT(L321/PI())</f>
        <v/>
      </c>
      <c r="P321" t="inlineStr">
        <is>
          <t>是</t>
        </is>
      </c>
      <c r="Q321" t="inlineStr">
        <is>
          <t>auto_pipeline;review_png_green</t>
        </is>
      </c>
      <c r="R321" t="inlineStr">
        <is>
          <t>样品6</t>
        </is>
      </c>
    </row>
    <row r="322">
      <c r="A322" t="n">
        <v>321</v>
      </c>
      <c r="B322" t="inlineStr">
        <is>
          <t>6 (12).tif</t>
        </is>
      </c>
      <c r="C322" t="inlineStr">
        <is>
          <t>6(12)-V08</t>
        </is>
      </c>
      <c r="D322" t="n">
        <v>8</v>
      </c>
      <c r="E322" t="inlineStr">
        <is>
          <t>primary</t>
        </is>
      </c>
      <c r="F322" t="n">
        <v>132.1833648393195</v>
      </c>
      <c r="G322">
        <f>2*SQRT(F322/PI())</f>
        <v/>
      </c>
      <c r="H322" t="n">
        <v>43.25977123301962</v>
      </c>
      <c r="I322" t="n">
        <v>878</v>
      </c>
      <c r="J322" t="n">
        <v>318</v>
      </c>
      <c r="K322" t="n">
        <v>129.5396975425331</v>
      </c>
      <c r="L322" t="n">
        <v>134.8270321361059</v>
      </c>
      <c r="M322">
        <f>2*SQRT(K322/PI())</f>
        <v/>
      </c>
      <c r="N322">
        <f>2*SQRT(L322/PI())</f>
        <v/>
      </c>
      <c r="P322" t="inlineStr">
        <is>
          <t>是</t>
        </is>
      </c>
      <c r="Q322" t="inlineStr">
        <is>
          <t>auto_pipeline;review_png_green</t>
        </is>
      </c>
      <c r="R322" t="inlineStr">
        <is>
          <t>样品6</t>
        </is>
      </c>
    </row>
    <row r="323">
      <c r="A323" t="n">
        <v>322</v>
      </c>
      <c r="B323" t="inlineStr">
        <is>
          <t>6 (13).tif</t>
        </is>
      </c>
      <c r="C323" t="inlineStr">
        <is>
          <t>6(13)-V01</t>
        </is>
      </c>
      <c r="D323" t="n">
        <v>1</v>
      </c>
      <c r="E323" t="inlineStr">
        <is>
          <t>primary</t>
        </is>
      </c>
      <c r="F323" t="n">
        <v>1068.383742911153</v>
      </c>
      <c r="G323">
        <f>2*SQRT(F323/PI())</f>
        <v/>
      </c>
      <c r="H323" t="n">
        <v>123.2266755726026</v>
      </c>
      <c r="I323" t="n">
        <v>441</v>
      </c>
      <c r="J323" t="n">
        <v>394</v>
      </c>
      <c r="K323" t="n">
        <v>1047.01606805293</v>
      </c>
      <c r="L323" t="n">
        <v>1089.751417769376</v>
      </c>
      <c r="M323">
        <f>2*SQRT(K323/PI())</f>
        <v/>
      </c>
      <c r="N323">
        <f>2*SQRT(L323/PI())</f>
        <v/>
      </c>
      <c r="P323" t="inlineStr">
        <is>
          <t>是</t>
        </is>
      </c>
      <c r="Q323" t="inlineStr">
        <is>
          <t>auto_pipeline;review_png_green</t>
        </is>
      </c>
      <c r="R323" t="inlineStr">
        <is>
          <t>样品6</t>
        </is>
      </c>
    </row>
    <row r="324">
      <c r="A324" t="n">
        <v>323</v>
      </c>
      <c r="B324" t="inlineStr">
        <is>
          <t>6 (13).tif</t>
        </is>
      </c>
      <c r="C324" t="inlineStr">
        <is>
          <t>6(13)-V02</t>
        </is>
      </c>
      <c r="D324" t="n">
        <v>2</v>
      </c>
      <c r="E324" t="inlineStr">
        <is>
          <t>primary</t>
        </is>
      </c>
      <c r="F324" t="n">
        <v>242.4149338374291</v>
      </c>
      <c r="G324">
        <f>2*SQRT(F324/PI())</f>
        <v/>
      </c>
      <c r="H324" t="n">
        <v>60.54183076257291</v>
      </c>
      <c r="I324" t="n">
        <v>951</v>
      </c>
      <c r="J324" t="n">
        <v>352</v>
      </c>
      <c r="K324" t="n">
        <v>237.5666351606805</v>
      </c>
      <c r="L324" t="n">
        <v>247.2632325141777</v>
      </c>
      <c r="M324">
        <f>2*SQRT(K324/PI())</f>
        <v/>
      </c>
      <c r="N324">
        <f>2*SQRT(L324/PI())</f>
        <v/>
      </c>
      <c r="P324" t="inlineStr">
        <is>
          <t>是</t>
        </is>
      </c>
      <c r="Q324" t="inlineStr">
        <is>
          <t>auto_pipeline;review_png_green</t>
        </is>
      </c>
      <c r="R324" t="inlineStr">
        <is>
          <t>样品6</t>
        </is>
      </c>
    </row>
    <row r="325">
      <c r="A325" t="n">
        <v>324</v>
      </c>
      <c r="B325" t="inlineStr">
        <is>
          <t>6 (13).tif</t>
        </is>
      </c>
      <c r="C325" t="inlineStr">
        <is>
          <t>6(13)-V03</t>
        </is>
      </c>
      <c r="D325" t="n">
        <v>3</v>
      </c>
      <c r="E325" t="inlineStr">
        <is>
          <t>primary</t>
        </is>
      </c>
      <c r="F325" t="n">
        <v>174.4801512287335</v>
      </c>
      <c r="G325">
        <f>2*SQRT(F325/PI())</f>
        <v/>
      </c>
      <c r="H325" t="n">
        <v>58.82454929144486</v>
      </c>
      <c r="I325" t="n">
        <v>762</v>
      </c>
      <c r="J325" t="n">
        <v>498</v>
      </c>
      <c r="K325" t="n">
        <v>170.9905482041588</v>
      </c>
      <c r="L325" t="n">
        <v>177.9697542533081</v>
      </c>
      <c r="M325">
        <f>2*SQRT(K325/PI())</f>
        <v/>
      </c>
      <c r="N325">
        <f>2*SQRT(L325/PI())</f>
        <v/>
      </c>
      <c r="P325" t="inlineStr">
        <is>
          <t>是</t>
        </is>
      </c>
      <c r="Q325" t="inlineStr">
        <is>
          <t>auto_pipeline;review_png_green</t>
        </is>
      </c>
      <c r="R325" t="inlineStr">
        <is>
          <t>样品6</t>
        </is>
      </c>
    </row>
    <row r="326">
      <c r="A326" t="n">
        <v>325</v>
      </c>
      <c r="B326" t="inlineStr">
        <is>
          <t>6 (13).tif</t>
        </is>
      </c>
      <c r="C326" t="inlineStr">
        <is>
          <t>6(13)-V04</t>
        </is>
      </c>
      <c r="D326" t="n">
        <v>4</v>
      </c>
      <c r="E326" t="inlineStr">
        <is>
          <t>primary</t>
        </is>
      </c>
      <c r="F326" t="n">
        <v>150.8034026465028</v>
      </c>
      <c r="G326">
        <f>2*SQRT(F326/PI())</f>
        <v/>
      </c>
      <c r="H326" t="n">
        <v>47.81858915868013</v>
      </c>
      <c r="I326" t="n">
        <v>545</v>
      </c>
      <c r="J326" t="n">
        <v>295</v>
      </c>
      <c r="K326" t="n">
        <v>147.7873345935728</v>
      </c>
      <c r="L326" t="n">
        <v>153.8194706994329</v>
      </c>
      <c r="M326">
        <f>2*SQRT(K326/PI())</f>
        <v/>
      </c>
      <c r="N326">
        <f>2*SQRT(L326/PI())</f>
        <v/>
      </c>
      <c r="P326" t="inlineStr">
        <is>
          <t>是</t>
        </is>
      </c>
      <c r="Q326" t="inlineStr">
        <is>
          <t>auto_pipeline;review_png_green</t>
        </is>
      </c>
      <c r="R326" t="inlineStr">
        <is>
          <t>样品6</t>
        </is>
      </c>
    </row>
    <row r="327">
      <c r="A327" t="n">
        <v>326</v>
      </c>
      <c r="B327" t="inlineStr">
        <is>
          <t>6 (13).tif</t>
        </is>
      </c>
      <c r="C327" t="inlineStr">
        <is>
          <t>6(13)-V05</t>
        </is>
      </c>
      <c r="D327" t="n">
        <v>5</v>
      </c>
      <c r="E327" t="inlineStr">
        <is>
          <t>primary</t>
        </is>
      </c>
      <c r="F327" t="n">
        <v>135.538752362949</v>
      </c>
      <c r="G327">
        <f>2*SQRT(F327/PI())</f>
        <v/>
      </c>
      <c r="H327" t="n">
        <v>45.35908735316733</v>
      </c>
      <c r="I327" t="n">
        <v>903</v>
      </c>
      <c r="J327" t="n">
        <v>636</v>
      </c>
      <c r="K327" t="n">
        <v>132.82797731569</v>
      </c>
      <c r="L327" t="n">
        <v>138.2495274102079</v>
      </c>
      <c r="M327">
        <f>2*SQRT(K327/PI())</f>
        <v/>
      </c>
      <c r="N327">
        <f>2*SQRT(L327/PI())</f>
        <v/>
      </c>
      <c r="P327" t="inlineStr">
        <is>
          <t>是</t>
        </is>
      </c>
      <c r="Q327" t="inlineStr">
        <is>
          <t>auto_pipeline;review_png_green</t>
        </is>
      </c>
      <c r="R327" t="inlineStr">
        <is>
          <t>样品6</t>
        </is>
      </c>
    </row>
    <row r="328">
      <c r="A328" t="n">
        <v>327</v>
      </c>
      <c r="B328" t="inlineStr">
        <is>
          <t>6 (14).tif</t>
        </is>
      </c>
      <c r="C328" t="inlineStr">
        <is>
          <t>6(14)-V01</t>
        </is>
      </c>
      <c r="D328" t="n">
        <v>1</v>
      </c>
      <c r="E328" t="inlineStr">
        <is>
          <t>primary</t>
        </is>
      </c>
      <c r="F328" t="n">
        <v>944.8251417769376</v>
      </c>
      <c r="G328">
        <f>2*SQRT(F328/PI())</f>
        <v/>
      </c>
      <c r="H328" t="n">
        <v>115.5716314263966</v>
      </c>
      <c r="I328" t="n">
        <v>600</v>
      </c>
      <c r="J328" t="n">
        <v>435</v>
      </c>
      <c r="K328" t="n">
        <v>925.9286389413988</v>
      </c>
      <c r="L328" t="n">
        <v>963.7216446124763</v>
      </c>
      <c r="M328">
        <f>2*SQRT(K328/PI())</f>
        <v/>
      </c>
      <c r="N328">
        <f>2*SQRT(L328/PI())</f>
        <v/>
      </c>
      <c r="P328" t="inlineStr">
        <is>
          <t>是</t>
        </is>
      </c>
      <c r="Q328" t="inlineStr">
        <is>
          <t>auto_pipeline;review_png_green</t>
        </is>
      </c>
      <c r="R328" t="inlineStr">
        <is>
          <t>样品6</t>
        </is>
      </c>
    </row>
    <row r="329">
      <c r="A329" t="n">
        <v>328</v>
      </c>
      <c r="B329" t="inlineStr">
        <is>
          <t>6 (14).tif</t>
        </is>
      </c>
      <c r="C329" t="inlineStr">
        <is>
          <t>6(14)-V02</t>
        </is>
      </c>
      <c r="D329" t="n">
        <v>2</v>
      </c>
      <c r="E329" t="inlineStr">
        <is>
          <t>primary</t>
        </is>
      </c>
      <c r="F329" t="n">
        <v>564.3431001890359</v>
      </c>
      <c r="G329">
        <f>2*SQRT(F329/PI())</f>
        <v/>
      </c>
      <c r="H329" t="n">
        <v>91.86427865339361</v>
      </c>
      <c r="I329" t="n">
        <v>751</v>
      </c>
      <c r="J329" t="n">
        <v>107</v>
      </c>
      <c r="K329" t="n">
        <v>553.0562381852552</v>
      </c>
      <c r="L329" t="n">
        <v>575.6299621928166</v>
      </c>
      <c r="M329">
        <f>2*SQRT(K329/PI())</f>
        <v/>
      </c>
      <c r="N329">
        <f>2*SQRT(L329/PI())</f>
        <v/>
      </c>
      <c r="P329" t="inlineStr">
        <is>
          <t>是</t>
        </is>
      </c>
      <c r="Q329" t="inlineStr">
        <is>
          <t>auto_pipeline;review_png_green</t>
        </is>
      </c>
      <c r="R329" t="inlineStr">
        <is>
          <t>样品6</t>
        </is>
      </c>
    </row>
    <row r="330">
      <c r="A330" t="n">
        <v>329</v>
      </c>
      <c r="B330" t="inlineStr">
        <is>
          <t>6 (14).tif</t>
        </is>
      </c>
      <c r="C330" t="inlineStr">
        <is>
          <t>6(14)-V03</t>
        </is>
      </c>
      <c r="D330" t="n">
        <v>3</v>
      </c>
      <c r="E330" t="inlineStr">
        <is>
          <t>primary</t>
        </is>
      </c>
      <c r="F330" t="n">
        <v>160.8695652173913</v>
      </c>
      <c r="G330">
        <f>2*SQRT(F330/PI())</f>
        <v/>
      </c>
      <c r="H330" t="n">
        <v>51.40234594759734</v>
      </c>
      <c r="I330" t="n">
        <v>260</v>
      </c>
      <c r="J330" t="n">
        <v>647</v>
      </c>
      <c r="K330" t="n">
        <v>157.6521739130435</v>
      </c>
      <c r="L330" t="n">
        <v>164.0869565217392</v>
      </c>
      <c r="M330">
        <f>2*SQRT(K330/PI())</f>
        <v/>
      </c>
      <c r="N330">
        <f>2*SQRT(L330/PI())</f>
        <v/>
      </c>
      <c r="P330" t="inlineStr">
        <is>
          <t>是</t>
        </is>
      </c>
      <c r="Q330" t="inlineStr">
        <is>
          <t>auto_pipeline;review_png_green</t>
        </is>
      </c>
      <c r="R330" t="inlineStr">
        <is>
          <t>样品6</t>
        </is>
      </c>
    </row>
    <row r="331">
      <c r="A331" t="n">
        <v>330</v>
      </c>
      <c r="B331" t="inlineStr">
        <is>
          <t>6 (14).tif</t>
        </is>
      </c>
      <c r="C331" t="inlineStr">
        <is>
          <t>6(14)-V04</t>
        </is>
      </c>
      <c r="D331" t="n">
        <v>4</v>
      </c>
      <c r="E331" t="inlineStr">
        <is>
          <t>primary</t>
        </is>
      </c>
      <c r="F331" t="n">
        <v>124.7400756143667</v>
      </c>
      <c r="G331">
        <f>2*SQRT(F331/PI())</f>
        <v/>
      </c>
      <c r="H331" t="n">
        <v>43.02693043066107</v>
      </c>
      <c r="I331" t="n">
        <v>739</v>
      </c>
      <c r="J331" t="n">
        <v>651</v>
      </c>
      <c r="K331" t="n">
        <v>122.2452741020794</v>
      </c>
      <c r="L331" t="n">
        <v>127.2348771266541</v>
      </c>
      <c r="M331">
        <f>2*SQRT(K331/PI())</f>
        <v/>
      </c>
      <c r="N331">
        <f>2*SQRT(L331/PI())</f>
        <v/>
      </c>
      <c r="P331" t="inlineStr">
        <is>
          <t>是</t>
        </is>
      </c>
      <c r="Q331" t="inlineStr">
        <is>
          <t>auto_pipeline;review_png_green</t>
        </is>
      </c>
      <c r="R331" t="inlineStr">
        <is>
          <t>样品6</t>
        </is>
      </c>
    </row>
    <row r="332">
      <c r="A332" t="n">
        <v>331</v>
      </c>
      <c r="B332" t="inlineStr">
        <is>
          <t>6 (14).tif</t>
        </is>
      </c>
      <c r="C332" t="inlineStr">
        <is>
          <t>6(14)-V05</t>
        </is>
      </c>
      <c r="D332" t="n">
        <v>5</v>
      </c>
      <c r="E332" t="inlineStr">
        <is>
          <t>primary</t>
        </is>
      </c>
      <c r="F332" t="n">
        <v>117.4858223062382</v>
      </c>
      <c r="G332">
        <f>2*SQRT(F332/PI())</f>
        <v/>
      </c>
      <c r="H332" t="n">
        <v>46.63253618323284</v>
      </c>
      <c r="I332" t="n">
        <v>370</v>
      </c>
      <c r="J332" t="n">
        <v>203</v>
      </c>
      <c r="K332" t="n">
        <v>115.1361058601134</v>
      </c>
      <c r="L332" t="n">
        <v>119.835538752363</v>
      </c>
      <c r="M332">
        <f>2*SQRT(K332/PI())</f>
        <v/>
      </c>
      <c r="N332">
        <f>2*SQRT(L332/PI())</f>
        <v/>
      </c>
      <c r="P332" t="inlineStr">
        <is>
          <t>是</t>
        </is>
      </c>
      <c r="Q332" t="inlineStr">
        <is>
          <t>auto_pipeline;review_png_green</t>
        </is>
      </c>
      <c r="R332" t="inlineStr">
        <is>
          <t>样品6</t>
        </is>
      </c>
    </row>
    <row r="333">
      <c r="A333" t="n">
        <v>332</v>
      </c>
      <c r="B333" t="inlineStr">
        <is>
          <t>7 (1).tif</t>
        </is>
      </c>
      <c r="C333" t="inlineStr">
        <is>
          <t>7(1)-V01</t>
        </is>
      </c>
      <c r="D333" t="n">
        <v>1</v>
      </c>
      <c r="E333" t="inlineStr">
        <is>
          <t>primary</t>
        </is>
      </c>
      <c r="F333" t="n">
        <v>1349.905482041588</v>
      </c>
      <c r="G333">
        <f>2*SQRT(F333/PI())</f>
        <v/>
      </c>
      <c r="H333" t="n">
        <v>137.5617027282715</v>
      </c>
      <c r="I333" t="n">
        <v>400</v>
      </c>
      <c r="J333" t="n">
        <v>318</v>
      </c>
      <c r="K333" t="n">
        <v>1322.907372400756</v>
      </c>
      <c r="L333" t="n">
        <v>1376.90359168242</v>
      </c>
      <c r="M333">
        <f>2*SQRT(K333/PI())</f>
        <v/>
      </c>
      <c r="N333">
        <f>2*SQRT(L333/PI())</f>
        <v/>
      </c>
      <c r="O333" t="inlineStr">
        <is>
          <t>7(1)-P01</t>
        </is>
      </c>
      <c r="P333" t="inlineStr">
        <is>
          <t>是</t>
        </is>
      </c>
      <c r="Q333" t="inlineStr">
        <is>
          <t>auto_pipeline;review_png_green</t>
        </is>
      </c>
      <c r="R333" t="inlineStr">
        <is>
          <t>样品7</t>
        </is>
      </c>
    </row>
    <row r="334">
      <c r="A334" t="n">
        <v>333</v>
      </c>
      <c r="B334" t="inlineStr">
        <is>
          <t>7 (1).tif</t>
        </is>
      </c>
      <c r="C334" t="inlineStr">
        <is>
          <t>7(1)-V02</t>
        </is>
      </c>
      <c r="D334" t="n">
        <v>2</v>
      </c>
      <c r="E334" t="inlineStr">
        <is>
          <t>primary</t>
        </is>
      </c>
      <c r="F334" t="n">
        <v>1117.958412098299</v>
      </c>
      <c r="G334">
        <f>2*SQRT(F334/PI())</f>
        <v/>
      </c>
      <c r="H334" t="n">
        <v>125.3259916927503</v>
      </c>
      <c r="I334" t="n">
        <v>594</v>
      </c>
      <c r="J334" t="n">
        <v>310</v>
      </c>
      <c r="K334" t="n">
        <v>1095.599243856333</v>
      </c>
      <c r="L334" t="n">
        <v>1140.317580340265</v>
      </c>
      <c r="M334">
        <f>2*SQRT(K334/PI())</f>
        <v/>
      </c>
      <c r="N334">
        <f>2*SQRT(L334/PI())</f>
        <v/>
      </c>
      <c r="O334" t="inlineStr">
        <is>
          <t>7(1)-P01</t>
        </is>
      </c>
      <c r="P334" t="inlineStr">
        <is>
          <t>是</t>
        </is>
      </c>
      <c r="Q334" t="inlineStr">
        <is>
          <t>auto_pipeline;review_png_green</t>
        </is>
      </c>
      <c r="R334" t="inlineStr">
        <is>
          <t>样品7</t>
        </is>
      </c>
    </row>
    <row r="335">
      <c r="A335" t="n">
        <v>334</v>
      </c>
      <c r="B335" t="inlineStr">
        <is>
          <t>7 (1).tif</t>
        </is>
      </c>
      <c r="C335" t="inlineStr">
        <is>
          <t>7(1)-V03</t>
        </is>
      </c>
      <c r="D335" t="n">
        <v>3</v>
      </c>
      <c r="E335" t="inlineStr">
        <is>
          <t>primary</t>
        </is>
      </c>
      <c r="F335" t="n">
        <v>591.8478260869565</v>
      </c>
      <c r="G335">
        <f>2*SQRT(F335/PI())</f>
        <v/>
      </c>
      <c r="H335" t="n">
        <v>102.5537510281024</v>
      </c>
      <c r="I335" t="n">
        <v>580</v>
      </c>
      <c r="J335" t="n">
        <v>629</v>
      </c>
      <c r="K335" t="n">
        <v>580.0108695652174</v>
      </c>
      <c r="L335" t="n">
        <v>603.6847826086956</v>
      </c>
      <c r="M335">
        <f>2*SQRT(K335/PI())</f>
        <v/>
      </c>
      <c r="N335">
        <f>2*SQRT(L335/PI())</f>
        <v/>
      </c>
      <c r="P335" t="inlineStr">
        <is>
          <t>是</t>
        </is>
      </c>
      <c r="Q335" t="inlineStr">
        <is>
          <t>auto_pipeline;review_png_green</t>
        </is>
      </c>
      <c r="R335" t="inlineStr">
        <is>
          <t>样品7</t>
        </is>
      </c>
    </row>
    <row r="336">
      <c r="A336" t="n">
        <v>335</v>
      </c>
      <c r="B336" t="inlineStr">
        <is>
          <t>7 (1).tif</t>
        </is>
      </c>
      <c r="C336" t="inlineStr">
        <is>
          <t>7(1)-V04</t>
        </is>
      </c>
      <c r="D336" t="n">
        <v>4</v>
      </c>
      <c r="E336" t="inlineStr">
        <is>
          <t>primary</t>
        </is>
      </c>
      <c r="F336" t="n">
        <v>488.492438563327</v>
      </c>
      <c r="G336">
        <f>2*SQRT(F336/PI())</f>
        <v/>
      </c>
      <c r="H336" t="n">
        <v>83.06313056012858</v>
      </c>
      <c r="I336" t="n">
        <v>99</v>
      </c>
      <c r="J336" t="n">
        <v>180</v>
      </c>
      <c r="K336" t="n">
        <v>478.7225897920605</v>
      </c>
      <c r="L336" t="n">
        <v>498.2622873345936</v>
      </c>
      <c r="M336">
        <f>2*SQRT(K336/PI())</f>
        <v/>
      </c>
      <c r="N336">
        <f>2*SQRT(L336/PI())</f>
        <v/>
      </c>
      <c r="P336" t="inlineStr">
        <is>
          <t>是</t>
        </is>
      </c>
      <c r="Q336" t="inlineStr">
        <is>
          <t>auto_pipeline;review_png_green</t>
        </is>
      </c>
      <c r="R336" t="inlineStr">
        <is>
          <t>样品7</t>
        </is>
      </c>
    </row>
    <row r="337">
      <c r="A337" t="n">
        <v>336</v>
      </c>
      <c r="B337" t="inlineStr">
        <is>
          <t>7 (1).tif</t>
        </is>
      </c>
      <c r="C337" t="inlineStr">
        <is>
          <t>7(1)-V05</t>
        </is>
      </c>
      <c r="D337" t="n">
        <v>5</v>
      </c>
      <c r="E337" t="inlineStr">
        <is>
          <t>primary</t>
        </is>
      </c>
      <c r="F337" t="n">
        <v>136.3421550094518</v>
      </c>
      <c r="G337">
        <f>2*SQRT(F337/PI())</f>
        <v/>
      </c>
      <c r="H337" t="n">
        <v>54.6078169864157</v>
      </c>
      <c r="I337" t="n">
        <v>817</v>
      </c>
      <c r="J337" t="n">
        <v>459</v>
      </c>
      <c r="K337" t="n">
        <v>133.6153119092628</v>
      </c>
      <c r="L337" t="n">
        <v>139.0689981096408</v>
      </c>
      <c r="M337">
        <f>2*SQRT(K337/PI())</f>
        <v/>
      </c>
      <c r="N337">
        <f>2*SQRT(L337/PI())</f>
        <v/>
      </c>
      <c r="P337" t="inlineStr">
        <is>
          <t>是</t>
        </is>
      </c>
      <c r="Q337" t="inlineStr">
        <is>
          <t>auto_pipeline;review_png_green</t>
        </is>
      </c>
      <c r="R337" t="inlineStr">
        <is>
          <t>样品7</t>
        </is>
      </c>
    </row>
    <row r="338">
      <c r="A338" t="n">
        <v>337</v>
      </c>
      <c r="B338" t="inlineStr">
        <is>
          <t>7 (1).tif</t>
        </is>
      </c>
      <c r="C338" t="inlineStr">
        <is>
          <t>7(1)-V06</t>
        </is>
      </c>
      <c r="D338" t="n">
        <v>6</v>
      </c>
      <c r="E338" t="inlineStr">
        <is>
          <t>primary</t>
        </is>
      </c>
      <c r="F338" t="n">
        <v>106.734404536862</v>
      </c>
      <c r="G338">
        <f>2*SQRT(F338/PI())</f>
        <v/>
      </c>
      <c r="H338" t="n">
        <v>41.03311022986536</v>
      </c>
      <c r="I338" t="n">
        <v>931</v>
      </c>
      <c r="J338" t="n">
        <v>64</v>
      </c>
      <c r="K338" t="n">
        <v>104.5997164461248</v>
      </c>
      <c r="L338" t="n">
        <v>108.8690926275992</v>
      </c>
      <c r="M338">
        <f>2*SQRT(K338/PI())</f>
        <v/>
      </c>
      <c r="N338">
        <f>2*SQRT(L338/PI())</f>
        <v/>
      </c>
      <c r="P338" t="inlineStr">
        <is>
          <t>是</t>
        </is>
      </c>
      <c r="Q338" t="inlineStr">
        <is>
          <t>auto_pipeline;review_png_green</t>
        </is>
      </c>
      <c r="R338" t="inlineStr">
        <is>
          <t>样品7</t>
        </is>
      </c>
    </row>
    <row r="339">
      <c r="A339" t="n">
        <v>338</v>
      </c>
      <c r="B339" t="inlineStr">
        <is>
          <t>7 (2).tif</t>
        </is>
      </c>
      <c r="C339" t="inlineStr">
        <is>
          <t>7(2)-V01</t>
        </is>
      </c>
      <c r="D339" t="n">
        <v>1</v>
      </c>
      <c r="E339" t="inlineStr">
        <is>
          <t>primary</t>
        </is>
      </c>
      <c r="F339" t="n">
        <v>1271.880907372401</v>
      </c>
      <c r="G339">
        <f>2*SQRT(F339/PI())</f>
        <v/>
      </c>
      <c r="H339" t="n">
        <v>134.4873254713805</v>
      </c>
      <c r="I339" t="n">
        <v>411</v>
      </c>
      <c r="J339" t="n">
        <v>314</v>
      </c>
      <c r="K339" t="n">
        <v>1246.443289224953</v>
      </c>
      <c r="L339" t="n">
        <v>1297.318525519849</v>
      </c>
      <c r="M339">
        <f>2*SQRT(K339/PI())</f>
        <v/>
      </c>
      <c r="N339">
        <f>2*SQRT(L339/PI())</f>
        <v/>
      </c>
      <c r="P339" t="inlineStr">
        <is>
          <t>是</t>
        </is>
      </c>
      <c r="Q339" t="inlineStr">
        <is>
          <t>auto_pipeline;review_png_green</t>
        </is>
      </c>
      <c r="R339" t="inlineStr">
        <is>
          <t>样品7</t>
        </is>
      </c>
    </row>
    <row r="340">
      <c r="A340" t="n">
        <v>339</v>
      </c>
      <c r="B340" t="inlineStr">
        <is>
          <t>7 (2).tif</t>
        </is>
      </c>
      <c r="C340" t="inlineStr">
        <is>
          <t>7(2)-V02</t>
        </is>
      </c>
      <c r="D340" t="n">
        <v>2</v>
      </c>
      <c r="E340" t="inlineStr">
        <is>
          <t>primary</t>
        </is>
      </c>
      <c r="F340" t="n">
        <v>1053.638941398866</v>
      </c>
      <c r="G340">
        <f>2*SQRT(F340/PI())</f>
        <v/>
      </c>
      <c r="H340" t="n">
        <v>122.8664898872375</v>
      </c>
      <c r="I340" t="n">
        <v>201</v>
      </c>
      <c r="J340" t="n">
        <v>538</v>
      </c>
      <c r="K340" t="n">
        <v>1032.566162570889</v>
      </c>
      <c r="L340" t="n">
        <v>1074.711720226843</v>
      </c>
      <c r="M340">
        <f>2*SQRT(K340/PI())</f>
        <v/>
      </c>
      <c r="N340">
        <f>2*SQRT(L340/PI())</f>
        <v/>
      </c>
      <c r="P340" t="inlineStr">
        <is>
          <t>是</t>
        </is>
      </c>
      <c r="Q340" t="inlineStr">
        <is>
          <t>auto_pipeline;review_png_green</t>
        </is>
      </c>
      <c r="R340" t="inlineStr">
        <is>
          <t>样品7</t>
        </is>
      </c>
    </row>
    <row r="341">
      <c r="A341" t="n">
        <v>340</v>
      </c>
      <c r="B341" t="inlineStr">
        <is>
          <t>7 (2).tif</t>
        </is>
      </c>
      <c r="C341" t="inlineStr">
        <is>
          <t>7(2)-V03</t>
        </is>
      </c>
      <c r="D341" t="n">
        <v>3</v>
      </c>
      <c r="E341" t="inlineStr">
        <is>
          <t>primary</t>
        </is>
      </c>
      <c r="F341" t="n">
        <v>1019.801512287335</v>
      </c>
      <c r="G341">
        <f>2*SQRT(F341/PI())</f>
        <v/>
      </c>
      <c r="H341" t="n">
        <v>120.1522983157116</v>
      </c>
      <c r="I341" t="n">
        <v>640</v>
      </c>
      <c r="J341" t="n">
        <v>428</v>
      </c>
      <c r="K341" t="n">
        <v>999.4054820415879</v>
      </c>
      <c r="L341" t="n">
        <v>1040.197542533081</v>
      </c>
      <c r="M341">
        <f>2*SQRT(K341/PI())</f>
        <v/>
      </c>
      <c r="N341">
        <f>2*SQRT(L341/PI())</f>
        <v/>
      </c>
      <c r="P341" t="inlineStr">
        <is>
          <t>是</t>
        </is>
      </c>
      <c r="Q341" t="inlineStr">
        <is>
          <t>auto_pipeline;review_png_green</t>
        </is>
      </c>
      <c r="R341" t="inlineStr">
        <is>
          <t>样品7</t>
        </is>
      </c>
    </row>
    <row r="342">
      <c r="A342" t="n">
        <v>341</v>
      </c>
      <c r="B342" t="inlineStr">
        <is>
          <t>7 (2).tif</t>
        </is>
      </c>
      <c r="C342" t="inlineStr">
        <is>
          <t>7(2)-V04</t>
        </is>
      </c>
      <c r="D342" t="n">
        <v>4</v>
      </c>
      <c r="E342" t="inlineStr">
        <is>
          <t>primary</t>
        </is>
      </c>
      <c r="F342" t="n">
        <v>629.6313799621928</v>
      </c>
      <c r="G342">
        <f>2*SQRT(F342/PI())</f>
        <v/>
      </c>
      <c r="H342" t="n">
        <v>97.16531691343887</v>
      </c>
      <c r="I342" t="n">
        <v>881</v>
      </c>
      <c r="J342" t="n">
        <v>156</v>
      </c>
      <c r="K342" t="n">
        <v>617.0387523629489</v>
      </c>
      <c r="L342" t="n">
        <v>642.2240075614367</v>
      </c>
      <c r="M342">
        <f>2*SQRT(K342/PI())</f>
        <v/>
      </c>
      <c r="N342">
        <f>2*SQRT(L342/PI())</f>
        <v/>
      </c>
      <c r="P342" t="inlineStr">
        <is>
          <t>是</t>
        </is>
      </c>
      <c r="Q342" t="inlineStr">
        <is>
          <t>auto_pipeline;review_png_green</t>
        </is>
      </c>
      <c r="R342" t="inlineStr">
        <is>
          <t>样品7</t>
        </is>
      </c>
    </row>
    <row r="343">
      <c r="A343" t="n">
        <v>342</v>
      </c>
      <c r="B343" t="inlineStr">
        <is>
          <t>7 (2).tif</t>
        </is>
      </c>
      <c r="C343" t="inlineStr">
        <is>
          <t>7(2)-V05</t>
        </is>
      </c>
      <c r="D343" t="n">
        <v>5</v>
      </c>
      <c r="E343" t="inlineStr">
        <is>
          <t>primary</t>
        </is>
      </c>
      <c r="F343" t="n">
        <v>298.7240075614367</v>
      </c>
      <c r="G343">
        <f>2*SQRT(F343/PI())</f>
        <v/>
      </c>
      <c r="H343" t="n">
        <v>65.01700173253599</v>
      </c>
      <c r="I343" t="n">
        <v>693</v>
      </c>
      <c r="J343" t="n">
        <v>92</v>
      </c>
      <c r="K343" t="n">
        <v>292.7495274102079</v>
      </c>
      <c r="L343" t="n">
        <v>304.6984877126654</v>
      </c>
      <c r="M343">
        <f>2*SQRT(K343/PI())</f>
        <v/>
      </c>
      <c r="N343">
        <f>2*SQRT(L343/PI())</f>
        <v/>
      </c>
      <c r="P343" t="inlineStr">
        <is>
          <t>是</t>
        </is>
      </c>
      <c r="Q343" t="inlineStr">
        <is>
          <t>auto_pipeline;review_png_green</t>
        </is>
      </c>
      <c r="R343" t="inlineStr">
        <is>
          <t>样品7</t>
        </is>
      </c>
    </row>
    <row r="344">
      <c r="A344" t="n">
        <v>343</v>
      </c>
      <c r="B344" t="inlineStr">
        <is>
          <t>7 (3).tif</t>
        </is>
      </c>
      <c r="C344" t="inlineStr">
        <is>
          <t>7(3)-V01</t>
        </is>
      </c>
      <c r="D344" t="n">
        <v>1</v>
      </c>
      <c r="E344" t="inlineStr">
        <is>
          <t>primary</t>
        </is>
      </c>
      <c r="F344" t="n">
        <v>1390.359168241966</v>
      </c>
      <c r="G344">
        <f>2*SQRT(F344/PI())</f>
        <v/>
      </c>
      <c r="H344" t="n">
        <v>141.0399635978367</v>
      </c>
      <c r="I344" t="n">
        <v>614</v>
      </c>
      <c r="J344" t="n">
        <v>321</v>
      </c>
      <c r="K344" t="n">
        <v>1362.551984877127</v>
      </c>
      <c r="L344" t="n">
        <v>1418.166351606805</v>
      </c>
      <c r="M344">
        <f>2*SQRT(K344/PI())</f>
        <v/>
      </c>
      <c r="N344">
        <f>2*SQRT(L344/PI())</f>
        <v/>
      </c>
      <c r="P344" t="inlineStr">
        <is>
          <t>是</t>
        </is>
      </c>
      <c r="Q344" t="inlineStr">
        <is>
          <t>auto_pipeline;review_png_green</t>
        </is>
      </c>
      <c r="R344" t="inlineStr">
        <is>
          <t>样品7</t>
        </is>
      </c>
    </row>
    <row r="345">
      <c r="A345" t="n">
        <v>344</v>
      </c>
      <c r="B345" t="inlineStr">
        <is>
          <t>7 (3).tif</t>
        </is>
      </c>
      <c r="C345" t="inlineStr">
        <is>
          <t>7(3)-V02</t>
        </is>
      </c>
      <c r="D345" t="n">
        <v>2</v>
      </c>
      <c r="E345" t="inlineStr">
        <is>
          <t>primary</t>
        </is>
      </c>
      <c r="F345" t="n">
        <v>147.3062381852552</v>
      </c>
      <c r="G345">
        <f>2*SQRT(F345/PI())</f>
        <v/>
      </c>
      <c r="H345" t="n">
        <v>46.84352802193683</v>
      </c>
      <c r="I345" t="n">
        <v>500</v>
      </c>
      <c r="J345" t="n">
        <v>112</v>
      </c>
      <c r="K345" t="n">
        <v>144.3601134215501</v>
      </c>
      <c r="L345" t="n">
        <v>150.2523629489603</v>
      </c>
      <c r="M345">
        <f>2*SQRT(K345/PI())</f>
        <v/>
      </c>
      <c r="N345">
        <f>2*SQRT(L345/PI())</f>
        <v/>
      </c>
      <c r="P345" t="inlineStr">
        <is>
          <t>是</t>
        </is>
      </c>
      <c r="Q345" t="inlineStr">
        <is>
          <t>auto_pipeline;review_png_green</t>
        </is>
      </c>
      <c r="R345" t="inlineStr">
        <is>
          <t>样品7</t>
        </is>
      </c>
    </row>
    <row r="346">
      <c r="A346" t="n">
        <v>345</v>
      </c>
      <c r="B346" t="inlineStr">
        <is>
          <t>7 (3).tif</t>
        </is>
      </c>
      <c r="C346" t="inlineStr">
        <is>
          <t>7(3)-V03</t>
        </is>
      </c>
      <c r="D346" t="n">
        <v>3</v>
      </c>
      <c r="E346" t="inlineStr">
        <is>
          <t>primary</t>
        </is>
      </c>
      <c r="F346" t="n">
        <v>140.9499054820416</v>
      </c>
      <c r="G346">
        <f>2*SQRT(F346/PI())</f>
        <v/>
      </c>
      <c r="H346" t="n">
        <v>45.84661792153897</v>
      </c>
      <c r="I346" t="n">
        <v>841</v>
      </c>
      <c r="J346" t="n">
        <v>366</v>
      </c>
      <c r="K346" t="n">
        <v>138.1309073724008</v>
      </c>
      <c r="L346" t="n">
        <v>143.7689035916824</v>
      </c>
      <c r="M346">
        <f>2*SQRT(K346/PI())</f>
        <v/>
      </c>
      <c r="N346">
        <f>2*SQRT(L346/PI())</f>
        <v/>
      </c>
      <c r="P346" t="inlineStr">
        <is>
          <t>是</t>
        </is>
      </c>
      <c r="Q346" t="inlineStr">
        <is>
          <t>auto_pipeline;review_png_green</t>
        </is>
      </c>
      <c r="R346" t="inlineStr">
        <is>
          <t>样品7</t>
        </is>
      </c>
    </row>
    <row r="347">
      <c r="A347" t="n">
        <v>346</v>
      </c>
      <c r="B347" t="inlineStr">
        <is>
          <t>7 (4).tif</t>
        </is>
      </c>
      <c r="C347" t="inlineStr">
        <is>
          <t>7(4)-V01</t>
        </is>
      </c>
      <c r="D347" t="n">
        <v>1</v>
      </c>
      <c r="E347" t="inlineStr">
        <is>
          <t>primary</t>
        </is>
      </c>
      <c r="F347" t="n">
        <v>1360.46786389414</v>
      </c>
      <c r="G347">
        <f>2*SQRT(F347/PI())</f>
        <v/>
      </c>
      <c r="H347" t="n">
        <v>138.8133025946825</v>
      </c>
      <c r="I347" t="n">
        <v>609</v>
      </c>
      <c r="J347" t="n">
        <v>384</v>
      </c>
      <c r="K347" t="n">
        <v>1333.258506616257</v>
      </c>
      <c r="L347" t="n">
        <v>1387.677221172023</v>
      </c>
      <c r="M347">
        <f>2*SQRT(K347/PI())</f>
        <v/>
      </c>
      <c r="N347">
        <f>2*SQRT(L347/PI())</f>
        <v/>
      </c>
      <c r="O347" t="inlineStr">
        <is>
          <t>7(4)-P01</t>
        </is>
      </c>
      <c r="P347" t="inlineStr">
        <is>
          <t>是</t>
        </is>
      </c>
      <c r="Q347" t="inlineStr">
        <is>
          <t>auto_pipeline;review_png_green</t>
        </is>
      </c>
      <c r="R347" t="inlineStr">
        <is>
          <t>样品7</t>
        </is>
      </c>
    </row>
    <row r="348">
      <c r="A348" t="n">
        <v>347</v>
      </c>
      <c r="B348" t="inlineStr">
        <is>
          <t>7 (4).tif</t>
        </is>
      </c>
      <c r="C348" t="inlineStr">
        <is>
          <t>7(4)-V02</t>
        </is>
      </c>
      <c r="D348" t="n">
        <v>2</v>
      </c>
      <c r="E348" t="inlineStr">
        <is>
          <t>primary</t>
        </is>
      </c>
      <c r="F348" t="n">
        <v>1083.790170132325</v>
      </c>
      <c r="G348">
        <f>2*SQRT(F348/PI())</f>
        <v/>
      </c>
      <c r="H348" t="n">
        <v>123.2266755726026</v>
      </c>
      <c r="I348" t="n">
        <v>440</v>
      </c>
      <c r="J348" t="n">
        <v>244</v>
      </c>
      <c r="K348" t="n">
        <v>1062.114366729679</v>
      </c>
      <c r="L348" t="n">
        <v>1105.465973534972</v>
      </c>
      <c r="M348">
        <f>2*SQRT(K348/PI())</f>
        <v/>
      </c>
      <c r="N348">
        <f>2*SQRT(L348/PI())</f>
        <v/>
      </c>
      <c r="O348" t="inlineStr">
        <is>
          <t>7(4)-P01</t>
        </is>
      </c>
      <c r="P348" t="inlineStr">
        <is>
          <t>是</t>
        </is>
      </c>
      <c r="Q348" t="inlineStr">
        <is>
          <t>auto_pipeline;review_png_green</t>
        </is>
      </c>
      <c r="R348" t="inlineStr">
        <is>
          <t>样品7</t>
        </is>
      </c>
    </row>
    <row r="349">
      <c r="A349" t="n">
        <v>348</v>
      </c>
      <c r="B349" t="inlineStr">
        <is>
          <t>7 (4).tif</t>
        </is>
      </c>
      <c r="C349" t="inlineStr">
        <is>
          <t>7(4)-V03</t>
        </is>
      </c>
      <c r="D349" t="n">
        <v>3</v>
      </c>
      <c r="E349" t="inlineStr">
        <is>
          <t>primary</t>
        </is>
      </c>
      <c r="F349" t="n">
        <v>140.9735349716446</v>
      </c>
      <c r="G349">
        <f>2*SQRT(F349/PI())</f>
        <v/>
      </c>
      <c r="H349" t="n">
        <v>46.22865257055863</v>
      </c>
      <c r="I349" t="n">
        <v>138</v>
      </c>
      <c r="J349" t="n">
        <v>141</v>
      </c>
      <c r="K349" t="n">
        <v>138.1540642722117</v>
      </c>
      <c r="L349" t="n">
        <v>143.7930056710775</v>
      </c>
      <c r="M349">
        <f>2*SQRT(K349/PI())</f>
        <v/>
      </c>
      <c r="N349">
        <f>2*SQRT(L349/PI())</f>
        <v/>
      </c>
      <c r="P349" t="inlineStr">
        <is>
          <t>是</t>
        </is>
      </c>
      <c r="Q349" t="inlineStr">
        <is>
          <t>auto_pipeline;review_png_green</t>
        </is>
      </c>
      <c r="R349" t="inlineStr">
        <is>
          <t>样品7</t>
        </is>
      </c>
    </row>
    <row r="350">
      <c r="A350" t="n">
        <v>349</v>
      </c>
      <c r="B350" t="inlineStr">
        <is>
          <t>7 (5).tif</t>
        </is>
      </c>
      <c r="C350" t="inlineStr">
        <is>
          <t>7(5)-V01</t>
        </is>
      </c>
      <c r="D350" t="n">
        <v>1</v>
      </c>
      <c r="E350" t="inlineStr">
        <is>
          <t>primary</t>
        </is>
      </c>
      <c r="F350" t="n">
        <v>1451.654064272212</v>
      </c>
      <c r="G350">
        <f>2*SQRT(F350/PI())</f>
        <v/>
      </c>
      <c r="H350" t="n">
        <v>142.8845899519713</v>
      </c>
      <c r="I350" t="n">
        <v>443</v>
      </c>
      <c r="J350" t="n">
        <v>504</v>
      </c>
      <c r="K350" t="n">
        <v>1422.620982986768</v>
      </c>
      <c r="L350" t="n">
        <v>1480.687145557656</v>
      </c>
      <c r="M350">
        <f>2*SQRT(K350/PI())</f>
        <v/>
      </c>
      <c r="N350">
        <f>2*SQRT(L350/PI())</f>
        <v/>
      </c>
      <c r="P350" t="inlineStr">
        <is>
          <t>是</t>
        </is>
      </c>
      <c r="Q350" t="inlineStr">
        <is>
          <t>auto_pipeline;review_png_green</t>
        </is>
      </c>
      <c r="R350" t="inlineStr">
        <is>
          <t>样品7</t>
        </is>
      </c>
    </row>
    <row r="351">
      <c r="A351" t="n">
        <v>350</v>
      </c>
      <c r="B351" t="inlineStr">
        <is>
          <t>7 (5).tif</t>
        </is>
      </c>
      <c r="C351" t="inlineStr">
        <is>
          <t>7(5)-V02</t>
        </is>
      </c>
      <c r="D351" t="n">
        <v>2</v>
      </c>
      <c r="E351" t="inlineStr">
        <is>
          <t>primary</t>
        </is>
      </c>
      <c r="F351" t="n">
        <v>878.2136105860113</v>
      </c>
      <c r="G351">
        <f>2*SQRT(F351/PI())</f>
        <v/>
      </c>
      <c r="H351" t="n">
        <v>111.2456543030946</v>
      </c>
      <c r="I351" t="n">
        <v>524</v>
      </c>
      <c r="J351" t="n">
        <v>224</v>
      </c>
      <c r="K351" t="n">
        <v>860.6493383742911</v>
      </c>
      <c r="L351" t="n">
        <v>895.7778827977315</v>
      </c>
      <c r="M351">
        <f>2*SQRT(K351/PI())</f>
        <v/>
      </c>
      <c r="N351">
        <f>2*SQRT(L351/PI())</f>
        <v/>
      </c>
      <c r="P351" t="inlineStr">
        <is>
          <t>是</t>
        </is>
      </c>
      <c r="Q351" t="inlineStr">
        <is>
          <t>auto_pipeline;review_png_green</t>
        </is>
      </c>
      <c r="R351" t="inlineStr">
        <is>
          <t>样品7</t>
        </is>
      </c>
    </row>
    <row r="352">
      <c r="A352" t="n">
        <v>351</v>
      </c>
      <c r="B352" t="inlineStr">
        <is>
          <t>7 (5).tif</t>
        </is>
      </c>
      <c r="C352" t="inlineStr">
        <is>
          <t>7(5)-V03</t>
        </is>
      </c>
      <c r="D352" t="n">
        <v>3</v>
      </c>
      <c r="E352" t="inlineStr">
        <is>
          <t>primary</t>
        </is>
      </c>
      <c r="F352" t="n">
        <v>153.6625708884688</v>
      </c>
      <c r="G352">
        <f>2*SQRT(F352/PI())</f>
        <v/>
      </c>
      <c r="H352" t="n">
        <v>49.93975424248239</v>
      </c>
      <c r="I352" t="n">
        <v>639</v>
      </c>
      <c r="J352" t="n">
        <v>196</v>
      </c>
      <c r="K352" t="n">
        <v>150.5893194706995</v>
      </c>
      <c r="L352" t="n">
        <v>156.7358223062382</v>
      </c>
      <c r="M352">
        <f>2*SQRT(K352/PI())</f>
        <v/>
      </c>
      <c r="N352">
        <f>2*SQRT(L352/PI())</f>
        <v/>
      </c>
      <c r="P352" t="inlineStr">
        <is>
          <t>是</t>
        </is>
      </c>
      <c r="Q352" t="inlineStr">
        <is>
          <t>auto_pipeline;review_png_green</t>
        </is>
      </c>
      <c r="R352" t="inlineStr">
        <is>
          <t>样品7</t>
        </is>
      </c>
    </row>
    <row r="353">
      <c r="A353" t="n">
        <v>352</v>
      </c>
      <c r="B353" t="inlineStr">
        <is>
          <t>7 (5).tif</t>
        </is>
      </c>
      <c r="C353" t="inlineStr">
        <is>
          <t>7(5)-V04</t>
        </is>
      </c>
      <c r="D353" t="n">
        <v>4</v>
      </c>
      <c r="E353" t="inlineStr">
        <is>
          <t>primary</t>
        </is>
      </c>
      <c r="F353" t="n">
        <v>136.3894139886579</v>
      </c>
      <c r="G353">
        <f>2*SQRT(F353/PI())</f>
        <v/>
      </c>
      <c r="H353" t="n">
        <v>52.88678661636684</v>
      </c>
      <c r="I353" t="n">
        <v>668</v>
      </c>
      <c r="J353" t="n">
        <v>259</v>
      </c>
      <c r="K353" t="n">
        <v>133.6616257088847</v>
      </c>
      <c r="L353" t="n">
        <v>139.117202268431</v>
      </c>
      <c r="M353">
        <f>2*SQRT(K353/PI())</f>
        <v/>
      </c>
      <c r="N353">
        <f>2*SQRT(L353/PI())</f>
        <v/>
      </c>
      <c r="P353" t="inlineStr">
        <is>
          <t>是</t>
        </is>
      </c>
      <c r="Q353" t="inlineStr">
        <is>
          <t>auto_pipeline;review_png_green</t>
        </is>
      </c>
      <c r="R353" t="inlineStr">
        <is>
          <t>样品7</t>
        </is>
      </c>
    </row>
    <row r="354">
      <c r="A354" t="n">
        <v>353</v>
      </c>
      <c r="B354" t="inlineStr">
        <is>
          <t>7 (5).tif</t>
        </is>
      </c>
      <c r="C354" t="inlineStr">
        <is>
          <t>7(5)-V05</t>
        </is>
      </c>
      <c r="D354" t="n">
        <v>5</v>
      </c>
      <c r="E354" t="inlineStr">
        <is>
          <t>primary</t>
        </is>
      </c>
      <c r="F354" t="n">
        <v>128.6862003780718</v>
      </c>
      <c r="G354">
        <f>2*SQRT(F354/PI())</f>
        <v/>
      </c>
      <c r="H354" t="n">
        <v>52.10461725359377</v>
      </c>
      <c r="I354" t="n">
        <v>268</v>
      </c>
      <c r="J354" t="n">
        <v>385</v>
      </c>
      <c r="K354" t="n">
        <v>126.1124763705104</v>
      </c>
      <c r="L354" t="n">
        <v>131.2599243856333</v>
      </c>
      <c r="M354">
        <f>2*SQRT(K354/PI())</f>
        <v/>
      </c>
      <c r="N354">
        <f>2*SQRT(L354/PI())</f>
        <v/>
      </c>
      <c r="P354" t="inlineStr">
        <is>
          <t>是</t>
        </is>
      </c>
      <c r="Q354" t="inlineStr">
        <is>
          <t>auto_pipeline;review_png_green</t>
        </is>
      </c>
      <c r="R354" t="inlineStr">
        <is>
          <t>样品7</t>
        </is>
      </c>
    </row>
    <row r="355">
      <c r="A355" t="n">
        <v>354</v>
      </c>
      <c r="B355" t="inlineStr">
        <is>
          <t>7 (6).tif</t>
        </is>
      </c>
      <c r="C355" t="inlineStr">
        <is>
          <t>7(6)-V01</t>
        </is>
      </c>
      <c r="D355" t="n">
        <v>1</v>
      </c>
      <c r="E355" t="inlineStr">
        <is>
          <t>primary</t>
        </is>
      </c>
      <c r="F355" t="n">
        <v>1302.622873345936</v>
      </c>
      <c r="G355">
        <f>2*SQRT(F355/PI())</f>
        <v/>
      </c>
      <c r="H355" t="n">
        <v>135.3350417251172</v>
      </c>
      <c r="I355" t="n">
        <v>561</v>
      </c>
      <c r="J355" t="n">
        <v>210</v>
      </c>
      <c r="K355" t="n">
        <v>1276.570415879017</v>
      </c>
      <c r="L355" t="n">
        <v>1328.675330812854</v>
      </c>
      <c r="M355">
        <f>2*SQRT(K355/PI())</f>
        <v/>
      </c>
      <c r="N355">
        <f>2*SQRT(L355/PI())</f>
        <v/>
      </c>
      <c r="P355" t="inlineStr">
        <is>
          <t>是</t>
        </is>
      </c>
      <c r="Q355" t="inlineStr">
        <is>
          <t>auto_pipeline;review_png_green</t>
        </is>
      </c>
      <c r="R355" t="inlineStr">
        <is>
          <t>样品7</t>
        </is>
      </c>
    </row>
    <row r="356">
      <c r="A356" t="n">
        <v>355</v>
      </c>
      <c r="B356" t="inlineStr">
        <is>
          <t>7 (6).tif</t>
        </is>
      </c>
      <c r="C356" t="inlineStr">
        <is>
          <t>7(6)-V02</t>
        </is>
      </c>
      <c r="D356" t="n">
        <v>2</v>
      </c>
      <c r="E356" t="inlineStr">
        <is>
          <t>primary</t>
        </is>
      </c>
      <c r="F356" t="n">
        <v>887.6181474480152</v>
      </c>
      <c r="G356">
        <f>2*SQRT(F356/PI())</f>
        <v/>
      </c>
      <c r="H356" t="n">
        <v>111.6058399884597</v>
      </c>
      <c r="I356" t="n">
        <v>468</v>
      </c>
      <c r="J356" t="n">
        <v>412</v>
      </c>
      <c r="K356" t="n">
        <v>869.8657844990548</v>
      </c>
      <c r="L356" t="n">
        <v>905.3705103969755</v>
      </c>
      <c r="M356">
        <f>2*SQRT(K356/PI())</f>
        <v/>
      </c>
      <c r="N356">
        <f>2*SQRT(L356/PI())</f>
        <v/>
      </c>
      <c r="P356" t="inlineStr">
        <is>
          <t>是</t>
        </is>
      </c>
      <c r="Q356" t="inlineStr">
        <is>
          <t>auto_pipeline;review_png_green</t>
        </is>
      </c>
      <c r="R356" t="inlineStr">
        <is>
          <t>样品7</t>
        </is>
      </c>
    </row>
    <row r="357">
      <c r="A357" t="n">
        <v>356</v>
      </c>
      <c r="B357" t="inlineStr">
        <is>
          <t>7 (6).tif</t>
        </is>
      </c>
      <c r="C357" t="inlineStr">
        <is>
          <t>7(6)-V03</t>
        </is>
      </c>
      <c r="D357" t="n">
        <v>3</v>
      </c>
      <c r="E357" t="inlineStr">
        <is>
          <t>primary</t>
        </is>
      </c>
      <c r="F357" t="n">
        <v>112.547258979206</v>
      </c>
      <c r="G357">
        <f>2*SQRT(F357/PI())</f>
        <v/>
      </c>
      <c r="H357" t="n">
        <v>42.87773658399996</v>
      </c>
      <c r="I357" t="n">
        <v>909</v>
      </c>
      <c r="J357" t="n">
        <v>142</v>
      </c>
      <c r="K357" t="n">
        <v>110.2963137996219</v>
      </c>
      <c r="L357" t="n">
        <v>114.7982041587902</v>
      </c>
      <c r="M357">
        <f>2*SQRT(K357/PI())</f>
        <v/>
      </c>
      <c r="N357">
        <f>2*SQRT(L357/PI())</f>
        <v/>
      </c>
      <c r="P357" t="inlineStr">
        <is>
          <t>是</t>
        </is>
      </c>
      <c r="Q357" t="inlineStr">
        <is>
          <t>auto_pipeline;review_png_green</t>
        </is>
      </c>
      <c r="R357" t="inlineStr">
        <is>
          <t>样品7</t>
        </is>
      </c>
    </row>
    <row r="358">
      <c r="A358" t="n">
        <v>357</v>
      </c>
      <c r="B358" t="inlineStr">
        <is>
          <t>7 (7).tif</t>
        </is>
      </c>
      <c r="C358" t="inlineStr">
        <is>
          <t>7(7)-V01</t>
        </is>
      </c>
      <c r="D358" t="n">
        <v>1</v>
      </c>
      <c r="E358" t="inlineStr">
        <is>
          <t>primary</t>
        </is>
      </c>
      <c r="F358" t="n">
        <v>1047.258979206049</v>
      </c>
      <c r="G358">
        <f>2*SQRT(F358/PI())</f>
        <v/>
      </c>
      <c r="H358" t="n">
        <v>121.382049218468</v>
      </c>
      <c r="I358" t="n">
        <v>419</v>
      </c>
      <c r="J358" t="n">
        <v>454</v>
      </c>
      <c r="K358" t="n">
        <v>1026.313799621928</v>
      </c>
      <c r="L358" t="n">
        <v>1068.20415879017</v>
      </c>
      <c r="M358">
        <f>2*SQRT(K358/PI())</f>
        <v/>
      </c>
      <c r="N358">
        <f>2*SQRT(L358/PI())</f>
        <v/>
      </c>
      <c r="O358" t="inlineStr">
        <is>
          <t>7(7)-P01</t>
        </is>
      </c>
      <c r="P358" t="inlineStr">
        <is>
          <t>是</t>
        </is>
      </c>
      <c r="Q358" t="inlineStr">
        <is>
          <t>auto_pipeline;review_png_green</t>
        </is>
      </c>
      <c r="R358" t="inlineStr">
        <is>
          <t>样品7</t>
        </is>
      </c>
    </row>
    <row r="359">
      <c r="A359" t="n">
        <v>358</v>
      </c>
      <c r="B359" t="inlineStr">
        <is>
          <t>7 (7).tif</t>
        </is>
      </c>
      <c r="C359" t="inlineStr">
        <is>
          <t>7(7)-V02</t>
        </is>
      </c>
      <c r="D359" t="n">
        <v>2</v>
      </c>
      <c r="E359" t="inlineStr">
        <is>
          <t>primary</t>
        </is>
      </c>
      <c r="F359" t="n">
        <v>923.133270321361</v>
      </c>
      <c r="G359">
        <f>2*SQRT(F359/PI())</f>
        <v/>
      </c>
      <c r="H359" t="n">
        <v>114.0871907576271</v>
      </c>
      <c r="I359" t="n">
        <v>514</v>
      </c>
      <c r="J359" t="n">
        <v>284</v>
      </c>
      <c r="K359" t="n">
        <v>904.6706049149337</v>
      </c>
      <c r="L359" t="n">
        <v>941.5959357277883</v>
      </c>
      <c r="M359">
        <f>2*SQRT(K359/PI())</f>
        <v/>
      </c>
      <c r="N359">
        <f>2*SQRT(L359/PI())</f>
        <v/>
      </c>
      <c r="O359" t="inlineStr">
        <is>
          <t>7(7)-P01</t>
        </is>
      </c>
      <c r="P359" t="inlineStr">
        <is>
          <t>是</t>
        </is>
      </c>
      <c r="Q359" t="inlineStr">
        <is>
          <t>auto_pipeline;review_png_green</t>
        </is>
      </c>
      <c r="R359" t="inlineStr">
        <is>
          <t>样品7</t>
        </is>
      </c>
    </row>
    <row r="360">
      <c r="A360" t="n">
        <v>359</v>
      </c>
      <c r="B360" t="inlineStr">
        <is>
          <t>7 (7).tif</t>
        </is>
      </c>
      <c r="C360" t="inlineStr">
        <is>
          <t>7(7)-V03</t>
        </is>
      </c>
      <c r="D360" t="n">
        <v>3</v>
      </c>
      <c r="E360" t="inlineStr">
        <is>
          <t>primary</t>
        </is>
      </c>
      <c r="F360" t="n">
        <v>121.4319470699433</v>
      </c>
      <c r="G360">
        <f>2*SQRT(F360/PI())</f>
        <v/>
      </c>
      <c r="H360" t="n">
        <v>44.36217725276947</v>
      </c>
      <c r="I360" t="n">
        <v>267</v>
      </c>
      <c r="J360" t="n">
        <v>454</v>
      </c>
      <c r="K360" t="n">
        <v>119.0033081285444</v>
      </c>
      <c r="L360" t="n">
        <v>123.8605860113422</v>
      </c>
      <c r="M360">
        <f>2*SQRT(K360/PI())</f>
        <v/>
      </c>
      <c r="N360">
        <f>2*SQRT(L360/PI())</f>
        <v/>
      </c>
      <c r="P360" t="inlineStr">
        <is>
          <t>是</t>
        </is>
      </c>
      <c r="Q360" t="inlineStr">
        <is>
          <t>auto_pipeline;review_png_green</t>
        </is>
      </c>
      <c r="R360" t="inlineStr">
        <is>
          <t>样品7</t>
        </is>
      </c>
    </row>
    <row r="361">
      <c r="A361" t="n">
        <v>360</v>
      </c>
      <c r="B361" t="inlineStr">
        <is>
          <t>7 (8).tif</t>
        </is>
      </c>
      <c r="C361" t="inlineStr">
        <is>
          <t>7(8)-V01</t>
        </is>
      </c>
      <c r="D361" t="n">
        <v>1</v>
      </c>
      <c r="E361" t="inlineStr">
        <is>
          <t>primary</t>
        </is>
      </c>
      <c r="F361" t="n">
        <v>627.6937618147448</v>
      </c>
      <c r="G361">
        <f>2*SQRT(F361/PI())</f>
        <v/>
      </c>
      <c r="H361" t="n">
        <v>94.55662126126497</v>
      </c>
      <c r="I361" t="n">
        <v>449</v>
      </c>
      <c r="J361" t="n">
        <v>406</v>
      </c>
      <c r="K361" t="n">
        <v>615.1398865784499</v>
      </c>
      <c r="L361" t="n">
        <v>640.2476370510396</v>
      </c>
      <c r="M361">
        <f>2*SQRT(K361/PI())</f>
        <v/>
      </c>
      <c r="N361">
        <f>2*SQRT(L361/PI())</f>
        <v/>
      </c>
      <c r="P361" t="inlineStr">
        <is>
          <t>是</t>
        </is>
      </c>
      <c r="Q361" t="inlineStr">
        <is>
          <t>auto_pipeline;review_png_green</t>
        </is>
      </c>
      <c r="R361" t="inlineStr">
        <is>
          <t>样品7</t>
        </is>
      </c>
    </row>
    <row r="362">
      <c r="A362" t="n">
        <v>361</v>
      </c>
      <c r="B362" t="inlineStr">
        <is>
          <t>8 (1).tif</t>
        </is>
      </c>
      <c r="C362" t="inlineStr">
        <is>
          <t>8(1)-V01</t>
        </is>
      </c>
      <c r="D362" t="n">
        <v>1</v>
      </c>
      <c r="E362" t="inlineStr">
        <is>
          <t>primary</t>
        </is>
      </c>
      <c r="F362" t="n">
        <v>895.0141776937618</v>
      </c>
      <c r="G362">
        <f>2*SQRT(F362/PI())</f>
        <v/>
      </c>
      <c r="H362" t="n">
        <v>112.8574398548707</v>
      </c>
      <c r="I362" t="n">
        <v>569</v>
      </c>
      <c r="J362" t="n">
        <v>319</v>
      </c>
      <c r="K362" t="n">
        <v>877.1138941398865</v>
      </c>
      <c r="L362" t="n">
        <v>912.9144612476371</v>
      </c>
      <c r="M362">
        <f>2*SQRT(K362/PI())</f>
        <v/>
      </c>
      <c r="N362">
        <f>2*SQRT(L362/PI())</f>
        <v/>
      </c>
      <c r="P362" t="inlineStr">
        <is>
          <t>是</t>
        </is>
      </c>
      <c r="Q362" t="inlineStr">
        <is>
          <t>auto_pipeline;review_png_green</t>
        </is>
      </c>
      <c r="R362" t="inlineStr">
        <is>
          <t>样品8</t>
        </is>
      </c>
    </row>
    <row r="363">
      <c r="A363" t="n">
        <v>362</v>
      </c>
      <c r="B363" t="inlineStr">
        <is>
          <t>8 (1).tif</t>
        </is>
      </c>
      <c r="C363" t="inlineStr">
        <is>
          <t>8(1)-V02</t>
        </is>
      </c>
      <c r="D363" t="n">
        <v>2</v>
      </c>
      <c r="E363" t="inlineStr">
        <is>
          <t>primary</t>
        </is>
      </c>
      <c r="F363" t="n">
        <v>837.476370510397</v>
      </c>
      <c r="G363">
        <f>2*SQRT(F363/PI())</f>
        <v/>
      </c>
      <c r="H363" t="n">
        <v>108.8916484169338</v>
      </c>
      <c r="I363" t="n">
        <v>402</v>
      </c>
      <c r="J363" t="n">
        <v>376</v>
      </c>
      <c r="K363" t="n">
        <v>820.7268431001891</v>
      </c>
      <c r="L363" t="n">
        <v>854.225897920605</v>
      </c>
      <c r="M363">
        <f>2*SQRT(K363/PI())</f>
        <v/>
      </c>
      <c r="N363">
        <f>2*SQRT(L363/PI())</f>
        <v/>
      </c>
      <c r="P363" t="inlineStr">
        <is>
          <t>是</t>
        </is>
      </c>
      <c r="Q363" t="inlineStr">
        <is>
          <t>auto_pipeline;review_png_green</t>
        </is>
      </c>
      <c r="R363" t="inlineStr">
        <is>
          <t>样品8</t>
        </is>
      </c>
    </row>
    <row r="364">
      <c r="A364" t="n">
        <v>363</v>
      </c>
      <c r="B364" t="inlineStr">
        <is>
          <t>8 (1).tif</t>
        </is>
      </c>
      <c r="C364" t="inlineStr">
        <is>
          <t>8(1)-V03</t>
        </is>
      </c>
      <c r="D364" t="n">
        <v>3</v>
      </c>
      <c r="E364" t="inlineStr">
        <is>
          <t>primary</t>
        </is>
      </c>
      <c r="F364" t="n">
        <v>174.2202268431002</v>
      </c>
      <c r="G364">
        <f>2*SQRT(F364/PI())</f>
        <v/>
      </c>
      <c r="H364" t="n">
        <v>50.29993992784749</v>
      </c>
      <c r="I364" t="n">
        <v>166</v>
      </c>
      <c r="J364" t="n">
        <v>249</v>
      </c>
      <c r="K364" t="n">
        <v>170.7358223062382</v>
      </c>
      <c r="L364" t="n">
        <v>177.7046313799622</v>
      </c>
      <c r="M364">
        <f>2*SQRT(K364/PI())</f>
        <v/>
      </c>
      <c r="N364">
        <f>2*SQRT(L364/PI())</f>
        <v/>
      </c>
      <c r="P364" t="inlineStr">
        <is>
          <t>是</t>
        </is>
      </c>
      <c r="Q364" t="inlineStr">
        <is>
          <t>auto_pipeline;review_png_green</t>
        </is>
      </c>
      <c r="R364" t="inlineStr">
        <is>
          <t>样品8</t>
        </is>
      </c>
    </row>
    <row r="365">
      <c r="A365" t="n">
        <v>364</v>
      </c>
      <c r="B365" t="inlineStr">
        <is>
          <t>8 (1).tif</t>
        </is>
      </c>
      <c r="C365" t="inlineStr">
        <is>
          <t>8(1)-V04</t>
        </is>
      </c>
      <c r="D365" t="n">
        <v>4</v>
      </c>
      <c r="E365" t="inlineStr">
        <is>
          <t>primary</t>
        </is>
      </c>
      <c r="F365" t="n">
        <v>131.2854442344045</v>
      </c>
      <c r="G365">
        <f>2*SQRT(F365/PI())</f>
        <v/>
      </c>
      <c r="H365" t="n">
        <v>43.51446099903272</v>
      </c>
      <c r="I365" t="n">
        <v>256</v>
      </c>
      <c r="J365" t="n">
        <v>238</v>
      </c>
      <c r="K365" t="n">
        <v>128.6597353497164</v>
      </c>
      <c r="L365" t="n">
        <v>133.9111531190926</v>
      </c>
      <c r="M365">
        <f>2*SQRT(K365/PI())</f>
        <v/>
      </c>
      <c r="N365">
        <f>2*SQRT(L365/PI())</f>
        <v/>
      </c>
      <c r="P365" t="inlineStr">
        <is>
          <t>是</t>
        </is>
      </c>
      <c r="Q365" t="inlineStr">
        <is>
          <t>auto_pipeline;review_png_green</t>
        </is>
      </c>
      <c r="R365" t="inlineStr">
        <is>
          <t>样品8</t>
        </is>
      </c>
    </row>
    <row r="366">
      <c r="A366" t="n">
        <v>365</v>
      </c>
      <c r="B366" t="inlineStr">
        <is>
          <t>8 (1).tif</t>
        </is>
      </c>
      <c r="C366" t="inlineStr">
        <is>
          <t>8(1)-V05</t>
        </is>
      </c>
      <c r="D366" t="n">
        <v>5</v>
      </c>
      <c r="E366" t="inlineStr">
        <is>
          <t>primary</t>
        </is>
      </c>
      <c r="F366" t="n">
        <v>114.4848771266541</v>
      </c>
      <c r="G366">
        <f>2*SQRT(F366/PI())</f>
        <v/>
      </c>
      <c r="H366" t="n">
        <v>42.00817136660866</v>
      </c>
      <c r="I366" t="n">
        <v>819</v>
      </c>
      <c r="J366" t="n">
        <v>429</v>
      </c>
      <c r="K366" t="n">
        <v>112.195179584121</v>
      </c>
      <c r="L366" t="n">
        <v>116.7745746691871</v>
      </c>
      <c r="M366">
        <f>2*SQRT(K366/PI())</f>
        <v/>
      </c>
      <c r="N366">
        <f>2*SQRT(L366/PI())</f>
        <v/>
      </c>
      <c r="P366" t="inlineStr">
        <is>
          <t>是</t>
        </is>
      </c>
      <c r="Q366" t="inlineStr">
        <is>
          <t>auto_pipeline;review_png_green</t>
        </is>
      </c>
      <c r="R366" t="inlineStr">
        <is>
          <t>样品8</t>
        </is>
      </c>
    </row>
    <row r="367">
      <c r="A367" t="n">
        <v>366</v>
      </c>
      <c r="B367" t="inlineStr">
        <is>
          <t>8 (1).tif</t>
        </is>
      </c>
      <c r="C367" t="inlineStr">
        <is>
          <t>8(1)-V06</t>
        </is>
      </c>
      <c r="D367" t="n">
        <v>6</v>
      </c>
      <c r="E367" t="inlineStr">
        <is>
          <t>primary</t>
        </is>
      </c>
      <c r="F367" t="n">
        <v>109.664461247637</v>
      </c>
      <c r="G367">
        <f>2*SQRT(F367/PI())</f>
        <v/>
      </c>
      <c r="H367" t="n">
        <v>40.41823477848716</v>
      </c>
      <c r="I367" t="n">
        <v>688</v>
      </c>
      <c r="J367" t="n">
        <v>514</v>
      </c>
      <c r="K367" t="n">
        <v>107.4711720226843</v>
      </c>
      <c r="L367" t="n">
        <v>111.8577504725898</v>
      </c>
      <c r="M367">
        <f>2*SQRT(K367/PI())</f>
        <v/>
      </c>
      <c r="N367">
        <f>2*SQRT(L367/PI())</f>
        <v/>
      </c>
      <c r="P367" t="inlineStr">
        <is>
          <t>是</t>
        </is>
      </c>
      <c r="Q367" t="inlineStr">
        <is>
          <t>auto_pipeline;review_png_green</t>
        </is>
      </c>
      <c r="R367" t="inlineStr">
        <is>
          <t>样品8</t>
        </is>
      </c>
    </row>
    <row r="368">
      <c r="A368" t="n">
        <v>367</v>
      </c>
      <c r="B368" t="inlineStr">
        <is>
          <t>8 (2).tif</t>
        </is>
      </c>
      <c r="C368" t="inlineStr">
        <is>
          <t>8(2)-V01</t>
        </is>
      </c>
      <c r="D368" t="n">
        <v>1</v>
      </c>
      <c r="E368" t="inlineStr">
        <is>
          <t>primary</t>
        </is>
      </c>
      <c r="F368" t="n">
        <v>1164.224952741021</v>
      </c>
      <c r="G368">
        <f>2*SQRT(F368/PI())</f>
        <v/>
      </c>
      <c r="H368" t="n">
        <v>132.0278236658677</v>
      </c>
      <c r="I368" t="n">
        <v>614</v>
      </c>
      <c r="J368" t="n">
        <v>339</v>
      </c>
      <c r="K368" t="n">
        <v>1140.9404536862</v>
      </c>
      <c r="L368" t="n">
        <v>1187.509451795841</v>
      </c>
      <c r="M368">
        <f>2*SQRT(K368/PI())</f>
        <v/>
      </c>
      <c r="N368">
        <f>2*SQRT(L368/PI())</f>
        <v/>
      </c>
      <c r="P368" t="inlineStr">
        <is>
          <t>是</t>
        </is>
      </c>
      <c r="Q368" t="inlineStr">
        <is>
          <t>auto_pipeline;review_png_green</t>
        </is>
      </c>
      <c r="R368" t="inlineStr">
        <is>
          <t>样品8</t>
        </is>
      </c>
    </row>
    <row r="369">
      <c r="A369" t="n">
        <v>368</v>
      </c>
      <c r="B369" t="inlineStr">
        <is>
          <t>8 (2).tif</t>
        </is>
      </c>
      <c r="C369" t="inlineStr">
        <is>
          <t>8(2)-V02</t>
        </is>
      </c>
      <c r="D369" t="n">
        <v>2</v>
      </c>
      <c r="E369" t="inlineStr">
        <is>
          <t>primary</t>
        </is>
      </c>
      <c r="F369" t="n">
        <v>1084.073724007561</v>
      </c>
      <c r="G369">
        <f>2*SQRT(F369/PI())</f>
        <v/>
      </c>
      <c r="H369" t="n">
        <v>123.2266755726026</v>
      </c>
      <c r="I369" t="n">
        <v>367</v>
      </c>
      <c r="J369" t="n">
        <v>338</v>
      </c>
      <c r="K369" t="n">
        <v>1062.39224952741</v>
      </c>
      <c r="L369" t="n">
        <v>1105.755198487713</v>
      </c>
      <c r="M369">
        <f>2*SQRT(K369/PI())</f>
        <v/>
      </c>
      <c r="N369">
        <f>2*SQRT(L369/PI())</f>
        <v/>
      </c>
      <c r="P369" t="inlineStr">
        <is>
          <t>是</t>
        </is>
      </c>
      <c r="Q369" t="inlineStr">
        <is>
          <t>auto_pipeline;review_png_green</t>
        </is>
      </c>
      <c r="R369" t="inlineStr">
        <is>
          <t>样品8</t>
        </is>
      </c>
    </row>
    <row r="370">
      <c r="A370" t="n">
        <v>369</v>
      </c>
      <c r="B370" t="inlineStr">
        <is>
          <t>8 (2).tif</t>
        </is>
      </c>
      <c r="C370" t="inlineStr">
        <is>
          <t>8(2)-V03</t>
        </is>
      </c>
      <c r="D370" t="n">
        <v>3</v>
      </c>
      <c r="E370" t="inlineStr">
        <is>
          <t>primary</t>
        </is>
      </c>
      <c r="F370" t="n">
        <v>606.6635160680529</v>
      </c>
      <c r="G370">
        <f>2*SQRT(F370/PI())</f>
        <v/>
      </c>
      <c r="H370" t="n">
        <v>94.45112534191297</v>
      </c>
      <c r="I370" t="n">
        <v>761</v>
      </c>
      <c r="J370" t="n">
        <v>128</v>
      </c>
      <c r="K370" t="n">
        <v>594.5302457466918</v>
      </c>
      <c r="L370" t="n">
        <v>618.796786389414</v>
      </c>
      <c r="M370">
        <f>2*SQRT(K370/PI())</f>
        <v/>
      </c>
      <c r="N370">
        <f>2*SQRT(L370/PI())</f>
        <v/>
      </c>
      <c r="P370" t="inlineStr">
        <is>
          <t>是</t>
        </is>
      </c>
      <c r="Q370" t="inlineStr">
        <is>
          <t>auto_pipeline;review_png_green</t>
        </is>
      </c>
      <c r="R370" t="inlineStr">
        <is>
          <t>样品8</t>
        </is>
      </c>
    </row>
    <row r="371">
      <c r="A371" t="n">
        <v>370</v>
      </c>
      <c r="B371" t="inlineStr">
        <is>
          <t>8 (2).tif</t>
        </is>
      </c>
      <c r="C371" t="inlineStr">
        <is>
          <t>8(2)-V04</t>
        </is>
      </c>
      <c r="D371" t="n">
        <v>4</v>
      </c>
      <c r="E371" t="inlineStr">
        <is>
          <t>primary</t>
        </is>
      </c>
      <c r="F371" t="n">
        <v>151.6068052930057</v>
      </c>
      <c r="G371">
        <f>2*SQRT(F371/PI())</f>
        <v/>
      </c>
      <c r="H371" t="n">
        <v>53.50166206774504</v>
      </c>
      <c r="I371" t="n">
        <v>663</v>
      </c>
      <c r="J371" t="n">
        <v>485</v>
      </c>
      <c r="K371" t="n">
        <v>148.5746691871456</v>
      </c>
      <c r="L371" t="n">
        <v>154.6389413988658</v>
      </c>
      <c r="M371">
        <f>2*SQRT(K371/PI())</f>
        <v/>
      </c>
      <c r="N371">
        <f>2*SQRT(L371/PI())</f>
        <v/>
      </c>
      <c r="P371" t="inlineStr">
        <is>
          <t>是</t>
        </is>
      </c>
      <c r="Q371" t="inlineStr">
        <is>
          <t>auto_pipeline;review_png_green</t>
        </is>
      </c>
      <c r="R371" t="inlineStr">
        <is>
          <t>样品8</t>
        </is>
      </c>
    </row>
    <row r="372">
      <c r="A372" t="n">
        <v>371</v>
      </c>
      <c r="B372" t="inlineStr">
        <is>
          <t>8 (2).tif</t>
        </is>
      </c>
      <c r="C372" t="inlineStr">
        <is>
          <t>8(2)-V05</t>
        </is>
      </c>
      <c r="D372" t="n">
        <v>5</v>
      </c>
      <c r="E372" t="inlineStr">
        <is>
          <t>primary</t>
        </is>
      </c>
      <c r="F372" t="n">
        <v>138.9886578449905</v>
      </c>
      <c r="G372">
        <f>2*SQRT(F372/PI())</f>
        <v/>
      </c>
      <c r="H372" t="n">
        <v>46.22865257055863</v>
      </c>
      <c r="I372" t="n">
        <v>860</v>
      </c>
      <c r="J372" t="n">
        <v>177</v>
      </c>
      <c r="K372" t="n">
        <v>136.2088846880907</v>
      </c>
      <c r="L372" t="n">
        <v>141.7684310018903</v>
      </c>
      <c r="M372">
        <f>2*SQRT(K372/PI())</f>
        <v/>
      </c>
      <c r="N372">
        <f>2*SQRT(L372/PI())</f>
        <v/>
      </c>
      <c r="P372" t="inlineStr">
        <is>
          <t>是</t>
        </is>
      </c>
      <c r="Q372" t="inlineStr">
        <is>
          <t>auto_pipeline;review_png_green</t>
        </is>
      </c>
      <c r="R372" t="inlineStr">
        <is>
          <t>样品8</t>
        </is>
      </c>
    </row>
    <row r="373">
      <c r="A373" t="n">
        <v>372</v>
      </c>
      <c r="B373" t="inlineStr">
        <is>
          <t>8 (3).tif</t>
        </is>
      </c>
      <c r="C373" t="inlineStr">
        <is>
          <t>8(3)-V01</t>
        </is>
      </c>
      <c r="D373" t="n">
        <v>1</v>
      </c>
      <c r="E373" t="inlineStr">
        <is>
          <t>primary</t>
        </is>
      </c>
      <c r="F373" t="n">
        <v>1168.856332703214</v>
      </c>
      <c r="G373">
        <f>2*SQRT(F373/PI())</f>
        <v/>
      </c>
      <c r="H373" t="n">
        <v>128.5495627963025</v>
      </c>
      <c r="I373" t="n">
        <v>592</v>
      </c>
      <c r="J373" t="n">
        <v>292</v>
      </c>
      <c r="K373" t="n">
        <v>1145.479206049149</v>
      </c>
      <c r="L373" t="n">
        <v>1192.233459357278</v>
      </c>
      <c r="M373">
        <f>2*SQRT(K373/PI())</f>
        <v/>
      </c>
      <c r="N373">
        <f>2*SQRT(L373/PI())</f>
        <v/>
      </c>
      <c r="P373" t="inlineStr">
        <is>
          <t>是</t>
        </is>
      </c>
      <c r="Q373" t="inlineStr">
        <is>
          <t>auto_pipeline;review_png_green</t>
        </is>
      </c>
      <c r="R373" t="inlineStr">
        <is>
          <t>样品8</t>
        </is>
      </c>
    </row>
    <row r="374">
      <c r="A374" t="n">
        <v>373</v>
      </c>
      <c r="B374" t="inlineStr">
        <is>
          <t>8 (3).tif</t>
        </is>
      </c>
      <c r="C374" t="inlineStr">
        <is>
          <t>8(3)-V02</t>
        </is>
      </c>
      <c r="D374" t="n">
        <v>2</v>
      </c>
      <c r="E374" t="inlineStr">
        <is>
          <t>primary</t>
        </is>
      </c>
      <c r="F374" t="n">
        <v>655.4820415879017</v>
      </c>
      <c r="G374">
        <f>2*SQRT(F374/PI())</f>
        <v/>
      </c>
      <c r="H374" t="n">
        <v>100.494383936343</v>
      </c>
      <c r="I374" t="n">
        <v>474</v>
      </c>
      <c r="J374" t="n">
        <v>60</v>
      </c>
      <c r="K374" t="n">
        <v>642.3724007561436</v>
      </c>
      <c r="L374" t="n">
        <v>668.5916824196597</v>
      </c>
      <c r="M374">
        <f>2*SQRT(K374/PI())</f>
        <v/>
      </c>
      <c r="N374">
        <f>2*SQRT(L374/PI())</f>
        <v/>
      </c>
      <c r="P374" t="inlineStr">
        <is>
          <t>是</t>
        </is>
      </c>
      <c r="Q374" t="inlineStr">
        <is>
          <t>auto_pipeline;review_png_green</t>
        </is>
      </c>
      <c r="R374" t="inlineStr">
        <is>
          <t>样品8</t>
        </is>
      </c>
    </row>
    <row r="375">
      <c r="A375" t="n">
        <v>374</v>
      </c>
      <c r="B375" t="inlineStr">
        <is>
          <t>8 (3).tif</t>
        </is>
      </c>
      <c r="C375" t="inlineStr">
        <is>
          <t>8(3)-V03</t>
        </is>
      </c>
      <c r="D375" t="n">
        <v>3</v>
      </c>
      <c r="E375" t="inlineStr">
        <is>
          <t>primary</t>
        </is>
      </c>
      <c r="F375" t="n">
        <v>271.2429111531191</v>
      </c>
      <c r="G375">
        <f>2*SQRT(F375/PI())</f>
        <v/>
      </c>
      <c r="H375" t="n">
        <v>68.32421979178552</v>
      </c>
      <c r="I375" t="n">
        <v>204</v>
      </c>
      <c r="J375" t="n">
        <v>574</v>
      </c>
      <c r="K375" t="n">
        <v>265.8180529300567</v>
      </c>
      <c r="L375" t="n">
        <v>276.6677693761815</v>
      </c>
      <c r="M375">
        <f>2*SQRT(K375/PI())</f>
        <v/>
      </c>
      <c r="N375">
        <f>2*SQRT(L375/PI())</f>
        <v/>
      </c>
      <c r="P375" t="inlineStr">
        <is>
          <t>是</t>
        </is>
      </c>
      <c r="Q375" t="inlineStr">
        <is>
          <t>auto_pipeline;review_png_green</t>
        </is>
      </c>
      <c r="R375" t="inlineStr">
        <is>
          <t>样品8</t>
        </is>
      </c>
    </row>
    <row r="376">
      <c r="A376" t="n">
        <v>375</v>
      </c>
      <c r="B376" t="inlineStr">
        <is>
          <t>8 (3).tif</t>
        </is>
      </c>
      <c r="C376" t="inlineStr">
        <is>
          <t>8(3)-V04</t>
        </is>
      </c>
      <c r="D376" t="n">
        <v>4</v>
      </c>
      <c r="E376" t="inlineStr">
        <is>
          <t>primary</t>
        </is>
      </c>
      <c r="F376" t="n">
        <v>206.9943289224953</v>
      </c>
      <c r="G376">
        <f>2*SQRT(F376/PI())</f>
        <v/>
      </c>
      <c r="H376" t="n">
        <v>72.15891744779503</v>
      </c>
      <c r="I376" t="n">
        <v>440</v>
      </c>
      <c r="J376" t="n">
        <v>348</v>
      </c>
      <c r="K376" t="n">
        <v>202.8544423440454</v>
      </c>
      <c r="L376" t="n">
        <v>211.1342155009452</v>
      </c>
      <c r="M376">
        <f>2*SQRT(K376/PI())</f>
        <v/>
      </c>
      <c r="N376">
        <f>2*SQRT(L376/PI())</f>
        <v/>
      </c>
      <c r="P376" t="inlineStr">
        <is>
          <t>是</t>
        </is>
      </c>
      <c r="Q376" t="inlineStr">
        <is>
          <t>auto_pipeline;review_png_green</t>
        </is>
      </c>
      <c r="R376" t="inlineStr">
        <is>
          <t>样品8</t>
        </is>
      </c>
    </row>
    <row r="377">
      <c r="A377" t="n">
        <v>376</v>
      </c>
      <c r="B377" t="inlineStr">
        <is>
          <t>8 (3).tif</t>
        </is>
      </c>
      <c r="C377" t="inlineStr">
        <is>
          <t>8(3)-V05</t>
        </is>
      </c>
      <c r="D377" t="n">
        <v>5</v>
      </c>
      <c r="E377" t="inlineStr">
        <is>
          <t>primary</t>
        </is>
      </c>
      <c r="F377" t="n">
        <v>194.5888468809074</v>
      </c>
      <c r="G377">
        <f>2*SQRT(F377/PI())</f>
        <v/>
      </c>
      <c r="H377" t="n">
        <v>52.6539458140083</v>
      </c>
      <c r="I377" t="n">
        <v>618</v>
      </c>
      <c r="J377" t="n">
        <v>58</v>
      </c>
      <c r="K377" t="n">
        <v>190.6970699432892</v>
      </c>
      <c r="L377" t="n">
        <v>198.4806238185255</v>
      </c>
      <c r="M377">
        <f>2*SQRT(K377/PI())</f>
        <v/>
      </c>
      <c r="N377">
        <f>2*SQRT(L377/PI())</f>
        <v/>
      </c>
      <c r="P377" t="inlineStr">
        <is>
          <t>是</t>
        </is>
      </c>
      <c r="Q377" t="inlineStr">
        <is>
          <t>auto_pipeline;review_png_green</t>
        </is>
      </c>
      <c r="R377" t="inlineStr">
        <is>
          <t>样品8</t>
        </is>
      </c>
    </row>
    <row r="378">
      <c r="A378" t="n">
        <v>377</v>
      </c>
      <c r="B378" t="inlineStr">
        <is>
          <t>8 (3).tif</t>
        </is>
      </c>
      <c r="C378" t="inlineStr">
        <is>
          <t>8(3)-V06</t>
        </is>
      </c>
      <c r="D378" t="n">
        <v>6</v>
      </c>
      <c r="E378" t="inlineStr">
        <is>
          <t>primary</t>
        </is>
      </c>
      <c r="F378" t="n">
        <v>156.4272211720227</v>
      </c>
      <c r="G378">
        <f>2*SQRT(F378/PI())</f>
        <v/>
      </c>
      <c r="H378" t="n">
        <v>51.08585818954136</v>
      </c>
      <c r="I378" t="n">
        <v>535</v>
      </c>
      <c r="J378" t="n">
        <v>495</v>
      </c>
      <c r="K378" t="n">
        <v>153.2986767485822</v>
      </c>
      <c r="L378" t="n">
        <v>159.5557655954631</v>
      </c>
      <c r="M378">
        <f>2*SQRT(K378/PI())</f>
        <v/>
      </c>
      <c r="N378">
        <f>2*SQRT(L378/PI())</f>
        <v/>
      </c>
      <c r="P378" t="inlineStr">
        <is>
          <t>是</t>
        </is>
      </c>
      <c r="Q378" t="inlineStr">
        <is>
          <t>auto_pipeline;review_png_green</t>
        </is>
      </c>
      <c r="R378" t="inlineStr">
        <is>
          <t>样品8</t>
        </is>
      </c>
    </row>
    <row r="379">
      <c r="A379" t="n">
        <v>378</v>
      </c>
      <c r="B379" t="inlineStr">
        <is>
          <t>8 (4).tif</t>
        </is>
      </c>
      <c r="C379" t="inlineStr">
        <is>
          <t>8(4)-V01</t>
        </is>
      </c>
      <c r="D379" t="n">
        <v>1</v>
      </c>
      <c r="E379" t="inlineStr">
        <is>
          <t>primary</t>
        </is>
      </c>
      <c r="F379" t="n">
        <v>1169.447069943289</v>
      </c>
      <c r="G379">
        <f>2*SQRT(F379/PI())</f>
        <v/>
      </c>
      <c r="H379" t="n">
        <v>128.4222179132959</v>
      </c>
      <c r="I379" t="n">
        <v>595</v>
      </c>
      <c r="J379" t="n">
        <v>252</v>
      </c>
      <c r="K379" t="n">
        <v>1146.058128544423</v>
      </c>
      <c r="L379" t="n">
        <v>1192.836011342155</v>
      </c>
      <c r="M379">
        <f>2*SQRT(K379/PI())</f>
        <v/>
      </c>
      <c r="N379">
        <f>2*SQRT(L379/PI())</f>
        <v/>
      </c>
      <c r="P379" t="inlineStr">
        <is>
          <t>是</t>
        </is>
      </c>
      <c r="Q379" t="inlineStr">
        <is>
          <t>auto_pipeline;review_png_green</t>
        </is>
      </c>
      <c r="R379" t="inlineStr">
        <is>
          <t>样品8</t>
        </is>
      </c>
    </row>
    <row r="380">
      <c r="A380" t="n">
        <v>379</v>
      </c>
      <c r="B380" t="inlineStr">
        <is>
          <t>8 (4).tif</t>
        </is>
      </c>
      <c r="C380" t="inlineStr">
        <is>
          <t>8(4)-V02</t>
        </is>
      </c>
      <c r="D380" t="n">
        <v>2</v>
      </c>
      <c r="E380" t="inlineStr">
        <is>
          <t>primary</t>
        </is>
      </c>
      <c r="F380" t="n">
        <v>870.0378071833649</v>
      </c>
      <c r="G380">
        <f>2*SQRT(F380/PI())</f>
        <v/>
      </c>
      <c r="H380" t="n">
        <v>111.2456543030946</v>
      </c>
      <c r="I380" t="n">
        <v>395</v>
      </c>
      <c r="J380" t="n">
        <v>407</v>
      </c>
      <c r="K380" t="n">
        <v>852.6370510396976</v>
      </c>
      <c r="L380" t="n">
        <v>887.4385633270322</v>
      </c>
      <c r="M380">
        <f>2*SQRT(K380/PI())</f>
        <v/>
      </c>
      <c r="N380">
        <f>2*SQRT(L380/PI())</f>
        <v/>
      </c>
      <c r="P380" t="inlineStr">
        <is>
          <t>是</t>
        </is>
      </c>
      <c r="Q380" t="inlineStr">
        <is>
          <t>auto_pipeline;review_png_green</t>
        </is>
      </c>
      <c r="R380" t="inlineStr">
        <is>
          <t>样品8</t>
        </is>
      </c>
    </row>
    <row r="381">
      <c r="A381" t="n">
        <v>380</v>
      </c>
      <c r="B381" t="inlineStr">
        <is>
          <t>8 (4).tif</t>
        </is>
      </c>
      <c r="C381" t="inlineStr">
        <is>
          <t>8(4)-V03</t>
        </is>
      </c>
      <c r="D381" t="n">
        <v>3</v>
      </c>
      <c r="E381" t="inlineStr">
        <is>
          <t>primary</t>
        </is>
      </c>
      <c r="F381" t="n">
        <v>265.8317580340264</v>
      </c>
      <c r="G381">
        <f>2*SQRT(F381/PI())</f>
        <v/>
      </c>
      <c r="H381" t="n">
        <v>62.76849176572716</v>
      </c>
      <c r="I381" t="n">
        <v>126</v>
      </c>
      <c r="J381" t="n">
        <v>392</v>
      </c>
      <c r="K381" t="n">
        <v>260.5151228733459</v>
      </c>
      <c r="L381" t="n">
        <v>271.148393194707</v>
      </c>
      <c r="M381">
        <f>2*SQRT(K381/PI())</f>
        <v/>
      </c>
      <c r="N381">
        <f>2*SQRT(L381/PI())</f>
        <v/>
      </c>
      <c r="P381" t="inlineStr">
        <is>
          <t>是</t>
        </is>
      </c>
      <c r="Q381" t="inlineStr">
        <is>
          <t>auto_pipeline;review_png_green</t>
        </is>
      </c>
      <c r="R381" t="inlineStr">
        <is>
          <t>样品8</t>
        </is>
      </c>
    </row>
    <row r="382">
      <c r="A382" t="n">
        <v>381</v>
      </c>
      <c r="B382" t="inlineStr">
        <is>
          <t>8 (4).tif</t>
        </is>
      </c>
      <c r="C382" t="inlineStr">
        <is>
          <t>8(4)-V04</t>
        </is>
      </c>
      <c r="D382" t="n">
        <v>4</v>
      </c>
      <c r="E382" t="inlineStr">
        <is>
          <t>primary</t>
        </is>
      </c>
      <c r="F382" t="n">
        <v>199.5510396975425</v>
      </c>
      <c r="G382">
        <f>2*SQRT(F382/PI())</f>
        <v/>
      </c>
      <c r="H382" t="n">
        <v>56.02671076422152</v>
      </c>
      <c r="I382" t="n">
        <v>84</v>
      </c>
      <c r="J382" t="n">
        <v>277</v>
      </c>
      <c r="K382" t="n">
        <v>195.5600189035917</v>
      </c>
      <c r="L382" t="n">
        <v>203.5420604914934</v>
      </c>
      <c r="M382">
        <f>2*SQRT(K382/PI())</f>
        <v/>
      </c>
      <c r="N382">
        <f>2*SQRT(L382/PI())</f>
        <v/>
      </c>
      <c r="P382" t="inlineStr">
        <is>
          <t>是</t>
        </is>
      </c>
      <c r="Q382" t="inlineStr">
        <is>
          <t>auto_pipeline;review_png_green</t>
        </is>
      </c>
      <c r="R382" t="inlineStr">
        <is>
          <t>样品8</t>
        </is>
      </c>
    </row>
    <row r="383">
      <c r="A383" t="n">
        <v>382</v>
      </c>
      <c r="B383" t="inlineStr">
        <is>
          <t>8 (4).tif</t>
        </is>
      </c>
      <c r="C383" t="inlineStr">
        <is>
          <t>8(4)-V05</t>
        </is>
      </c>
      <c r="D383" t="n">
        <v>5</v>
      </c>
      <c r="E383" t="inlineStr">
        <is>
          <t>primary</t>
        </is>
      </c>
      <c r="F383" t="n">
        <v>170.8175803402646</v>
      </c>
      <c r="G383">
        <f>2*SQRT(F383/PI())</f>
        <v/>
      </c>
      <c r="H383" t="n">
        <v>50.66012561321259</v>
      </c>
      <c r="I383" t="n">
        <v>237</v>
      </c>
      <c r="J383" t="n">
        <v>395</v>
      </c>
      <c r="K383" t="n">
        <v>167.4012287334593</v>
      </c>
      <c r="L383" t="n">
        <v>174.2339319470699</v>
      </c>
      <c r="M383">
        <f>2*SQRT(K383/PI())</f>
        <v/>
      </c>
      <c r="N383">
        <f>2*SQRT(L383/PI())</f>
        <v/>
      </c>
      <c r="P383" t="inlineStr">
        <is>
          <t>是</t>
        </is>
      </c>
      <c r="Q383" t="inlineStr">
        <is>
          <t>auto_pipeline;review_png_green</t>
        </is>
      </c>
      <c r="R383" t="inlineStr">
        <is>
          <t>样品8</t>
        </is>
      </c>
    </row>
    <row r="384">
      <c r="A384" t="n">
        <v>383</v>
      </c>
      <c r="B384" t="inlineStr">
        <is>
          <t>8 (5).tif</t>
        </is>
      </c>
      <c r="C384" t="inlineStr">
        <is>
          <t>8(5)-V01</t>
        </is>
      </c>
      <c r="D384" t="n">
        <v>1</v>
      </c>
      <c r="E384" t="inlineStr">
        <is>
          <t>primary</t>
        </is>
      </c>
      <c r="F384" t="n">
        <v>727.7410207939508</v>
      </c>
      <c r="G384">
        <f>2*SQRT(F384/PI())</f>
        <v/>
      </c>
      <c r="H384" t="n">
        <v>103.3140714272209</v>
      </c>
      <c r="I384" t="n">
        <v>480</v>
      </c>
      <c r="J384" t="n">
        <v>285</v>
      </c>
      <c r="K384" t="n">
        <v>713.1862003780718</v>
      </c>
      <c r="L384" t="n">
        <v>742.2958412098299</v>
      </c>
      <c r="M384">
        <f>2*SQRT(K384/PI())</f>
        <v/>
      </c>
      <c r="N384">
        <f>2*SQRT(L384/PI())</f>
        <v/>
      </c>
      <c r="P384" t="inlineStr">
        <is>
          <t>是</t>
        </is>
      </c>
      <c r="Q384" t="inlineStr">
        <is>
          <t>auto_pipeline;review_png_green</t>
        </is>
      </c>
      <c r="R384" t="inlineStr">
        <is>
          <t>样品8</t>
        </is>
      </c>
    </row>
    <row r="385">
      <c r="A385" t="n">
        <v>384</v>
      </c>
      <c r="B385" t="inlineStr">
        <is>
          <t>8 (5).tif</t>
        </is>
      </c>
      <c r="C385" t="inlineStr">
        <is>
          <t>8(5)-V02</t>
        </is>
      </c>
      <c r="D385" t="n">
        <v>2</v>
      </c>
      <c r="E385" t="inlineStr">
        <is>
          <t>primary</t>
        </is>
      </c>
      <c r="F385" t="n">
        <v>726.7485822306238</v>
      </c>
      <c r="G385">
        <f>2*SQRT(F385/PI())</f>
        <v/>
      </c>
      <c r="H385" t="n">
        <v>103.9289468785991</v>
      </c>
      <c r="I385" t="n">
        <v>827</v>
      </c>
      <c r="J385" t="n">
        <v>466</v>
      </c>
      <c r="K385" t="n">
        <v>712.2136105860113</v>
      </c>
      <c r="L385" t="n">
        <v>741.2835538752363</v>
      </c>
      <c r="M385">
        <f>2*SQRT(K385/PI())</f>
        <v/>
      </c>
      <c r="N385">
        <f>2*SQRT(L385/PI())</f>
        <v/>
      </c>
      <c r="P385" t="inlineStr">
        <is>
          <t>是</t>
        </is>
      </c>
      <c r="Q385" t="inlineStr">
        <is>
          <t>auto_pipeline;review_png_green</t>
        </is>
      </c>
      <c r="R385" t="inlineStr">
        <is>
          <t>样品8</t>
        </is>
      </c>
    </row>
    <row r="386">
      <c r="A386" t="n">
        <v>385</v>
      </c>
      <c r="B386" t="inlineStr">
        <is>
          <t>8 (5).tif</t>
        </is>
      </c>
      <c r="C386" t="inlineStr">
        <is>
          <t>8(5)-V03</t>
        </is>
      </c>
      <c r="D386" t="n">
        <v>3</v>
      </c>
      <c r="E386" t="inlineStr">
        <is>
          <t>primary</t>
        </is>
      </c>
      <c r="F386" t="n">
        <v>573.133270321361</v>
      </c>
      <c r="G386">
        <f>2*SQRT(F386/PI())</f>
        <v/>
      </c>
      <c r="H386" t="n">
        <v>90.230644137963</v>
      </c>
      <c r="I386" t="n">
        <v>498</v>
      </c>
      <c r="J386" t="n">
        <v>444</v>
      </c>
      <c r="K386" t="n">
        <v>561.6706049149337</v>
      </c>
      <c r="L386" t="n">
        <v>584.5959357277883</v>
      </c>
      <c r="M386">
        <f>2*SQRT(K386/PI())</f>
        <v/>
      </c>
      <c r="N386">
        <f>2*SQRT(L386/PI())</f>
        <v/>
      </c>
      <c r="P386" t="inlineStr">
        <is>
          <t>是</t>
        </is>
      </c>
      <c r="Q386" t="inlineStr">
        <is>
          <t>auto_pipeline;review_png_green</t>
        </is>
      </c>
      <c r="R386" t="inlineStr">
        <is>
          <t>样品8</t>
        </is>
      </c>
    </row>
    <row r="387">
      <c r="A387" t="n">
        <v>386</v>
      </c>
      <c r="B387" t="inlineStr">
        <is>
          <t>8 (5).tif</t>
        </is>
      </c>
      <c r="C387" t="inlineStr">
        <is>
          <t>8(5)-V04</t>
        </is>
      </c>
      <c r="D387" t="n">
        <v>4</v>
      </c>
      <c r="E387" t="inlineStr">
        <is>
          <t>primary</t>
        </is>
      </c>
      <c r="F387" t="n">
        <v>136.4366729678639</v>
      </c>
      <c r="G387">
        <f>2*SQRT(F387/PI())</f>
        <v/>
      </c>
      <c r="H387" t="n">
        <v>54.88060681716255</v>
      </c>
      <c r="I387" t="n">
        <v>884</v>
      </c>
      <c r="J387" t="n">
        <v>339</v>
      </c>
      <c r="K387" t="n">
        <v>133.7079395085066</v>
      </c>
      <c r="L387" t="n">
        <v>139.1654064272212</v>
      </c>
      <c r="M387">
        <f>2*SQRT(K387/PI())</f>
        <v/>
      </c>
      <c r="N387">
        <f>2*SQRT(L387/PI())</f>
        <v/>
      </c>
      <c r="P387" t="inlineStr">
        <is>
          <t>是</t>
        </is>
      </c>
      <c r="Q387" t="inlineStr">
        <is>
          <t>auto_pipeline;review_png_green</t>
        </is>
      </c>
      <c r="R387" t="inlineStr">
        <is>
          <t>样品8</t>
        </is>
      </c>
    </row>
    <row r="388">
      <c r="A388" t="n">
        <v>387</v>
      </c>
      <c r="B388" t="inlineStr">
        <is>
          <t>8 (5).tif</t>
        </is>
      </c>
      <c r="C388" t="inlineStr">
        <is>
          <t>8(5)-V05</t>
        </is>
      </c>
      <c r="D388" t="n">
        <v>5</v>
      </c>
      <c r="E388" t="inlineStr">
        <is>
          <t>primary</t>
        </is>
      </c>
      <c r="F388" t="n">
        <v>106.8998109640832</v>
      </c>
      <c r="G388">
        <f>2*SQRT(F388/PI())</f>
        <v/>
      </c>
      <c r="H388" t="n">
        <v>46.63253618323284</v>
      </c>
      <c r="I388" t="n">
        <v>933</v>
      </c>
      <c r="J388" t="n">
        <v>461</v>
      </c>
      <c r="K388" t="n">
        <v>104.7618147448015</v>
      </c>
      <c r="L388" t="n">
        <v>109.0378071833648</v>
      </c>
      <c r="M388">
        <f>2*SQRT(K388/PI())</f>
        <v/>
      </c>
      <c r="N388">
        <f>2*SQRT(L388/PI())</f>
        <v/>
      </c>
      <c r="P388" t="inlineStr">
        <is>
          <t>是</t>
        </is>
      </c>
      <c r="Q388" t="inlineStr">
        <is>
          <t>auto_pipeline;review_png_green</t>
        </is>
      </c>
      <c r="R388" t="inlineStr">
        <is>
          <t>样品8</t>
        </is>
      </c>
    </row>
    <row r="389">
      <c r="A389" t="n">
        <v>388</v>
      </c>
      <c r="B389" t="inlineStr">
        <is>
          <t>8 (6).tif</t>
        </is>
      </c>
      <c r="C389" t="inlineStr">
        <is>
          <t>8(6)-V01</t>
        </is>
      </c>
      <c r="D389" t="n">
        <v>1</v>
      </c>
      <c r="E389" t="inlineStr">
        <is>
          <t>primary</t>
        </is>
      </c>
      <c r="F389" t="n">
        <v>1231.450850661626</v>
      </c>
      <c r="G389">
        <f>2*SQRT(F389/PI())</f>
        <v/>
      </c>
      <c r="H389" t="n">
        <v>132.0059747022131</v>
      </c>
      <c r="I389" t="n">
        <v>547</v>
      </c>
      <c r="J389" t="n">
        <v>496</v>
      </c>
      <c r="K389" t="n">
        <v>1206.821833648393</v>
      </c>
      <c r="L389" t="n">
        <v>1256.079867674858</v>
      </c>
      <c r="M389">
        <f>2*SQRT(K389/PI())</f>
        <v/>
      </c>
      <c r="N389">
        <f>2*SQRT(L389/PI())</f>
        <v/>
      </c>
      <c r="P389" t="inlineStr">
        <is>
          <t>是</t>
        </is>
      </c>
      <c r="Q389" t="inlineStr">
        <is>
          <t>auto_pipeline;review_png_green</t>
        </is>
      </c>
      <c r="R389" t="inlineStr">
        <is>
          <t>样品8</t>
        </is>
      </c>
    </row>
    <row r="390">
      <c r="A390" t="n">
        <v>389</v>
      </c>
      <c r="B390" t="inlineStr">
        <is>
          <t>8 (6).tif</t>
        </is>
      </c>
      <c r="C390" t="inlineStr">
        <is>
          <t>8(6)-V02</t>
        </is>
      </c>
      <c r="D390" t="n">
        <v>2</v>
      </c>
      <c r="E390" t="inlineStr">
        <is>
          <t>primary</t>
        </is>
      </c>
      <c r="F390" t="n">
        <v>1132.277882797732</v>
      </c>
      <c r="G390">
        <f>2*SQRT(F390/PI())</f>
        <v/>
      </c>
      <c r="H390" t="n">
        <v>126.4502466761547</v>
      </c>
      <c r="I390" t="n">
        <v>394</v>
      </c>
      <c r="J390" t="n">
        <v>272</v>
      </c>
      <c r="K390" t="n">
        <v>1109.632325141777</v>
      </c>
      <c r="L390" t="n">
        <v>1154.923440453686</v>
      </c>
      <c r="M390">
        <f>2*SQRT(K390/PI())</f>
        <v/>
      </c>
      <c r="N390">
        <f>2*SQRT(L390/PI())</f>
        <v/>
      </c>
      <c r="P390" t="inlineStr">
        <is>
          <t>是</t>
        </is>
      </c>
      <c r="Q390" t="inlineStr">
        <is>
          <t>auto_pipeline;review_png_green</t>
        </is>
      </c>
      <c r="R390" t="inlineStr">
        <is>
          <t>样品8</t>
        </is>
      </c>
    </row>
    <row r="391">
      <c r="A391" t="n">
        <v>390</v>
      </c>
      <c r="B391" t="inlineStr">
        <is>
          <t>8 (7).tif</t>
        </is>
      </c>
      <c r="C391" t="inlineStr">
        <is>
          <t>8(7)-V01</t>
        </is>
      </c>
      <c r="D391" t="n">
        <v>1</v>
      </c>
      <c r="E391" t="inlineStr">
        <is>
          <t>primary</t>
        </is>
      </c>
      <c r="F391" t="n">
        <v>1348.133270321361</v>
      </c>
      <c r="G391">
        <f>2*SQRT(F391/PI())</f>
        <v/>
      </c>
      <c r="H391" t="n">
        <v>137.9437373772911</v>
      </c>
      <c r="I391" t="n">
        <v>426</v>
      </c>
      <c r="J391" t="n">
        <v>365</v>
      </c>
      <c r="K391" t="n">
        <v>1321.170604914934</v>
      </c>
      <c r="L391" t="n">
        <v>1375.095935727788</v>
      </c>
      <c r="M391">
        <f>2*SQRT(K391/PI())</f>
        <v/>
      </c>
      <c r="N391">
        <f>2*SQRT(L391/PI())</f>
        <v/>
      </c>
      <c r="O391" t="inlineStr">
        <is>
          <t>8(7)-P01</t>
        </is>
      </c>
      <c r="P391" t="inlineStr">
        <is>
          <t>是</t>
        </is>
      </c>
      <c r="Q391" t="inlineStr">
        <is>
          <t>auto_pipeline;review_png_green</t>
        </is>
      </c>
      <c r="R391" t="inlineStr">
        <is>
          <t>样品8</t>
        </is>
      </c>
    </row>
    <row r="392">
      <c r="A392" t="n">
        <v>391</v>
      </c>
      <c r="B392" t="inlineStr">
        <is>
          <t>8 (7).tif</t>
        </is>
      </c>
      <c r="C392" t="inlineStr">
        <is>
          <t>8(7)-V02</t>
        </is>
      </c>
      <c r="D392" t="n">
        <v>2</v>
      </c>
      <c r="E392" t="inlineStr">
        <is>
          <t>primary</t>
        </is>
      </c>
      <c r="F392" t="n">
        <v>1091.965973534972</v>
      </c>
      <c r="G392">
        <f>2*SQRT(F392/PI())</f>
        <v/>
      </c>
      <c r="H392" t="n">
        <v>124.0962407899939</v>
      </c>
      <c r="I392" t="n">
        <v>615</v>
      </c>
      <c r="J392" t="n">
        <v>412</v>
      </c>
      <c r="K392" t="n">
        <v>1070.126654064272</v>
      </c>
      <c r="L392" t="n">
        <v>1113.805293005671</v>
      </c>
      <c r="M392">
        <f>2*SQRT(K392/PI())</f>
        <v/>
      </c>
      <c r="N392">
        <f>2*SQRT(L392/PI())</f>
        <v/>
      </c>
      <c r="O392" t="inlineStr">
        <is>
          <t>8(7)-P01</t>
        </is>
      </c>
      <c r="P392" t="inlineStr">
        <is>
          <t>是</t>
        </is>
      </c>
      <c r="Q392" t="inlineStr">
        <is>
          <t>auto_pipeline;review_png_green</t>
        </is>
      </c>
      <c r="R392" t="inlineStr">
        <is>
          <t>样品8</t>
        </is>
      </c>
    </row>
    <row r="393">
      <c r="A393" t="n">
        <v>392</v>
      </c>
      <c r="B393" t="inlineStr">
        <is>
          <t>8 (7).tif</t>
        </is>
      </c>
      <c r="C393" t="inlineStr">
        <is>
          <t>8(7)-V03</t>
        </is>
      </c>
      <c r="D393" t="n">
        <v>3</v>
      </c>
      <c r="E393" t="inlineStr">
        <is>
          <t>primary</t>
        </is>
      </c>
      <c r="F393" t="n">
        <v>646.3846880907372</v>
      </c>
      <c r="G393">
        <f>2*SQRT(F393/PI())</f>
        <v/>
      </c>
      <c r="H393" t="n">
        <v>96.52859249840611</v>
      </c>
      <c r="I393" t="n">
        <v>183</v>
      </c>
      <c r="J393" t="n">
        <v>158</v>
      </c>
      <c r="K393" t="n">
        <v>633.4569943289224</v>
      </c>
      <c r="L393" t="n">
        <v>659.312381852552</v>
      </c>
      <c r="M393">
        <f>2*SQRT(K393/PI())</f>
        <v/>
      </c>
      <c r="N393">
        <f>2*SQRT(L393/PI())</f>
        <v/>
      </c>
      <c r="P393" t="inlineStr">
        <is>
          <t>是</t>
        </is>
      </c>
      <c r="Q393" t="inlineStr">
        <is>
          <t>auto_pipeline;review_png_green</t>
        </is>
      </c>
      <c r="R393" t="inlineStr">
        <is>
          <t>样品8</t>
        </is>
      </c>
    </row>
    <row r="394">
      <c r="A394" t="n">
        <v>393</v>
      </c>
      <c r="B394" t="inlineStr">
        <is>
          <t>8 (7).tif</t>
        </is>
      </c>
      <c r="C394" t="inlineStr">
        <is>
          <t>8(7)-V04</t>
        </is>
      </c>
      <c r="D394" t="n">
        <v>4</v>
      </c>
      <c r="E394" t="inlineStr">
        <is>
          <t>primary</t>
        </is>
      </c>
      <c r="F394" t="n">
        <v>140.359168241966</v>
      </c>
      <c r="G394">
        <f>2*SQRT(F394/PI())</f>
        <v/>
      </c>
      <c r="H394" t="n">
        <v>47.20371370730193</v>
      </c>
      <c r="I394" t="n">
        <v>39</v>
      </c>
      <c r="J394" t="n">
        <v>51</v>
      </c>
      <c r="K394" t="n">
        <v>137.5519848771266</v>
      </c>
      <c r="L394" t="n">
        <v>143.1663516068053</v>
      </c>
      <c r="M394">
        <f>2*SQRT(K394/PI())</f>
        <v/>
      </c>
      <c r="N394">
        <f>2*SQRT(L394/PI())</f>
        <v/>
      </c>
      <c r="P394" t="inlineStr">
        <is>
          <t>是</t>
        </is>
      </c>
      <c r="Q394" t="inlineStr">
        <is>
          <t>auto_pipeline;review_png_green</t>
        </is>
      </c>
      <c r="R394" t="inlineStr">
        <is>
          <t>样品8</t>
        </is>
      </c>
    </row>
    <row r="395">
      <c r="A395" t="n">
        <v>394</v>
      </c>
      <c r="B395" t="inlineStr">
        <is>
          <t>8 (8).tif</t>
        </is>
      </c>
      <c r="C395" t="inlineStr">
        <is>
          <t>8(8)-V01</t>
        </is>
      </c>
      <c r="D395" t="n">
        <v>1</v>
      </c>
      <c r="E395" t="inlineStr">
        <is>
          <t>primary</t>
        </is>
      </c>
      <c r="F395" t="n">
        <v>1292.414933837429</v>
      </c>
      <c r="G395">
        <f>2*SQRT(F395/PI())</f>
        <v/>
      </c>
      <c r="H395" t="n">
        <v>134.9748560397521</v>
      </c>
      <c r="I395" t="n">
        <v>538</v>
      </c>
      <c r="J395" t="n">
        <v>260</v>
      </c>
      <c r="K395" t="n">
        <v>1266.566635160681</v>
      </c>
      <c r="L395" t="n">
        <v>1318.263232514178</v>
      </c>
      <c r="M395">
        <f>2*SQRT(K395/PI())</f>
        <v/>
      </c>
      <c r="N395">
        <f>2*SQRT(L395/PI())</f>
        <v/>
      </c>
      <c r="P395" t="inlineStr">
        <is>
          <t>是</t>
        </is>
      </c>
      <c r="Q395" t="inlineStr">
        <is>
          <t>auto_pipeline;review_png_green</t>
        </is>
      </c>
      <c r="R395" t="inlineStr">
        <is>
          <t>样品8</t>
        </is>
      </c>
    </row>
    <row r="396">
      <c r="A396" t="n">
        <v>395</v>
      </c>
      <c r="B396" t="inlineStr">
        <is>
          <t>8 (8).tif</t>
        </is>
      </c>
      <c r="C396" t="inlineStr">
        <is>
          <t>8(8)-V02</t>
        </is>
      </c>
      <c r="D396" t="n">
        <v>2</v>
      </c>
      <c r="E396" t="inlineStr">
        <is>
          <t>primary</t>
        </is>
      </c>
      <c r="F396" t="n">
        <v>843.7381852551985</v>
      </c>
      <c r="G396">
        <f>2*SQRT(F396/PI())</f>
        <v/>
      </c>
      <c r="H396" t="n">
        <v>109.0189932999403</v>
      </c>
      <c r="I396" t="n">
        <v>392</v>
      </c>
      <c r="J396" t="n">
        <v>428</v>
      </c>
      <c r="K396" t="n">
        <v>826.8634215500945</v>
      </c>
      <c r="L396" t="n">
        <v>860.6129489603024</v>
      </c>
      <c r="M396">
        <f>2*SQRT(K396/PI())</f>
        <v/>
      </c>
      <c r="N396">
        <f>2*SQRT(L396/PI())</f>
        <v/>
      </c>
      <c r="P396" t="inlineStr">
        <is>
          <t>是</t>
        </is>
      </c>
      <c r="Q396" t="inlineStr">
        <is>
          <t>auto_pipeline;review_png_green</t>
        </is>
      </c>
      <c r="R396" t="inlineStr">
        <is>
          <t>样品8</t>
        </is>
      </c>
    </row>
    <row r="397">
      <c r="A397" t="n">
        <v>396</v>
      </c>
      <c r="B397" t="inlineStr">
        <is>
          <t>8 (8).tif</t>
        </is>
      </c>
      <c r="C397" t="inlineStr">
        <is>
          <t>8(8)-V03</t>
        </is>
      </c>
      <c r="D397" t="n">
        <v>3</v>
      </c>
      <c r="E397" t="inlineStr">
        <is>
          <t>primary</t>
        </is>
      </c>
      <c r="F397" t="n">
        <v>409.4990548204159</v>
      </c>
      <c r="G397">
        <f>2*SQRT(F397/PI())</f>
        <v/>
      </c>
      <c r="H397" t="n">
        <v>78.01678206609643</v>
      </c>
      <c r="I397" t="n">
        <v>633</v>
      </c>
      <c r="J397" t="n">
        <v>378</v>
      </c>
      <c r="K397" t="n">
        <v>401.3090737240076</v>
      </c>
      <c r="L397" t="n">
        <v>417.6890359168242</v>
      </c>
      <c r="M397">
        <f>2*SQRT(K397/PI())</f>
        <v/>
      </c>
      <c r="N397">
        <f>2*SQRT(L397/PI())</f>
        <v/>
      </c>
      <c r="P397" t="inlineStr">
        <is>
          <t>是</t>
        </is>
      </c>
      <c r="Q397" t="inlineStr">
        <is>
          <t>auto_pipeline;review_png_green</t>
        </is>
      </c>
      <c r="R397" t="inlineStr">
        <is>
          <t>样品8</t>
        </is>
      </c>
    </row>
    <row r="398">
      <c r="A398" t="n">
        <v>397</v>
      </c>
      <c r="B398" t="inlineStr">
        <is>
          <t>8 (8).tif</t>
        </is>
      </c>
      <c r="C398" t="inlineStr">
        <is>
          <t>8(8)-V04</t>
        </is>
      </c>
      <c r="D398" t="n">
        <v>4</v>
      </c>
      <c r="E398" t="inlineStr">
        <is>
          <t>primary</t>
        </is>
      </c>
      <c r="F398" t="n">
        <v>121.4792060491493</v>
      </c>
      <c r="G398">
        <f>2*SQRT(F398/PI())</f>
        <v/>
      </c>
      <c r="H398" t="n">
        <v>44.36217725276947</v>
      </c>
      <c r="I398" t="n">
        <v>247</v>
      </c>
      <c r="J398" t="n">
        <v>434</v>
      </c>
      <c r="K398" t="n">
        <v>119.0496219281663</v>
      </c>
      <c r="L398" t="n">
        <v>123.9087901701323</v>
      </c>
      <c r="M398">
        <f>2*SQRT(K398/PI())</f>
        <v/>
      </c>
      <c r="N398">
        <f>2*SQRT(L398/PI())</f>
        <v/>
      </c>
      <c r="P398" t="inlineStr">
        <is>
          <t>是</t>
        </is>
      </c>
      <c r="Q398" t="inlineStr">
        <is>
          <t>auto_pipeline;review_png_green</t>
        </is>
      </c>
      <c r="R398" t="inlineStr">
        <is>
          <t>样品8</t>
        </is>
      </c>
    </row>
    <row r="399">
      <c r="A399" t="n">
        <v>398</v>
      </c>
      <c r="B399" t="inlineStr">
        <is>
          <t>9 (1).tif</t>
        </is>
      </c>
      <c r="C399" t="inlineStr">
        <is>
          <t>9(1)-V01</t>
        </is>
      </c>
      <c r="D399" t="n">
        <v>1</v>
      </c>
      <c r="E399" t="inlineStr">
        <is>
          <t>primary</t>
        </is>
      </c>
      <c r="F399" t="n">
        <v>1277.882797731569</v>
      </c>
      <c r="G399">
        <f>2*SQRT(F399/PI())</f>
        <v/>
      </c>
      <c r="H399" t="n">
        <v>135.7170763741369</v>
      </c>
      <c r="I399" t="n">
        <v>556</v>
      </c>
      <c r="J399" t="n">
        <v>502</v>
      </c>
      <c r="K399" t="n">
        <v>1252.325141776938</v>
      </c>
      <c r="L399" t="n">
        <v>1303.4404536862</v>
      </c>
      <c r="M399">
        <f>2*SQRT(K399/PI())</f>
        <v/>
      </c>
      <c r="N399">
        <f>2*SQRT(L399/PI())</f>
        <v/>
      </c>
      <c r="P399" t="inlineStr">
        <is>
          <t>是</t>
        </is>
      </c>
      <c r="Q399" t="inlineStr">
        <is>
          <t>auto_pipeline;review_png_green</t>
        </is>
      </c>
      <c r="R399" t="inlineStr">
        <is>
          <t>样品9</t>
        </is>
      </c>
    </row>
    <row r="400">
      <c r="A400" t="n">
        <v>399</v>
      </c>
      <c r="B400" t="inlineStr">
        <is>
          <t>9 (1).tif</t>
        </is>
      </c>
      <c r="C400" t="inlineStr">
        <is>
          <t>9(1)-V02</t>
        </is>
      </c>
      <c r="D400" t="n">
        <v>2</v>
      </c>
      <c r="E400" t="inlineStr">
        <is>
          <t>primary</t>
        </is>
      </c>
      <c r="F400" t="n">
        <v>1194.706994328923</v>
      </c>
      <c r="G400">
        <f>2*SQRT(F400/PI())</f>
        <v/>
      </c>
      <c r="H400" t="n">
        <v>129.7793136990589</v>
      </c>
      <c r="I400" t="n">
        <v>442</v>
      </c>
      <c r="J400" t="n">
        <v>304</v>
      </c>
      <c r="K400" t="n">
        <v>1170.812854442344</v>
      </c>
      <c r="L400" t="n">
        <v>1218.601134215501</v>
      </c>
      <c r="M400">
        <f>2*SQRT(K400/PI())</f>
        <v/>
      </c>
      <c r="N400">
        <f>2*SQRT(L400/PI())</f>
        <v/>
      </c>
      <c r="P400" t="inlineStr">
        <is>
          <t>是</t>
        </is>
      </c>
      <c r="Q400" t="inlineStr">
        <is>
          <t>auto_pipeline;review_png_green</t>
        </is>
      </c>
      <c r="R400" t="inlineStr">
        <is>
          <t>样品9</t>
        </is>
      </c>
    </row>
    <row r="401">
      <c r="A401" t="n">
        <v>400</v>
      </c>
      <c r="B401" t="inlineStr">
        <is>
          <t>9 (2).tif</t>
        </is>
      </c>
      <c r="C401" t="inlineStr">
        <is>
          <t>9(2)-V01</t>
        </is>
      </c>
      <c r="D401" t="n">
        <v>1</v>
      </c>
      <c r="E401" t="inlineStr">
        <is>
          <t>primary</t>
        </is>
      </c>
      <c r="F401" t="n">
        <v>820.4158790170133</v>
      </c>
      <c r="G401">
        <f>2*SQRT(F401/PI())</f>
        <v/>
      </c>
      <c r="H401" t="n">
        <v>107.4072077481643</v>
      </c>
      <c r="I401" t="n">
        <v>573</v>
      </c>
      <c r="J401" t="n">
        <v>435</v>
      </c>
      <c r="K401" t="n">
        <v>804.007561436673</v>
      </c>
      <c r="L401" t="n">
        <v>836.8241965973535</v>
      </c>
      <c r="M401">
        <f>2*SQRT(K401/PI())</f>
        <v/>
      </c>
      <c r="N401">
        <f>2*SQRT(L401/PI())</f>
        <v/>
      </c>
      <c r="P401" t="inlineStr">
        <is>
          <t>是</t>
        </is>
      </c>
      <c r="Q401" t="inlineStr">
        <is>
          <t>auto_pipeline;review_png_green</t>
        </is>
      </c>
      <c r="R401" t="inlineStr">
        <is>
          <t>样品9</t>
        </is>
      </c>
    </row>
    <row r="402">
      <c r="A402" t="n">
        <v>401</v>
      </c>
      <c r="B402" t="inlineStr">
        <is>
          <t>9 (2).tif</t>
        </is>
      </c>
      <c r="C402" t="inlineStr">
        <is>
          <t>9(2)-V02</t>
        </is>
      </c>
      <c r="D402" t="n">
        <v>2</v>
      </c>
      <c r="E402" t="inlineStr">
        <is>
          <t>primary</t>
        </is>
      </c>
      <c r="F402" t="n">
        <v>232.2778827977316</v>
      </c>
      <c r="G402">
        <f>2*SQRT(F402/PI())</f>
        <v/>
      </c>
      <c r="H402" t="n">
        <v>61.17855517760567</v>
      </c>
      <c r="I402" t="n">
        <v>834</v>
      </c>
      <c r="J402" t="n">
        <v>67</v>
      </c>
      <c r="K402" t="n">
        <v>227.6323251417769</v>
      </c>
      <c r="L402" t="n">
        <v>236.9234404536862</v>
      </c>
      <c r="M402">
        <f>2*SQRT(K402/PI())</f>
        <v/>
      </c>
      <c r="N402">
        <f>2*SQRT(L402/PI())</f>
        <v/>
      </c>
      <c r="P402" t="inlineStr">
        <is>
          <t>是</t>
        </is>
      </c>
      <c r="Q402" t="inlineStr">
        <is>
          <t>auto_pipeline;review_png_green</t>
        </is>
      </c>
      <c r="R402" t="inlineStr">
        <is>
          <t>样品9</t>
        </is>
      </c>
    </row>
    <row r="403">
      <c r="A403" t="n">
        <v>402</v>
      </c>
      <c r="B403" t="inlineStr">
        <is>
          <t>9 (2).tif</t>
        </is>
      </c>
      <c r="C403" t="inlineStr">
        <is>
          <t>9(2)-V03</t>
        </is>
      </c>
      <c r="D403" t="n">
        <v>3</v>
      </c>
      <c r="E403" t="inlineStr">
        <is>
          <t>primary</t>
        </is>
      </c>
      <c r="F403" t="n">
        <v>187.3345935727788</v>
      </c>
      <c r="G403">
        <f>2*SQRT(F403/PI())</f>
        <v/>
      </c>
      <c r="H403" t="n">
        <v>52.52660093100175</v>
      </c>
      <c r="I403" t="n">
        <v>701</v>
      </c>
      <c r="J403" t="n">
        <v>437</v>
      </c>
      <c r="K403" t="n">
        <v>183.5879017013233</v>
      </c>
      <c r="L403" t="n">
        <v>191.0812854442344</v>
      </c>
      <c r="M403">
        <f>2*SQRT(K403/PI())</f>
        <v/>
      </c>
      <c r="N403">
        <f>2*SQRT(L403/PI())</f>
        <v/>
      </c>
      <c r="P403" t="inlineStr">
        <is>
          <t>是</t>
        </is>
      </c>
      <c r="Q403" t="inlineStr">
        <is>
          <t>auto_pipeline;review_png_green</t>
        </is>
      </c>
      <c r="R403" t="inlineStr">
        <is>
          <t>样品9</t>
        </is>
      </c>
    </row>
    <row r="404">
      <c r="A404" t="n">
        <v>403</v>
      </c>
      <c r="B404" t="inlineStr">
        <is>
          <t>9 (2).tif</t>
        </is>
      </c>
      <c r="C404" t="inlineStr">
        <is>
          <t>9(2)-V04</t>
        </is>
      </c>
      <c r="D404" t="n">
        <v>4</v>
      </c>
      <c r="E404" t="inlineStr">
        <is>
          <t>primary</t>
        </is>
      </c>
      <c r="F404" t="n">
        <v>160.0897920604915</v>
      </c>
      <c r="G404">
        <f>2*SQRT(F404/PI())</f>
        <v/>
      </c>
      <c r="H404" t="n">
        <v>47.58574835632158</v>
      </c>
      <c r="I404" t="n">
        <v>277</v>
      </c>
      <c r="J404" t="n">
        <v>171</v>
      </c>
      <c r="K404" t="n">
        <v>156.8879962192817</v>
      </c>
      <c r="L404" t="n">
        <v>163.2915879017013</v>
      </c>
      <c r="M404">
        <f>2*SQRT(K404/PI())</f>
        <v/>
      </c>
      <c r="N404">
        <f>2*SQRT(L404/PI())</f>
        <v/>
      </c>
      <c r="P404" t="inlineStr">
        <is>
          <t>是</t>
        </is>
      </c>
      <c r="Q404" t="inlineStr">
        <is>
          <t>auto_pipeline;review_png_green</t>
        </is>
      </c>
      <c r="R404" t="inlineStr">
        <is>
          <t>样品9</t>
        </is>
      </c>
    </row>
    <row r="405">
      <c r="A405" t="n">
        <v>404</v>
      </c>
      <c r="B405" t="inlineStr">
        <is>
          <t>9 (3).tif</t>
        </is>
      </c>
      <c r="C405" t="inlineStr">
        <is>
          <t>9(3)-V01</t>
        </is>
      </c>
      <c r="D405" t="n">
        <v>1</v>
      </c>
      <c r="E405" t="inlineStr">
        <is>
          <t>primary</t>
        </is>
      </c>
      <c r="F405" t="n">
        <v>1081.049149338374</v>
      </c>
      <c r="G405">
        <f>2*SQRT(F405/PI())</f>
        <v/>
      </c>
      <c r="H405" t="n">
        <v>123.4813653386157</v>
      </c>
      <c r="I405" t="n">
        <v>413</v>
      </c>
      <c r="J405" t="n">
        <v>319</v>
      </c>
      <c r="K405" t="n">
        <v>1059.428166351607</v>
      </c>
      <c r="L405" t="n">
        <v>1102.670132325142</v>
      </c>
      <c r="M405">
        <f>2*SQRT(K405/PI())</f>
        <v/>
      </c>
      <c r="N405">
        <f>2*SQRT(L405/PI())</f>
        <v/>
      </c>
      <c r="O405" t="inlineStr">
        <is>
          <t>9(3)-P01</t>
        </is>
      </c>
      <c r="P405" t="inlineStr">
        <is>
          <t>是</t>
        </is>
      </c>
      <c r="Q405" t="inlineStr">
        <is>
          <t>auto_pipeline;review_png_green</t>
        </is>
      </c>
      <c r="R405" t="inlineStr">
        <is>
          <t>样品9</t>
        </is>
      </c>
    </row>
    <row r="406">
      <c r="A406" t="n">
        <v>405</v>
      </c>
      <c r="B406" t="inlineStr">
        <is>
          <t>9 (3).tif</t>
        </is>
      </c>
      <c r="C406" t="inlineStr">
        <is>
          <t>9(3)-V02</t>
        </is>
      </c>
      <c r="D406" t="n">
        <v>2</v>
      </c>
      <c r="E406" t="inlineStr">
        <is>
          <t>primary</t>
        </is>
      </c>
      <c r="F406" t="n">
        <v>695.7939508506616</v>
      </c>
      <c r="G406">
        <f>2*SQRT(F406/PI())</f>
        <v/>
      </c>
      <c r="H406" t="n">
        <v>98.75525350156038</v>
      </c>
      <c r="I406" t="n">
        <v>589</v>
      </c>
      <c r="J406" t="n">
        <v>376</v>
      </c>
      <c r="K406" t="n">
        <v>681.8780718336484</v>
      </c>
      <c r="L406" t="n">
        <v>709.7098298676749</v>
      </c>
      <c r="M406">
        <f>2*SQRT(K406/PI())</f>
        <v/>
      </c>
      <c r="N406">
        <f>2*SQRT(L406/PI())</f>
        <v/>
      </c>
      <c r="O406" t="inlineStr">
        <is>
          <t>9(3)-P01</t>
        </is>
      </c>
      <c r="P406" t="inlineStr">
        <is>
          <t>是</t>
        </is>
      </c>
      <c r="Q406" t="inlineStr">
        <is>
          <t>auto_pipeline;review_png_green</t>
        </is>
      </c>
      <c r="R406" t="inlineStr">
        <is>
          <t>样品9</t>
        </is>
      </c>
    </row>
    <row r="407">
      <c r="A407" t="n">
        <v>406</v>
      </c>
      <c r="B407" t="inlineStr">
        <is>
          <t>9 (3).tif</t>
        </is>
      </c>
      <c r="C407" t="inlineStr">
        <is>
          <t>9(3)-V03</t>
        </is>
      </c>
      <c r="D407" t="n">
        <v>3</v>
      </c>
      <c r="E407" t="inlineStr">
        <is>
          <t>primary</t>
        </is>
      </c>
      <c r="F407" t="n">
        <v>509.569943289225</v>
      </c>
      <c r="G407">
        <f>2*SQRT(F407/PI())</f>
        <v/>
      </c>
      <c r="H407" t="n">
        <v>85.67182621230249</v>
      </c>
      <c r="I407" t="n">
        <v>919</v>
      </c>
      <c r="J407" t="n">
        <v>258</v>
      </c>
      <c r="K407" t="n">
        <v>499.3785444234405</v>
      </c>
      <c r="L407" t="n">
        <v>519.7613421550095</v>
      </c>
      <c r="M407">
        <f>2*SQRT(K407/PI())</f>
        <v/>
      </c>
      <c r="N407">
        <f>2*SQRT(L407/PI())</f>
        <v/>
      </c>
      <c r="P407" t="inlineStr">
        <is>
          <t>是</t>
        </is>
      </c>
      <c r="Q407" t="inlineStr">
        <is>
          <t>auto_pipeline;review_png_green</t>
        </is>
      </c>
      <c r="R407" t="inlineStr">
        <is>
          <t>样品9</t>
        </is>
      </c>
    </row>
    <row r="408">
      <c r="A408" t="n">
        <v>407</v>
      </c>
      <c r="B408" t="inlineStr">
        <is>
          <t>9 (3).tif</t>
        </is>
      </c>
      <c r="C408" t="inlineStr">
        <is>
          <t>9(3)-V04</t>
        </is>
      </c>
      <c r="D408" t="n">
        <v>4</v>
      </c>
      <c r="E408" t="inlineStr">
        <is>
          <t>primary</t>
        </is>
      </c>
      <c r="F408" t="n">
        <v>303.4026465028355</v>
      </c>
      <c r="G408">
        <f>2*SQRT(F408/PI())</f>
        <v/>
      </c>
      <c r="H408" t="n">
        <v>65.63187718391418</v>
      </c>
      <c r="I408" t="n">
        <v>688</v>
      </c>
      <c r="J408" t="n">
        <v>81</v>
      </c>
      <c r="K408" t="n">
        <v>297.3345935727788</v>
      </c>
      <c r="L408" t="n">
        <v>309.4706994328922</v>
      </c>
      <c r="M408">
        <f>2*SQRT(K408/PI())</f>
        <v/>
      </c>
      <c r="N408">
        <f>2*SQRT(L408/PI())</f>
        <v/>
      </c>
      <c r="P408" t="inlineStr">
        <is>
          <t>是</t>
        </is>
      </c>
      <c r="Q408" t="inlineStr">
        <is>
          <t>auto_pipeline;review_png_green</t>
        </is>
      </c>
      <c r="R408" t="inlineStr">
        <is>
          <t>样品9</t>
        </is>
      </c>
    </row>
    <row r="409">
      <c r="A409" t="n">
        <v>408</v>
      </c>
      <c r="B409" t="inlineStr">
        <is>
          <t>9 (3).tif</t>
        </is>
      </c>
      <c r="C409" t="inlineStr">
        <is>
          <t>9(3)-V05</t>
        </is>
      </c>
      <c r="D409" t="n">
        <v>5</v>
      </c>
      <c r="E409" t="inlineStr">
        <is>
          <t>primary</t>
        </is>
      </c>
      <c r="F409" t="n">
        <v>124.1965973534972</v>
      </c>
      <c r="G409">
        <f>2*SQRT(F409/PI())</f>
        <v/>
      </c>
      <c r="H409" t="n">
        <v>44.27853029707204</v>
      </c>
      <c r="I409" t="n">
        <v>115</v>
      </c>
      <c r="J409" t="n">
        <v>382</v>
      </c>
      <c r="K409" t="n">
        <v>121.7126654064272</v>
      </c>
      <c r="L409" t="n">
        <v>126.6805293005671</v>
      </c>
      <c r="M409">
        <f>2*SQRT(K409/PI())</f>
        <v/>
      </c>
      <c r="N409">
        <f>2*SQRT(L409/PI())</f>
        <v/>
      </c>
      <c r="P409" t="inlineStr">
        <is>
          <t>是</t>
        </is>
      </c>
      <c r="Q409" t="inlineStr">
        <is>
          <t>auto_pipeline;review_png_green</t>
        </is>
      </c>
      <c r="R409" t="inlineStr">
        <is>
          <t>样品9</t>
        </is>
      </c>
    </row>
    <row r="410">
      <c r="A410" t="n">
        <v>409</v>
      </c>
      <c r="B410" t="inlineStr">
        <is>
          <t>9 (3).tif</t>
        </is>
      </c>
      <c r="C410" t="inlineStr">
        <is>
          <t>9(3)-V06</t>
        </is>
      </c>
      <c r="D410" t="n">
        <v>6</v>
      </c>
      <c r="E410" t="inlineStr">
        <is>
          <t>primary</t>
        </is>
      </c>
      <c r="F410" t="n">
        <v>117.6748582230624</v>
      </c>
      <c r="G410">
        <f>2*SQRT(F410/PI())</f>
        <v/>
      </c>
      <c r="H410" t="n">
        <v>46.94902394128882</v>
      </c>
      <c r="I410" t="n">
        <v>177</v>
      </c>
      <c r="J410" t="n">
        <v>456</v>
      </c>
      <c r="K410" t="n">
        <v>115.3213610586011</v>
      </c>
      <c r="L410" t="n">
        <v>120.0283553875236</v>
      </c>
      <c r="M410">
        <f>2*SQRT(K410/PI())</f>
        <v/>
      </c>
      <c r="N410">
        <f>2*SQRT(L410/PI())</f>
        <v/>
      </c>
      <c r="P410" t="inlineStr">
        <is>
          <t>是</t>
        </is>
      </c>
      <c r="Q410" t="inlineStr">
        <is>
          <t>auto_pipeline;review_png_green</t>
        </is>
      </c>
      <c r="R410" t="inlineStr">
        <is>
          <t>样品9</t>
        </is>
      </c>
    </row>
    <row r="411">
      <c r="A411" t="n">
        <v>410</v>
      </c>
      <c r="B411" t="inlineStr">
        <is>
          <t>9 (4).tif</t>
        </is>
      </c>
      <c r="C411" t="inlineStr">
        <is>
          <t>9(4)-V01</t>
        </is>
      </c>
      <c r="D411" t="n">
        <v>1</v>
      </c>
      <c r="E411" t="inlineStr">
        <is>
          <t>primary</t>
        </is>
      </c>
      <c r="F411" t="n">
        <v>1142.202268431002</v>
      </c>
      <c r="G411">
        <f>2*SQRT(F411/PI())</f>
        <v/>
      </c>
      <c r="H411" t="n">
        <v>126.8104323615199</v>
      </c>
      <c r="I411" t="n">
        <v>612</v>
      </c>
      <c r="J411" t="n">
        <v>390</v>
      </c>
      <c r="K411" t="n">
        <v>1119.358223062382</v>
      </c>
      <c r="L411" t="n">
        <v>1165.046313799622</v>
      </c>
      <c r="M411">
        <f>2*SQRT(K411/PI())</f>
        <v/>
      </c>
      <c r="N411">
        <f>2*SQRT(L411/PI())</f>
        <v/>
      </c>
      <c r="P411" t="inlineStr">
        <is>
          <t>是</t>
        </is>
      </c>
      <c r="Q411" t="inlineStr">
        <is>
          <t>auto_pipeline;review_png_green</t>
        </is>
      </c>
      <c r="R411" t="inlineStr">
        <is>
          <t>样品9</t>
        </is>
      </c>
    </row>
    <row r="412">
      <c r="A412" t="n">
        <v>411</v>
      </c>
      <c r="B412" t="inlineStr">
        <is>
          <t>9 (4).tif</t>
        </is>
      </c>
      <c r="C412" t="inlineStr">
        <is>
          <t>9(4)-V02</t>
        </is>
      </c>
      <c r="D412" t="n">
        <v>2</v>
      </c>
      <c r="E412" t="inlineStr">
        <is>
          <t>primary</t>
        </is>
      </c>
      <c r="F412" t="n">
        <v>1079.914933837429</v>
      </c>
      <c r="G412">
        <f>2*SQRT(F412/PI())</f>
        <v/>
      </c>
      <c r="H412" t="n">
        <v>123.2266755726026</v>
      </c>
      <c r="I412" t="n">
        <v>422</v>
      </c>
      <c r="J412" t="n">
        <v>358</v>
      </c>
      <c r="K412" t="n">
        <v>1058.316635160681</v>
      </c>
      <c r="L412" t="n">
        <v>1101.513232514178</v>
      </c>
      <c r="M412">
        <f>2*SQRT(K412/PI())</f>
        <v/>
      </c>
      <c r="N412">
        <f>2*SQRT(L412/PI())</f>
        <v/>
      </c>
      <c r="O412" t="inlineStr">
        <is>
          <t>9(4)-P01</t>
        </is>
      </c>
      <c r="P412" t="inlineStr">
        <is>
          <t>是</t>
        </is>
      </c>
      <c r="Q412" t="inlineStr">
        <is>
          <t>auto_pipeline;review_png_green</t>
        </is>
      </c>
      <c r="R412" t="inlineStr">
        <is>
          <t>样品9</t>
        </is>
      </c>
    </row>
    <row r="413">
      <c r="A413" t="n">
        <v>412</v>
      </c>
      <c r="B413" t="inlineStr">
        <is>
          <t>9 (4).tif</t>
        </is>
      </c>
      <c r="C413" t="inlineStr">
        <is>
          <t>9(4)-V03</t>
        </is>
      </c>
      <c r="D413" t="n">
        <v>3</v>
      </c>
      <c r="E413" t="inlineStr">
        <is>
          <t>primary</t>
        </is>
      </c>
      <c r="F413" t="n">
        <v>861.4366729678638</v>
      </c>
      <c r="G413">
        <f>2*SQRT(F413/PI())</f>
        <v/>
      </c>
      <c r="H413" t="n">
        <v>111.6058399884597</v>
      </c>
      <c r="I413" t="n">
        <v>877</v>
      </c>
      <c r="J413" t="n">
        <v>394</v>
      </c>
      <c r="K413" t="n">
        <v>844.2079395085066</v>
      </c>
      <c r="L413" t="n">
        <v>878.6654064272211</v>
      </c>
      <c r="M413">
        <f>2*SQRT(K413/PI())</f>
        <v/>
      </c>
      <c r="N413">
        <f>2*SQRT(L413/PI())</f>
        <v/>
      </c>
      <c r="P413" t="inlineStr">
        <is>
          <t>是</t>
        </is>
      </c>
      <c r="Q413" t="inlineStr">
        <is>
          <t>auto_pipeline;review_png_green</t>
        </is>
      </c>
      <c r="R413" t="inlineStr">
        <is>
          <t>样品9</t>
        </is>
      </c>
    </row>
    <row r="414">
      <c r="A414" t="n">
        <v>413</v>
      </c>
      <c r="B414" t="inlineStr">
        <is>
          <t>9 (4).tif</t>
        </is>
      </c>
      <c r="C414" t="inlineStr">
        <is>
          <t>9(4)-V04</t>
        </is>
      </c>
      <c r="D414" t="n">
        <v>4</v>
      </c>
      <c r="E414" t="inlineStr">
        <is>
          <t>primary</t>
        </is>
      </c>
      <c r="F414" t="n">
        <v>203.0009451795841</v>
      </c>
      <c r="G414">
        <f>2*SQRT(F414/PI())</f>
        <v/>
      </c>
      <c r="H414" t="n">
        <v>54.64776601480401</v>
      </c>
      <c r="I414" t="n">
        <v>379</v>
      </c>
      <c r="J414" t="n">
        <v>553</v>
      </c>
      <c r="K414" t="n">
        <v>198.9409262759924</v>
      </c>
      <c r="L414" t="n">
        <v>207.0609640831758</v>
      </c>
      <c r="M414">
        <f>2*SQRT(K414/PI())</f>
        <v/>
      </c>
      <c r="N414">
        <f>2*SQRT(L414/PI())</f>
        <v/>
      </c>
      <c r="P414" t="inlineStr">
        <is>
          <t>是</t>
        </is>
      </c>
      <c r="Q414" t="inlineStr">
        <is>
          <t>auto_pipeline;review_png_green</t>
        </is>
      </c>
      <c r="R414" t="inlineStr">
        <is>
          <t>样品9</t>
        </is>
      </c>
    </row>
    <row r="415">
      <c r="A415" t="n">
        <v>414</v>
      </c>
      <c r="B415" t="inlineStr">
        <is>
          <t>9 (4).tif</t>
        </is>
      </c>
      <c r="C415" t="inlineStr">
        <is>
          <t>9(4)-V05</t>
        </is>
      </c>
      <c r="D415" t="n">
        <v>5</v>
      </c>
      <c r="E415" t="inlineStr">
        <is>
          <t>primary</t>
        </is>
      </c>
      <c r="F415" t="n">
        <v>202.7646502835539</v>
      </c>
      <c r="G415">
        <f>2*SQRT(F415/PI())</f>
        <v/>
      </c>
      <c r="H415" t="n">
        <v>54.64776601480401</v>
      </c>
      <c r="I415" t="n">
        <v>283</v>
      </c>
      <c r="J415" t="n">
        <v>368</v>
      </c>
      <c r="K415" t="n">
        <v>198.7093572778828</v>
      </c>
      <c r="L415" t="n">
        <v>206.8199432892249</v>
      </c>
      <c r="M415">
        <f>2*SQRT(K415/PI())</f>
        <v/>
      </c>
      <c r="N415">
        <f>2*SQRT(L415/PI())</f>
        <v/>
      </c>
      <c r="O415" t="inlineStr">
        <is>
          <t>9(4)-P01</t>
        </is>
      </c>
      <c r="P415" t="inlineStr">
        <is>
          <t>是</t>
        </is>
      </c>
      <c r="Q415" t="inlineStr">
        <is>
          <t>auto_pipeline;review_png_green</t>
        </is>
      </c>
      <c r="R415" t="inlineStr">
        <is>
          <t>样品9</t>
        </is>
      </c>
    </row>
    <row r="416">
      <c r="A416" t="n">
        <v>415</v>
      </c>
      <c r="B416" t="inlineStr">
        <is>
          <t>9 (4).tif</t>
        </is>
      </c>
      <c r="C416" t="inlineStr">
        <is>
          <t>9(4)-V06</t>
        </is>
      </c>
      <c r="D416" t="n">
        <v>6</v>
      </c>
      <c r="E416" t="inlineStr">
        <is>
          <t>primary</t>
        </is>
      </c>
      <c r="F416" t="n">
        <v>121.7155009451796</v>
      </c>
      <c r="G416">
        <f>2*SQRT(F416/PI())</f>
        <v/>
      </c>
      <c r="H416" t="n">
        <v>44.61686701878257</v>
      </c>
      <c r="I416" t="n">
        <v>471</v>
      </c>
      <c r="J416" t="n">
        <v>566</v>
      </c>
      <c r="K416" t="n">
        <v>119.281190926276</v>
      </c>
      <c r="L416" t="n">
        <v>124.1498109640832</v>
      </c>
      <c r="M416">
        <f>2*SQRT(K416/PI())</f>
        <v/>
      </c>
      <c r="N416">
        <f>2*SQRT(L416/PI())</f>
        <v/>
      </c>
      <c r="P416" t="inlineStr">
        <is>
          <t>是</t>
        </is>
      </c>
      <c r="Q416" t="inlineStr">
        <is>
          <t>auto_pipeline;review_png_green</t>
        </is>
      </c>
      <c r="R416" t="inlineStr">
        <is>
          <t>样品9</t>
        </is>
      </c>
    </row>
    <row r="417">
      <c r="A417" t="n">
        <v>416</v>
      </c>
      <c r="B417" t="inlineStr">
        <is>
          <t>9 (5).tif</t>
        </is>
      </c>
      <c r="C417" t="inlineStr">
        <is>
          <t>9(5)-V01</t>
        </is>
      </c>
      <c r="D417" t="n">
        <v>1</v>
      </c>
      <c r="E417" t="inlineStr">
        <is>
          <t>primary</t>
        </is>
      </c>
      <c r="F417" t="n">
        <v>1328.686200378072</v>
      </c>
      <c r="G417">
        <f>2*SQRT(F417/PI())</f>
        <v/>
      </c>
      <c r="H417" t="n">
        <v>137.2015170429064</v>
      </c>
      <c r="I417" t="n">
        <v>397</v>
      </c>
      <c r="J417" t="n">
        <v>401</v>
      </c>
      <c r="K417" t="n">
        <v>1302.11247637051</v>
      </c>
      <c r="L417" t="n">
        <v>1355.259924385633</v>
      </c>
      <c r="M417">
        <f>2*SQRT(K417/PI())</f>
        <v/>
      </c>
      <c r="N417">
        <f>2*SQRT(L417/PI())</f>
        <v/>
      </c>
      <c r="O417" t="inlineStr">
        <is>
          <t>9(5)-P01</t>
        </is>
      </c>
      <c r="P417" t="inlineStr">
        <is>
          <t>是</t>
        </is>
      </c>
      <c r="Q417" t="inlineStr">
        <is>
          <t>auto_pipeline;review_png_green</t>
        </is>
      </c>
      <c r="R417" t="inlineStr">
        <is>
          <t>样品9</t>
        </is>
      </c>
    </row>
    <row r="418">
      <c r="A418" t="n">
        <v>417</v>
      </c>
      <c r="B418" t="inlineStr">
        <is>
          <t>9 (5).tif</t>
        </is>
      </c>
      <c r="C418" t="inlineStr">
        <is>
          <t>9(5)-V02</t>
        </is>
      </c>
      <c r="D418" t="n">
        <v>2</v>
      </c>
      <c r="E418" t="inlineStr">
        <is>
          <t>primary</t>
        </is>
      </c>
      <c r="F418" t="n">
        <v>1049.338374291115</v>
      </c>
      <c r="G418">
        <f>2*SQRT(F418/PI())</f>
        <v/>
      </c>
      <c r="H418" t="n">
        <v>122.1024205891982</v>
      </c>
      <c r="I418" t="n">
        <v>592</v>
      </c>
      <c r="J418" t="n">
        <v>327</v>
      </c>
      <c r="K418" t="n">
        <v>1028.351606805293</v>
      </c>
      <c r="L418" t="n">
        <v>1070.325141776938</v>
      </c>
      <c r="M418">
        <f>2*SQRT(K418/PI())</f>
        <v/>
      </c>
      <c r="N418">
        <f>2*SQRT(L418/PI())</f>
        <v/>
      </c>
      <c r="O418" t="inlineStr">
        <is>
          <t>9(5)-P01</t>
        </is>
      </c>
      <c r="P418" t="inlineStr">
        <is>
          <t>是</t>
        </is>
      </c>
      <c r="Q418" t="inlineStr">
        <is>
          <t>auto_pipeline;review_png_green</t>
        </is>
      </c>
      <c r="R418" t="inlineStr">
        <is>
          <t>样品9</t>
        </is>
      </c>
    </row>
    <row r="419">
      <c r="A419" t="n">
        <v>418</v>
      </c>
      <c r="B419" t="inlineStr">
        <is>
          <t>9 (5).tif</t>
        </is>
      </c>
      <c r="C419" t="inlineStr">
        <is>
          <t>9(5)-V03</t>
        </is>
      </c>
      <c r="D419" t="n">
        <v>3</v>
      </c>
      <c r="E419" t="inlineStr">
        <is>
          <t>primary</t>
        </is>
      </c>
      <c r="F419" t="n">
        <v>650.945179584121</v>
      </c>
      <c r="G419">
        <f>2*SQRT(F419/PI())</f>
        <v/>
      </c>
      <c r="H419" t="n">
        <v>100.4506860090339</v>
      </c>
      <c r="I419" t="n">
        <v>841</v>
      </c>
      <c r="J419" t="n">
        <v>502</v>
      </c>
      <c r="K419" t="n">
        <v>637.9262759924385</v>
      </c>
      <c r="L419" t="n">
        <v>663.9640831758035</v>
      </c>
      <c r="M419">
        <f>2*SQRT(K419/PI())</f>
        <v/>
      </c>
      <c r="N419">
        <f>2*SQRT(L419/PI())</f>
        <v/>
      </c>
      <c r="P419" t="inlineStr">
        <is>
          <t>是</t>
        </is>
      </c>
      <c r="Q419" t="inlineStr">
        <is>
          <t>auto_pipeline;review_png_green</t>
        </is>
      </c>
      <c r="R419" t="inlineStr">
        <is>
          <t>样品9</t>
        </is>
      </c>
    </row>
    <row r="420">
      <c r="A420" t="n">
        <v>419</v>
      </c>
      <c r="B420" t="inlineStr">
        <is>
          <t>9 (5).tif</t>
        </is>
      </c>
      <c r="C420" t="inlineStr">
        <is>
          <t>9(5)-V04</t>
        </is>
      </c>
      <c r="D420" t="n">
        <v>4</v>
      </c>
      <c r="E420" t="inlineStr">
        <is>
          <t>primary</t>
        </is>
      </c>
      <c r="F420" t="n">
        <v>597.5661625708884</v>
      </c>
      <c r="G420">
        <f>2*SQRT(F420/PI())</f>
        <v/>
      </c>
      <c r="H420" t="n">
        <v>94.83315999093263</v>
      </c>
      <c r="I420" t="n">
        <v>888</v>
      </c>
      <c r="J420" t="n">
        <v>217</v>
      </c>
      <c r="K420" t="n">
        <v>585.6148393194707</v>
      </c>
      <c r="L420" t="n">
        <v>609.5174858223062</v>
      </c>
      <c r="M420">
        <f>2*SQRT(K420/PI())</f>
        <v/>
      </c>
      <c r="N420">
        <f>2*SQRT(L420/PI())</f>
        <v/>
      </c>
      <c r="P420" t="inlineStr">
        <is>
          <t>是</t>
        </is>
      </c>
      <c r="Q420" t="inlineStr">
        <is>
          <t>auto_pipeline;review_png_green</t>
        </is>
      </c>
      <c r="R420" t="inlineStr">
        <is>
          <t>样品9</t>
        </is>
      </c>
    </row>
    <row r="421">
      <c r="A421" t="n">
        <v>420</v>
      </c>
      <c r="B421" t="inlineStr">
        <is>
          <t>9 (5).tif</t>
        </is>
      </c>
      <c r="C421" t="inlineStr">
        <is>
          <t>9(5)-V05</t>
        </is>
      </c>
      <c r="D421" t="n">
        <v>5</v>
      </c>
      <c r="E421" t="inlineStr">
        <is>
          <t>primary</t>
        </is>
      </c>
      <c r="F421" t="n">
        <v>142.1077504725898</v>
      </c>
      <c r="G421">
        <f>2*SQRT(F421/PI())</f>
        <v/>
      </c>
      <c r="H421" t="n">
        <v>44.74421190178912</v>
      </c>
      <c r="I421" t="n">
        <v>840</v>
      </c>
      <c r="J421" t="n">
        <v>314</v>
      </c>
      <c r="K421" t="n">
        <v>139.265595463138</v>
      </c>
      <c r="L421" t="n">
        <v>144.9499054820416</v>
      </c>
      <c r="M421">
        <f>2*SQRT(K421/PI())</f>
        <v/>
      </c>
      <c r="N421">
        <f>2*SQRT(L421/PI())</f>
        <v/>
      </c>
      <c r="P421" t="inlineStr">
        <is>
          <t>是</t>
        </is>
      </c>
      <c r="Q421" t="inlineStr">
        <is>
          <t>auto_pipeline;review_png_green</t>
        </is>
      </c>
      <c r="R421" t="inlineStr">
        <is>
          <t>样品9</t>
        </is>
      </c>
    </row>
    <row r="422">
      <c r="A422" t="n">
        <v>421</v>
      </c>
      <c r="B422" t="inlineStr">
        <is>
          <t>9 (5).tif</t>
        </is>
      </c>
      <c r="C422" t="inlineStr">
        <is>
          <t>9(5)-V06</t>
        </is>
      </c>
      <c r="D422" t="n">
        <v>6</v>
      </c>
      <c r="E422" t="inlineStr">
        <is>
          <t>primary</t>
        </is>
      </c>
      <c r="F422" t="n">
        <v>120.5103969754253</v>
      </c>
      <c r="G422">
        <f>2*SQRT(F422/PI())</f>
        <v/>
      </c>
      <c r="H422" t="n">
        <v>49.34672775475875</v>
      </c>
      <c r="I422" t="n">
        <v>246</v>
      </c>
      <c r="J422" t="n">
        <v>315</v>
      </c>
      <c r="K422" t="n">
        <v>118.1001890359168</v>
      </c>
      <c r="L422" t="n">
        <v>122.9206049149338</v>
      </c>
      <c r="M422">
        <f>2*SQRT(K422/PI())</f>
        <v/>
      </c>
      <c r="N422">
        <f>2*SQRT(L422/PI())</f>
        <v/>
      </c>
      <c r="P422" t="inlineStr">
        <is>
          <t>是</t>
        </is>
      </c>
      <c r="Q422" t="inlineStr">
        <is>
          <t>auto_pipeline;review_png_green</t>
        </is>
      </c>
      <c r="R422" t="inlineStr">
        <is>
          <t>样品9</t>
        </is>
      </c>
    </row>
    <row r="423">
      <c r="A423" t="n">
        <v>422</v>
      </c>
      <c r="B423" t="inlineStr">
        <is>
          <t>9 (6).tif</t>
        </is>
      </c>
      <c r="C423" t="inlineStr">
        <is>
          <t>9(6)-V01</t>
        </is>
      </c>
      <c r="D423" t="n">
        <v>1</v>
      </c>
      <c r="E423" t="inlineStr">
        <is>
          <t>primary</t>
        </is>
      </c>
      <c r="F423" t="n">
        <v>1408.790170132325</v>
      </c>
      <c r="G423">
        <f>2*SQRT(F423/PI())</f>
        <v/>
      </c>
      <c r="H423" t="n">
        <v>140.7852738318236</v>
      </c>
      <c r="I423" t="n">
        <v>534</v>
      </c>
      <c r="J423" t="n">
        <v>258</v>
      </c>
      <c r="K423" t="n">
        <v>1380.614366729679</v>
      </c>
      <c r="L423" t="n">
        <v>1436.965973534972</v>
      </c>
      <c r="M423">
        <f>2*SQRT(K423/PI())</f>
        <v/>
      </c>
      <c r="N423">
        <f>2*SQRT(L423/PI())</f>
        <v/>
      </c>
      <c r="O423" t="inlineStr">
        <is>
          <t>9(6)-P01</t>
        </is>
      </c>
      <c r="P423" t="inlineStr">
        <is>
          <t>是</t>
        </is>
      </c>
      <c r="Q423" t="inlineStr">
        <is>
          <t>auto_pipeline;review_png_green</t>
        </is>
      </c>
      <c r="R423" t="inlineStr">
        <is>
          <t>样品9</t>
        </is>
      </c>
    </row>
    <row r="424">
      <c r="A424" t="n">
        <v>423</v>
      </c>
      <c r="B424" t="inlineStr">
        <is>
          <t>9 (6).tif</t>
        </is>
      </c>
      <c r="C424" t="inlineStr">
        <is>
          <t>9(6)-V02</t>
        </is>
      </c>
      <c r="D424" t="n">
        <v>2</v>
      </c>
      <c r="E424" t="inlineStr">
        <is>
          <t>primary</t>
        </is>
      </c>
      <c r="F424" t="n">
        <v>1197.73156899811</v>
      </c>
      <c r="G424">
        <f>2*SQRT(F424/PI())</f>
        <v/>
      </c>
      <c r="H424" t="n">
        <v>130.034003465072</v>
      </c>
      <c r="I424" t="n">
        <v>451</v>
      </c>
      <c r="J424" t="n">
        <v>462</v>
      </c>
      <c r="K424" t="n">
        <v>1173.776937618147</v>
      </c>
      <c r="L424" t="n">
        <v>1221.686200378072</v>
      </c>
      <c r="M424">
        <f>2*SQRT(K424/PI())</f>
        <v/>
      </c>
      <c r="N424">
        <f>2*SQRT(L424/PI())</f>
        <v/>
      </c>
      <c r="O424" t="inlineStr">
        <is>
          <t>9(6)-P01</t>
        </is>
      </c>
      <c r="P424" t="inlineStr">
        <is>
          <t>是</t>
        </is>
      </c>
      <c r="Q424" t="inlineStr">
        <is>
          <t>auto_pipeline;review_png_green</t>
        </is>
      </c>
      <c r="R424" t="inlineStr">
        <is>
          <t>样品9</t>
        </is>
      </c>
    </row>
    <row r="425">
      <c r="A425" t="n">
        <v>424</v>
      </c>
      <c r="B425" t="inlineStr">
        <is>
          <t>9 (6).tif</t>
        </is>
      </c>
      <c r="C425" t="inlineStr">
        <is>
          <t>9(6)-V03</t>
        </is>
      </c>
      <c r="D425" t="n">
        <v>3</v>
      </c>
      <c r="E425" t="inlineStr">
        <is>
          <t>primary</t>
        </is>
      </c>
      <c r="F425" t="n">
        <v>213.2088846880907</v>
      </c>
      <c r="G425">
        <f>2*SQRT(F425/PI())</f>
        <v/>
      </c>
      <c r="H425" t="n">
        <v>60.6473266819249</v>
      </c>
      <c r="I425" t="n">
        <v>509</v>
      </c>
      <c r="J425" t="n">
        <v>57</v>
      </c>
      <c r="K425" t="n">
        <v>208.9447069943289</v>
      </c>
      <c r="L425" t="n">
        <v>217.4730623818525</v>
      </c>
      <c r="M425">
        <f>2*SQRT(K425/PI())</f>
        <v/>
      </c>
      <c r="N425">
        <f>2*SQRT(L425/PI())</f>
        <v/>
      </c>
      <c r="P425" t="inlineStr">
        <is>
          <t>是</t>
        </is>
      </c>
      <c r="Q425" t="inlineStr">
        <is>
          <t>auto_pipeline;review_png_green</t>
        </is>
      </c>
      <c r="R425" t="inlineStr">
        <is>
          <t>样品9</t>
        </is>
      </c>
    </row>
    <row r="426">
      <c r="A426" t="n">
        <v>425</v>
      </c>
      <c r="B426" t="inlineStr">
        <is>
          <t>9 (6).tif</t>
        </is>
      </c>
      <c r="C426" t="inlineStr">
        <is>
          <t>9(6)-V04</t>
        </is>
      </c>
      <c r="D426" t="n">
        <v>4</v>
      </c>
      <c r="E426" t="inlineStr">
        <is>
          <t>primary</t>
        </is>
      </c>
      <c r="F426" t="n">
        <v>188.7996219281663</v>
      </c>
      <c r="G426">
        <f>2*SQRT(F426/PI())</f>
        <v/>
      </c>
      <c r="H426" t="n">
        <v>55.64467611520187</v>
      </c>
      <c r="I426" t="n">
        <v>650</v>
      </c>
      <c r="J426" t="n">
        <v>390</v>
      </c>
      <c r="K426" t="n">
        <v>185.023629489603</v>
      </c>
      <c r="L426" t="n">
        <v>192.5756143667297</v>
      </c>
      <c r="M426">
        <f>2*SQRT(K426/PI())</f>
        <v/>
      </c>
      <c r="N426">
        <f>2*SQRT(L426/PI())</f>
        <v/>
      </c>
      <c r="P426" t="inlineStr">
        <is>
          <t>是</t>
        </is>
      </c>
      <c r="Q426" t="inlineStr">
        <is>
          <t>auto_pipeline;review_png_green</t>
        </is>
      </c>
      <c r="R426" t="inlineStr">
        <is>
          <t>样品9</t>
        </is>
      </c>
    </row>
    <row r="427">
      <c r="A427" t="n">
        <v>426</v>
      </c>
      <c r="B427" t="inlineStr">
        <is>
          <t>9 (6).tif</t>
        </is>
      </c>
      <c r="C427" t="inlineStr">
        <is>
          <t>9(6)-V05</t>
        </is>
      </c>
      <c r="D427" t="n">
        <v>5</v>
      </c>
      <c r="E427" t="inlineStr">
        <is>
          <t>primary</t>
        </is>
      </c>
      <c r="F427" t="n">
        <v>185.2788279773157</v>
      </c>
      <c r="G427">
        <f>2*SQRT(F427/PI())</f>
        <v/>
      </c>
      <c r="H427" t="n">
        <v>55.47363330488619</v>
      </c>
      <c r="I427" t="n">
        <v>311</v>
      </c>
      <c r="J427" t="n">
        <v>90</v>
      </c>
      <c r="K427" t="n">
        <v>181.5732514177694</v>
      </c>
      <c r="L427" t="n">
        <v>188.984404536862</v>
      </c>
      <c r="M427">
        <f>2*SQRT(K427/PI())</f>
        <v/>
      </c>
      <c r="N427">
        <f>2*SQRT(L427/PI())</f>
        <v/>
      </c>
      <c r="P427" t="inlineStr">
        <is>
          <t>是</t>
        </is>
      </c>
      <c r="Q427" t="inlineStr">
        <is>
          <t>auto_pipeline;review_png_green</t>
        </is>
      </c>
      <c r="R427" t="inlineStr">
        <is>
          <t>样品9</t>
        </is>
      </c>
    </row>
    <row r="428">
      <c r="A428" t="n">
        <v>427</v>
      </c>
      <c r="B428" t="inlineStr">
        <is>
          <t>9 (6).tif</t>
        </is>
      </c>
      <c r="C428" t="inlineStr">
        <is>
          <t>9(6)-V06</t>
        </is>
      </c>
      <c r="D428" t="n">
        <v>6</v>
      </c>
      <c r="E428" t="inlineStr">
        <is>
          <t>primary</t>
        </is>
      </c>
      <c r="F428" t="n">
        <v>162.4291115311909</v>
      </c>
      <c r="G428">
        <f>2*SQRT(F428/PI())</f>
        <v/>
      </c>
      <c r="H428" t="n">
        <v>48.68815437607143</v>
      </c>
      <c r="I428" t="n">
        <v>584</v>
      </c>
      <c r="J428" t="n">
        <v>67</v>
      </c>
      <c r="K428" t="n">
        <v>159.1805293005671</v>
      </c>
      <c r="L428" t="n">
        <v>165.6776937618147</v>
      </c>
      <c r="M428">
        <f>2*SQRT(K428/PI())</f>
        <v/>
      </c>
      <c r="N428">
        <f>2*SQRT(L428/PI())</f>
        <v/>
      </c>
      <c r="P428" t="inlineStr">
        <is>
          <t>是</t>
        </is>
      </c>
      <c r="Q428" t="inlineStr">
        <is>
          <t>auto_pipeline;review_png_green</t>
        </is>
      </c>
      <c r="R428" t="inlineStr">
        <is>
          <t>样品9</t>
        </is>
      </c>
    </row>
    <row r="429">
      <c r="A429" t="n">
        <v>428</v>
      </c>
      <c r="B429" t="inlineStr">
        <is>
          <t>9 (6).tif</t>
        </is>
      </c>
      <c r="C429" t="inlineStr">
        <is>
          <t>9(6)-V07</t>
        </is>
      </c>
      <c r="D429" t="n">
        <v>7</v>
      </c>
      <c r="E429" t="inlineStr">
        <is>
          <t>primary</t>
        </is>
      </c>
      <c r="F429" t="n">
        <v>149.8582230623819</v>
      </c>
      <c r="G429">
        <f>2*SQRT(F429/PI())</f>
        <v/>
      </c>
      <c r="H429" t="n">
        <v>62.61929791906606</v>
      </c>
      <c r="I429" t="n">
        <v>205</v>
      </c>
      <c r="J429" t="n">
        <v>188</v>
      </c>
      <c r="K429" t="n">
        <v>146.8610586011342</v>
      </c>
      <c r="L429" t="n">
        <v>152.8553875236295</v>
      </c>
      <c r="M429">
        <f>2*SQRT(K429/PI())</f>
        <v/>
      </c>
      <c r="N429">
        <f>2*SQRT(L429/PI())</f>
        <v/>
      </c>
      <c r="P429" t="inlineStr">
        <is>
          <t>是</t>
        </is>
      </c>
      <c r="Q429" t="inlineStr">
        <is>
          <t>auto_pipeline;review_png_green</t>
        </is>
      </c>
      <c r="R429" t="inlineStr">
        <is>
          <t>样品9</t>
        </is>
      </c>
    </row>
    <row r="430">
      <c r="A430" t="n">
        <v>429</v>
      </c>
      <c r="B430" t="inlineStr">
        <is>
          <t>9 (6).tif</t>
        </is>
      </c>
      <c r="C430" t="inlineStr">
        <is>
          <t>9(6)-V08</t>
        </is>
      </c>
      <c r="D430" t="n">
        <v>8</v>
      </c>
      <c r="E430" t="inlineStr">
        <is>
          <t>primary</t>
        </is>
      </c>
      <c r="F430" t="n">
        <v>142.3913043478261</v>
      </c>
      <c r="G430">
        <f>2*SQRT(F430/PI())</f>
        <v/>
      </c>
      <c r="H430" t="n">
        <v>44.74421190178912</v>
      </c>
      <c r="I430" t="n">
        <v>827</v>
      </c>
      <c r="J430" t="n">
        <v>393</v>
      </c>
      <c r="K430" t="n">
        <v>139.5434782608696</v>
      </c>
      <c r="L430" t="n">
        <v>145.2391304347826</v>
      </c>
      <c r="M430">
        <f>2*SQRT(K430/PI())</f>
        <v/>
      </c>
      <c r="N430">
        <f>2*SQRT(L430/PI())</f>
        <v/>
      </c>
      <c r="P430" t="inlineStr">
        <is>
          <t>是</t>
        </is>
      </c>
      <c r="Q430" t="inlineStr">
        <is>
          <t>auto_pipeline;review_png_green</t>
        </is>
      </c>
      <c r="R430" t="inlineStr">
        <is>
          <t>样品9</t>
        </is>
      </c>
    </row>
    <row r="431">
      <c r="A431" t="n">
        <v>430</v>
      </c>
      <c r="B431" t="inlineStr">
        <is>
          <t>9 (7).tif</t>
        </is>
      </c>
      <c r="C431" t="inlineStr">
        <is>
          <t>9(7)-V01</t>
        </is>
      </c>
      <c r="D431" t="n">
        <v>1</v>
      </c>
      <c r="E431" t="inlineStr">
        <is>
          <t>primary</t>
        </is>
      </c>
      <c r="F431" t="n">
        <v>1009.593572778828</v>
      </c>
      <c r="G431">
        <f>2*SQRT(F431/PI())</f>
        <v/>
      </c>
      <c r="H431" t="n">
        <v>119.0280433323072</v>
      </c>
      <c r="I431" t="n">
        <v>416</v>
      </c>
      <c r="J431" t="n">
        <v>289</v>
      </c>
      <c r="K431" t="n">
        <v>989.4017013232514</v>
      </c>
      <c r="L431" t="n">
        <v>1029.785444234405</v>
      </c>
      <c r="M431">
        <f>2*SQRT(K431/PI())</f>
        <v/>
      </c>
      <c r="N431">
        <f>2*SQRT(L431/PI())</f>
        <v/>
      </c>
      <c r="P431" t="inlineStr">
        <is>
          <t>是</t>
        </is>
      </c>
      <c r="Q431" t="inlineStr">
        <is>
          <t>auto_pipeline;review_png_green</t>
        </is>
      </c>
      <c r="R431" t="inlineStr">
        <is>
          <t>样品9</t>
        </is>
      </c>
    </row>
    <row r="432">
      <c r="A432" t="n">
        <v>431</v>
      </c>
      <c r="B432" t="inlineStr">
        <is>
          <t>9 (7).tif</t>
        </is>
      </c>
      <c r="C432" t="inlineStr">
        <is>
          <t>9(7)-V02</t>
        </is>
      </c>
      <c r="D432" t="n">
        <v>2</v>
      </c>
      <c r="E432" t="inlineStr">
        <is>
          <t>primary</t>
        </is>
      </c>
      <c r="F432" t="n">
        <v>897.2589792060492</v>
      </c>
      <c r="G432">
        <f>2*SQRT(F432/PI())</f>
        <v/>
      </c>
      <c r="H432" t="n">
        <v>112.475405205851</v>
      </c>
      <c r="I432" t="n">
        <v>549</v>
      </c>
      <c r="J432" t="n">
        <v>433</v>
      </c>
      <c r="K432" t="n">
        <v>879.3137996219282</v>
      </c>
      <c r="L432" t="n">
        <v>915.2041587901701</v>
      </c>
      <c r="M432">
        <f>2*SQRT(K432/PI())</f>
        <v/>
      </c>
      <c r="N432">
        <f>2*SQRT(L432/PI())</f>
        <v/>
      </c>
      <c r="P432" t="inlineStr">
        <is>
          <t>是</t>
        </is>
      </c>
      <c r="Q432" t="inlineStr">
        <is>
          <t>auto_pipeline;review_png_green</t>
        </is>
      </c>
      <c r="R432" t="inlineStr">
        <is>
          <t>样品9</t>
        </is>
      </c>
    </row>
    <row r="433">
      <c r="A433" t="n">
        <v>432</v>
      </c>
      <c r="B433" t="inlineStr">
        <is>
          <t>9 (7).tif</t>
        </is>
      </c>
      <c r="C433" t="inlineStr">
        <is>
          <t>9(7)-V03</t>
        </is>
      </c>
      <c r="D433" t="n">
        <v>3</v>
      </c>
      <c r="E433" t="inlineStr">
        <is>
          <t>primary</t>
        </is>
      </c>
      <c r="F433" t="n">
        <v>642.7221172022685</v>
      </c>
      <c r="G433">
        <f>2*SQRT(F433/PI())</f>
        <v/>
      </c>
      <c r="H433" t="n">
        <v>95.17149671264316</v>
      </c>
      <c r="I433" t="n">
        <v>715</v>
      </c>
      <c r="J433" t="n">
        <v>349</v>
      </c>
      <c r="K433" t="n">
        <v>629.867674858223</v>
      </c>
      <c r="L433" t="n">
        <v>655.5765595463139</v>
      </c>
      <c r="M433">
        <f>2*SQRT(K433/PI())</f>
        <v/>
      </c>
      <c r="N433">
        <f>2*SQRT(L433/PI())</f>
        <v/>
      </c>
      <c r="P433" t="inlineStr">
        <is>
          <t>是</t>
        </is>
      </c>
      <c r="Q433" t="inlineStr">
        <is>
          <t>auto_pipeline;review_png_green</t>
        </is>
      </c>
      <c r="R433" t="inlineStr">
        <is>
          <t>样品9</t>
        </is>
      </c>
    </row>
    <row r="434">
      <c r="A434" t="n">
        <v>433</v>
      </c>
      <c r="B434" t="inlineStr">
        <is>
          <t>9 (7).tif</t>
        </is>
      </c>
      <c r="C434" t="inlineStr">
        <is>
          <t>9(7)-V04</t>
        </is>
      </c>
      <c r="D434" t="n">
        <v>4</v>
      </c>
      <c r="E434" t="inlineStr">
        <is>
          <t>primary</t>
        </is>
      </c>
      <c r="F434" t="n">
        <v>193.241965973535</v>
      </c>
      <c r="G434">
        <f>2*SQRT(F434/PI())</f>
        <v/>
      </c>
      <c r="H434" t="n">
        <v>65.39528748263483</v>
      </c>
      <c r="I434" t="n">
        <v>578</v>
      </c>
      <c r="J434" t="n">
        <v>306</v>
      </c>
      <c r="K434" t="n">
        <v>189.3771266540643</v>
      </c>
      <c r="L434" t="n">
        <v>197.1068052930057</v>
      </c>
      <c r="M434">
        <f>2*SQRT(K434/PI())</f>
        <v/>
      </c>
      <c r="N434">
        <f>2*SQRT(L434/PI())</f>
        <v/>
      </c>
      <c r="P434" t="inlineStr">
        <is>
          <t>是</t>
        </is>
      </c>
      <c r="Q434" t="inlineStr">
        <is>
          <t>auto_pipeline;review_png_green</t>
        </is>
      </c>
      <c r="R434" t="inlineStr">
        <is>
          <t>样品9</t>
        </is>
      </c>
    </row>
    <row r="435">
      <c r="A435" t="n">
        <v>434</v>
      </c>
      <c r="B435" t="inlineStr">
        <is>
          <t>9 (7).tif</t>
        </is>
      </c>
      <c r="C435" t="inlineStr">
        <is>
          <t>9(7)-V05</t>
        </is>
      </c>
      <c r="D435" t="n">
        <v>5</v>
      </c>
      <c r="E435" t="inlineStr">
        <is>
          <t>primary</t>
        </is>
      </c>
      <c r="F435" t="n">
        <v>181.0255198487713</v>
      </c>
      <c r="G435">
        <f>2*SQRT(F435/PI())</f>
        <v/>
      </c>
      <c r="H435" t="n">
        <v>50.91481537922569</v>
      </c>
      <c r="I435" t="n">
        <v>358</v>
      </c>
      <c r="J435" t="n">
        <v>159</v>
      </c>
      <c r="K435" t="n">
        <v>177.4050094517958</v>
      </c>
      <c r="L435" t="n">
        <v>184.6460302457467</v>
      </c>
      <c r="M435">
        <f>2*SQRT(K435/PI())</f>
        <v/>
      </c>
      <c r="N435">
        <f>2*SQRT(L435/PI())</f>
        <v/>
      </c>
      <c r="P435" t="inlineStr">
        <is>
          <t>是</t>
        </is>
      </c>
      <c r="Q435" t="inlineStr">
        <is>
          <t>auto_pipeline;review_png_green</t>
        </is>
      </c>
      <c r="R435" t="inlineStr">
        <is>
          <t>样品9</t>
        </is>
      </c>
    </row>
    <row r="436">
      <c r="A436" t="n">
        <v>435</v>
      </c>
      <c r="B436" t="inlineStr">
        <is>
          <t>9 (7).tif</t>
        </is>
      </c>
      <c r="C436" t="inlineStr">
        <is>
          <t>9(7)-V06</t>
        </is>
      </c>
      <c r="D436" t="n">
        <v>6</v>
      </c>
      <c r="E436" t="inlineStr">
        <is>
          <t>primary</t>
        </is>
      </c>
      <c r="F436" t="n">
        <v>166.2570888468809</v>
      </c>
      <c r="G436">
        <f>2*SQRT(F436/PI())</f>
        <v/>
      </c>
      <c r="H436" t="n">
        <v>49.55771959346274</v>
      </c>
      <c r="I436" t="n">
        <v>236</v>
      </c>
      <c r="J436" t="n">
        <v>97</v>
      </c>
      <c r="K436" t="n">
        <v>162.9319470699433</v>
      </c>
      <c r="L436" t="n">
        <v>169.5822306238185</v>
      </c>
      <c r="M436">
        <f>2*SQRT(K436/PI())</f>
        <v/>
      </c>
      <c r="N436">
        <f>2*SQRT(L436/PI())</f>
        <v/>
      </c>
      <c r="P436" t="inlineStr">
        <is>
          <t>是</t>
        </is>
      </c>
      <c r="Q436" t="inlineStr">
        <is>
          <t>auto_pipeline;review_png_green</t>
        </is>
      </c>
      <c r="R436" t="inlineStr">
        <is>
          <t>样品9</t>
        </is>
      </c>
    </row>
    <row r="437">
      <c r="A437" t="n">
        <v>436</v>
      </c>
      <c r="B437" t="inlineStr">
        <is>
          <t>9 (8).tif</t>
        </is>
      </c>
      <c r="C437" t="inlineStr">
        <is>
          <t>9(8)-V01</t>
        </is>
      </c>
      <c r="D437" t="n">
        <v>1</v>
      </c>
      <c r="E437" t="inlineStr">
        <is>
          <t>primary</t>
        </is>
      </c>
      <c r="F437" t="n">
        <v>3081.049149338374</v>
      </c>
      <c r="G437">
        <f>2*SQRT(F437/PI())</f>
        <v/>
      </c>
      <c r="H437" t="n">
        <v>235.8150744956473</v>
      </c>
      <c r="I437" t="n">
        <v>506</v>
      </c>
      <c r="J437" t="n">
        <v>350</v>
      </c>
      <c r="K437" t="n">
        <v>3019.428166351607</v>
      </c>
      <c r="L437" t="n">
        <v>3142.670132325142</v>
      </c>
      <c r="M437">
        <f>2*SQRT(K437/PI())</f>
        <v/>
      </c>
      <c r="N437">
        <f>2*SQRT(L437/PI())</f>
        <v/>
      </c>
      <c r="P437" t="inlineStr">
        <is>
          <t>是</t>
        </is>
      </c>
      <c r="Q437" t="inlineStr">
        <is>
          <t>auto_pipeline;review_png_green</t>
        </is>
      </c>
      <c r="R437" t="inlineStr">
        <is>
          <t>样品9</t>
        </is>
      </c>
    </row>
    <row r="438">
      <c r="A438" t="n">
        <v>437</v>
      </c>
      <c r="B438" t="inlineStr">
        <is>
          <t>9 (8).tif</t>
        </is>
      </c>
      <c r="C438" t="inlineStr">
        <is>
          <t>9(8)-V02</t>
        </is>
      </c>
      <c r="D438" t="n">
        <v>2</v>
      </c>
      <c r="E438" t="inlineStr">
        <is>
          <t>primary</t>
        </is>
      </c>
      <c r="F438" t="n">
        <v>382.65595463138</v>
      </c>
      <c r="G438">
        <f>2*SQRT(F438/PI())</f>
        <v/>
      </c>
      <c r="H438" t="n">
        <v>83.40146728183912</v>
      </c>
      <c r="I438" t="n">
        <v>772</v>
      </c>
      <c r="J438" t="n">
        <v>279</v>
      </c>
      <c r="K438" t="n">
        <v>375.0028355387524</v>
      </c>
      <c r="L438" t="n">
        <v>390.3090737240076</v>
      </c>
      <c r="M438">
        <f>2*SQRT(K438/PI())</f>
        <v/>
      </c>
      <c r="N438">
        <f>2*SQRT(L438/PI())</f>
        <v/>
      </c>
      <c r="P438" t="inlineStr">
        <is>
          <t>是</t>
        </is>
      </c>
      <c r="Q438" t="inlineStr">
        <is>
          <t>auto_pipeline;review_png_green</t>
        </is>
      </c>
      <c r="R438" t="inlineStr">
        <is>
          <t>样品9</t>
        </is>
      </c>
    </row>
    <row r="439">
      <c r="A439" t="n">
        <v>438</v>
      </c>
      <c r="B439" t="inlineStr">
        <is>
          <t>9 (8).tif</t>
        </is>
      </c>
      <c r="C439" t="inlineStr">
        <is>
          <t>9(8)-V03</t>
        </is>
      </c>
      <c r="D439" t="n">
        <v>3</v>
      </c>
      <c r="E439" t="inlineStr">
        <is>
          <t>primary</t>
        </is>
      </c>
      <c r="F439" t="n">
        <v>283.7665406427221</v>
      </c>
      <c r="G439">
        <f>2*SQRT(F439/PI())</f>
        <v/>
      </c>
      <c r="H439" t="n">
        <v>65.24984253489453</v>
      </c>
      <c r="I439" t="n">
        <v>135</v>
      </c>
      <c r="J439" t="n">
        <v>138</v>
      </c>
      <c r="K439" t="n">
        <v>278.0912098298677</v>
      </c>
      <c r="L439" t="n">
        <v>289.4418714555766</v>
      </c>
      <c r="M439">
        <f>2*SQRT(K439/PI())</f>
        <v/>
      </c>
      <c r="N439">
        <f>2*SQRT(L439/PI())</f>
        <v/>
      </c>
      <c r="P439" t="inlineStr">
        <is>
          <t>是</t>
        </is>
      </c>
      <c r="Q439" t="inlineStr">
        <is>
          <t>auto_pipeline;review_png_green</t>
        </is>
      </c>
      <c r="R439" t="inlineStr">
        <is>
          <t>样品9</t>
        </is>
      </c>
    </row>
    <row r="440">
      <c r="A440" t="n">
        <v>439</v>
      </c>
      <c r="B440" t="inlineStr">
        <is>
          <t>9 (8).tif</t>
        </is>
      </c>
      <c r="C440" t="inlineStr">
        <is>
          <t>9(8)-V04</t>
        </is>
      </c>
      <c r="D440" t="n">
        <v>4</v>
      </c>
      <c r="E440" t="inlineStr">
        <is>
          <t>primary</t>
        </is>
      </c>
      <c r="F440" t="n">
        <v>204.5841209829868</v>
      </c>
      <c r="G440">
        <f>2*SQRT(F440/PI())</f>
        <v/>
      </c>
      <c r="H440" t="n">
        <v>62.81218969303629</v>
      </c>
      <c r="I440" t="n">
        <v>837</v>
      </c>
      <c r="J440" t="n">
        <v>589</v>
      </c>
      <c r="K440" t="n">
        <v>200.492438563327</v>
      </c>
      <c r="L440" t="n">
        <v>208.6758034026465</v>
      </c>
      <c r="M440">
        <f>2*SQRT(K440/PI())</f>
        <v/>
      </c>
      <c r="N440">
        <f>2*SQRT(L440/PI())</f>
        <v/>
      </c>
      <c r="P440" t="inlineStr">
        <is>
          <t>是</t>
        </is>
      </c>
      <c r="Q440" t="inlineStr">
        <is>
          <t>auto_pipeline;review_png_green</t>
        </is>
      </c>
      <c r="R440" t="inlineStr">
        <is>
          <t>样品9</t>
        </is>
      </c>
    </row>
    <row r="441">
      <c r="A441" t="n">
        <v>440</v>
      </c>
      <c r="B441" t="inlineStr">
        <is>
          <t>9 (9).tif</t>
        </is>
      </c>
      <c r="C441" t="inlineStr">
        <is>
          <t>9(9)-V01</t>
        </is>
      </c>
      <c r="D441" t="n">
        <v>1</v>
      </c>
      <c r="E441" t="inlineStr">
        <is>
          <t>primary</t>
        </is>
      </c>
      <c r="F441" t="n">
        <v>1296.479206049149</v>
      </c>
      <c r="G441">
        <f>2*SQRT(F441/PI())</f>
        <v/>
      </c>
      <c r="H441" t="n">
        <v>134.9748560397521</v>
      </c>
      <c r="I441" t="n">
        <v>358</v>
      </c>
      <c r="J441" t="n">
        <v>415</v>
      </c>
      <c r="K441" t="n">
        <v>1270.549621928166</v>
      </c>
      <c r="L441" t="n">
        <v>1322.408790170132</v>
      </c>
      <c r="M441">
        <f>2*SQRT(K441/PI())</f>
        <v/>
      </c>
      <c r="N441">
        <f>2*SQRT(L441/PI())</f>
        <v/>
      </c>
      <c r="P441" t="inlineStr">
        <is>
          <t>是</t>
        </is>
      </c>
      <c r="Q441" t="inlineStr">
        <is>
          <t>auto_pipeline;review_png_green</t>
        </is>
      </c>
      <c r="R441" t="inlineStr">
        <is>
          <t>样品9</t>
        </is>
      </c>
    </row>
    <row r="442">
      <c r="A442" t="n">
        <v>441</v>
      </c>
      <c r="B442" t="inlineStr">
        <is>
          <t>9 (9).tif</t>
        </is>
      </c>
      <c r="C442" t="inlineStr">
        <is>
          <t>9(9)-V02</t>
        </is>
      </c>
      <c r="D442" t="n">
        <v>2</v>
      </c>
      <c r="E442" t="inlineStr">
        <is>
          <t>primary</t>
        </is>
      </c>
      <c r="F442" t="n">
        <v>1018.974480151229</v>
      </c>
      <c r="G442">
        <f>2*SQRT(F442/PI())</f>
        <v/>
      </c>
      <c r="H442" t="n">
        <v>120.8945186500964</v>
      </c>
      <c r="I442" t="n">
        <v>591</v>
      </c>
      <c r="J442" t="n">
        <v>318</v>
      </c>
      <c r="K442" t="n">
        <v>998.5949905482041</v>
      </c>
      <c r="L442" t="n">
        <v>1039.353969754253</v>
      </c>
      <c r="M442">
        <f>2*SQRT(K442/PI())</f>
        <v/>
      </c>
      <c r="N442">
        <f>2*SQRT(L442/PI())</f>
        <v/>
      </c>
      <c r="P442" t="inlineStr">
        <is>
          <t>是</t>
        </is>
      </c>
      <c r="Q442" t="inlineStr">
        <is>
          <t>auto_pipeline;review_png_green</t>
        </is>
      </c>
      <c r="R442" t="inlineStr">
        <is>
          <t>样品9</t>
        </is>
      </c>
    </row>
    <row r="443">
      <c r="A443" t="n">
        <v>442</v>
      </c>
      <c r="B443" t="inlineStr">
        <is>
          <t>9 (9).tif</t>
        </is>
      </c>
      <c r="C443" t="inlineStr">
        <is>
          <t>9(9)-V03</t>
        </is>
      </c>
      <c r="D443" t="n">
        <v>3</v>
      </c>
      <c r="E443" t="inlineStr">
        <is>
          <t>primary</t>
        </is>
      </c>
      <c r="F443" t="n">
        <v>150.6379962192817</v>
      </c>
      <c r="G443">
        <f>2*SQRT(F443/PI())</f>
        <v/>
      </c>
      <c r="H443" t="n">
        <v>47.58574835632158</v>
      </c>
      <c r="I443" t="n">
        <v>749</v>
      </c>
      <c r="J443" t="n">
        <v>500</v>
      </c>
      <c r="K443" t="n">
        <v>147.625236294896</v>
      </c>
      <c r="L443" t="n">
        <v>153.6507561436673</v>
      </c>
      <c r="M443">
        <f>2*SQRT(K443/PI())</f>
        <v/>
      </c>
      <c r="N443">
        <f>2*SQRT(L443/PI())</f>
        <v/>
      </c>
      <c r="P443" t="inlineStr">
        <is>
          <t>是</t>
        </is>
      </c>
      <c r="Q443" t="inlineStr">
        <is>
          <t>auto_pipeline;review_png_green</t>
        </is>
      </c>
      <c r="R443" t="inlineStr">
        <is>
          <t>样品9</t>
        </is>
      </c>
    </row>
    <row r="444">
      <c r="A444" t="n">
        <v>443</v>
      </c>
      <c r="B444" t="inlineStr">
        <is>
          <t>9 (9).tif</t>
        </is>
      </c>
      <c r="C444" t="inlineStr">
        <is>
          <t>9(9)-V04</t>
        </is>
      </c>
      <c r="D444" t="n">
        <v>4</v>
      </c>
      <c r="E444" t="inlineStr">
        <is>
          <t>primary</t>
        </is>
      </c>
      <c r="F444" t="n">
        <v>137.5708884688091</v>
      </c>
      <c r="G444">
        <f>2*SQRT(F444/PI())</f>
        <v/>
      </c>
      <c r="H444" t="n">
        <v>45.35908735316733</v>
      </c>
      <c r="I444" t="n">
        <v>160</v>
      </c>
      <c r="J444" t="n">
        <v>432</v>
      </c>
      <c r="K444" t="n">
        <v>134.8194706994329</v>
      </c>
      <c r="L444" t="n">
        <v>140.3223062381853</v>
      </c>
      <c r="M444">
        <f>2*SQRT(K444/PI())</f>
        <v/>
      </c>
      <c r="N444">
        <f>2*SQRT(L444/PI())</f>
        <v/>
      </c>
      <c r="P444" t="inlineStr">
        <is>
          <t>是</t>
        </is>
      </c>
      <c r="Q444" t="inlineStr">
        <is>
          <t>auto_pipeline;review_png_green</t>
        </is>
      </c>
      <c r="R444" t="inlineStr">
        <is>
          <t>样品9</t>
        </is>
      </c>
    </row>
    <row r="445">
      <c r="A445" t="n">
        <v>444</v>
      </c>
      <c r="B445" t="inlineStr">
        <is>
          <t>9 (9).tif</t>
        </is>
      </c>
      <c r="C445" t="inlineStr">
        <is>
          <t>9(9)-V05</t>
        </is>
      </c>
      <c r="D445" t="n">
        <v>5</v>
      </c>
      <c r="E445" t="inlineStr">
        <is>
          <t>primary</t>
        </is>
      </c>
      <c r="F445" t="n">
        <v>101.0396975425331</v>
      </c>
      <c r="G445">
        <f>2*SQRT(F445/PI())</f>
        <v/>
      </c>
      <c r="H445" t="n">
        <v>42.79408962830253</v>
      </c>
      <c r="I445" t="n">
        <v>278</v>
      </c>
      <c r="J445" t="n">
        <v>50</v>
      </c>
      <c r="K445" t="n">
        <v>99.01890359168242</v>
      </c>
      <c r="L445" t="n">
        <v>103.0604914933837</v>
      </c>
      <c r="M445">
        <f>2*SQRT(K445/PI())</f>
        <v/>
      </c>
      <c r="N445">
        <f>2*SQRT(L445/PI())</f>
        <v/>
      </c>
      <c r="P445" t="inlineStr">
        <is>
          <t>是</t>
        </is>
      </c>
      <c r="Q445" t="inlineStr">
        <is>
          <t>auto_pipeline;review_png_green</t>
        </is>
      </c>
      <c r="R445" t="inlineStr">
        <is>
          <t>样品9</t>
        </is>
      </c>
    </row>
    <row r="446">
      <c r="A446" t="n">
        <v>445</v>
      </c>
      <c r="B446" t="inlineStr">
        <is>
          <t>10 (1).tif</t>
        </is>
      </c>
      <c r="C446" t="inlineStr">
        <is>
          <t>10(1)-V01</t>
        </is>
      </c>
      <c r="D446" t="n">
        <v>1</v>
      </c>
      <c r="E446" t="inlineStr">
        <is>
          <t>primary</t>
        </is>
      </c>
      <c r="F446" t="n">
        <v>365.9971644612476</v>
      </c>
      <c r="G446">
        <f>2*SQRT(F446/PI())</f>
        <v/>
      </c>
      <c r="H446" t="n">
        <v>72.31186019337696</v>
      </c>
      <c r="I446" t="n">
        <v>436</v>
      </c>
      <c r="J446" t="n">
        <v>394</v>
      </c>
      <c r="K446" t="n">
        <v>358.6772211720227</v>
      </c>
      <c r="L446" t="n">
        <v>373.3171077504726</v>
      </c>
      <c r="M446">
        <f>2*SQRT(K446/PI())</f>
        <v/>
      </c>
      <c r="N446">
        <f>2*SQRT(L446/PI())</f>
        <v/>
      </c>
      <c r="P446" t="inlineStr">
        <is>
          <t>是</t>
        </is>
      </c>
      <c r="Q446" t="inlineStr">
        <is>
          <t>auto_pipeline;review_png_green</t>
        </is>
      </c>
      <c r="R446" t="inlineStr">
        <is>
          <t>样品10</t>
        </is>
      </c>
    </row>
    <row r="447">
      <c r="A447" t="n">
        <v>446</v>
      </c>
      <c r="B447" t="inlineStr">
        <is>
          <t>10 (1).tif</t>
        </is>
      </c>
      <c r="C447" t="inlineStr">
        <is>
          <t>10(1)-V02</t>
        </is>
      </c>
      <c r="D447" t="n">
        <v>2</v>
      </c>
      <c r="E447" t="inlineStr">
        <is>
          <t>primary</t>
        </is>
      </c>
      <c r="F447" t="n">
        <v>345.2268431001891</v>
      </c>
      <c r="G447">
        <f>2*SQRT(F447/PI())</f>
        <v/>
      </c>
      <c r="H447" t="n">
        <v>70.19069510957469</v>
      </c>
      <c r="I447" t="n">
        <v>567</v>
      </c>
      <c r="J447" t="n">
        <v>357</v>
      </c>
      <c r="K447" t="n">
        <v>338.3223062381853</v>
      </c>
      <c r="L447" t="n">
        <v>352.1313799621929</v>
      </c>
      <c r="M447">
        <f>2*SQRT(K447/PI())</f>
        <v/>
      </c>
      <c r="N447">
        <f>2*SQRT(L447/PI())</f>
        <v/>
      </c>
      <c r="P447" t="inlineStr">
        <is>
          <t>是</t>
        </is>
      </c>
      <c r="Q447" t="inlineStr">
        <is>
          <t>auto_pipeline;review_png_green</t>
        </is>
      </c>
      <c r="R447" t="inlineStr">
        <is>
          <t>样品10</t>
        </is>
      </c>
    </row>
    <row r="448">
      <c r="A448" t="n">
        <v>447</v>
      </c>
      <c r="B448" t="inlineStr">
        <is>
          <t>10 (1).tif</t>
        </is>
      </c>
      <c r="C448" t="inlineStr">
        <is>
          <t>10(1)-V03</t>
        </is>
      </c>
      <c r="D448" t="n">
        <v>3</v>
      </c>
      <c r="E448" t="inlineStr">
        <is>
          <t>primary</t>
        </is>
      </c>
      <c r="F448" t="n">
        <v>208.2466918714556</v>
      </c>
      <c r="G448">
        <f>2*SQRT(F448/PI())</f>
        <v/>
      </c>
      <c r="H448" t="n">
        <v>73.09402955615002</v>
      </c>
      <c r="I448" t="n">
        <v>882</v>
      </c>
      <c r="J448" t="n">
        <v>469</v>
      </c>
      <c r="K448" t="n">
        <v>204.0817580340264</v>
      </c>
      <c r="L448" t="n">
        <v>212.4116257088847</v>
      </c>
      <c r="M448">
        <f>2*SQRT(K448/PI())</f>
        <v/>
      </c>
      <c r="N448">
        <f>2*SQRT(L448/PI())</f>
        <v/>
      </c>
      <c r="P448" t="inlineStr">
        <is>
          <t>是</t>
        </is>
      </c>
      <c r="Q448" t="inlineStr">
        <is>
          <t>auto_pipeline;review_png_green</t>
        </is>
      </c>
      <c r="R448" t="inlineStr">
        <is>
          <t>样品10</t>
        </is>
      </c>
    </row>
    <row r="449">
      <c r="A449" t="n">
        <v>448</v>
      </c>
      <c r="B449" t="inlineStr">
        <is>
          <t>10 (1).tif</t>
        </is>
      </c>
      <c r="C449" t="inlineStr">
        <is>
          <t>10(1)-V04</t>
        </is>
      </c>
      <c r="D449" t="n">
        <v>4</v>
      </c>
      <c r="E449" t="inlineStr">
        <is>
          <t>primary</t>
        </is>
      </c>
      <c r="F449" t="n">
        <v>180.0094517958412</v>
      </c>
      <c r="G449">
        <f>2*SQRT(F449/PI())</f>
        <v/>
      </c>
      <c r="H449" t="n">
        <v>57.91128614674444</v>
      </c>
      <c r="I449" t="n">
        <v>661</v>
      </c>
      <c r="J449" t="n">
        <v>158</v>
      </c>
      <c r="K449" t="n">
        <v>176.4092627599244</v>
      </c>
      <c r="L449" t="n">
        <v>183.609640831758</v>
      </c>
      <c r="M449">
        <f>2*SQRT(K449/PI())</f>
        <v/>
      </c>
      <c r="N449">
        <f>2*SQRT(L449/PI())</f>
        <v/>
      </c>
      <c r="P449" t="inlineStr">
        <is>
          <t>是</t>
        </is>
      </c>
      <c r="Q449" t="inlineStr">
        <is>
          <t>auto_pipeline;review_png_green</t>
        </is>
      </c>
      <c r="R449" t="inlineStr">
        <is>
          <t>样品10</t>
        </is>
      </c>
    </row>
    <row r="450">
      <c r="A450" t="n">
        <v>449</v>
      </c>
      <c r="B450" t="inlineStr">
        <is>
          <t>10 (1).tif</t>
        </is>
      </c>
      <c r="C450" t="inlineStr">
        <is>
          <t>10(1)-V05</t>
        </is>
      </c>
      <c r="D450" t="n">
        <v>5</v>
      </c>
      <c r="E450" t="inlineStr">
        <is>
          <t>primary</t>
        </is>
      </c>
      <c r="F450" t="n">
        <v>145.8412098298677</v>
      </c>
      <c r="G450">
        <f>2*SQRT(F450/PI())</f>
        <v/>
      </c>
      <c r="H450" t="n">
        <v>53.84374768837638</v>
      </c>
      <c r="I450" t="n">
        <v>101</v>
      </c>
      <c r="J450" t="n">
        <v>81</v>
      </c>
      <c r="K450" t="n">
        <v>142.9243856332703</v>
      </c>
      <c r="L450" t="n">
        <v>148.758034026465</v>
      </c>
      <c r="M450">
        <f>2*SQRT(K450/PI())</f>
        <v/>
      </c>
      <c r="N450">
        <f>2*SQRT(L450/PI())</f>
        <v/>
      </c>
      <c r="P450" t="inlineStr">
        <is>
          <t>是</t>
        </is>
      </c>
      <c r="Q450" t="inlineStr">
        <is>
          <t>auto_pipeline;review_png_green</t>
        </is>
      </c>
      <c r="R450" t="inlineStr">
        <is>
          <t>样品10</t>
        </is>
      </c>
    </row>
    <row r="451">
      <c r="A451" t="n">
        <v>450</v>
      </c>
      <c r="B451" t="inlineStr">
        <is>
          <t>10 (1).tif</t>
        </is>
      </c>
      <c r="C451" t="inlineStr">
        <is>
          <t>10(1)-V06</t>
        </is>
      </c>
      <c r="D451" t="n">
        <v>6</v>
      </c>
      <c r="E451" t="inlineStr">
        <is>
          <t>primary</t>
        </is>
      </c>
      <c r="F451" t="n">
        <v>130.0567107750473</v>
      </c>
      <c r="G451">
        <f>2*SQRT(F451/PI())</f>
        <v/>
      </c>
      <c r="H451" t="n">
        <v>43.61995691838472</v>
      </c>
      <c r="I451" t="n">
        <v>716</v>
      </c>
      <c r="J451" t="n">
        <v>195</v>
      </c>
      <c r="K451" t="n">
        <v>127.4555765595463</v>
      </c>
      <c r="L451" t="n">
        <v>132.6578449905482</v>
      </c>
      <c r="M451">
        <f>2*SQRT(K451/PI())</f>
        <v/>
      </c>
      <c r="N451">
        <f>2*SQRT(L451/PI())</f>
        <v/>
      </c>
      <c r="P451" t="inlineStr">
        <is>
          <t>是</t>
        </is>
      </c>
      <c r="Q451" t="inlineStr">
        <is>
          <t>auto_pipeline;review_png_green</t>
        </is>
      </c>
      <c r="R451" t="inlineStr">
        <is>
          <t>样品10</t>
        </is>
      </c>
    </row>
    <row r="452">
      <c r="A452" t="n">
        <v>451</v>
      </c>
      <c r="B452" t="inlineStr">
        <is>
          <t>10 (2).tif</t>
        </is>
      </c>
      <c r="C452" t="inlineStr">
        <is>
          <t>10(2)-V01</t>
        </is>
      </c>
      <c r="D452" t="n">
        <v>1</v>
      </c>
      <c r="E452" t="inlineStr">
        <is>
          <t>primary</t>
        </is>
      </c>
      <c r="F452" t="n">
        <v>925.2126654064273</v>
      </c>
      <c r="G452">
        <f>2*SQRT(F452/PI())</f>
        <v/>
      </c>
      <c r="H452" t="n">
        <v>115.2114457410315</v>
      </c>
      <c r="I452" t="n">
        <v>529</v>
      </c>
      <c r="J452" t="n">
        <v>292</v>
      </c>
      <c r="K452" t="n">
        <v>906.7084120982987</v>
      </c>
      <c r="L452" t="n">
        <v>943.7169187145558</v>
      </c>
      <c r="M452">
        <f>2*SQRT(K452/PI())</f>
        <v/>
      </c>
      <c r="N452">
        <f>2*SQRT(L452/PI())</f>
        <v/>
      </c>
      <c r="P452" t="inlineStr">
        <is>
          <t>是</t>
        </is>
      </c>
      <c r="Q452" t="inlineStr">
        <is>
          <t>auto_pipeline;review_png_green</t>
        </is>
      </c>
      <c r="R452" t="inlineStr">
        <is>
          <t>样品10</t>
        </is>
      </c>
    </row>
    <row r="453">
      <c r="A453" t="n">
        <v>452</v>
      </c>
      <c r="B453" t="inlineStr">
        <is>
          <t>10 (2).tif</t>
        </is>
      </c>
      <c r="C453" t="inlineStr">
        <is>
          <t>10(2)-V02</t>
        </is>
      </c>
      <c r="D453" t="n">
        <v>2</v>
      </c>
      <c r="E453" t="inlineStr">
        <is>
          <t>primary</t>
        </is>
      </c>
      <c r="F453" t="n">
        <v>888.2797731568999</v>
      </c>
      <c r="G453">
        <f>2*SQRT(F453/PI())</f>
        <v/>
      </c>
      <c r="H453" t="n">
        <v>112.475405205851</v>
      </c>
      <c r="I453" t="n">
        <v>405</v>
      </c>
      <c r="J453" t="n">
        <v>445</v>
      </c>
      <c r="K453" t="n">
        <v>870.5141776937619</v>
      </c>
      <c r="L453" t="n">
        <v>906.0453686200378</v>
      </c>
      <c r="M453">
        <f>2*SQRT(K453/PI())</f>
        <v/>
      </c>
      <c r="N453">
        <f>2*SQRT(L453/PI())</f>
        <v/>
      </c>
      <c r="P453" t="inlineStr">
        <is>
          <t>是</t>
        </is>
      </c>
      <c r="Q453" t="inlineStr">
        <is>
          <t>auto_pipeline;review_png_green</t>
        </is>
      </c>
      <c r="R453" t="inlineStr">
        <is>
          <t>样品10</t>
        </is>
      </c>
    </row>
    <row r="454">
      <c r="A454" t="n">
        <v>453</v>
      </c>
      <c r="B454" t="inlineStr">
        <is>
          <t>10 (2).tif</t>
        </is>
      </c>
      <c r="C454" t="inlineStr">
        <is>
          <t>10(2)-V03</t>
        </is>
      </c>
      <c r="D454" t="n">
        <v>3</v>
      </c>
      <c r="E454" t="inlineStr">
        <is>
          <t>primary</t>
        </is>
      </c>
      <c r="F454" t="n">
        <v>314.8865784499055</v>
      </c>
      <c r="G454">
        <f>2*SQRT(F454/PI())</f>
        <v/>
      </c>
      <c r="H454" t="n">
        <v>69.57581965819649</v>
      </c>
      <c r="I454" t="n">
        <v>379</v>
      </c>
      <c r="J454" t="n">
        <v>222</v>
      </c>
      <c r="K454" t="n">
        <v>308.5888468809073</v>
      </c>
      <c r="L454" t="n">
        <v>321.1843100189036</v>
      </c>
      <c r="M454">
        <f>2*SQRT(K454/PI())</f>
        <v/>
      </c>
      <c r="N454">
        <f>2*SQRT(L454/PI())</f>
        <v/>
      </c>
      <c r="P454" t="inlineStr">
        <is>
          <t>是</t>
        </is>
      </c>
      <c r="Q454" t="inlineStr">
        <is>
          <t>auto_pipeline;review_png_green</t>
        </is>
      </c>
      <c r="R454" t="inlineStr">
        <is>
          <t>样品10</t>
        </is>
      </c>
    </row>
    <row r="455">
      <c r="A455" t="n">
        <v>454</v>
      </c>
      <c r="B455" t="inlineStr">
        <is>
          <t>10 (2).tif</t>
        </is>
      </c>
      <c r="C455" t="inlineStr">
        <is>
          <t>10(2)-V04</t>
        </is>
      </c>
      <c r="D455" t="n">
        <v>4</v>
      </c>
      <c r="E455" t="inlineStr">
        <is>
          <t>primary</t>
        </is>
      </c>
      <c r="F455" t="n">
        <v>130.6947069943289</v>
      </c>
      <c r="G455">
        <f>2*SQRT(F455/PI())</f>
        <v/>
      </c>
      <c r="H455" t="n">
        <v>55.06974969221198</v>
      </c>
      <c r="I455" t="n">
        <v>549</v>
      </c>
      <c r="J455" t="n">
        <v>540</v>
      </c>
      <c r="K455" t="n">
        <v>128.0808128544423</v>
      </c>
      <c r="L455" t="n">
        <v>133.3086011342155</v>
      </c>
      <c r="M455">
        <f>2*SQRT(K455/PI())</f>
        <v/>
      </c>
      <c r="N455">
        <f>2*SQRT(L455/PI())</f>
        <v/>
      </c>
      <c r="P455" t="inlineStr">
        <is>
          <t>是</t>
        </is>
      </c>
      <c r="Q455" t="inlineStr">
        <is>
          <t>auto_pipeline;review_png_green</t>
        </is>
      </c>
      <c r="R455" t="inlineStr">
        <is>
          <t>样品10</t>
        </is>
      </c>
    </row>
    <row r="456">
      <c r="A456" t="n">
        <v>455</v>
      </c>
      <c r="B456" t="inlineStr">
        <is>
          <t>10 (2).tif</t>
        </is>
      </c>
      <c r="C456" t="inlineStr">
        <is>
          <t>10(2)-V05</t>
        </is>
      </c>
      <c r="D456" t="n">
        <v>5</v>
      </c>
      <c r="E456" t="inlineStr">
        <is>
          <t>primary</t>
        </is>
      </c>
      <c r="F456" t="n">
        <v>124.7637051039698</v>
      </c>
      <c r="G456">
        <f>2*SQRT(F456/PI())</f>
        <v/>
      </c>
      <c r="H456" t="n">
        <v>44.23483236976292</v>
      </c>
      <c r="I456" t="n">
        <v>555</v>
      </c>
      <c r="J456" t="n">
        <v>62</v>
      </c>
      <c r="K456" t="n">
        <v>122.2684310018904</v>
      </c>
      <c r="L456" t="n">
        <v>127.2589792060491</v>
      </c>
      <c r="M456">
        <f>2*SQRT(K456/PI())</f>
        <v/>
      </c>
      <c r="N456">
        <f>2*SQRT(L456/PI())</f>
        <v/>
      </c>
      <c r="P456" t="inlineStr">
        <is>
          <t>是</t>
        </is>
      </c>
      <c r="Q456" t="inlineStr">
        <is>
          <t>auto_pipeline;review_png_green</t>
        </is>
      </c>
      <c r="R456" t="inlineStr">
        <is>
          <t>样品10</t>
        </is>
      </c>
    </row>
    <row r="457">
      <c r="A457" t="n">
        <v>456</v>
      </c>
      <c r="B457" t="inlineStr">
        <is>
          <t>10 (3).tif</t>
        </is>
      </c>
      <c r="C457" t="inlineStr">
        <is>
          <t>10(3)-V01</t>
        </is>
      </c>
      <c r="D457" t="n">
        <v>1</v>
      </c>
      <c r="E457" t="inlineStr">
        <is>
          <t>primary</t>
        </is>
      </c>
      <c r="F457" t="n">
        <v>674.8818525519849</v>
      </c>
      <c r="G457">
        <f>2*SQRT(F457/PI())</f>
        <v/>
      </c>
      <c r="H457" t="n">
        <v>97.39815771579742</v>
      </c>
      <c r="I457" t="n">
        <v>527</v>
      </c>
      <c r="J457" t="n">
        <v>451</v>
      </c>
      <c r="K457" t="n">
        <v>661.3842155009452</v>
      </c>
      <c r="L457" t="n">
        <v>688.3794896030247</v>
      </c>
      <c r="M457">
        <f>2*SQRT(K457/PI())</f>
        <v/>
      </c>
      <c r="N457">
        <f>2*SQRT(L457/PI())</f>
        <v/>
      </c>
      <c r="O457" t="inlineStr">
        <is>
          <t>10(3)-P01</t>
        </is>
      </c>
      <c r="P457" t="inlineStr">
        <is>
          <t>是</t>
        </is>
      </c>
      <c r="Q457" t="inlineStr">
        <is>
          <t>auto_pipeline;review_png_green</t>
        </is>
      </c>
      <c r="R457" t="inlineStr">
        <is>
          <t>样品10</t>
        </is>
      </c>
    </row>
    <row r="458">
      <c r="A458" t="n">
        <v>457</v>
      </c>
      <c r="B458" t="inlineStr">
        <is>
          <t>10 (3).tif</t>
        </is>
      </c>
      <c r="C458" t="inlineStr">
        <is>
          <t>10(3)-V02</t>
        </is>
      </c>
      <c r="D458" t="n">
        <v>2</v>
      </c>
      <c r="E458" t="inlineStr">
        <is>
          <t>primary</t>
        </is>
      </c>
      <c r="F458" t="n">
        <v>649.007561436673</v>
      </c>
      <c r="G458">
        <f>2*SQRT(F458/PI())</f>
        <v/>
      </c>
      <c r="H458" t="n">
        <v>103.5069632011911</v>
      </c>
      <c r="I458" t="n">
        <v>740</v>
      </c>
      <c r="J458" t="n">
        <v>382</v>
      </c>
      <c r="K458" t="n">
        <v>636.0274102079395</v>
      </c>
      <c r="L458" t="n">
        <v>661.9877126654064</v>
      </c>
      <c r="M458">
        <f>2*SQRT(K458/PI())</f>
        <v/>
      </c>
      <c r="N458">
        <f>2*SQRT(L458/PI())</f>
        <v/>
      </c>
      <c r="P458" t="inlineStr">
        <is>
          <t>是</t>
        </is>
      </c>
      <c r="Q458" t="inlineStr">
        <is>
          <t>auto_pipeline;review_png_green</t>
        </is>
      </c>
      <c r="R458" t="inlineStr">
        <is>
          <t>样品10</t>
        </is>
      </c>
    </row>
    <row r="459">
      <c r="A459" t="n">
        <v>458</v>
      </c>
      <c r="B459" t="inlineStr">
        <is>
          <t>10 (3).tif</t>
        </is>
      </c>
      <c r="C459" t="inlineStr">
        <is>
          <t>10(3)-V03</t>
        </is>
      </c>
      <c r="D459" t="n">
        <v>3</v>
      </c>
      <c r="E459" t="inlineStr">
        <is>
          <t>primary</t>
        </is>
      </c>
      <c r="F459" t="n">
        <v>635.3024574669187</v>
      </c>
      <c r="G459">
        <f>2*SQRT(F459/PI())</f>
        <v/>
      </c>
      <c r="H459" t="n">
        <v>95.68087624466938</v>
      </c>
      <c r="I459" t="n">
        <v>902</v>
      </c>
      <c r="J459" t="n">
        <v>514</v>
      </c>
      <c r="K459" t="n">
        <v>622.5964083175803</v>
      </c>
      <c r="L459" t="n">
        <v>648.008506616257</v>
      </c>
      <c r="M459">
        <f>2*SQRT(K459/PI())</f>
        <v/>
      </c>
      <c r="N459">
        <f>2*SQRT(L459/PI())</f>
        <v/>
      </c>
      <c r="P459" t="inlineStr">
        <is>
          <t>是</t>
        </is>
      </c>
      <c r="Q459" t="inlineStr">
        <is>
          <t>auto_pipeline;review_png_green</t>
        </is>
      </c>
      <c r="R459" t="inlineStr">
        <is>
          <t>样品10</t>
        </is>
      </c>
    </row>
    <row r="460">
      <c r="A460" t="n">
        <v>459</v>
      </c>
      <c r="B460" t="inlineStr">
        <is>
          <t>10 (3).tif</t>
        </is>
      </c>
      <c r="C460" t="inlineStr">
        <is>
          <t>10(3)-V04</t>
        </is>
      </c>
      <c r="D460" t="n">
        <v>4</v>
      </c>
      <c r="E460" t="inlineStr">
        <is>
          <t>primary</t>
        </is>
      </c>
      <c r="F460" t="n">
        <v>523.4404536862004</v>
      </c>
      <c r="G460">
        <f>2*SQRT(F460/PI())</f>
        <v/>
      </c>
      <c r="H460" t="n">
        <v>85.64997724864794</v>
      </c>
      <c r="I460" t="n">
        <v>493</v>
      </c>
      <c r="J460" t="n">
        <v>313</v>
      </c>
      <c r="K460" t="n">
        <v>512.9716446124763</v>
      </c>
      <c r="L460" t="n">
        <v>533.9092627599244</v>
      </c>
      <c r="M460">
        <f>2*SQRT(K460/PI())</f>
        <v/>
      </c>
      <c r="N460">
        <f>2*SQRT(L460/PI())</f>
        <v/>
      </c>
      <c r="O460" t="inlineStr">
        <is>
          <t>10(3)-P01</t>
        </is>
      </c>
      <c r="P460" t="inlineStr">
        <is>
          <t>是</t>
        </is>
      </c>
      <c r="Q460" t="inlineStr">
        <is>
          <t>auto_pipeline;review_png_green</t>
        </is>
      </c>
      <c r="R460" t="inlineStr">
        <is>
          <t>样品10</t>
        </is>
      </c>
    </row>
    <row r="461">
      <c r="A461" t="n">
        <v>460</v>
      </c>
      <c r="B461" t="inlineStr">
        <is>
          <t>10 (3).tif</t>
        </is>
      </c>
      <c r="C461" t="inlineStr">
        <is>
          <t>10(3)-V05</t>
        </is>
      </c>
      <c r="D461" t="n">
        <v>5</v>
      </c>
      <c r="E461" t="inlineStr">
        <is>
          <t>primary</t>
        </is>
      </c>
      <c r="F461" t="n">
        <v>164.390359168242</v>
      </c>
      <c r="G461">
        <f>2*SQRT(F461/PI())</f>
        <v/>
      </c>
      <c r="H461" t="n">
        <v>49.68506447646929</v>
      </c>
      <c r="I461" t="n">
        <v>716</v>
      </c>
      <c r="J461" t="n">
        <v>87</v>
      </c>
      <c r="K461" t="n">
        <v>161.1025519848771</v>
      </c>
      <c r="L461" t="n">
        <v>167.6781663516068</v>
      </c>
      <c r="M461">
        <f>2*SQRT(K461/PI())</f>
        <v/>
      </c>
      <c r="N461">
        <f>2*SQRT(L461/PI())</f>
        <v/>
      </c>
      <c r="P461" t="inlineStr">
        <is>
          <t>是</t>
        </is>
      </c>
      <c r="Q461" t="inlineStr">
        <is>
          <t>auto_pipeline;review_png_green</t>
        </is>
      </c>
      <c r="R461" t="inlineStr">
        <is>
          <t>样品10</t>
        </is>
      </c>
    </row>
    <row r="462">
      <c r="A462" t="n">
        <v>461</v>
      </c>
      <c r="B462" t="inlineStr">
        <is>
          <t>10 (3).tif</t>
        </is>
      </c>
      <c r="C462" t="inlineStr">
        <is>
          <t>10(3)-V06</t>
        </is>
      </c>
      <c r="D462" t="n">
        <v>6</v>
      </c>
      <c r="E462" t="inlineStr">
        <is>
          <t>primary</t>
        </is>
      </c>
      <c r="F462" t="n">
        <v>103.82797731569</v>
      </c>
      <c r="G462">
        <f>2*SQRT(F462/PI())</f>
        <v/>
      </c>
      <c r="H462" t="n">
        <v>38.44626354134601</v>
      </c>
      <c r="I462" t="n">
        <v>734</v>
      </c>
      <c r="J462" t="n">
        <v>150</v>
      </c>
      <c r="K462" t="n">
        <v>101.7514177693762</v>
      </c>
      <c r="L462" t="n">
        <v>105.9045368620038</v>
      </c>
      <c r="M462">
        <f>2*SQRT(K462/PI())</f>
        <v/>
      </c>
      <c r="N462">
        <f>2*SQRT(L462/PI())</f>
        <v/>
      </c>
      <c r="P462" t="inlineStr">
        <is>
          <t>是</t>
        </is>
      </c>
      <c r="Q462" t="inlineStr">
        <is>
          <t>auto_pipeline;review_png_green</t>
        </is>
      </c>
      <c r="R462" t="inlineStr">
        <is>
          <t>样品10</t>
        </is>
      </c>
    </row>
    <row r="463">
      <c r="A463" t="n">
        <v>462</v>
      </c>
      <c r="B463" t="inlineStr">
        <is>
          <t>10 (3).tif</t>
        </is>
      </c>
      <c r="C463" t="inlineStr">
        <is>
          <t>10(3)-V07</t>
        </is>
      </c>
      <c r="D463" t="n">
        <v>7</v>
      </c>
      <c r="E463" t="inlineStr">
        <is>
          <t>primary</t>
        </is>
      </c>
      <c r="F463" t="n">
        <v>103.1427221172023</v>
      </c>
      <c r="G463">
        <f>2*SQRT(F463/PI())</f>
        <v/>
      </c>
      <c r="H463" t="n">
        <v>38.31891865833946</v>
      </c>
      <c r="I463" t="n">
        <v>524</v>
      </c>
      <c r="J463" t="n">
        <v>73</v>
      </c>
      <c r="K463" t="n">
        <v>101.0798676748582</v>
      </c>
      <c r="L463" t="n">
        <v>105.2055765595463</v>
      </c>
      <c r="M463">
        <f>2*SQRT(K463/PI())</f>
        <v/>
      </c>
      <c r="N463">
        <f>2*SQRT(L463/PI())</f>
        <v/>
      </c>
      <c r="P463" t="inlineStr">
        <is>
          <t>是</t>
        </is>
      </c>
      <c r="Q463" t="inlineStr">
        <is>
          <t>auto_pipeline;review_png_green</t>
        </is>
      </c>
      <c r="R463" t="inlineStr">
        <is>
          <t>样品10</t>
        </is>
      </c>
    </row>
    <row r="464">
      <c r="A464" t="n">
        <v>463</v>
      </c>
      <c r="B464" t="inlineStr">
        <is>
          <t>10 (4).tif</t>
        </is>
      </c>
      <c r="C464" t="inlineStr">
        <is>
          <t>10(4)-V01</t>
        </is>
      </c>
      <c r="D464" t="n">
        <v>1</v>
      </c>
      <c r="E464" t="inlineStr">
        <is>
          <t>primary</t>
        </is>
      </c>
      <c r="F464" t="n">
        <v>462.6417769376181</v>
      </c>
      <c r="G464">
        <f>2*SQRT(F464/PI())</f>
        <v/>
      </c>
      <c r="H464" t="n">
        <v>86.33039959098981</v>
      </c>
      <c r="I464" t="n">
        <v>149</v>
      </c>
      <c r="J464" t="n">
        <v>581</v>
      </c>
      <c r="K464" t="n">
        <v>453.3889413988658</v>
      </c>
      <c r="L464" t="n">
        <v>471.8946124763705</v>
      </c>
      <c r="M464">
        <f>2*SQRT(K464/PI())</f>
        <v/>
      </c>
      <c r="N464">
        <f>2*SQRT(L464/PI())</f>
        <v/>
      </c>
      <c r="P464" t="inlineStr">
        <is>
          <t>是</t>
        </is>
      </c>
      <c r="Q464" t="inlineStr">
        <is>
          <t>auto_pipeline;review_png_green</t>
        </is>
      </c>
      <c r="R464" t="inlineStr">
        <is>
          <t>样品10</t>
        </is>
      </c>
    </row>
    <row r="465">
      <c r="A465" t="n">
        <v>464</v>
      </c>
      <c r="B465" t="inlineStr">
        <is>
          <t>10 (4).tif</t>
        </is>
      </c>
      <c r="C465" t="inlineStr">
        <is>
          <t>10(4)-V02</t>
        </is>
      </c>
      <c r="D465" t="n">
        <v>2</v>
      </c>
      <c r="E465" t="inlineStr">
        <is>
          <t>primary</t>
        </is>
      </c>
      <c r="F465" t="n">
        <v>356.8052930056711</v>
      </c>
      <c r="G465">
        <f>2*SQRT(F465/PI())</f>
        <v/>
      </c>
      <c r="H465" t="n">
        <v>72.94858460840972</v>
      </c>
      <c r="I465" t="n">
        <v>544</v>
      </c>
      <c r="J465" t="n">
        <v>432</v>
      </c>
      <c r="K465" t="n">
        <v>349.6691871455577</v>
      </c>
      <c r="L465" t="n">
        <v>363.9413988657845</v>
      </c>
      <c r="M465">
        <f>2*SQRT(K465/PI())</f>
        <v/>
      </c>
      <c r="N465">
        <f>2*SQRT(L465/PI())</f>
        <v/>
      </c>
      <c r="P465" t="inlineStr">
        <is>
          <t>是</t>
        </is>
      </c>
      <c r="Q465" t="inlineStr">
        <is>
          <t>auto_pipeline;review_png_green</t>
        </is>
      </c>
      <c r="R465" t="inlineStr">
        <is>
          <t>样品10</t>
        </is>
      </c>
    </row>
    <row r="466">
      <c r="A466" t="n">
        <v>465</v>
      </c>
      <c r="B466" t="inlineStr">
        <is>
          <t>10 (4).tif</t>
        </is>
      </c>
      <c r="C466" t="inlineStr">
        <is>
          <t>10(4)-V03</t>
        </is>
      </c>
      <c r="D466" t="n">
        <v>3</v>
      </c>
      <c r="E466" t="inlineStr">
        <is>
          <t>primary</t>
        </is>
      </c>
      <c r="F466" t="n">
        <v>191.9659735349717</v>
      </c>
      <c r="G466">
        <f>2*SQRT(F466/PI())</f>
        <v/>
      </c>
      <c r="H466" t="n">
        <v>54.88060681716255</v>
      </c>
      <c r="I466" t="n">
        <v>463</v>
      </c>
      <c r="J466" t="n">
        <v>159</v>
      </c>
      <c r="K466" t="n">
        <v>188.1266540642722</v>
      </c>
      <c r="L466" t="n">
        <v>195.8052930056711</v>
      </c>
      <c r="M466">
        <f>2*SQRT(K466/PI())</f>
        <v/>
      </c>
      <c r="N466">
        <f>2*SQRT(L466/PI())</f>
        <v/>
      </c>
      <c r="P466" t="inlineStr">
        <is>
          <t>是</t>
        </is>
      </c>
      <c r="Q466" t="inlineStr">
        <is>
          <t>auto_pipeline;review_png_green</t>
        </is>
      </c>
      <c r="R466" t="inlineStr">
        <is>
          <t>样品10</t>
        </is>
      </c>
    </row>
    <row r="467">
      <c r="A467" t="n">
        <v>466</v>
      </c>
      <c r="B467" t="inlineStr">
        <is>
          <t>10 (4).tif</t>
        </is>
      </c>
      <c r="C467" t="inlineStr">
        <is>
          <t>10(4)-V04</t>
        </is>
      </c>
      <c r="D467" t="n">
        <v>4</v>
      </c>
      <c r="E467" t="inlineStr">
        <is>
          <t>primary</t>
        </is>
      </c>
      <c r="F467" t="n">
        <v>136.7674858223062</v>
      </c>
      <c r="G467">
        <f>2*SQRT(F467/PI())</f>
        <v/>
      </c>
      <c r="H467" t="n">
        <v>49.85610728678496</v>
      </c>
      <c r="I467" t="n">
        <v>770</v>
      </c>
      <c r="J467" t="n">
        <v>216</v>
      </c>
      <c r="K467" t="n">
        <v>134.0321361058601</v>
      </c>
      <c r="L467" t="n">
        <v>139.5028355387524</v>
      </c>
      <c r="M467">
        <f>2*SQRT(K467/PI())</f>
        <v/>
      </c>
      <c r="N467">
        <f>2*SQRT(L467/PI())</f>
        <v/>
      </c>
      <c r="P467" t="inlineStr">
        <is>
          <t>是</t>
        </is>
      </c>
      <c r="Q467" t="inlineStr">
        <is>
          <t>auto_pipeline;review_png_green</t>
        </is>
      </c>
      <c r="R467" t="inlineStr">
        <is>
          <t>样品10</t>
        </is>
      </c>
    </row>
    <row r="468">
      <c r="A468" t="n">
        <v>467</v>
      </c>
      <c r="B468" t="inlineStr">
        <is>
          <t>10 (5).tif</t>
        </is>
      </c>
      <c r="C468" t="inlineStr">
        <is>
          <t>10(5)-V01</t>
        </is>
      </c>
      <c r="D468" t="n">
        <v>1</v>
      </c>
      <c r="E468" t="inlineStr">
        <is>
          <t>primary</t>
        </is>
      </c>
      <c r="F468" t="n">
        <v>526.913988657845</v>
      </c>
      <c r="G468">
        <f>2*SQRT(F468/PI())</f>
        <v/>
      </c>
      <c r="H468" t="n">
        <v>88.13132801781529</v>
      </c>
      <c r="I468" t="n">
        <v>581</v>
      </c>
      <c r="J468" t="n">
        <v>395</v>
      </c>
      <c r="K468" t="n">
        <v>516.3757088846882</v>
      </c>
      <c r="L468" t="n">
        <v>537.4522684310019</v>
      </c>
      <c r="M468">
        <f>2*SQRT(K468/PI())</f>
        <v/>
      </c>
      <c r="N468">
        <f>2*SQRT(L468/PI())</f>
        <v/>
      </c>
      <c r="P468" t="inlineStr">
        <is>
          <t>是</t>
        </is>
      </c>
      <c r="Q468" t="inlineStr">
        <is>
          <t>auto_pipeline;review_png_green</t>
        </is>
      </c>
      <c r="R468" t="inlineStr">
        <is>
          <t>样品10</t>
        </is>
      </c>
    </row>
    <row r="469">
      <c r="A469" t="n">
        <v>468</v>
      </c>
      <c r="B469" t="inlineStr">
        <is>
          <t>10 (5).tif</t>
        </is>
      </c>
      <c r="C469" t="inlineStr">
        <is>
          <t>10(5)-V02</t>
        </is>
      </c>
      <c r="D469" t="n">
        <v>2</v>
      </c>
      <c r="E469" t="inlineStr">
        <is>
          <t>primary</t>
        </is>
      </c>
      <c r="F469" t="n">
        <v>516.8478260869565</v>
      </c>
      <c r="G469">
        <f>2*SQRT(F469/PI())</f>
        <v/>
      </c>
      <c r="H469" t="n">
        <v>88.64070754984151</v>
      </c>
      <c r="I469" t="n">
        <v>450</v>
      </c>
      <c r="J469" t="n">
        <v>305</v>
      </c>
      <c r="K469" t="n">
        <v>506.5108695652174</v>
      </c>
      <c r="L469" t="n">
        <v>527.1847826086956</v>
      </c>
      <c r="M469">
        <f>2*SQRT(K469/PI())</f>
        <v/>
      </c>
      <c r="N469">
        <f>2*SQRT(L469/PI())</f>
        <v/>
      </c>
      <c r="P469" t="inlineStr">
        <is>
          <t>是</t>
        </is>
      </c>
      <c r="Q469" t="inlineStr">
        <is>
          <t>auto_pipeline;review_png_green</t>
        </is>
      </c>
      <c r="R469" t="inlineStr">
        <is>
          <t>样品10</t>
        </is>
      </c>
    </row>
    <row r="470">
      <c r="A470" t="n">
        <v>469</v>
      </c>
      <c r="B470" t="inlineStr">
        <is>
          <t>10 (5).tif</t>
        </is>
      </c>
      <c r="C470" t="inlineStr">
        <is>
          <t>10(5)-V03</t>
        </is>
      </c>
      <c r="D470" t="n">
        <v>3</v>
      </c>
      <c r="E470" t="inlineStr">
        <is>
          <t>primary</t>
        </is>
      </c>
      <c r="F470" t="n">
        <v>210.586011342155</v>
      </c>
      <c r="G470">
        <f>2*SQRT(F470/PI())</f>
        <v/>
      </c>
      <c r="H470" t="n">
        <v>56.87442701795827</v>
      </c>
      <c r="I470" t="n">
        <v>891</v>
      </c>
      <c r="J470" t="n">
        <v>638</v>
      </c>
      <c r="K470" t="n">
        <v>206.3742911153119</v>
      </c>
      <c r="L470" t="n">
        <v>214.7977315689981</v>
      </c>
      <c r="M470">
        <f>2*SQRT(K470/PI())</f>
        <v/>
      </c>
      <c r="N470">
        <f>2*SQRT(L470/PI())</f>
        <v/>
      </c>
      <c r="P470" t="inlineStr">
        <is>
          <t>是</t>
        </is>
      </c>
      <c r="Q470" t="inlineStr">
        <is>
          <t>auto_pipeline;review_png_green</t>
        </is>
      </c>
      <c r="R470" t="inlineStr">
        <is>
          <t>样品10</t>
        </is>
      </c>
    </row>
    <row r="471">
      <c r="A471" t="n">
        <v>470</v>
      </c>
      <c r="B471" t="inlineStr">
        <is>
          <t>10 (5).tif</t>
        </is>
      </c>
      <c r="C471" t="inlineStr">
        <is>
          <t>10(5)-V04</t>
        </is>
      </c>
      <c r="D471" t="n">
        <v>4</v>
      </c>
      <c r="E471" t="inlineStr">
        <is>
          <t>primary</t>
        </is>
      </c>
      <c r="F471" t="n">
        <v>153.3790170132325</v>
      </c>
      <c r="G471">
        <f>2*SQRT(F471/PI())</f>
        <v/>
      </c>
      <c r="H471" t="n">
        <v>49.79056039582128</v>
      </c>
      <c r="I471" t="n">
        <v>481</v>
      </c>
      <c r="J471" t="n">
        <v>124</v>
      </c>
      <c r="K471" t="n">
        <v>150.3114366729679</v>
      </c>
      <c r="L471" t="n">
        <v>156.4465973534972</v>
      </c>
      <c r="M471">
        <f>2*SQRT(K471/PI())</f>
        <v/>
      </c>
      <c r="N471">
        <f>2*SQRT(L471/PI())</f>
        <v/>
      </c>
      <c r="P471" t="inlineStr">
        <is>
          <t>是</t>
        </is>
      </c>
      <c r="Q471" t="inlineStr">
        <is>
          <t>auto_pipeline;review_png_green</t>
        </is>
      </c>
      <c r="R471" t="inlineStr">
        <is>
          <t>样品10</t>
        </is>
      </c>
    </row>
    <row r="472">
      <c r="A472" t="n">
        <v>471</v>
      </c>
      <c r="B472" t="inlineStr">
        <is>
          <t>10 (5).tif</t>
        </is>
      </c>
      <c r="C472" t="inlineStr">
        <is>
          <t>10(5)-V05</t>
        </is>
      </c>
      <c r="D472" t="n">
        <v>5</v>
      </c>
      <c r="E472" t="inlineStr">
        <is>
          <t>primary</t>
        </is>
      </c>
      <c r="F472" t="n">
        <v>142.8638941398866</v>
      </c>
      <c r="G472">
        <f>2*SQRT(F472/PI())</f>
        <v/>
      </c>
      <c r="H472" t="n">
        <v>45.61377711918043</v>
      </c>
      <c r="I472" t="n">
        <v>533</v>
      </c>
      <c r="J472" t="n">
        <v>269</v>
      </c>
      <c r="K472" t="n">
        <v>140.0066162570888</v>
      </c>
      <c r="L472" t="n">
        <v>145.7211720226843</v>
      </c>
      <c r="M472">
        <f>2*SQRT(K472/PI())</f>
        <v/>
      </c>
      <c r="N472">
        <f>2*SQRT(L472/PI())</f>
        <v/>
      </c>
      <c r="P472" t="inlineStr">
        <is>
          <t>是</t>
        </is>
      </c>
      <c r="Q472" t="inlineStr">
        <is>
          <t>auto_pipeline;review_png_green</t>
        </is>
      </c>
      <c r="R472" t="inlineStr">
        <is>
          <t>样品10</t>
        </is>
      </c>
    </row>
    <row r="473">
      <c r="A473" t="n">
        <v>472</v>
      </c>
      <c r="B473" t="inlineStr">
        <is>
          <t>10 (6).tif</t>
        </is>
      </c>
      <c r="C473" t="inlineStr">
        <is>
          <t>10(6)-V01</t>
        </is>
      </c>
      <c r="D473" t="n">
        <v>1</v>
      </c>
      <c r="E473" t="inlineStr">
        <is>
          <t>primary</t>
        </is>
      </c>
      <c r="F473" t="n">
        <v>293.1947069943289</v>
      </c>
      <c r="G473">
        <f>2*SQRT(F473/PI())</f>
        <v/>
      </c>
      <c r="H473" t="n">
        <v>64.14743651514468</v>
      </c>
      <c r="I473" t="n">
        <v>437</v>
      </c>
      <c r="J473" t="n">
        <v>351</v>
      </c>
      <c r="K473" t="n">
        <v>287.3308128544423</v>
      </c>
      <c r="L473" t="n">
        <v>299.0586011342155</v>
      </c>
      <c r="M473">
        <f>2*SQRT(K473/PI())</f>
        <v/>
      </c>
      <c r="N473">
        <f>2*SQRT(L473/PI())</f>
        <v/>
      </c>
      <c r="P473" t="inlineStr">
        <is>
          <t>是</t>
        </is>
      </c>
      <c r="Q473" t="inlineStr">
        <is>
          <t>auto_pipeline;review_png_green</t>
        </is>
      </c>
      <c r="R473" t="inlineStr">
        <is>
          <t>样品10</t>
        </is>
      </c>
    </row>
    <row r="474">
      <c r="A474" t="n">
        <v>473</v>
      </c>
      <c r="B474" t="inlineStr">
        <is>
          <t>10 (6).tif</t>
        </is>
      </c>
      <c r="C474" t="inlineStr">
        <is>
          <t>10(6)-V02</t>
        </is>
      </c>
      <c r="D474" t="n">
        <v>2</v>
      </c>
      <c r="E474" t="inlineStr">
        <is>
          <t>primary</t>
        </is>
      </c>
      <c r="F474" t="n">
        <v>146.8336483931947</v>
      </c>
      <c r="G474">
        <f>2*SQRT(F474/PI())</f>
        <v/>
      </c>
      <c r="H474" t="n">
        <v>46.58883825592373</v>
      </c>
      <c r="I474" t="n">
        <v>704</v>
      </c>
      <c r="J474" t="n">
        <v>406</v>
      </c>
      <c r="K474" t="n">
        <v>143.8969754253308</v>
      </c>
      <c r="L474" t="n">
        <v>149.7703213610586</v>
      </c>
      <c r="M474">
        <f>2*SQRT(K474/PI())</f>
        <v/>
      </c>
      <c r="N474">
        <f>2*SQRT(L474/PI())</f>
        <v/>
      </c>
      <c r="P474" t="inlineStr">
        <is>
          <t>是</t>
        </is>
      </c>
      <c r="Q474" t="inlineStr">
        <is>
          <t>auto_pipeline;review_png_green</t>
        </is>
      </c>
      <c r="R474" t="inlineStr">
        <is>
          <t>样品10</t>
        </is>
      </c>
    </row>
    <row r="475">
      <c r="A475" t="n">
        <v>474</v>
      </c>
      <c r="B475" t="inlineStr">
        <is>
          <t>10 (6).tif</t>
        </is>
      </c>
      <c r="C475" t="inlineStr">
        <is>
          <t>10(6)-V03</t>
        </is>
      </c>
      <c r="D475" t="n">
        <v>3</v>
      </c>
      <c r="E475" t="inlineStr">
        <is>
          <t>primary</t>
        </is>
      </c>
      <c r="F475" t="n">
        <v>110.1606805293006</v>
      </c>
      <c r="G475">
        <f>2*SQRT(F475/PI())</f>
        <v/>
      </c>
      <c r="H475" t="n">
        <v>52.25381110025489</v>
      </c>
      <c r="I475" t="n">
        <v>539</v>
      </c>
      <c r="J475" t="n">
        <v>298</v>
      </c>
      <c r="K475" t="n">
        <v>107.9574669187145</v>
      </c>
      <c r="L475" t="n">
        <v>112.3638941398866</v>
      </c>
      <c r="M475">
        <f>2*SQRT(K475/PI())</f>
        <v/>
      </c>
      <c r="N475">
        <f>2*SQRT(L475/PI())</f>
        <v/>
      </c>
      <c r="P475" t="inlineStr">
        <is>
          <t>是</t>
        </is>
      </c>
      <c r="Q475" t="inlineStr">
        <is>
          <t>auto_pipeline;review_png_green</t>
        </is>
      </c>
      <c r="R475" t="inlineStr">
        <is>
          <t>样品10</t>
        </is>
      </c>
    </row>
    <row r="476">
      <c r="A476" t="n">
        <v>475</v>
      </c>
      <c r="B476" t="inlineStr">
        <is>
          <t>10 (7).tif</t>
        </is>
      </c>
      <c r="C476" t="inlineStr">
        <is>
          <t>10(7)-V01</t>
        </is>
      </c>
      <c r="D476" t="n">
        <v>1</v>
      </c>
      <c r="E476" t="inlineStr">
        <is>
          <t>primary</t>
        </is>
      </c>
      <c r="F476" t="n">
        <v>398.1568998109641</v>
      </c>
      <c r="G476">
        <f>2*SQRT(F476/PI())</f>
        <v/>
      </c>
      <c r="H476" t="n">
        <v>76.2339537040047</v>
      </c>
      <c r="I476" t="n">
        <v>455</v>
      </c>
      <c r="J476" t="n">
        <v>377</v>
      </c>
      <c r="K476" t="n">
        <v>390.1937618147448</v>
      </c>
      <c r="L476" t="n">
        <v>406.1200378071834</v>
      </c>
      <c r="M476">
        <f>2*SQRT(K476/PI())</f>
        <v/>
      </c>
      <c r="N476">
        <f>2*SQRT(L476/PI())</f>
        <v/>
      </c>
      <c r="P476" t="inlineStr">
        <is>
          <t>是</t>
        </is>
      </c>
      <c r="Q476" t="inlineStr">
        <is>
          <t>auto_pipeline;review_png_green</t>
        </is>
      </c>
      <c r="R476" t="inlineStr">
        <is>
          <t>样品10</t>
        </is>
      </c>
    </row>
    <row r="477">
      <c r="A477" t="n">
        <v>476</v>
      </c>
      <c r="B477" t="inlineStr">
        <is>
          <t>10 (7).tif</t>
        </is>
      </c>
      <c r="C477" t="inlineStr">
        <is>
          <t>10(7)-V02</t>
        </is>
      </c>
      <c r="D477" t="n">
        <v>2</v>
      </c>
      <c r="E477" t="inlineStr">
        <is>
          <t>primary</t>
        </is>
      </c>
      <c r="F477" t="n">
        <v>122.5897920604915</v>
      </c>
      <c r="G477">
        <f>2*SQRT(F477/PI())</f>
        <v/>
      </c>
      <c r="H477" t="n">
        <v>42.03002033026322</v>
      </c>
      <c r="I477" t="n">
        <v>91</v>
      </c>
      <c r="J477" t="n">
        <v>506</v>
      </c>
      <c r="K477" t="n">
        <v>120.1379962192817</v>
      </c>
      <c r="L477" t="n">
        <v>125.0415879017013</v>
      </c>
      <c r="M477">
        <f>2*SQRT(K477/PI())</f>
        <v/>
      </c>
      <c r="N477">
        <f>2*SQRT(L477/PI())</f>
        <v/>
      </c>
      <c r="P477" t="inlineStr">
        <is>
          <t>是</t>
        </is>
      </c>
      <c r="Q477" t="inlineStr">
        <is>
          <t>auto_pipeline;review_png_green</t>
        </is>
      </c>
      <c r="R477" t="inlineStr">
        <is>
          <t>样品10</t>
        </is>
      </c>
    </row>
    <row r="478">
      <c r="A478" t="n">
        <v>477</v>
      </c>
      <c r="B478" t="inlineStr">
        <is>
          <t>10 (7).tif</t>
        </is>
      </c>
      <c r="C478" t="inlineStr">
        <is>
          <t>10(7)-V03</t>
        </is>
      </c>
      <c r="D478" t="n">
        <v>3</v>
      </c>
      <c r="E478" t="inlineStr">
        <is>
          <t>primary</t>
        </is>
      </c>
      <c r="F478" t="n">
        <v>118.2183364839319</v>
      </c>
      <c r="G478">
        <f>2*SQRT(F478/PI())</f>
        <v/>
      </c>
      <c r="H478" t="n">
        <v>42.77224066464797</v>
      </c>
      <c r="I478" t="n">
        <v>279</v>
      </c>
      <c r="J478" t="n">
        <v>84</v>
      </c>
      <c r="K478" t="n">
        <v>115.8539697542533</v>
      </c>
      <c r="L478" t="n">
        <v>120.5827032136106</v>
      </c>
      <c r="M478">
        <f>2*SQRT(K478/PI())</f>
        <v/>
      </c>
      <c r="N478">
        <f>2*SQRT(L478/PI())</f>
        <v/>
      </c>
      <c r="P478" t="inlineStr">
        <is>
          <t>是</t>
        </is>
      </c>
      <c r="Q478" t="inlineStr">
        <is>
          <t>auto_pipeline;review_png_green</t>
        </is>
      </c>
      <c r="R478" t="inlineStr">
        <is>
          <t>样品10</t>
        </is>
      </c>
    </row>
    <row r="479">
      <c r="A479" t="n">
        <v>478</v>
      </c>
      <c r="B479" t="inlineStr">
        <is>
          <t>10 (7).tif</t>
        </is>
      </c>
      <c r="C479" t="inlineStr">
        <is>
          <t>10(7)-V04</t>
        </is>
      </c>
      <c r="D479" t="n">
        <v>4</v>
      </c>
      <c r="E479" t="inlineStr">
        <is>
          <t>primary</t>
        </is>
      </c>
      <c r="F479" t="n">
        <v>118.1238185255199</v>
      </c>
      <c r="G479">
        <f>2*SQRT(F479/PI())</f>
        <v/>
      </c>
      <c r="H479" t="n">
        <v>43.49261203537817</v>
      </c>
      <c r="I479" t="n">
        <v>512</v>
      </c>
      <c r="J479" t="n">
        <v>647</v>
      </c>
      <c r="K479" t="n">
        <v>115.7613421550095</v>
      </c>
      <c r="L479" t="n">
        <v>120.4862948960302</v>
      </c>
      <c r="M479">
        <f>2*SQRT(K479/PI())</f>
        <v/>
      </c>
      <c r="N479">
        <f>2*SQRT(L479/PI())</f>
        <v/>
      </c>
      <c r="P479" t="inlineStr">
        <is>
          <t>是</t>
        </is>
      </c>
      <c r="Q479" t="inlineStr">
        <is>
          <t>auto_pipeline;review_png_green</t>
        </is>
      </c>
      <c r="R479" t="inlineStr">
        <is>
          <t>样品10</t>
        </is>
      </c>
    </row>
    <row r="480">
      <c r="A480" t="n">
        <v>479</v>
      </c>
      <c r="B480" t="inlineStr">
        <is>
          <t>10 (7).tif</t>
        </is>
      </c>
      <c r="C480" t="inlineStr">
        <is>
          <t>10(7)-V05</t>
        </is>
      </c>
      <c r="D480" t="n">
        <v>5</v>
      </c>
      <c r="E480" t="inlineStr">
        <is>
          <t>primary</t>
        </is>
      </c>
      <c r="F480" t="n">
        <v>112.476370510397</v>
      </c>
      <c r="G480">
        <f>2*SQRT(F480/PI())</f>
        <v/>
      </c>
      <c r="H480" t="n">
        <v>42.28471009627632</v>
      </c>
      <c r="I480" t="n">
        <v>715</v>
      </c>
      <c r="J480" t="n">
        <v>435</v>
      </c>
      <c r="K480" t="n">
        <v>110.226843100189</v>
      </c>
      <c r="L480" t="n">
        <v>114.7258979206049</v>
      </c>
      <c r="M480">
        <f>2*SQRT(K480/PI())</f>
        <v/>
      </c>
      <c r="N480">
        <f>2*SQRT(L480/PI())</f>
        <v/>
      </c>
      <c r="P480" t="inlineStr">
        <is>
          <t>是</t>
        </is>
      </c>
      <c r="Q480" t="inlineStr">
        <is>
          <t>auto_pipeline;review_png_green</t>
        </is>
      </c>
      <c r="R480" t="inlineStr">
        <is>
          <t>样品10</t>
        </is>
      </c>
    </row>
    <row r="481">
      <c r="A481" t="n">
        <v>480</v>
      </c>
      <c r="B481" t="inlineStr">
        <is>
          <t>11 (1).tif</t>
        </is>
      </c>
      <c r="C481" t="inlineStr">
        <is>
          <t>11(1)-V01</t>
        </is>
      </c>
      <c r="D481" t="n">
        <v>1</v>
      </c>
      <c r="E481" t="inlineStr">
        <is>
          <t>primary</t>
        </is>
      </c>
      <c r="F481" t="n">
        <v>617.0132325141777</v>
      </c>
      <c r="G481">
        <f>2*SQRT(F481/PI())</f>
        <v/>
      </c>
      <c r="H481" t="n">
        <v>95.02230286598206</v>
      </c>
      <c r="I481" t="n">
        <v>433</v>
      </c>
      <c r="J481" t="n">
        <v>480</v>
      </c>
      <c r="K481" t="n">
        <v>604.6729678638942</v>
      </c>
      <c r="L481" t="n">
        <v>629.3534971644613</v>
      </c>
      <c r="M481">
        <f>2*SQRT(K481/PI())</f>
        <v/>
      </c>
      <c r="N481">
        <f>2*SQRT(L481/PI())</f>
        <v/>
      </c>
      <c r="P481" t="inlineStr">
        <is>
          <t>是</t>
        </is>
      </c>
      <c r="Q481" t="inlineStr">
        <is>
          <t>auto_pipeline;review_png_green</t>
        </is>
      </c>
      <c r="R481" t="inlineStr">
        <is>
          <t>样品11</t>
        </is>
      </c>
    </row>
    <row r="482">
      <c r="A482" t="n">
        <v>481</v>
      </c>
      <c r="B482" t="inlineStr">
        <is>
          <t>11 (1).tif</t>
        </is>
      </c>
      <c r="C482" t="inlineStr">
        <is>
          <t>11(1)-V02</t>
        </is>
      </c>
      <c r="D482" t="n">
        <v>2</v>
      </c>
      <c r="E482" t="inlineStr">
        <is>
          <t>primary</t>
        </is>
      </c>
      <c r="F482" t="n">
        <v>279.2296786389414</v>
      </c>
      <c r="G482">
        <f>2*SQRT(F482/PI())</f>
        <v/>
      </c>
      <c r="H482" t="n">
        <v>66.22490367163782</v>
      </c>
      <c r="I482" t="n">
        <v>273</v>
      </c>
      <c r="J482" t="n">
        <v>140</v>
      </c>
      <c r="K482" t="n">
        <v>273.6450850661626</v>
      </c>
      <c r="L482" t="n">
        <v>284.8142722117202</v>
      </c>
      <c r="M482">
        <f>2*SQRT(K482/PI())</f>
        <v/>
      </c>
      <c r="N482">
        <f>2*SQRT(L482/PI())</f>
        <v/>
      </c>
      <c r="P482" t="inlineStr">
        <is>
          <t>是</t>
        </is>
      </c>
      <c r="Q482" t="inlineStr">
        <is>
          <t>auto_pipeline;review_png_green</t>
        </is>
      </c>
      <c r="R482" t="inlineStr">
        <is>
          <t>样品11</t>
        </is>
      </c>
    </row>
    <row r="483">
      <c r="A483" t="n">
        <v>482</v>
      </c>
      <c r="B483" t="inlineStr">
        <is>
          <t>11 (1).tif</t>
        </is>
      </c>
      <c r="C483" t="inlineStr">
        <is>
          <t>11(1)-V03</t>
        </is>
      </c>
      <c r="D483" t="n">
        <v>3</v>
      </c>
      <c r="E483" t="inlineStr">
        <is>
          <t>primary</t>
        </is>
      </c>
      <c r="F483" t="n">
        <v>171.4792060491493</v>
      </c>
      <c r="G483">
        <f>2*SQRT(F483/PI())</f>
        <v/>
      </c>
      <c r="H483" t="n">
        <v>49.32487879110419</v>
      </c>
      <c r="I483" t="n">
        <v>383</v>
      </c>
      <c r="J483" t="n">
        <v>329</v>
      </c>
      <c r="K483" t="n">
        <v>168.0496219281663</v>
      </c>
      <c r="L483" t="n">
        <v>174.9087901701323</v>
      </c>
      <c r="M483">
        <f>2*SQRT(K483/PI())</f>
        <v/>
      </c>
      <c r="N483">
        <f>2*SQRT(L483/PI())</f>
        <v/>
      </c>
      <c r="P483" t="inlineStr">
        <is>
          <t>是</t>
        </is>
      </c>
      <c r="Q483" t="inlineStr">
        <is>
          <t>auto_pipeline;review_png_green</t>
        </is>
      </c>
      <c r="R483" t="inlineStr">
        <is>
          <t>样品11</t>
        </is>
      </c>
    </row>
    <row r="484">
      <c r="A484" t="n">
        <v>483</v>
      </c>
      <c r="B484" t="inlineStr">
        <is>
          <t>11 (2).tif</t>
        </is>
      </c>
      <c r="C484" t="inlineStr">
        <is>
          <t>11(2)-V01</t>
        </is>
      </c>
      <c r="D484" t="n">
        <v>1</v>
      </c>
      <c r="E484" t="inlineStr">
        <is>
          <t>primary</t>
        </is>
      </c>
      <c r="F484" t="n">
        <v>975.1890359168242</v>
      </c>
      <c r="G484">
        <f>2*SQRT(F484/PI())</f>
        <v/>
      </c>
      <c r="H484" t="n">
        <v>117.9037883489028</v>
      </c>
      <c r="I484" t="n">
        <v>559</v>
      </c>
      <c r="J484" t="n">
        <v>331</v>
      </c>
      <c r="K484" t="n">
        <v>955.6852551984877</v>
      </c>
      <c r="L484" t="n">
        <v>994.6928166351607</v>
      </c>
      <c r="M484">
        <f>2*SQRT(K484/PI())</f>
        <v/>
      </c>
      <c r="N484">
        <f>2*SQRT(L484/PI())</f>
        <v/>
      </c>
      <c r="O484" t="inlineStr">
        <is>
          <t>11(2)-P01</t>
        </is>
      </c>
      <c r="P484" t="inlineStr">
        <is>
          <t>是</t>
        </is>
      </c>
      <c r="Q484" t="inlineStr">
        <is>
          <t>auto_pipeline;review_png_green</t>
        </is>
      </c>
      <c r="R484" t="inlineStr">
        <is>
          <t>样品11</t>
        </is>
      </c>
    </row>
    <row r="485">
      <c r="A485" t="n">
        <v>484</v>
      </c>
      <c r="B485" t="inlineStr">
        <is>
          <t>11 (2).tif</t>
        </is>
      </c>
      <c r="C485" t="inlineStr">
        <is>
          <t>11(2)-V02</t>
        </is>
      </c>
      <c r="D485" t="n">
        <v>2</v>
      </c>
      <c r="E485" t="inlineStr">
        <is>
          <t>primary</t>
        </is>
      </c>
      <c r="F485" t="n">
        <v>776.3941398865785</v>
      </c>
      <c r="G485">
        <f>2*SQRT(F485/PI())</f>
        <v/>
      </c>
      <c r="H485" t="n">
        <v>104.5656712936318</v>
      </c>
      <c r="I485" t="n">
        <v>381</v>
      </c>
      <c r="J485" t="n">
        <v>354</v>
      </c>
      <c r="K485" t="n">
        <v>760.866257088847</v>
      </c>
      <c r="L485" t="n">
        <v>791.92202268431</v>
      </c>
      <c r="M485">
        <f>2*SQRT(K485/PI())</f>
        <v/>
      </c>
      <c r="N485">
        <f>2*SQRT(L485/PI())</f>
        <v/>
      </c>
      <c r="O485" t="inlineStr">
        <is>
          <t>11(2)-P01</t>
        </is>
      </c>
      <c r="P485" t="inlineStr">
        <is>
          <t>是</t>
        </is>
      </c>
      <c r="Q485" t="inlineStr">
        <is>
          <t>auto_pipeline;review_png_green</t>
        </is>
      </c>
      <c r="R485" t="inlineStr">
        <is>
          <t>样品11</t>
        </is>
      </c>
    </row>
    <row r="486">
      <c r="A486" t="n">
        <v>485</v>
      </c>
      <c r="B486" t="inlineStr">
        <is>
          <t>11 (2).tif</t>
        </is>
      </c>
      <c r="C486" t="inlineStr">
        <is>
          <t>11(2)-V03</t>
        </is>
      </c>
      <c r="D486" t="n">
        <v>3</v>
      </c>
      <c r="E486" t="inlineStr">
        <is>
          <t>primary</t>
        </is>
      </c>
      <c r="F486" t="n">
        <v>409.0737240075615</v>
      </c>
      <c r="G486">
        <f>2*SQRT(F486/PI())</f>
        <v/>
      </c>
      <c r="H486" t="n">
        <v>75.76827209928761</v>
      </c>
      <c r="I486" t="n">
        <v>217</v>
      </c>
      <c r="J486" t="n">
        <v>73</v>
      </c>
      <c r="K486" t="n">
        <v>400.8922495274102</v>
      </c>
      <c r="L486" t="n">
        <v>417.2551984877127</v>
      </c>
      <c r="M486">
        <f>2*SQRT(K486/PI())</f>
        <v/>
      </c>
      <c r="N486">
        <f>2*SQRT(L486/PI())</f>
        <v/>
      </c>
      <c r="P486" t="inlineStr">
        <is>
          <t>是</t>
        </is>
      </c>
      <c r="Q486" t="inlineStr">
        <is>
          <t>auto_pipeline;review_png_green</t>
        </is>
      </c>
      <c r="R486" t="inlineStr">
        <is>
          <t>样品11</t>
        </is>
      </c>
    </row>
    <row r="487">
      <c r="A487" t="n">
        <v>486</v>
      </c>
      <c r="B487" t="inlineStr">
        <is>
          <t>11 (2).tif</t>
        </is>
      </c>
      <c r="C487" t="inlineStr">
        <is>
          <t>11(2)-V04</t>
        </is>
      </c>
      <c r="D487" t="n">
        <v>4</v>
      </c>
      <c r="E487" t="inlineStr">
        <is>
          <t>primary</t>
        </is>
      </c>
      <c r="F487" t="n">
        <v>289.2249527410208</v>
      </c>
      <c r="G487">
        <f>2*SQRT(F487/PI())</f>
        <v/>
      </c>
      <c r="H487" t="n">
        <v>64.40212628115778</v>
      </c>
      <c r="I487" t="n">
        <v>877</v>
      </c>
      <c r="J487" t="n">
        <v>196</v>
      </c>
      <c r="K487" t="n">
        <v>283.4404536862004</v>
      </c>
      <c r="L487" t="n">
        <v>295.0094517958412</v>
      </c>
      <c r="M487">
        <f>2*SQRT(K487/PI())</f>
        <v/>
      </c>
      <c r="N487">
        <f>2*SQRT(L487/PI())</f>
        <v/>
      </c>
      <c r="P487" t="inlineStr">
        <is>
          <t>是</t>
        </is>
      </c>
      <c r="Q487" t="inlineStr">
        <is>
          <t>auto_pipeline;review_png_green</t>
        </is>
      </c>
      <c r="R487" t="inlineStr">
        <is>
          <t>样品11</t>
        </is>
      </c>
    </row>
    <row r="488">
      <c r="A488" t="n">
        <v>487</v>
      </c>
      <c r="B488" t="inlineStr">
        <is>
          <t>11 (2).tif</t>
        </is>
      </c>
      <c r="C488" t="inlineStr">
        <is>
          <t>11(2)-V05</t>
        </is>
      </c>
      <c r="D488" t="n">
        <v>5</v>
      </c>
      <c r="E488" t="inlineStr">
        <is>
          <t>primary</t>
        </is>
      </c>
      <c r="F488" t="n">
        <v>174.8582230623819</v>
      </c>
      <c r="G488">
        <f>2*SQRT(F488/PI())</f>
        <v/>
      </c>
      <c r="H488" t="n">
        <v>49.81240935947584</v>
      </c>
      <c r="I488" t="n">
        <v>729</v>
      </c>
      <c r="J488" t="n">
        <v>627</v>
      </c>
      <c r="K488" t="n">
        <v>171.3610586011342</v>
      </c>
      <c r="L488" t="n">
        <v>178.3553875236295</v>
      </c>
      <c r="M488">
        <f>2*SQRT(K488/PI())</f>
        <v/>
      </c>
      <c r="N488">
        <f>2*SQRT(L488/PI())</f>
        <v/>
      </c>
      <c r="P488" t="inlineStr">
        <is>
          <t>是</t>
        </is>
      </c>
      <c r="Q488" t="inlineStr">
        <is>
          <t>auto_pipeline;review_png_green</t>
        </is>
      </c>
      <c r="R488" t="inlineStr">
        <is>
          <t>样品11</t>
        </is>
      </c>
    </row>
    <row r="489">
      <c r="A489" t="n">
        <v>488</v>
      </c>
      <c r="B489" t="inlineStr">
        <is>
          <t>11 (2).tif</t>
        </is>
      </c>
      <c r="C489" t="inlineStr">
        <is>
          <t>11(2)-V06</t>
        </is>
      </c>
      <c r="D489" t="n">
        <v>6</v>
      </c>
      <c r="E489" t="inlineStr">
        <is>
          <t>primary</t>
        </is>
      </c>
      <c r="F489" t="n">
        <v>153.82797731569</v>
      </c>
      <c r="G489">
        <f>2*SQRT(F489/PI())</f>
        <v/>
      </c>
      <c r="H489" t="n">
        <v>51.70073364091956</v>
      </c>
      <c r="I489" t="n">
        <v>909</v>
      </c>
      <c r="J489" t="n">
        <v>439</v>
      </c>
      <c r="K489" t="n">
        <v>150.7514177693762</v>
      </c>
      <c r="L489" t="n">
        <v>156.9045368620038</v>
      </c>
      <c r="M489">
        <f>2*SQRT(K489/PI())</f>
        <v/>
      </c>
      <c r="N489">
        <f>2*SQRT(L489/PI())</f>
        <v/>
      </c>
      <c r="P489" t="inlineStr">
        <is>
          <t>是</t>
        </is>
      </c>
      <c r="Q489" t="inlineStr">
        <is>
          <t>auto_pipeline;review_png_green</t>
        </is>
      </c>
      <c r="R489" t="inlineStr">
        <is>
          <t>样品11</t>
        </is>
      </c>
    </row>
    <row r="490">
      <c r="A490" t="n">
        <v>489</v>
      </c>
      <c r="B490" t="inlineStr">
        <is>
          <t>11 (2).tif</t>
        </is>
      </c>
      <c r="C490" t="inlineStr">
        <is>
          <t>11(2)-V07</t>
        </is>
      </c>
      <c r="D490" t="n">
        <v>7</v>
      </c>
      <c r="E490" t="inlineStr">
        <is>
          <t>primary</t>
        </is>
      </c>
      <c r="F490" t="n">
        <v>124.5982986767486</v>
      </c>
      <c r="G490">
        <f>2*SQRT(F490/PI())</f>
        <v/>
      </c>
      <c r="H490" t="n">
        <v>45.99581176820008</v>
      </c>
      <c r="I490" t="n">
        <v>629</v>
      </c>
      <c r="J490" t="n">
        <v>525</v>
      </c>
      <c r="K490" t="n">
        <v>122.1063327032136</v>
      </c>
      <c r="L490" t="n">
        <v>127.0902646502836</v>
      </c>
      <c r="M490">
        <f>2*SQRT(K490/PI())</f>
        <v/>
      </c>
      <c r="N490">
        <f>2*SQRT(L490/PI())</f>
        <v/>
      </c>
      <c r="P490" t="inlineStr">
        <is>
          <t>是</t>
        </is>
      </c>
      <c r="Q490" t="inlineStr">
        <is>
          <t>auto_pipeline;review_png_green</t>
        </is>
      </c>
      <c r="R490" t="inlineStr">
        <is>
          <t>样品11</t>
        </is>
      </c>
    </row>
    <row r="491">
      <c r="A491" t="n">
        <v>490</v>
      </c>
      <c r="B491" t="inlineStr">
        <is>
          <t>11 (2).tif</t>
        </is>
      </c>
      <c r="C491" t="inlineStr">
        <is>
          <t>11(2)-V08</t>
        </is>
      </c>
      <c r="D491" t="n">
        <v>8</v>
      </c>
      <c r="E491" t="inlineStr">
        <is>
          <t>primary</t>
        </is>
      </c>
      <c r="F491" t="n">
        <v>124.2674858223062</v>
      </c>
      <c r="G491">
        <f>2*SQRT(F491/PI())</f>
        <v/>
      </c>
      <c r="H491" t="n">
        <v>47.33105859030848</v>
      </c>
      <c r="I491" t="n">
        <v>731</v>
      </c>
      <c r="J491" t="n">
        <v>498</v>
      </c>
      <c r="K491" t="n">
        <v>121.7821361058601</v>
      </c>
      <c r="L491" t="n">
        <v>126.7528355387524</v>
      </c>
      <c r="M491">
        <f>2*SQRT(K491/PI())</f>
        <v/>
      </c>
      <c r="N491">
        <f>2*SQRT(L491/PI())</f>
        <v/>
      </c>
      <c r="P491" t="inlineStr">
        <is>
          <t>是</t>
        </is>
      </c>
      <c r="Q491" t="inlineStr">
        <is>
          <t>auto_pipeline;review_png_green</t>
        </is>
      </c>
      <c r="R491" t="inlineStr">
        <is>
          <t>样品11</t>
        </is>
      </c>
    </row>
    <row r="492">
      <c r="A492" t="n">
        <v>491</v>
      </c>
      <c r="B492" t="inlineStr">
        <is>
          <t>11 (3).tif</t>
        </is>
      </c>
      <c r="C492" t="inlineStr">
        <is>
          <t>11(3)-V01</t>
        </is>
      </c>
      <c r="D492" t="n">
        <v>1</v>
      </c>
      <c r="E492" t="inlineStr">
        <is>
          <t>primary</t>
        </is>
      </c>
      <c r="F492" t="n">
        <v>761.9092627599244</v>
      </c>
      <c r="G492">
        <f>2*SQRT(F492/PI())</f>
        <v/>
      </c>
      <c r="H492" t="n">
        <v>104.0781407252602</v>
      </c>
      <c r="I492" t="n">
        <v>423</v>
      </c>
      <c r="J492" t="n">
        <v>314</v>
      </c>
      <c r="K492" t="n">
        <v>746.671077504726</v>
      </c>
      <c r="L492" t="n">
        <v>777.1474480151229</v>
      </c>
      <c r="M492">
        <f>2*SQRT(K492/PI())</f>
        <v/>
      </c>
      <c r="N492">
        <f>2*SQRT(L492/PI())</f>
        <v/>
      </c>
      <c r="P492" t="inlineStr">
        <is>
          <t>是</t>
        </is>
      </c>
      <c r="Q492" t="inlineStr">
        <is>
          <t>auto_pipeline;review_png_green</t>
        </is>
      </c>
      <c r="R492" t="inlineStr">
        <is>
          <t>样品11</t>
        </is>
      </c>
    </row>
    <row r="493">
      <c r="A493" t="n">
        <v>492</v>
      </c>
      <c r="B493" t="inlineStr">
        <is>
          <t>11 (3).tif</t>
        </is>
      </c>
      <c r="C493" t="inlineStr">
        <is>
          <t>11(3)-V02</t>
        </is>
      </c>
      <c r="D493" t="n">
        <v>2</v>
      </c>
      <c r="E493" t="inlineStr">
        <is>
          <t>primary</t>
        </is>
      </c>
      <c r="F493" t="n">
        <v>676.7485822306238</v>
      </c>
      <c r="G493">
        <f>2*SQRT(F493/PI())</f>
        <v/>
      </c>
      <c r="H493" t="n">
        <v>98.64975758220838</v>
      </c>
      <c r="I493" t="n">
        <v>549</v>
      </c>
      <c r="J493" t="n">
        <v>439</v>
      </c>
      <c r="K493" t="n">
        <v>663.2136105860113</v>
      </c>
      <c r="L493" t="n">
        <v>690.2835538752363</v>
      </c>
      <c r="M493">
        <f>2*SQRT(K493/PI())</f>
        <v/>
      </c>
      <c r="N493">
        <f>2*SQRT(L493/PI())</f>
        <v/>
      </c>
      <c r="P493" t="inlineStr">
        <is>
          <t>是</t>
        </is>
      </c>
      <c r="Q493" t="inlineStr">
        <is>
          <t>auto_pipeline;review_png_green</t>
        </is>
      </c>
      <c r="R493" t="inlineStr">
        <is>
          <t>样品11</t>
        </is>
      </c>
    </row>
    <row r="494">
      <c r="A494" t="n">
        <v>493</v>
      </c>
      <c r="B494" t="inlineStr">
        <is>
          <t>11 (3).tif</t>
        </is>
      </c>
      <c r="C494" t="inlineStr">
        <is>
          <t>11(3)-V03</t>
        </is>
      </c>
      <c r="D494" t="n">
        <v>3</v>
      </c>
      <c r="E494" t="inlineStr">
        <is>
          <t>primary</t>
        </is>
      </c>
      <c r="F494" t="n">
        <v>262.6181474480151</v>
      </c>
      <c r="G494">
        <f>2*SQRT(F494/PI())</f>
        <v/>
      </c>
      <c r="H494" t="n">
        <v>65.99206286927928</v>
      </c>
      <c r="I494" t="n">
        <v>744</v>
      </c>
      <c r="J494" t="n">
        <v>92</v>
      </c>
      <c r="K494" t="n">
        <v>257.3657844990548</v>
      </c>
      <c r="L494" t="n">
        <v>267.8705103969754</v>
      </c>
      <c r="M494">
        <f>2*SQRT(K494/PI())</f>
        <v/>
      </c>
      <c r="N494">
        <f>2*SQRT(L494/PI())</f>
        <v/>
      </c>
      <c r="P494" t="inlineStr">
        <is>
          <t>是</t>
        </is>
      </c>
      <c r="Q494" t="inlineStr">
        <is>
          <t>auto_pipeline;review_png_green</t>
        </is>
      </c>
      <c r="R494" t="inlineStr">
        <is>
          <t>样品11</t>
        </is>
      </c>
    </row>
    <row r="495">
      <c r="A495" t="n">
        <v>494</v>
      </c>
      <c r="B495" t="inlineStr">
        <is>
          <t>11 (3).tif</t>
        </is>
      </c>
      <c r="C495" t="inlineStr">
        <is>
          <t>11(3)-V04</t>
        </is>
      </c>
      <c r="D495" t="n">
        <v>4</v>
      </c>
      <c r="E495" t="inlineStr">
        <is>
          <t>primary</t>
        </is>
      </c>
      <c r="F495" t="n">
        <v>148.2986767485822</v>
      </c>
      <c r="G495">
        <f>2*SQRT(F495/PI())</f>
        <v/>
      </c>
      <c r="H495" t="n">
        <v>47.81858915868013</v>
      </c>
      <c r="I495" t="n">
        <v>696</v>
      </c>
      <c r="J495" t="n">
        <v>587</v>
      </c>
      <c r="K495" t="n">
        <v>145.3327032136106</v>
      </c>
      <c r="L495" t="n">
        <v>151.2646502835539</v>
      </c>
      <c r="M495">
        <f>2*SQRT(K495/PI())</f>
        <v/>
      </c>
      <c r="N495">
        <f>2*SQRT(L495/PI())</f>
        <v/>
      </c>
      <c r="P495" t="inlineStr">
        <is>
          <t>是</t>
        </is>
      </c>
      <c r="Q495" t="inlineStr">
        <is>
          <t>auto_pipeline;review_png_green</t>
        </is>
      </c>
      <c r="R495" t="inlineStr">
        <is>
          <t>样品11</t>
        </is>
      </c>
    </row>
    <row r="496">
      <c r="A496" t="n">
        <v>495</v>
      </c>
      <c r="B496" t="inlineStr">
        <is>
          <t>11 (3).tif</t>
        </is>
      </c>
      <c r="C496" t="inlineStr">
        <is>
          <t>11(3)-V05</t>
        </is>
      </c>
      <c r="D496" t="n">
        <v>5</v>
      </c>
      <c r="E496" t="inlineStr">
        <is>
          <t>primary</t>
        </is>
      </c>
      <c r="F496" t="n">
        <v>127.3393194706994</v>
      </c>
      <c r="G496">
        <f>2*SQRT(F496/PI())</f>
        <v/>
      </c>
      <c r="H496" t="n">
        <v>44.97705270414767</v>
      </c>
      <c r="I496" t="n">
        <v>429</v>
      </c>
      <c r="J496" t="n">
        <v>578</v>
      </c>
      <c r="K496" t="n">
        <v>124.7925330812854</v>
      </c>
      <c r="L496" t="n">
        <v>129.8861058601134</v>
      </c>
      <c r="M496">
        <f>2*SQRT(K496/PI())</f>
        <v/>
      </c>
      <c r="N496">
        <f>2*SQRT(L496/PI())</f>
        <v/>
      </c>
      <c r="P496" t="inlineStr">
        <is>
          <t>是</t>
        </is>
      </c>
      <c r="Q496" t="inlineStr">
        <is>
          <t>auto_pipeline;review_png_green</t>
        </is>
      </c>
      <c r="R496" t="inlineStr">
        <is>
          <t>样品11</t>
        </is>
      </c>
    </row>
    <row r="497">
      <c r="A497" t="n">
        <v>496</v>
      </c>
      <c r="B497" t="inlineStr">
        <is>
          <t>11 (3).tif</t>
        </is>
      </c>
      <c r="C497" t="inlineStr">
        <is>
          <t>11(3)-V06</t>
        </is>
      </c>
      <c r="D497" t="n">
        <v>6</v>
      </c>
      <c r="E497" t="inlineStr">
        <is>
          <t>primary</t>
        </is>
      </c>
      <c r="F497" t="n">
        <v>109.593572778828</v>
      </c>
      <c r="G497">
        <f>2*SQRT(F497/PI())</f>
        <v/>
      </c>
      <c r="H497" t="n">
        <v>40.29088989548061</v>
      </c>
      <c r="I497" t="n">
        <v>744</v>
      </c>
      <c r="J497" t="n">
        <v>371</v>
      </c>
      <c r="K497" t="n">
        <v>107.4017013232514</v>
      </c>
      <c r="L497" t="n">
        <v>111.7854442344045</v>
      </c>
      <c r="M497">
        <f>2*SQRT(K497/PI())</f>
        <v/>
      </c>
      <c r="N497">
        <f>2*SQRT(L497/PI())</f>
        <v/>
      </c>
      <c r="P497" t="inlineStr">
        <is>
          <t>是</t>
        </is>
      </c>
      <c r="Q497" t="inlineStr">
        <is>
          <t>auto_pipeline;review_png_green</t>
        </is>
      </c>
      <c r="R497" t="inlineStr">
        <is>
          <t>样品11</t>
        </is>
      </c>
    </row>
    <row r="498">
      <c r="A498" t="n">
        <v>497</v>
      </c>
      <c r="B498" t="inlineStr">
        <is>
          <t>11 (4).tif</t>
        </is>
      </c>
      <c r="C498" t="inlineStr">
        <is>
          <t>11(4)-V01</t>
        </is>
      </c>
      <c r="D498" t="n">
        <v>1</v>
      </c>
      <c r="E498" t="inlineStr">
        <is>
          <t>primary</t>
        </is>
      </c>
      <c r="F498" t="n">
        <v>777.4574669187145</v>
      </c>
      <c r="G498">
        <f>2*SQRT(F498/PI())</f>
        <v/>
      </c>
      <c r="H498" t="n">
        <v>104.6930161766384</v>
      </c>
      <c r="I498" t="n">
        <v>403</v>
      </c>
      <c r="J498" t="n">
        <v>394</v>
      </c>
      <c r="K498" t="n">
        <v>761.9083175803403</v>
      </c>
      <c r="L498" t="n">
        <v>793.0066162570888</v>
      </c>
      <c r="M498">
        <f>2*SQRT(K498/PI())</f>
        <v/>
      </c>
      <c r="N498">
        <f>2*SQRT(L498/PI())</f>
        <v/>
      </c>
      <c r="P498" t="inlineStr">
        <is>
          <t>是</t>
        </is>
      </c>
      <c r="Q498" t="inlineStr">
        <is>
          <t>auto_pipeline;review_png_green</t>
        </is>
      </c>
      <c r="R498" t="inlineStr">
        <is>
          <t>样品11</t>
        </is>
      </c>
    </row>
    <row r="499">
      <c r="A499" t="n">
        <v>498</v>
      </c>
      <c r="B499" t="inlineStr">
        <is>
          <t>11 (4).tif</t>
        </is>
      </c>
      <c r="C499" t="inlineStr">
        <is>
          <t>11(4)-V02</t>
        </is>
      </c>
      <c r="D499" t="n">
        <v>2</v>
      </c>
      <c r="E499" t="inlineStr">
        <is>
          <t>primary</t>
        </is>
      </c>
      <c r="F499" t="n">
        <v>453.8043478260869</v>
      </c>
      <c r="G499">
        <f>2*SQRT(F499/PI())</f>
        <v/>
      </c>
      <c r="H499" t="n">
        <v>83.72170393881591</v>
      </c>
      <c r="I499" t="n">
        <v>224</v>
      </c>
      <c r="J499" t="n">
        <v>161</v>
      </c>
      <c r="K499" t="n">
        <v>444.7282608695652</v>
      </c>
      <c r="L499" t="n">
        <v>462.8804347826087</v>
      </c>
      <c r="M499">
        <f>2*SQRT(K499/PI())</f>
        <v/>
      </c>
      <c r="N499">
        <f>2*SQRT(L499/PI())</f>
        <v/>
      </c>
      <c r="P499" t="inlineStr">
        <is>
          <t>是</t>
        </is>
      </c>
      <c r="Q499" t="inlineStr">
        <is>
          <t>auto_pipeline;review_png_green</t>
        </is>
      </c>
      <c r="R499" t="inlineStr">
        <is>
          <t>样品11</t>
        </is>
      </c>
    </row>
    <row r="500">
      <c r="A500" t="n">
        <v>499</v>
      </c>
      <c r="B500" t="inlineStr">
        <is>
          <t>11 (4).tif</t>
        </is>
      </c>
      <c r="C500" t="inlineStr">
        <is>
          <t>11(4)-V03</t>
        </is>
      </c>
      <c r="D500" t="n">
        <v>3</v>
      </c>
      <c r="E500" t="inlineStr">
        <is>
          <t>primary</t>
        </is>
      </c>
      <c r="F500" t="n">
        <v>125.8034026465028</v>
      </c>
      <c r="G500">
        <f>2*SQRT(F500/PI())</f>
        <v/>
      </c>
      <c r="H500" t="n">
        <v>51.08585818954136</v>
      </c>
      <c r="I500" t="n">
        <v>871</v>
      </c>
      <c r="J500" t="n">
        <v>106</v>
      </c>
      <c r="K500" t="n">
        <v>123.2873345935728</v>
      </c>
      <c r="L500" t="n">
        <v>128.3194706994329</v>
      </c>
      <c r="M500">
        <f>2*SQRT(K500/PI())</f>
        <v/>
      </c>
      <c r="N500">
        <f>2*SQRT(L500/PI())</f>
        <v/>
      </c>
      <c r="P500" t="inlineStr">
        <is>
          <t>是</t>
        </is>
      </c>
      <c r="Q500" t="inlineStr">
        <is>
          <t>auto_pipeline;review_png_green</t>
        </is>
      </c>
      <c r="R500" t="inlineStr">
        <is>
          <t>样品11</t>
        </is>
      </c>
    </row>
    <row r="501">
      <c r="A501" t="n">
        <v>500</v>
      </c>
      <c r="B501" t="inlineStr">
        <is>
          <t>11 (4).tif</t>
        </is>
      </c>
      <c r="C501" t="inlineStr">
        <is>
          <t>11(4)-V04</t>
        </is>
      </c>
      <c r="D501" t="n">
        <v>4</v>
      </c>
      <c r="E501" t="inlineStr">
        <is>
          <t>primary</t>
        </is>
      </c>
      <c r="F501" t="n">
        <v>122.8024574669187</v>
      </c>
      <c r="G501">
        <f>2*SQRT(F501/PI())</f>
        <v/>
      </c>
      <c r="H501" t="n">
        <v>48.39351558167002</v>
      </c>
      <c r="I501" t="n">
        <v>606</v>
      </c>
      <c r="J501" t="n">
        <v>476</v>
      </c>
      <c r="K501" t="n">
        <v>120.3464083175803</v>
      </c>
      <c r="L501" t="n">
        <v>125.2585066162571</v>
      </c>
      <c r="M501">
        <f>2*SQRT(K501/PI())</f>
        <v/>
      </c>
      <c r="N501">
        <f>2*SQRT(L501/PI())</f>
        <v/>
      </c>
      <c r="P501" t="inlineStr">
        <is>
          <t>是</t>
        </is>
      </c>
      <c r="Q501" t="inlineStr">
        <is>
          <t>auto_pipeline;review_png_green</t>
        </is>
      </c>
      <c r="R501" t="inlineStr">
        <is>
          <t>样品11</t>
        </is>
      </c>
    </row>
    <row r="502">
      <c r="A502" t="n">
        <v>501</v>
      </c>
      <c r="B502" t="inlineStr">
        <is>
          <t>11 (4).tif</t>
        </is>
      </c>
      <c r="C502" t="inlineStr">
        <is>
          <t>11(4)-V05</t>
        </is>
      </c>
      <c r="D502" t="n">
        <v>5</v>
      </c>
      <c r="E502" t="inlineStr">
        <is>
          <t>primary</t>
        </is>
      </c>
      <c r="F502" t="n">
        <v>107.2306238185255</v>
      </c>
      <c r="G502">
        <f>2*SQRT(F502/PI())</f>
        <v/>
      </c>
      <c r="H502" t="n">
        <v>41.30964895953303</v>
      </c>
      <c r="I502" t="n">
        <v>153</v>
      </c>
      <c r="J502" t="n">
        <v>470</v>
      </c>
      <c r="K502" t="n">
        <v>105.086011342155</v>
      </c>
      <c r="L502" t="n">
        <v>109.375236294896</v>
      </c>
      <c r="M502">
        <f>2*SQRT(K502/PI())</f>
        <v/>
      </c>
      <c r="N502">
        <f>2*SQRT(L502/PI())</f>
        <v/>
      </c>
      <c r="P502" t="inlineStr">
        <is>
          <t>是</t>
        </is>
      </c>
      <c r="Q502" t="inlineStr">
        <is>
          <t>auto_pipeline;review_png_green</t>
        </is>
      </c>
      <c r="R502" t="inlineStr">
        <is>
          <t>样品11</t>
        </is>
      </c>
    </row>
    <row r="503">
      <c r="A503" t="n">
        <v>502</v>
      </c>
      <c r="B503" t="inlineStr">
        <is>
          <t>11 (5).tif</t>
        </is>
      </c>
      <c r="C503" t="inlineStr">
        <is>
          <t>11(5)-V01</t>
        </is>
      </c>
      <c r="D503" t="n">
        <v>1</v>
      </c>
      <c r="E503" t="inlineStr">
        <is>
          <t>primary</t>
        </is>
      </c>
      <c r="F503" t="n">
        <v>514.3431001890359</v>
      </c>
      <c r="G503">
        <f>2*SQRT(F503/PI())</f>
        <v/>
      </c>
      <c r="H503" t="n">
        <v>86.39219758303268</v>
      </c>
      <c r="I503" t="n">
        <v>466</v>
      </c>
      <c r="J503" t="n">
        <v>474</v>
      </c>
      <c r="K503" t="n">
        <v>504.0562381852552</v>
      </c>
      <c r="L503" t="n">
        <v>524.6299621928166</v>
      </c>
      <c r="M503">
        <f>2*SQRT(K503/PI())</f>
        <v/>
      </c>
      <c r="N503">
        <f>2*SQRT(L503/PI())</f>
        <v/>
      </c>
      <c r="P503" t="inlineStr">
        <is>
          <t>是</t>
        </is>
      </c>
      <c r="Q503" t="inlineStr">
        <is>
          <t>auto_pipeline;review_png_green</t>
        </is>
      </c>
      <c r="R503" t="inlineStr">
        <is>
          <t>样品11</t>
        </is>
      </c>
    </row>
    <row r="504">
      <c r="A504" t="n">
        <v>503</v>
      </c>
      <c r="B504" t="inlineStr">
        <is>
          <t>11 (5).tif</t>
        </is>
      </c>
      <c r="C504" t="inlineStr">
        <is>
          <t>11(5)-V02</t>
        </is>
      </c>
      <c r="D504" t="n">
        <v>2</v>
      </c>
      <c r="E504" t="inlineStr">
        <is>
          <t>primary</t>
        </is>
      </c>
      <c r="F504" t="n">
        <v>423.2986767485822</v>
      </c>
      <c r="G504">
        <f>2*SQRT(F504/PI())</f>
        <v/>
      </c>
      <c r="H504" t="n">
        <v>77.50740253407022</v>
      </c>
      <c r="I504" t="n">
        <v>549</v>
      </c>
      <c r="J504" t="n">
        <v>324</v>
      </c>
      <c r="K504" t="n">
        <v>414.8327032136106</v>
      </c>
      <c r="L504" t="n">
        <v>431.7646502835539</v>
      </c>
      <c r="M504">
        <f>2*SQRT(K504/PI())</f>
        <v/>
      </c>
      <c r="N504">
        <f>2*SQRT(L504/PI())</f>
        <v/>
      </c>
      <c r="P504" t="inlineStr">
        <is>
          <t>是</t>
        </is>
      </c>
      <c r="Q504" t="inlineStr">
        <is>
          <t>auto_pipeline;review_png_green</t>
        </is>
      </c>
      <c r="R504" t="inlineStr">
        <is>
          <t>样品11</t>
        </is>
      </c>
    </row>
    <row r="505">
      <c r="A505" t="n">
        <v>504</v>
      </c>
      <c r="B505" t="inlineStr">
        <is>
          <t>11 (5).tif</t>
        </is>
      </c>
      <c r="C505" t="inlineStr">
        <is>
          <t>11(5)-V03</t>
        </is>
      </c>
      <c r="D505" t="n">
        <v>3</v>
      </c>
      <c r="E505" t="inlineStr">
        <is>
          <t>primary</t>
        </is>
      </c>
      <c r="F505" t="n">
        <v>343.0056710775047</v>
      </c>
      <c r="G505">
        <f>2*SQRT(F505/PI())</f>
        <v/>
      </c>
      <c r="H505" t="n">
        <v>74.6440171158832</v>
      </c>
      <c r="I505" t="n">
        <v>173</v>
      </c>
      <c r="J505" t="n">
        <v>61</v>
      </c>
      <c r="K505" t="n">
        <v>336.1455576559546</v>
      </c>
      <c r="L505" t="n">
        <v>349.8657844990548</v>
      </c>
      <c r="M505">
        <f>2*SQRT(K505/PI())</f>
        <v/>
      </c>
      <c r="N505">
        <f>2*SQRT(L505/PI())</f>
        <v/>
      </c>
      <c r="P505" t="inlineStr">
        <is>
          <t>是</t>
        </is>
      </c>
      <c r="Q505" t="inlineStr">
        <is>
          <t>auto_pipeline;review_png_green</t>
        </is>
      </c>
      <c r="R505" t="inlineStr">
        <is>
          <t>样品11</t>
        </is>
      </c>
    </row>
    <row r="506">
      <c r="A506" t="n">
        <v>505</v>
      </c>
      <c r="B506" t="inlineStr">
        <is>
          <t>11 (5).tif</t>
        </is>
      </c>
      <c r="C506" t="inlineStr">
        <is>
          <t>11(5)-V04</t>
        </is>
      </c>
      <c r="D506" t="n">
        <v>4</v>
      </c>
      <c r="E506" t="inlineStr">
        <is>
          <t>primary</t>
        </is>
      </c>
      <c r="F506" t="n">
        <v>156.8525519848771</v>
      </c>
      <c r="G506">
        <f>2*SQRT(F506/PI())</f>
        <v/>
      </c>
      <c r="H506" t="n">
        <v>46.84352802193683</v>
      </c>
      <c r="I506" t="n">
        <v>664</v>
      </c>
      <c r="J506" t="n">
        <v>263</v>
      </c>
      <c r="K506" t="n">
        <v>153.7155009451796</v>
      </c>
      <c r="L506" t="n">
        <v>159.9896030245747</v>
      </c>
      <c r="M506">
        <f>2*SQRT(K506/PI())</f>
        <v/>
      </c>
      <c r="N506">
        <f>2*SQRT(L506/PI())</f>
        <v/>
      </c>
      <c r="P506" t="inlineStr">
        <is>
          <t>是</t>
        </is>
      </c>
      <c r="Q506" t="inlineStr">
        <is>
          <t>auto_pipeline;review_png_green</t>
        </is>
      </c>
      <c r="R506" t="inlineStr">
        <is>
          <t>样品11</t>
        </is>
      </c>
    </row>
    <row r="507">
      <c r="A507" t="n">
        <v>506</v>
      </c>
      <c r="B507" t="inlineStr">
        <is>
          <t>11 (5).tif</t>
        </is>
      </c>
      <c r="C507" t="inlineStr">
        <is>
          <t>11(5)-V05</t>
        </is>
      </c>
      <c r="D507" t="n">
        <v>5</v>
      </c>
      <c r="E507" t="inlineStr">
        <is>
          <t>primary</t>
        </is>
      </c>
      <c r="F507" t="n">
        <v>139.3431001890359</v>
      </c>
      <c r="G507">
        <f>2*SQRT(F507/PI())</f>
        <v/>
      </c>
      <c r="H507" t="n">
        <v>46.25050153421319</v>
      </c>
      <c r="I507" t="n">
        <v>866</v>
      </c>
      <c r="J507" t="n">
        <v>584</v>
      </c>
      <c r="K507" t="n">
        <v>136.5562381852552</v>
      </c>
      <c r="L507" t="n">
        <v>142.1299621928166</v>
      </c>
      <c r="M507">
        <f>2*SQRT(K507/PI())</f>
        <v/>
      </c>
      <c r="N507">
        <f>2*SQRT(L507/PI())</f>
        <v/>
      </c>
      <c r="P507" t="inlineStr">
        <is>
          <t>是</t>
        </is>
      </c>
      <c r="Q507" t="inlineStr">
        <is>
          <t>auto_pipeline;review_png_green</t>
        </is>
      </c>
      <c r="R507" t="inlineStr">
        <is>
          <t>样品11</t>
        </is>
      </c>
    </row>
    <row r="508">
      <c r="A508" t="n">
        <v>507</v>
      </c>
      <c r="B508" t="inlineStr">
        <is>
          <t>11 (5).tif</t>
        </is>
      </c>
      <c r="C508" t="inlineStr">
        <is>
          <t>11(5)-V06</t>
        </is>
      </c>
      <c r="D508" t="n">
        <v>6</v>
      </c>
      <c r="E508" t="inlineStr">
        <is>
          <t>primary</t>
        </is>
      </c>
      <c r="F508" t="n">
        <v>111.7911153119093</v>
      </c>
      <c r="G508">
        <f>2*SQRT(F508/PI())</f>
        <v/>
      </c>
      <c r="H508" t="n">
        <v>45.23174247016077</v>
      </c>
      <c r="I508" t="n">
        <v>259</v>
      </c>
      <c r="J508" t="n">
        <v>96</v>
      </c>
      <c r="K508" t="n">
        <v>109.5552930056711</v>
      </c>
      <c r="L508" t="n">
        <v>114.0269376181475</v>
      </c>
      <c r="M508">
        <f>2*SQRT(K508/PI())</f>
        <v/>
      </c>
      <c r="N508">
        <f>2*SQRT(L508/PI())</f>
        <v/>
      </c>
      <c r="P508" t="inlineStr">
        <is>
          <t>是</t>
        </is>
      </c>
      <c r="Q508" t="inlineStr">
        <is>
          <t>auto_pipeline;review_png_green</t>
        </is>
      </c>
      <c r="R508" t="inlineStr">
        <is>
          <t>样品11</t>
        </is>
      </c>
    </row>
    <row r="509">
      <c r="A509" t="n">
        <v>508</v>
      </c>
      <c r="B509" t="inlineStr">
        <is>
          <t>11 (6).tif</t>
        </is>
      </c>
      <c r="C509" t="inlineStr">
        <is>
          <t>11(6)-V01</t>
        </is>
      </c>
      <c r="D509" t="n">
        <v>1</v>
      </c>
      <c r="E509" t="inlineStr">
        <is>
          <t>primary</t>
        </is>
      </c>
      <c r="F509" t="n">
        <v>504.796786389414</v>
      </c>
      <c r="G509">
        <f>2*SQRT(F509/PI())</f>
        <v/>
      </c>
      <c r="H509" t="n">
        <v>84.54757122889809</v>
      </c>
      <c r="I509" t="n">
        <v>76</v>
      </c>
      <c r="J509" t="n">
        <v>447</v>
      </c>
      <c r="K509" t="n">
        <v>494.7008506616257</v>
      </c>
      <c r="L509" t="n">
        <v>514.8927221172023</v>
      </c>
      <c r="M509">
        <f>2*SQRT(K509/PI())</f>
        <v/>
      </c>
      <c r="N509">
        <f>2*SQRT(L509/PI())</f>
        <v/>
      </c>
      <c r="P509" t="inlineStr">
        <is>
          <t>是</t>
        </is>
      </c>
      <c r="Q509" t="inlineStr">
        <is>
          <t>auto_pipeline;review_png_green</t>
        </is>
      </c>
      <c r="R509" t="inlineStr">
        <is>
          <t>样品11</t>
        </is>
      </c>
    </row>
    <row r="510">
      <c r="A510" t="n">
        <v>509</v>
      </c>
      <c r="B510" t="inlineStr">
        <is>
          <t>11 (6).tif</t>
        </is>
      </c>
      <c r="C510" t="inlineStr">
        <is>
          <t>11(6)-V02</t>
        </is>
      </c>
      <c r="D510" t="n">
        <v>2</v>
      </c>
      <c r="E510" t="inlineStr">
        <is>
          <t>primary</t>
        </is>
      </c>
      <c r="F510" t="n">
        <v>431.6398865784499</v>
      </c>
      <c r="G510">
        <f>2*SQRT(F510/PI())</f>
        <v/>
      </c>
      <c r="H510" t="n">
        <v>78.35511878780696</v>
      </c>
      <c r="I510" t="n">
        <v>470</v>
      </c>
      <c r="J510" t="n">
        <v>372</v>
      </c>
      <c r="K510" t="n">
        <v>423.0070888468809</v>
      </c>
      <c r="L510" t="n">
        <v>440.2726843100189</v>
      </c>
      <c r="M510">
        <f>2*SQRT(K510/PI())</f>
        <v/>
      </c>
      <c r="N510">
        <f>2*SQRT(L510/PI())</f>
        <v/>
      </c>
      <c r="P510" t="inlineStr">
        <is>
          <t>是</t>
        </is>
      </c>
      <c r="Q510" t="inlineStr">
        <is>
          <t>auto_pipeline;review_png_green</t>
        </is>
      </c>
      <c r="R510" t="inlineStr">
        <is>
          <t>样品11</t>
        </is>
      </c>
    </row>
    <row r="511">
      <c r="A511" t="n">
        <v>510</v>
      </c>
      <c r="B511" t="inlineStr">
        <is>
          <t>11 (6).tif</t>
        </is>
      </c>
      <c r="C511" t="inlineStr">
        <is>
          <t>11(6)-V03</t>
        </is>
      </c>
      <c r="D511" t="n">
        <v>3</v>
      </c>
      <c r="E511" t="inlineStr">
        <is>
          <t>primary</t>
        </is>
      </c>
      <c r="F511" t="n">
        <v>386.1531190926276</v>
      </c>
      <c r="G511">
        <f>2*SQRT(F511/PI())</f>
        <v/>
      </c>
      <c r="H511" t="n">
        <v>73.66895597913991</v>
      </c>
      <c r="I511" t="n">
        <v>286</v>
      </c>
      <c r="J511" t="n">
        <v>454</v>
      </c>
      <c r="K511" t="n">
        <v>378.430056710775</v>
      </c>
      <c r="L511" t="n">
        <v>393.8761814744802</v>
      </c>
      <c r="M511">
        <f>2*SQRT(K511/PI())</f>
        <v/>
      </c>
      <c r="N511">
        <f>2*SQRT(L511/PI())</f>
        <v/>
      </c>
      <c r="P511" t="inlineStr">
        <is>
          <t>是</t>
        </is>
      </c>
      <c r="Q511" t="inlineStr">
        <is>
          <t>auto_pipeline;review_png_green</t>
        </is>
      </c>
      <c r="R511" t="inlineStr">
        <is>
          <t>样品11</t>
        </is>
      </c>
    </row>
    <row r="512">
      <c r="A512" t="n">
        <v>511</v>
      </c>
      <c r="B512" t="inlineStr">
        <is>
          <t>11 (6).tif</t>
        </is>
      </c>
      <c r="C512" t="inlineStr">
        <is>
          <t>11(6)-V04</t>
        </is>
      </c>
      <c r="D512" t="n">
        <v>4</v>
      </c>
      <c r="E512" t="inlineStr">
        <is>
          <t>primary</t>
        </is>
      </c>
      <c r="F512" t="n">
        <v>320.5103969754254</v>
      </c>
      <c r="G512">
        <f>2*SQRT(F512/PI())</f>
        <v/>
      </c>
      <c r="H512" t="n">
        <v>67.37100761869679</v>
      </c>
      <c r="I512" t="n">
        <v>622</v>
      </c>
      <c r="J512" t="n">
        <v>341</v>
      </c>
      <c r="K512" t="n">
        <v>314.1001890359169</v>
      </c>
      <c r="L512" t="n">
        <v>326.9206049149338</v>
      </c>
      <c r="M512">
        <f>2*SQRT(K512/PI())</f>
        <v/>
      </c>
      <c r="N512">
        <f>2*SQRT(L512/PI())</f>
        <v/>
      </c>
      <c r="P512" t="inlineStr">
        <is>
          <t>是</t>
        </is>
      </c>
      <c r="Q512" t="inlineStr">
        <is>
          <t>auto_pipeline;review_png_green</t>
        </is>
      </c>
      <c r="R512" t="inlineStr">
        <is>
          <t>样品11</t>
        </is>
      </c>
    </row>
    <row r="513">
      <c r="A513" t="n">
        <v>512</v>
      </c>
      <c r="B513" t="inlineStr">
        <is>
          <t>11 (6).tif</t>
        </is>
      </c>
      <c r="C513" t="inlineStr">
        <is>
          <t>11(6)-V05</t>
        </is>
      </c>
      <c r="D513" t="n">
        <v>5</v>
      </c>
      <c r="E513" t="inlineStr">
        <is>
          <t>primary</t>
        </is>
      </c>
      <c r="F513" t="n">
        <v>141.351606805293</v>
      </c>
      <c r="G513">
        <f>2*SQRT(F513/PI())</f>
        <v/>
      </c>
      <c r="H513" t="n">
        <v>46.33414848991062</v>
      </c>
      <c r="I513" t="n">
        <v>848</v>
      </c>
      <c r="J513" t="n">
        <v>596</v>
      </c>
      <c r="K513" t="n">
        <v>138.5245746691872</v>
      </c>
      <c r="L513" t="n">
        <v>144.1786389413989</v>
      </c>
      <c r="M513">
        <f>2*SQRT(K513/PI())</f>
        <v/>
      </c>
      <c r="N513">
        <f>2*SQRT(L513/PI())</f>
        <v/>
      </c>
      <c r="P513" t="inlineStr">
        <is>
          <t>是</t>
        </is>
      </c>
      <c r="Q513" t="inlineStr">
        <is>
          <t>auto_pipeline;review_png_green</t>
        </is>
      </c>
      <c r="R513" t="inlineStr">
        <is>
          <t>样品11</t>
        </is>
      </c>
    </row>
    <row r="514">
      <c r="A514" t="n">
        <v>513</v>
      </c>
      <c r="B514" t="inlineStr">
        <is>
          <t>11 (6).tif</t>
        </is>
      </c>
      <c r="C514" t="inlineStr">
        <is>
          <t>11(6)-V06</t>
        </is>
      </c>
      <c r="D514" t="n">
        <v>6</v>
      </c>
      <c r="E514" t="inlineStr">
        <is>
          <t>primary</t>
        </is>
      </c>
      <c r="F514" t="n">
        <v>135.538752362949</v>
      </c>
      <c r="G514">
        <f>2*SQRT(F514/PI())</f>
        <v/>
      </c>
      <c r="H514" t="n">
        <v>45.50828119982844</v>
      </c>
      <c r="I514" t="n">
        <v>790</v>
      </c>
      <c r="J514" t="n">
        <v>170</v>
      </c>
      <c r="K514" t="n">
        <v>132.82797731569</v>
      </c>
      <c r="L514" t="n">
        <v>138.2495274102079</v>
      </c>
      <c r="M514">
        <f>2*SQRT(K514/PI())</f>
        <v/>
      </c>
      <c r="N514">
        <f>2*SQRT(L514/PI())</f>
        <v/>
      </c>
      <c r="P514" t="inlineStr">
        <is>
          <t>是</t>
        </is>
      </c>
      <c r="Q514" t="inlineStr">
        <is>
          <t>auto_pipeline;review_png_green</t>
        </is>
      </c>
      <c r="R514" t="inlineStr">
        <is>
          <t>样品11</t>
        </is>
      </c>
    </row>
    <row r="515">
      <c r="A515" t="n">
        <v>514</v>
      </c>
      <c r="B515" t="inlineStr">
        <is>
          <t>11 (7).tif</t>
        </is>
      </c>
      <c r="C515" t="inlineStr">
        <is>
          <t>11(7)-V01</t>
        </is>
      </c>
      <c r="D515" t="n">
        <v>1</v>
      </c>
      <c r="E515" t="inlineStr">
        <is>
          <t>primary</t>
        </is>
      </c>
      <c r="F515" t="n">
        <v>487.1691871455577</v>
      </c>
      <c r="G515">
        <f>2*SQRT(F515/PI())</f>
        <v/>
      </c>
      <c r="H515" t="n">
        <v>84.187385543533</v>
      </c>
      <c r="I515" t="n">
        <v>300</v>
      </c>
      <c r="J515" t="n">
        <v>370</v>
      </c>
      <c r="K515" t="n">
        <v>477.4258034026465</v>
      </c>
      <c r="L515" t="n">
        <v>496.9125708884688</v>
      </c>
      <c r="M515">
        <f>2*SQRT(K515/PI())</f>
        <v/>
      </c>
      <c r="N515">
        <f>2*SQRT(L515/PI())</f>
        <v/>
      </c>
      <c r="P515" t="inlineStr">
        <is>
          <t>是</t>
        </is>
      </c>
      <c r="Q515" t="inlineStr">
        <is>
          <t>auto_pipeline;review_png_green</t>
        </is>
      </c>
      <c r="R515" t="inlineStr">
        <is>
          <t>样品11</t>
        </is>
      </c>
    </row>
    <row r="516">
      <c r="A516" t="n">
        <v>515</v>
      </c>
      <c r="B516" t="inlineStr">
        <is>
          <t>11 (7).tif</t>
        </is>
      </c>
      <c r="C516" t="inlineStr">
        <is>
          <t>11(7)-V02</t>
        </is>
      </c>
      <c r="D516" t="n">
        <v>2</v>
      </c>
      <c r="E516" t="inlineStr">
        <is>
          <t>primary</t>
        </is>
      </c>
      <c r="F516" t="n">
        <v>439.7920604914934</v>
      </c>
      <c r="G516">
        <f>2*SQRT(F516/PI())</f>
        <v/>
      </c>
      <c r="H516" t="n">
        <v>78.73715343682662</v>
      </c>
      <c r="I516" t="n">
        <v>505</v>
      </c>
      <c r="J516" t="n">
        <v>283</v>
      </c>
      <c r="K516" t="n">
        <v>430.9962192816635</v>
      </c>
      <c r="L516" t="n">
        <v>448.5879017013232</v>
      </c>
      <c r="M516">
        <f>2*SQRT(K516/PI())</f>
        <v/>
      </c>
      <c r="N516">
        <f>2*SQRT(L516/PI())</f>
        <v/>
      </c>
      <c r="O516" t="inlineStr">
        <is>
          <t>11(7)-P01</t>
        </is>
      </c>
      <c r="P516" t="inlineStr">
        <is>
          <t>是</t>
        </is>
      </c>
      <c r="Q516" t="inlineStr">
        <is>
          <t>auto_pipeline;review_png_green</t>
        </is>
      </c>
      <c r="R516" t="inlineStr">
        <is>
          <t>样品11</t>
        </is>
      </c>
    </row>
    <row r="517">
      <c r="A517" t="n">
        <v>516</v>
      </c>
      <c r="B517" t="inlineStr">
        <is>
          <t>11 (7).tif</t>
        </is>
      </c>
      <c r="C517" t="inlineStr">
        <is>
          <t>11(7)-V03</t>
        </is>
      </c>
      <c r="D517" t="n">
        <v>3</v>
      </c>
      <c r="E517" t="inlineStr">
        <is>
          <t>primary</t>
        </is>
      </c>
      <c r="F517" t="n">
        <v>423.038752362949</v>
      </c>
      <c r="G517">
        <f>2*SQRT(F517/PI())</f>
        <v/>
      </c>
      <c r="H517" t="n">
        <v>77.12536788505057</v>
      </c>
      <c r="I517" t="n">
        <v>504</v>
      </c>
      <c r="J517" t="n">
        <v>420</v>
      </c>
      <c r="K517" t="n">
        <v>414.57797731569</v>
      </c>
      <c r="L517" t="n">
        <v>431.499527410208</v>
      </c>
      <c r="M517">
        <f>2*SQRT(K517/PI())</f>
        <v/>
      </c>
      <c r="N517">
        <f>2*SQRT(L517/PI())</f>
        <v/>
      </c>
      <c r="O517" t="inlineStr">
        <is>
          <t>11(7)-P01</t>
        </is>
      </c>
      <c r="P517" t="inlineStr">
        <is>
          <t>是</t>
        </is>
      </c>
      <c r="Q517" t="inlineStr">
        <is>
          <t>auto_pipeline;review_png_green</t>
        </is>
      </c>
      <c r="R517" t="inlineStr">
        <is>
          <t>样品11</t>
        </is>
      </c>
    </row>
    <row r="518">
      <c r="A518" t="n">
        <v>517</v>
      </c>
      <c r="B518" t="inlineStr">
        <is>
          <t>11 (7).tif</t>
        </is>
      </c>
      <c r="C518" t="inlineStr">
        <is>
          <t>11(7)-V04</t>
        </is>
      </c>
      <c r="D518" t="n">
        <v>4</v>
      </c>
      <c r="E518" t="inlineStr">
        <is>
          <t>primary</t>
        </is>
      </c>
      <c r="F518" t="n">
        <v>324.031190926276</v>
      </c>
      <c r="G518">
        <f>2*SQRT(F518/PI())</f>
        <v/>
      </c>
      <c r="H518" t="n">
        <v>70.21254407322925</v>
      </c>
      <c r="I518" t="n">
        <v>799</v>
      </c>
      <c r="J518" t="n">
        <v>184</v>
      </c>
      <c r="K518" t="n">
        <v>317.5505671077505</v>
      </c>
      <c r="L518" t="n">
        <v>330.5118147448015</v>
      </c>
      <c r="M518">
        <f>2*SQRT(K518/PI())</f>
        <v/>
      </c>
      <c r="N518">
        <f>2*SQRT(L518/PI())</f>
        <v/>
      </c>
      <c r="P518" t="inlineStr">
        <is>
          <t>是</t>
        </is>
      </c>
      <c r="Q518" t="inlineStr">
        <is>
          <t>auto_pipeline;review_png_green</t>
        </is>
      </c>
      <c r="R518" t="inlineStr">
        <is>
          <t>样品11</t>
        </is>
      </c>
    </row>
    <row r="519">
      <c r="A519" t="n">
        <v>518</v>
      </c>
      <c r="B519" t="inlineStr">
        <is>
          <t>11 (7).tif</t>
        </is>
      </c>
      <c r="C519" t="inlineStr">
        <is>
          <t>11(7)-V05</t>
        </is>
      </c>
      <c r="D519" t="n">
        <v>5</v>
      </c>
      <c r="E519" t="inlineStr">
        <is>
          <t>primary</t>
        </is>
      </c>
      <c r="F519" t="n">
        <v>191.375236294896</v>
      </c>
      <c r="G519">
        <f>2*SQRT(F519/PI())</f>
        <v/>
      </c>
      <c r="H519" t="n">
        <v>52.0390703626301</v>
      </c>
      <c r="I519" t="n">
        <v>732</v>
      </c>
      <c r="J519" t="n">
        <v>513</v>
      </c>
      <c r="K519" t="n">
        <v>187.5477315689981</v>
      </c>
      <c r="L519" t="n">
        <v>195.202741020794</v>
      </c>
      <c r="M519">
        <f>2*SQRT(K519/PI())</f>
        <v/>
      </c>
      <c r="N519">
        <f>2*SQRT(L519/PI())</f>
        <v/>
      </c>
      <c r="P519" t="inlineStr">
        <is>
          <t>是</t>
        </is>
      </c>
      <c r="Q519" t="inlineStr">
        <is>
          <t>auto_pipeline;review_png_green</t>
        </is>
      </c>
      <c r="R519" t="inlineStr">
        <is>
          <t>样品11</t>
        </is>
      </c>
    </row>
    <row r="520">
      <c r="A520" t="n">
        <v>519</v>
      </c>
      <c r="B520" t="inlineStr">
        <is>
          <t>11 (7).tif</t>
        </is>
      </c>
      <c r="C520" t="inlineStr">
        <is>
          <t>11(7)-V06</t>
        </is>
      </c>
      <c r="D520" t="n">
        <v>6</v>
      </c>
      <c r="E520" t="inlineStr">
        <is>
          <t>primary</t>
        </is>
      </c>
      <c r="F520" t="n">
        <v>176.2287334593573</v>
      </c>
      <c r="G520">
        <f>2*SQRT(F520/PI())</f>
        <v/>
      </c>
      <c r="H520" t="n">
        <v>49.81240935947584</v>
      </c>
      <c r="I520" t="n">
        <v>814</v>
      </c>
      <c r="J520" t="n">
        <v>367</v>
      </c>
      <c r="K520" t="n">
        <v>172.7041587901701</v>
      </c>
      <c r="L520" t="n">
        <v>179.7533081285444</v>
      </c>
      <c r="M520">
        <f>2*SQRT(K520/PI())</f>
        <v/>
      </c>
      <c r="N520">
        <f>2*SQRT(L520/PI())</f>
        <v/>
      </c>
      <c r="P520" t="inlineStr">
        <is>
          <t>是</t>
        </is>
      </c>
      <c r="Q520" t="inlineStr">
        <is>
          <t>auto_pipeline;review_png_green</t>
        </is>
      </c>
      <c r="R520" t="inlineStr">
        <is>
          <t>样品11</t>
        </is>
      </c>
    </row>
    <row r="521">
      <c r="A521" t="n">
        <v>520</v>
      </c>
      <c r="B521" t="inlineStr">
        <is>
          <t>11 (7).tif</t>
        </is>
      </c>
      <c r="C521" t="inlineStr">
        <is>
          <t>11(7)-V07</t>
        </is>
      </c>
      <c r="D521" t="n">
        <v>7</v>
      </c>
      <c r="E521" t="inlineStr">
        <is>
          <t>primary</t>
        </is>
      </c>
      <c r="F521" t="n">
        <v>174.6455576559546</v>
      </c>
      <c r="G521">
        <f>2*SQRT(F521/PI())</f>
        <v/>
      </c>
      <c r="H521" t="n">
        <v>51.16950514523879</v>
      </c>
      <c r="I521" t="n">
        <v>93</v>
      </c>
      <c r="J521" t="n">
        <v>574</v>
      </c>
      <c r="K521" t="n">
        <v>171.1526465028355</v>
      </c>
      <c r="L521" t="n">
        <v>178.1384688090737</v>
      </c>
      <c r="M521">
        <f>2*SQRT(K521/PI())</f>
        <v/>
      </c>
      <c r="N521">
        <f>2*SQRT(L521/PI())</f>
        <v/>
      </c>
      <c r="P521" t="inlineStr">
        <is>
          <t>是</t>
        </is>
      </c>
      <c r="Q521" t="inlineStr">
        <is>
          <t>auto_pipeline;review_png_green</t>
        </is>
      </c>
      <c r="R521" t="inlineStr">
        <is>
          <t>样品11</t>
        </is>
      </c>
    </row>
    <row r="522">
      <c r="A522" t="n">
        <v>521</v>
      </c>
      <c r="B522" t="inlineStr">
        <is>
          <t>11 (7).tif</t>
        </is>
      </c>
      <c r="C522" t="inlineStr">
        <is>
          <t>11(7)-V08</t>
        </is>
      </c>
      <c r="D522" t="n">
        <v>8</v>
      </c>
      <c r="E522" t="inlineStr">
        <is>
          <t>primary</t>
        </is>
      </c>
      <c r="F522" t="n">
        <v>146.3137996219282</v>
      </c>
      <c r="G522">
        <f>2*SQRT(F522/PI())</f>
        <v/>
      </c>
      <c r="H522" t="n">
        <v>45.35908735316733</v>
      </c>
      <c r="I522" t="n">
        <v>490</v>
      </c>
      <c r="J522" t="n">
        <v>534</v>
      </c>
      <c r="K522" t="n">
        <v>143.3875236294896</v>
      </c>
      <c r="L522" t="n">
        <v>149.2400756143667</v>
      </c>
      <c r="M522">
        <f>2*SQRT(K522/PI())</f>
        <v/>
      </c>
      <c r="N522">
        <f>2*SQRT(L522/PI())</f>
        <v/>
      </c>
      <c r="P522" t="inlineStr">
        <is>
          <t>是</t>
        </is>
      </c>
      <c r="Q522" t="inlineStr">
        <is>
          <t>auto_pipeline;review_png_green</t>
        </is>
      </c>
      <c r="R522" t="inlineStr">
        <is>
          <t>样品11</t>
        </is>
      </c>
    </row>
    <row r="523">
      <c r="A523" t="n">
        <v>522</v>
      </c>
      <c r="B523" t="inlineStr">
        <is>
          <t>11 (8).tif</t>
        </is>
      </c>
      <c r="C523" t="inlineStr">
        <is>
          <t>11(8)-V01</t>
        </is>
      </c>
      <c r="D523" t="n">
        <v>1</v>
      </c>
      <c r="E523" t="inlineStr">
        <is>
          <t>primary</t>
        </is>
      </c>
      <c r="F523" t="n">
        <v>504.5368620037807</v>
      </c>
      <c r="G523">
        <f>2*SQRT(F523/PI())</f>
        <v/>
      </c>
      <c r="H523" t="n">
        <v>85.79917109530905</v>
      </c>
      <c r="I523" t="n">
        <v>697</v>
      </c>
      <c r="J523" t="n">
        <v>134</v>
      </c>
      <c r="K523" t="n">
        <v>494.4461247637051</v>
      </c>
      <c r="L523" t="n">
        <v>514.6275992438564</v>
      </c>
      <c r="M523">
        <f>2*SQRT(K523/PI())</f>
        <v/>
      </c>
      <c r="N523">
        <f>2*SQRT(L523/PI())</f>
        <v/>
      </c>
      <c r="P523" t="inlineStr">
        <is>
          <t>是</t>
        </is>
      </c>
      <c r="Q523" t="inlineStr">
        <is>
          <t>auto_pipeline;review_png_green</t>
        </is>
      </c>
      <c r="R523" t="inlineStr">
        <is>
          <t>样品11</t>
        </is>
      </c>
    </row>
    <row r="524">
      <c r="A524" t="n">
        <v>523</v>
      </c>
      <c r="B524" t="inlineStr">
        <is>
          <t>11 (8).tif</t>
        </is>
      </c>
      <c r="C524" t="inlineStr">
        <is>
          <t>11(8)-V02</t>
        </is>
      </c>
      <c r="D524" t="n">
        <v>2</v>
      </c>
      <c r="E524" t="inlineStr">
        <is>
          <t>primary</t>
        </is>
      </c>
      <c r="F524" t="n">
        <v>365.0047258979206</v>
      </c>
      <c r="G524">
        <f>2*SQRT(F524/PI())</f>
        <v/>
      </c>
      <c r="H524" t="n">
        <v>73.64710701548535</v>
      </c>
      <c r="I524" t="n">
        <v>495</v>
      </c>
      <c r="J524" t="n">
        <v>414</v>
      </c>
      <c r="K524" t="n">
        <v>357.7046313799622</v>
      </c>
      <c r="L524" t="n">
        <v>372.304820415879</v>
      </c>
      <c r="M524">
        <f>2*SQRT(K524/PI())</f>
        <v/>
      </c>
      <c r="N524">
        <f>2*SQRT(L524/PI())</f>
        <v/>
      </c>
      <c r="O524" t="inlineStr">
        <is>
          <t>11(8)-P01</t>
        </is>
      </c>
      <c r="P524" t="inlineStr">
        <is>
          <t>是</t>
        </is>
      </c>
      <c r="Q524" t="inlineStr">
        <is>
          <t>auto_pipeline;review_png_green</t>
        </is>
      </c>
      <c r="R524" t="inlineStr">
        <is>
          <t>样品11</t>
        </is>
      </c>
    </row>
    <row r="525">
      <c r="A525" t="n">
        <v>524</v>
      </c>
      <c r="B525" t="inlineStr">
        <is>
          <t>11 (8).tif</t>
        </is>
      </c>
      <c r="C525" t="inlineStr">
        <is>
          <t>11(8)-V03</t>
        </is>
      </c>
      <c r="D525" t="n">
        <v>3</v>
      </c>
      <c r="E525" t="inlineStr">
        <is>
          <t>primary</t>
        </is>
      </c>
      <c r="F525" t="n">
        <v>334.9243856332703</v>
      </c>
      <c r="G525">
        <f>2*SQRT(F525/PI())</f>
        <v/>
      </c>
      <c r="H525" t="n">
        <v>69.4703237388445</v>
      </c>
      <c r="I525" t="n">
        <v>402</v>
      </c>
      <c r="J525" t="n">
        <v>342</v>
      </c>
      <c r="K525" t="n">
        <v>328.2258979206049</v>
      </c>
      <c r="L525" t="n">
        <v>341.6228733459358</v>
      </c>
      <c r="M525">
        <f>2*SQRT(K525/PI())</f>
        <v/>
      </c>
      <c r="N525">
        <f>2*SQRT(L525/PI())</f>
        <v/>
      </c>
      <c r="O525" t="inlineStr">
        <is>
          <t>11(8)-P01</t>
        </is>
      </c>
      <c r="P525" t="inlineStr">
        <is>
          <t>是</t>
        </is>
      </c>
      <c r="Q525" t="inlineStr">
        <is>
          <t>auto_pipeline;review_png_green</t>
        </is>
      </c>
      <c r="R525" t="inlineStr">
        <is>
          <t>样品11</t>
        </is>
      </c>
    </row>
    <row r="526">
      <c r="A526" t="n">
        <v>525</v>
      </c>
      <c r="B526" t="inlineStr">
        <is>
          <t>11 (8).tif</t>
        </is>
      </c>
      <c r="C526" t="inlineStr">
        <is>
          <t>11(8)-V04</t>
        </is>
      </c>
      <c r="D526" t="n">
        <v>4</v>
      </c>
      <c r="E526" t="inlineStr">
        <is>
          <t>primary</t>
        </is>
      </c>
      <c r="F526" t="n">
        <v>304.3241965973535</v>
      </c>
      <c r="G526">
        <f>2*SQRT(F526/PI())</f>
        <v/>
      </c>
      <c r="H526" t="n">
        <v>67.24366273569024</v>
      </c>
      <c r="I526" t="n">
        <v>780</v>
      </c>
      <c r="J526" t="n">
        <v>276</v>
      </c>
      <c r="K526" t="n">
        <v>298.2377126654064</v>
      </c>
      <c r="L526" t="n">
        <v>310.4106805293006</v>
      </c>
      <c r="M526">
        <f>2*SQRT(K526/PI())</f>
        <v/>
      </c>
      <c r="N526">
        <f>2*SQRT(L526/PI())</f>
        <v/>
      </c>
      <c r="P526" t="inlineStr">
        <is>
          <t>是</t>
        </is>
      </c>
      <c r="Q526" t="inlineStr">
        <is>
          <t>auto_pipeline;review_png_green</t>
        </is>
      </c>
      <c r="R526" t="inlineStr">
        <is>
          <t>样品11</t>
        </is>
      </c>
    </row>
    <row r="527">
      <c r="A527" t="n">
        <v>526</v>
      </c>
      <c r="B527" t="inlineStr">
        <is>
          <t>11 (8).tif</t>
        </is>
      </c>
      <c r="C527" t="inlineStr">
        <is>
          <t>11(8)-V05</t>
        </is>
      </c>
      <c r="D527" t="n">
        <v>5</v>
      </c>
      <c r="E527" t="inlineStr">
        <is>
          <t>primary</t>
        </is>
      </c>
      <c r="F527" t="n">
        <v>223.6294896030246</v>
      </c>
      <c r="G527">
        <f>2*SQRT(F527/PI())</f>
        <v/>
      </c>
      <c r="H527" t="n">
        <v>63.02318153174027</v>
      </c>
      <c r="I527" t="n">
        <v>679</v>
      </c>
      <c r="J527" t="n">
        <v>529</v>
      </c>
      <c r="K527" t="n">
        <v>219.1568998109641</v>
      </c>
      <c r="L527" t="n">
        <v>228.1020793950851</v>
      </c>
      <c r="M527">
        <f>2*SQRT(K527/PI())</f>
        <v/>
      </c>
      <c r="N527">
        <f>2*SQRT(L527/PI())</f>
        <v/>
      </c>
      <c r="P527" t="inlineStr">
        <is>
          <t>是</t>
        </is>
      </c>
      <c r="Q527" t="inlineStr">
        <is>
          <t>auto_pipeline;review_png_green</t>
        </is>
      </c>
      <c r="R527" t="inlineStr">
        <is>
          <t>样品11</t>
        </is>
      </c>
    </row>
    <row r="528">
      <c r="A528" t="n">
        <v>527</v>
      </c>
      <c r="B528" t="inlineStr">
        <is>
          <t>11 (8).tif</t>
        </is>
      </c>
      <c r="C528" t="inlineStr">
        <is>
          <t>11(8)-V06</t>
        </is>
      </c>
      <c r="D528" t="n">
        <v>6</v>
      </c>
      <c r="E528" t="inlineStr">
        <is>
          <t>primary</t>
        </is>
      </c>
      <c r="F528" t="n">
        <v>210.3733459357278</v>
      </c>
      <c r="G528">
        <f>2*SQRT(F528/PI())</f>
        <v/>
      </c>
      <c r="H528" t="n">
        <v>55.3681373855342</v>
      </c>
      <c r="I528" t="n">
        <v>360</v>
      </c>
      <c r="J528" t="n">
        <v>438</v>
      </c>
      <c r="K528" t="n">
        <v>206.1658790170132</v>
      </c>
      <c r="L528" t="n">
        <v>214.5808128544424</v>
      </c>
      <c r="M528">
        <f>2*SQRT(K528/PI())</f>
        <v/>
      </c>
      <c r="N528">
        <f>2*SQRT(L528/PI())</f>
        <v/>
      </c>
      <c r="P528" t="inlineStr">
        <is>
          <t>是</t>
        </is>
      </c>
      <c r="Q528" t="inlineStr">
        <is>
          <t>auto_pipeline;review_png_green</t>
        </is>
      </c>
      <c r="R528" t="inlineStr">
        <is>
          <t>样品11</t>
        </is>
      </c>
    </row>
    <row r="529">
      <c r="A529" t="n">
        <v>528</v>
      </c>
      <c r="B529" t="inlineStr">
        <is>
          <t>11 (8).tif</t>
        </is>
      </c>
      <c r="C529" t="inlineStr">
        <is>
          <t>11(8)-V07</t>
        </is>
      </c>
      <c r="D529" t="n">
        <v>7</v>
      </c>
      <c r="E529" t="inlineStr">
        <is>
          <t>primary</t>
        </is>
      </c>
      <c r="F529" t="n">
        <v>201.8667296786389</v>
      </c>
      <c r="G529">
        <f>2*SQRT(F529/PI())</f>
        <v/>
      </c>
      <c r="H529" t="n">
        <v>53.5235110313996</v>
      </c>
      <c r="I529" t="n">
        <v>85</v>
      </c>
      <c r="J529" t="n">
        <v>160</v>
      </c>
      <c r="K529" t="n">
        <v>197.8293950850662</v>
      </c>
      <c r="L529" t="n">
        <v>205.9040642722117</v>
      </c>
      <c r="M529">
        <f>2*SQRT(K529/PI())</f>
        <v/>
      </c>
      <c r="N529">
        <f>2*SQRT(L529/PI())</f>
        <v/>
      </c>
      <c r="P529" t="inlineStr">
        <is>
          <t>是</t>
        </is>
      </c>
      <c r="Q529" t="inlineStr">
        <is>
          <t>auto_pipeline;review_png_green</t>
        </is>
      </c>
      <c r="R529" t="inlineStr">
        <is>
          <t>样品11</t>
        </is>
      </c>
    </row>
    <row r="530">
      <c r="A530" t="n">
        <v>529</v>
      </c>
      <c r="B530" t="inlineStr">
        <is>
          <t>11 (8).tif</t>
        </is>
      </c>
      <c r="C530" t="inlineStr">
        <is>
          <t>11(8)-V08</t>
        </is>
      </c>
      <c r="D530" t="n">
        <v>8</v>
      </c>
      <c r="E530" t="inlineStr">
        <is>
          <t>primary</t>
        </is>
      </c>
      <c r="F530" t="n">
        <v>169.9196597353497</v>
      </c>
      <c r="G530">
        <f>2*SQRT(F530/PI())</f>
        <v/>
      </c>
      <c r="H530" t="n">
        <v>55.57912922423819</v>
      </c>
      <c r="I530" t="n">
        <v>964</v>
      </c>
      <c r="J530" t="n">
        <v>137</v>
      </c>
      <c r="K530" t="n">
        <v>166.5212665406427</v>
      </c>
      <c r="L530" t="n">
        <v>173.3180529300567</v>
      </c>
      <c r="M530">
        <f>2*SQRT(K530/PI())</f>
        <v/>
      </c>
      <c r="N530">
        <f>2*SQRT(L530/PI())</f>
        <v/>
      </c>
      <c r="P530" t="inlineStr">
        <is>
          <t>是</t>
        </is>
      </c>
      <c r="Q530" t="inlineStr">
        <is>
          <t>auto_pipeline;review_png_green</t>
        </is>
      </c>
      <c r="R530" t="inlineStr">
        <is>
          <t>样品11</t>
        </is>
      </c>
    </row>
    <row r="531">
      <c r="A531" t="n">
        <v>530</v>
      </c>
      <c r="B531" t="inlineStr">
        <is>
          <t>12 (1).tif</t>
        </is>
      </c>
      <c r="C531" t="inlineStr">
        <is>
          <t>12(1)-V01</t>
        </is>
      </c>
      <c r="D531" t="n">
        <v>1</v>
      </c>
      <c r="E531" t="inlineStr">
        <is>
          <t>primary</t>
        </is>
      </c>
      <c r="F531" t="n">
        <v>715.430056710775</v>
      </c>
      <c r="G531">
        <f>2*SQRT(F531/PI())</f>
        <v/>
      </c>
      <c r="H531" t="n">
        <v>100.3670390533364</v>
      </c>
      <c r="I531" t="n">
        <v>410</v>
      </c>
      <c r="J531" t="n">
        <v>295</v>
      </c>
      <c r="K531" t="n">
        <v>701.1214555765595</v>
      </c>
      <c r="L531" t="n">
        <v>729.7386578449906</v>
      </c>
      <c r="M531">
        <f>2*SQRT(K531/PI())</f>
        <v/>
      </c>
      <c r="N531">
        <f>2*SQRT(L531/PI())</f>
        <v/>
      </c>
      <c r="P531" t="inlineStr">
        <is>
          <t>是</t>
        </is>
      </c>
      <c r="Q531" t="inlineStr">
        <is>
          <t>auto_pipeline;review_png_green</t>
        </is>
      </c>
      <c r="R531" t="inlineStr">
        <is>
          <t>样品12</t>
        </is>
      </c>
    </row>
    <row r="532">
      <c r="A532" t="n">
        <v>531</v>
      </c>
      <c r="B532" t="inlineStr">
        <is>
          <t>12 (1).tif</t>
        </is>
      </c>
      <c r="C532" t="inlineStr">
        <is>
          <t>12(1)-V02</t>
        </is>
      </c>
      <c r="D532" t="n">
        <v>2</v>
      </c>
      <c r="E532" t="inlineStr">
        <is>
          <t>primary</t>
        </is>
      </c>
      <c r="F532" t="n">
        <v>593.241965973535</v>
      </c>
      <c r="G532">
        <f>2*SQRT(F532/PI())</f>
        <v/>
      </c>
      <c r="H532" t="n">
        <v>92.81749082648236</v>
      </c>
      <c r="I532" t="n">
        <v>863</v>
      </c>
      <c r="J532" t="n">
        <v>227</v>
      </c>
      <c r="K532" t="n">
        <v>581.3771266540643</v>
      </c>
      <c r="L532" t="n">
        <v>605.1068052930057</v>
      </c>
      <c r="M532">
        <f>2*SQRT(K532/PI())</f>
        <v/>
      </c>
      <c r="N532">
        <f>2*SQRT(L532/PI())</f>
        <v/>
      </c>
      <c r="P532" t="inlineStr">
        <is>
          <t>是</t>
        </is>
      </c>
      <c r="Q532" t="inlineStr">
        <is>
          <t>auto_pipeline;review_png_green</t>
        </is>
      </c>
      <c r="R532" t="inlineStr">
        <is>
          <t>样品12</t>
        </is>
      </c>
    </row>
    <row r="533">
      <c r="A533" t="n">
        <v>532</v>
      </c>
      <c r="B533" t="inlineStr">
        <is>
          <t>12 (1).tif</t>
        </is>
      </c>
      <c r="C533" t="inlineStr">
        <is>
          <t>12(1)-V03</t>
        </is>
      </c>
      <c r="D533" t="n">
        <v>3</v>
      </c>
      <c r="E533" t="inlineStr">
        <is>
          <t>primary</t>
        </is>
      </c>
      <c r="F533" t="n">
        <v>367.6039697542533</v>
      </c>
      <c r="G533">
        <f>2*SQRT(F533/PI())</f>
        <v/>
      </c>
      <c r="H533" t="n">
        <v>80.77092266601065</v>
      </c>
      <c r="I533" t="n">
        <v>937</v>
      </c>
      <c r="J533" t="n">
        <v>294</v>
      </c>
      <c r="K533" t="n">
        <v>360.2518903591682</v>
      </c>
      <c r="L533" t="n">
        <v>374.9560491493384</v>
      </c>
      <c r="M533">
        <f>2*SQRT(K533/PI())</f>
        <v/>
      </c>
      <c r="N533">
        <f>2*SQRT(L533/PI())</f>
        <v/>
      </c>
      <c r="P533" t="inlineStr">
        <is>
          <t>是</t>
        </is>
      </c>
      <c r="Q533" t="inlineStr">
        <is>
          <t>auto_pipeline;review_png_green</t>
        </is>
      </c>
      <c r="R533" t="inlineStr">
        <is>
          <t>样品12</t>
        </is>
      </c>
    </row>
    <row r="534">
      <c r="A534" t="n">
        <v>533</v>
      </c>
      <c r="B534" t="inlineStr">
        <is>
          <t>12 (1).tif</t>
        </is>
      </c>
      <c r="C534" t="inlineStr">
        <is>
          <t>12(1)-V04</t>
        </is>
      </c>
      <c r="D534" t="n">
        <v>4</v>
      </c>
      <c r="E534" t="inlineStr">
        <is>
          <t>primary</t>
        </is>
      </c>
      <c r="F534" t="n">
        <v>335.1843100189036</v>
      </c>
      <c r="G534">
        <f>2*SQRT(F534/PI())</f>
        <v/>
      </c>
      <c r="H534" t="n">
        <v>81.36769805265509</v>
      </c>
      <c r="I534" t="n">
        <v>249</v>
      </c>
      <c r="J534" t="n">
        <v>360</v>
      </c>
      <c r="K534" t="n">
        <v>328.4806238185255</v>
      </c>
      <c r="L534" t="n">
        <v>341.8879962192817</v>
      </c>
      <c r="M534">
        <f>2*SQRT(K534/PI())</f>
        <v/>
      </c>
      <c r="N534">
        <f>2*SQRT(L534/PI())</f>
        <v/>
      </c>
      <c r="P534" t="inlineStr">
        <is>
          <t>是</t>
        </is>
      </c>
      <c r="Q534" t="inlineStr">
        <is>
          <t>auto_pipeline;review_png_green</t>
        </is>
      </c>
      <c r="R534" t="inlineStr">
        <is>
          <t>样品12</t>
        </is>
      </c>
    </row>
    <row r="535">
      <c r="A535" t="n">
        <v>534</v>
      </c>
      <c r="B535" t="inlineStr">
        <is>
          <t>12 (1).tif</t>
        </is>
      </c>
      <c r="C535" t="inlineStr">
        <is>
          <t>12(1)-V05</t>
        </is>
      </c>
      <c r="D535" t="n">
        <v>5</v>
      </c>
      <c r="E535" t="inlineStr">
        <is>
          <t>primary</t>
        </is>
      </c>
      <c r="F535" t="n">
        <v>150.5907372400756</v>
      </c>
      <c r="G535">
        <f>2*SQRT(F535/PI())</f>
        <v/>
      </c>
      <c r="H535" t="n">
        <v>47.33105859030848</v>
      </c>
      <c r="I535" t="n">
        <v>535</v>
      </c>
      <c r="J535" t="n">
        <v>331</v>
      </c>
      <c r="K535" t="n">
        <v>147.5789224952741</v>
      </c>
      <c r="L535" t="n">
        <v>153.6025519848771</v>
      </c>
      <c r="M535">
        <f>2*SQRT(K535/PI())</f>
        <v/>
      </c>
      <c r="N535">
        <f>2*SQRT(L535/PI())</f>
        <v/>
      </c>
      <c r="P535" t="inlineStr">
        <is>
          <t>是</t>
        </is>
      </c>
      <c r="Q535" t="inlineStr">
        <is>
          <t>auto_pipeline;review_png_green</t>
        </is>
      </c>
      <c r="R535" t="inlineStr">
        <is>
          <t>样品12</t>
        </is>
      </c>
    </row>
    <row r="536">
      <c r="A536" t="n">
        <v>535</v>
      </c>
      <c r="B536" t="inlineStr">
        <is>
          <t>12 (1).tif</t>
        </is>
      </c>
      <c r="C536" t="inlineStr">
        <is>
          <t>12(1)-V06</t>
        </is>
      </c>
      <c r="D536" t="n">
        <v>6</v>
      </c>
      <c r="E536" t="inlineStr">
        <is>
          <t>primary</t>
        </is>
      </c>
      <c r="F536" t="n">
        <v>136.531190926276</v>
      </c>
      <c r="G536">
        <f>2*SQRT(F536/PI())</f>
        <v/>
      </c>
      <c r="H536" t="n">
        <v>46.58883825592373</v>
      </c>
      <c r="I536" t="n">
        <v>667</v>
      </c>
      <c r="J536" t="n">
        <v>380</v>
      </c>
      <c r="K536" t="n">
        <v>133.8005671077505</v>
      </c>
      <c r="L536" t="n">
        <v>139.2618147448015</v>
      </c>
      <c r="M536">
        <f>2*SQRT(K536/PI())</f>
        <v/>
      </c>
      <c r="N536">
        <f>2*SQRT(L536/PI())</f>
        <v/>
      </c>
      <c r="P536" t="inlineStr">
        <is>
          <t>是</t>
        </is>
      </c>
      <c r="Q536" t="inlineStr">
        <is>
          <t>auto_pipeline;review_png_green</t>
        </is>
      </c>
      <c r="R536" t="inlineStr">
        <is>
          <t>样品12</t>
        </is>
      </c>
    </row>
    <row r="537">
      <c r="A537" t="n">
        <v>536</v>
      </c>
      <c r="B537" t="inlineStr">
        <is>
          <t>12 (1).tif</t>
        </is>
      </c>
      <c r="C537" t="inlineStr">
        <is>
          <t>12(1)-V07</t>
        </is>
      </c>
      <c r="D537" t="n">
        <v>7</v>
      </c>
      <c r="E537" t="inlineStr">
        <is>
          <t>primary</t>
        </is>
      </c>
      <c r="F537" t="n">
        <v>133.8374291115312</v>
      </c>
      <c r="G537">
        <f>2*SQRT(F537/PI())</f>
        <v/>
      </c>
      <c r="H537" t="n">
        <v>54.16023544643236</v>
      </c>
      <c r="I537" t="n">
        <v>779</v>
      </c>
      <c r="J537" t="n">
        <v>143</v>
      </c>
      <c r="K537" t="n">
        <v>131.1606805293005</v>
      </c>
      <c r="L537" t="n">
        <v>136.5141776937618</v>
      </c>
      <c r="M537">
        <f>2*SQRT(K537/PI())</f>
        <v/>
      </c>
      <c r="N537">
        <f>2*SQRT(L537/PI())</f>
        <v/>
      </c>
      <c r="P537" t="inlineStr">
        <is>
          <t>是</t>
        </is>
      </c>
      <c r="Q537" t="inlineStr">
        <is>
          <t>auto_pipeline;review_png_green</t>
        </is>
      </c>
      <c r="R537" t="inlineStr">
        <is>
          <t>样品12</t>
        </is>
      </c>
    </row>
    <row r="538">
      <c r="A538" t="n">
        <v>537</v>
      </c>
      <c r="B538" t="inlineStr">
        <is>
          <t>12 (1).tif</t>
        </is>
      </c>
      <c r="C538" t="inlineStr">
        <is>
          <t>12(1)-V08</t>
        </is>
      </c>
      <c r="D538" t="n">
        <v>8</v>
      </c>
      <c r="E538" t="inlineStr">
        <is>
          <t>primary</t>
        </is>
      </c>
      <c r="F538" t="n">
        <v>89.3194706994329</v>
      </c>
      <c r="G538">
        <f>2*SQRT(F538/PI())</f>
        <v/>
      </c>
      <c r="H538" t="n">
        <v>35.8375678891721</v>
      </c>
      <c r="I538" t="n">
        <v>966</v>
      </c>
      <c r="J538" t="n">
        <v>311</v>
      </c>
      <c r="K538" t="n">
        <v>87.53308128544424</v>
      </c>
      <c r="L538" t="n">
        <v>91.10586011342156</v>
      </c>
      <c r="M538">
        <f>2*SQRT(K538/PI())</f>
        <v/>
      </c>
      <c r="N538">
        <f>2*SQRT(L538/PI())</f>
        <v/>
      </c>
      <c r="O538" t="inlineStr">
        <is>
          <t>12(1)-P01</t>
        </is>
      </c>
      <c r="P538" t="inlineStr">
        <is>
          <t>是</t>
        </is>
      </c>
      <c r="Q538" t="inlineStr">
        <is>
          <t>auto_pipeline;review_png_green</t>
        </is>
      </c>
      <c r="R538" t="inlineStr">
        <is>
          <t>样品12</t>
        </is>
      </c>
    </row>
    <row r="539">
      <c r="A539" t="n">
        <v>538</v>
      </c>
      <c r="B539" t="inlineStr">
        <is>
          <t>12 (1).tif</t>
        </is>
      </c>
      <c r="C539" t="inlineStr">
        <is>
          <t>12(1)-V09</t>
        </is>
      </c>
      <c r="D539" t="n">
        <v>9</v>
      </c>
      <c r="E539" t="inlineStr">
        <is>
          <t>primary</t>
        </is>
      </c>
      <c r="F539" t="n">
        <v>75.04725897920605</v>
      </c>
      <c r="G539">
        <f>2*SQRT(F539/PI())</f>
        <v/>
      </c>
      <c r="H539" t="n">
        <v>32.86868655163309</v>
      </c>
      <c r="I539" t="n">
        <v>916</v>
      </c>
      <c r="J539" t="n">
        <v>269</v>
      </c>
      <c r="K539" t="n">
        <v>73.54631379962193</v>
      </c>
      <c r="L539" t="n">
        <v>76.54820415879017</v>
      </c>
      <c r="M539">
        <f>2*SQRT(K539/PI())</f>
        <v/>
      </c>
      <c r="N539">
        <f>2*SQRT(L539/PI())</f>
        <v/>
      </c>
      <c r="O539" t="inlineStr">
        <is>
          <t>12(1)-P01</t>
        </is>
      </c>
      <c r="P539" t="inlineStr">
        <is>
          <t>是</t>
        </is>
      </c>
      <c r="Q539" t="inlineStr">
        <is>
          <t>auto_pipeline;review_png_green</t>
        </is>
      </c>
      <c r="R539" t="inlineStr">
        <is>
          <t>样品12</t>
        </is>
      </c>
    </row>
    <row r="540">
      <c r="A540" t="n">
        <v>539</v>
      </c>
      <c r="B540" t="inlineStr">
        <is>
          <t>12 (2).tif</t>
        </is>
      </c>
      <c r="C540" t="inlineStr">
        <is>
          <t>12(2)-V01</t>
        </is>
      </c>
      <c r="D540" t="n">
        <v>1</v>
      </c>
      <c r="E540" t="inlineStr">
        <is>
          <t>primary</t>
        </is>
      </c>
      <c r="F540" t="n">
        <v>674.1493383742911</v>
      </c>
      <c r="G540">
        <f>2*SQRT(F540/PI())</f>
        <v/>
      </c>
      <c r="H540" t="n">
        <v>98.64975758220838</v>
      </c>
      <c r="I540" t="n">
        <v>430</v>
      </c>
      <c r="J540" t="n">
        <v>353</v>
      </c>
      <c r="K540" t="n">
        <v>660.6663516068053</v>
      </c>
      <c r="L540" t="n">
        <v>687.632325141777</v>
      </c>
      <c r="M540">
        <f>2*SQRT(K540/PI())</f>
        <v/>
      </c>
      <c r="N540">
        <f>2*SQRT(L540/PI())</f>
        <v/>
      </c>
      <c r="P540" t="inlineStr">
        <is>
          <t>是</t>
        </is>
      </c>
      <c r="Q540" t="inlineStr">
        <is>
          <t>auto_pipeline;review_png_green</t>
        </is>
      </c>
      <c r="R540" t="inlineStr">
        <is>
          <t>样品12</t>
        </is>
      </c>
    </row>
    <row r="541">
      <c r="A541" t="n">
        <v>540</v>
      </c>
      <c r="B541" t="inlineStr">
        <is>
          <t>12 (2).tif</t>
        </is>
      </c>
      <c r="C541" t="inlineStr">
        <is>
          <t>12(2)-V02</t>
        </is>
      </c>
      <c r="D541" t="n">
        <v>2</v>
      </c>
      <c r="E541" t="inlineStr">
        <is>
          <t>primary</t>
        </is>
      </c>
      <c r="F541" t="n">
        <v>592.4149338374291</v>
      </c>
      <c r="G541">
        <f>2*SQRT(F541/PI())</f>
        <v/>
      </c>
      <c r="H541" t="n">
        <v>92.0752704920976</v>
      </c>
      <c r="I541" t="n">
        <v>744</v>
      </c>
      <c r="J541" t="n">
        <v>379</v>
      </c>
      <c r="K541" t="n">
        <v>580.5666351606804</v>
      </c>
      <c r="L541" t="n">
        <v>604.2632325141777</v>
      </c>
      <c r="M541">
        <f>2*SQRT(K541/PI())</f>
        <v/>
      </c>
      <c r="N541">
        <f>2*SQRT(L541/PI())</f>
        <v/>
      </c>
      <c r="P541" t="inlineStr">
        <is>
          <t>是</t>
        </is>
      </c>
      <c r="Q541" t="inlineStr">
        <is>
          <t>auto_pipeline;review_png_green</t>
        </is>
      </c>
      <c r="R541" t="inlineStr">
        <is>
          <t>样品12</t>
        </is>
      </c>
    </row>
    <row r="542">
      <c r="A542" t="n">
        <v>541</v>
      </c>
      <c r="B542" t="inlineStr">
        <is>
          <t>12 (2).tif</t>
        </is>
      </c>
      <c r="C542" t="inlineStr">
        <is>
          <t>12(2)-V03</t>
        </is>
      </c>
      <c r="D542" t="n">
        <v>3</v>
      </c>
      <c r="E542" t="inlineStr">
        <is>
          <t>primary</t>
        </is>
      </c>
      <c r="F542" t="n">
        <v>512.547258979206</v>
      </c>
      <c r="G542">
        <f>2*SQRT(F542/PI())</f>
        <v/>
      </c>
      <c r="H542" t="n">
        <v>85.16244668027629</v>
      </c>
      <c r="I542" t="n">
        <v>585</v>
      </c>
      <c r="J542" t="n">
        <v>373</v>
      </c>
      <c r="K542" t="n">
        <v>502.2963137996219</v>
      </c>
      <c r="L542" t="n">
        <v>522.7982041587902</v>
      </c>
      <c r="M542">
        <f>2*SQRT(K542/PI())</f>
        <v/>
      </c>
      <c r="N542">
        <f>2*SQRT(L542/PI())</f>
        <v/>
      </c>
      <c r="P542" t="inlineStr">
        <is>
          <t>是</t>
        </is>
      </c>
      <c r="Q542" t="inlineStr">
        <is>
          <t>auto_pipeline;review_png_green</t>
        </is>
      </c>
      <c r="R542" t="inlineStr">
        <is>
          <t>样品12</t>
        </is>
      </c>
    </row>
    <row r="543">
      <c r="A543" t="n">
        <v>542</v>
      </c>
      <c r="B543" t="inlineStr">
        <is>
          <t>12 (2).tif</t>
        </is>
      </c>
      <c r="C543" t="inlineStr">
        <is>
          <t>12(2)-V04</t>
        </is>
      </c>
      <c r="D543" t="n">
        <v>4</v>
      </c>
      <c r="E543" t="inlineStr">
        <is>
          <t>primary</t>
        </is>
      </c>
      <c r="F543" t="n">
        <v>195.8412098298677</v>
      </c>
      <c r="G543">
        <f>2*SQRT(F543/PI())</f>
        <v/>
      </c>
      <c r="H543" t="n">
        <v>53.75635183375815</v>
      </c>
      <c r="I543" t="n">
        <v>853</v>
      </c>
      <c r="J543" t="n">
        <v>364</v>
      </c>
      <c r="K543" t="n">
        <v>191.9243856332703</v>
      </c>
      <c r="L543" t="n">
        <v>199.758034026465</v>
      </c>
      <c r="M543">
        <f>2*SQRT(K543/PI())</f>
        <v/>
      </c>
      <c r="N543">
        <f>2*SQRT(L543/PI())</f>
        <v/>
      </c>
      <c r="P543" t="inlineStr">
        <is>
          <t>是</t>
        </is>
      </c>
      <c r="Q543" t="inlineStr">
        <is>
          <t>auto_pipeline;review_png_green</t>
        </is>
      </c>
      <c r="R543" t="inlineStr">
        <is>
          <t>样品12</t>
        </is>
      </c>
    </row>
    <row r="544">
      <c r="A544" t="n">
        <v>543</v>
      </c>
      <c r="B544" t="inlineStr">
        <is>
          <t>12 (2).tif</t>
        </is>
      </c>
      <c r="C544" t="inlineStr">
        <is>
          <t>12(2)-V05</t>
        </is>
      </c>
      <c r="D544" t="n">
        <v>5</v>
      </c>
      <c r="E544" t="inlineStr">
        <is>
          <t>primary</t>
        </is>
      </c>
      <c r="F544" t="n">
        <v>132.9867674858223</v>
      </c>
      <c r="G544">
        <f>2*SQRT(F544/PI())</f>
        <v/>
      </c>
      <c r="H544" t="n">
        <v>50.17259504484093</v>
      </c>
      <c r="I544" t="n">
        <v>941</v>
      </c>
      <c r="J544" t="n">
        <v>351</v>
      </c>
      <c r="K544" t="n">
        <v>130.3270321361059</v>
      </c>
      <c r="L544" t="n">
        <v>135.6465028355387</v>
      </c>
      <c r="M544">
        <f>2*SQRT(K544/PI())</f>
        <v/>
      </c>
      <c r="N544">
        <f>2*SQRT(L544/PI())</f>
        <v/>
      </c>
      <c r="P544" t="inlineStr">
        <is>
          <t>是</t>
        </is>
      </c>
      <c r="Q544" t="inlineStr">
        <is>
          <t>auto_pipeline;review_png_green</t>
        </is>
      </c>
      <c r="R544" t="inlineStr">
        <is>
          <t>样品12</t>
        </is>
      </c>
    </row>
    <row r="545">
      <c r="A545" t="n">
        <v>544</v>
      </c>
      <c r="B545" t="inlineStr">
        <is>
          <t>12 (3).tif</t>
        </is>
      </c>
      <c r="C545" t="inlineStr">
        <is>
          <t>12(3)-V01</t>
        </is>
      </c>
      <c r="D545" t="n">
        <v>1</v>
      </c>
      <c r="E545" t="inlineStr">
        <is>
          <t>primary</t>
        </is>
      </c>
      <c r="F545" t="n">
        <v>556.3327032136106</v>
      </c>
      <c r="G545">
        <f>2*SQRT(F545/PI())</f>
        <v/>
      </c>
      <c r="H545" t="n">
        <v>90.20879517430845</v>
      </c>
      <c r="I545" t="n">
        <v>420</v>
      </c>
      <c r="J545" t="n">
        <v>387</v>
      </c>
      <c r="K545" t="n">
        <v>545.2060491493384</v>
      </c>
      <c r="L545" t="n">
        <v>567.4593572778828</v>
      </c>
      <c r="M545">
        <f>2*SQRT(K545/PI())</f>
        <v/>
      </c>
      <c r="N545">
        <f>2*SQRT(L545/PI())</f>
        <v/>
      </c>
      <c r="P545" t="inlineStr">
        <is>
          <t>是</t>
        </is>
      </c>
      <c r="Q545" t="inlineStr">
        <is>
          <t>auto_pipeline;review_png_green</t>
        </is>
      </c>
      <c r="R545" t="inlineStr">
        <is>
          <t>样品12</t>
        </is>
      </c>
    </row>
    <row r="546">
      <c r="A546" t="n">
        <v>545</v>
      </c>
      <c r="B546" t="inlineStr">
        <is>
          <t>12 (3).tif</t>
        </is>
      </c>
      <c r="C546" t="inlineStr">
        <is>
          <t>12(3)-V02</t>
        </is>
      </c>
      <c r="D546" t="n">
        <v>2</v>
      </c>
      <c r="E546" t="inlineStr">
        <is>
          <t>primary</t>
        </is>
      </c>
      <c r="F546" t="n">
        <v>545.8412098298677</v>
      </c>
      <c r="G546">
        <f>2*SQRT(F546/PI())</f>
        <v/>
      </c>
      <c r="H546" t="n">
        <v>89.33922995691714</v>
      </c>
      <c r="I546" t="n">
        <v>570</v>
      </c>
      <c r="J546" t="n">
        <v>334</v>
      </c>
      <c r="K546" t="n">
        <v>534.9243856332703</v>
      </c>
      <c r="L546" t="n">
        <v>556.7580340264651</v>
      </c>
      <c r="M546">
        <f>2*SQRT(K546/PI())</f>
        <v/>
      </c>
      <c r="N546">
        <f>2*SQRT(L546/PI())</f>
        <v/>
      </c>
      <c r="P546" t="inlineStr">
        <is>
          <t>是</t>
        </is>
      </c>
      <c r="Q546" t="inlineStr">
        <is>
          <t>auto_pipeline;review_png_green</t>
        </is>
      </c>
      <c r="R546" t="inlineStr">
        <is>
          <t>样品12</t>
        </is>
      </c>
    </row>
    <row r="547">
      <c r="A547" t="n">
        <v>546</v>
      </c>
      <c r="B547" t="inlineStr">
        <is>
          <t>12 (3).tif</t>
        </is>
      </c>
      <c r="C547" t="inlineStr">
        <is>
          <t>12(3)-V03</t>
        </is>
      </c>
      <c r="D547" t="n">
        <v>3</v>
      </c>
      <c r="E547" t="inlineStr">
        <is>
          <t>primary</t>
        </is>
      </c>
      <c r="F547" t="n">
        <v>444.9432892249528</v>
      </c>
      <c r="G547">
        <f>2*SQRT(F547/PI())</f>
        <v/>
      </c>
      <c r="H547" t="n">
        <v>84.01634273321731</v>
      </c>
      <c r="I547" t="n">
        <v>253</v>
      </c>
      <c r="J547" t="n">
        <v>549</v>
      </c>
      <c r="K547" t="n">
        <v>436.0444234404537</v>
      </c>
      <c r="L547" t="n">
        <v>453.8421550094518</v>
      </c>
      <c r="M547">
        <f>2*SQRT(K547/PI())</f>
        <v/>
      </c>
      <c r="N547">
        <f>2*SQRT(L547/PI())</f>
        <v/>
      </c>
      <c r="P547" t="inlineStr">
        <is>
          <t>是</t>
        </is>
      </c>
      <c r="Q547" t="inlineStr">
        <is>
          <t>auto_pipeline;review_png_green</t>
        </is>
      </c>
      <c r="R547" t="inlineStr">
        <is>
          <t>样品12</t>
        </is>
      </c>
    </row>
    <row r="548">
      <c r="A548" t="n">
        <v>547</v>
      </c>
      <c r="B548" t="inlineStr">
        <is>
          <t>12 (3).tif</t>
        </is>
      </c>
      <c r="C548" t="inlineStr">
        <is>
          <t>12(3)-V04</t>
        </is>
      </c>
      <c r="D548" t="n">
        <v>4</v>
      </c>
      <c r="E548" t="inlineStr">
        <is>
          <t>primary</t>
        </is>
      </c>
      <c r="F548" t="n">
        <v>218.7381852551985</v>
      </c>
      <c r="G548">
        <f>2*SQRT(F548/PI())</f>
        <v/>
      </c>
      <c r="H548" t="n">
        <v>63.04503049539483</v>
      </c>
      <c r="I548" t="n">
        <v>468</v>
      </c>
      <c r="J548" t="n">
        <v>275</v>
      </c>
      <c r="K548" t="n">
        <v>214.3634215500945</v>
      </c>
      <c r="L548" t="n">
        <v>223.1129489603025</v>
      </c>
      <c r="M548">
        <f>2*SQRT(K548/PI())</f>
        <v/>
      </c>
      <c r="N548">
        <f>2*SQRT(L548/PI())</f>
        <v/>
      </c>
      <c r="P548" t="inlineStr">
        <is>
          <t>是</t>
        </is>
      </c>
      <c r="Q548" t="inlineStr">
        <is>
          <t>auto_pipeline;review_png_green</t>
        </is>
      </c>
      <c r="R548" t="inlineStr">
        <is>
          <t>样品12</t>
        </is>
      </c>
    </row>
    <row r="549">
      <c r="A549" t="n">
        <v>548</v>
      </c>
      <c r="B549" t="inlineStr">
        <is>
          <t>12 (3).tif</t>
        </is>
      </c>
      <c r="C549" t="inlineStr">
        <is>
          <t>12(3)-V05</t>
        </is>
      </c>
      <c r="D549" t="n">
        <v>5</v>
      </c>
      <c r="E549" t="inlineStr">
        <is>
          <t>primary</t>
        </is>
      </c>
      <c r="F549" t="n">
        <v>166.1625708884688</v>
      </c>
      <c r="G549">
        <f>2*SQRT(F549/PI())</f>
        <v/>
      </c>
      <c r="H549" t="n">
        <v>48.32796869070634</v>
      </c>
      <c r="I549" t="n">
        <v>395</v>
      </c>
      <c r="J549" t="n">
        <v>593</v>
      </c>
      <c r="K549" t="n">
        <v>162.8393194706995</v>
      </c>
      <c r="L549" t="n">
        <v>169.4858223062382</v>
      </c>
      <c r="M549">
        <f>2*SQRT(K549/PI())</f>
        <v/>
      </c>
      <c r="N549">
        <f>2*SQRT(L549/PI())</f>
        <v/>
      </c>
      <c r="P549" t="inlineStr">
        <is>
          <t>是</t>
        </is>
      </c>
      <c r="Q549" t="inlineStr">
        <is>
          <t>auto_pipeline;review_png_green</t>
        </is>
      </c>
      <c r="R549" t="inlineStr">
        <is>
          <t>样品12</t>
        </is>
      </c>
    </row>
    <row r="550">
      <c r="A550" t="n">
        <v>549</v>
      </c>
      <c r="B550" t="inlineStr">
        <is>
          <t>12 (3).tif</t>
        </is>
      </c>
      <c r="C550" t="inlineStr">
        <is>
          <t>12(3)-V06</t>
        </is>
      </c>
      <c r="D550" t="n">
        <v>6</v>
      </c>
      <c r="E550" t="inlineStr">
        <is>
          <t>primary</t>
        </is>
      </c>
      <c r="F550" t="n">
        <v>131.734404536862</v>
      </c>
      <c r="G550">
        <f>2*SQRT(F550/PI())</f>
        <v/>
      </c>
      <c r="H550" t="n">
        <v>44.61686701878257</v>
      </c>
      <c r="I550" t="n">
        <v>781</v>
      </c>
      <c r="J550" t="n">
        <v>647</v>
      </c>
      <c r="K550" t="n">
        <v>129.0997164461247</v>
      </c>
      <c r="L550" t="n">
        <v>134.3690926275993</v>
      </c>
      <c r="M550">
        <f>2*SQRT(K550/PI())</f>
        <v/>
      </c>
      <c r="N550">
        <f>2*SQRT(L550/PI())</f>
        <v/>
      </c>
      <c r="P550" t="inlineStr">
        <is>
          <t>是</t>
        </is>
      </c>
      <c r="Q550" t="inlineStr">
        <is>
          <t>auto_pipeline;review_png_green</t>
        </is>
      </c>
      <c r="R550" t="inlineStr">
        <is>
          <t>样品12</t>
        </is>
      </c>
    </row>
    <row r="551">
      <c r="A551" t="n">
        <v>550</v>
      </c>
      <c r="B551" t="inlineStr">
        <is>
          <t>12 (4).tif</t>
        </is>
      </c>
      <c r="C551" t="inlineStr">
        <is>
          <t>12(4)-V01</t>
        </is>
      </c>
      <c r="D551" t="n">
        <v>1</v>
      </c>
      <c r="E551" t="inlineStr">
        <is>
          <t>primary</t>
        </is>
      </c>
      <c r="F551" t="n">
        <v>1160.609640831758</v>
      </c>
      <c r="G551">
        <f>2*SQRT(F551/PI())</f>
        <v/>
      </c>
      <c r="H551" t="n">
        <v>127.8073424619177</v>
      </c>
      <c r="I551" t="n">
        <v>468</v>
      </c>
      <c r="J551" t="n">
        <v>306</v>
      </c>
      <c r="K551" t="n">
        <v>1137.397448015123</v>
      </c>
      <c r="L551" t="n">
        <v>1183.821833648393</v>
      </c>
      <c r="M551">
        <f>2*SQRT(K551/PI())</f>
        <v/>
      </c>
      <c r="N551">
        <f>2*SQRT(L551/PI())</f>
        <v/>
      </c>
      <c r="O551" t="inlineStr">
        <is>
          <t>12(4)-P01</t>
        </is>
      </c>
      <c r="P551" t="inlineStr">
        <is>
          <t>是</t>
        </is>
      </c>
      <c r="Q551" t="inlineStr">
        <is>
          <t>auto_pipeline;review_png_green</t>
        </is>
      </c>
      <c r="R551" t="inlineStr">
        <is>
          <t>样品12</t>
        </is>
      </c>
    </row>
    <row r="552">
      <c r="A552" t="n">
        <v>551</v>
      </c>
      <c r="B552" t="inlineStr">
        <is>
          <t>12 (4).tif</t>
        </is>
      </c>
      <c r="C552" t="inlineStr">
        <is>
          <t>12(4)-V02</t>
        </is>
      </c>
      <c r="D552" t="n">
        <v>2</v>
      </c>
      <c r="E552" t="inlineStr">
        <is>
          <t>primary</t>
        </is>
      </c>
      <c r="F552" t="n">
        <v>684.9716446124763</v>
      </c>
      <c r="G552">
        <f>2*SQRT(F552/PI())</f>
        <v/>
      </c>
      <c r="H552" t="n">
        <v>100.1341982509779</v>
      </c>
      <c r="I552" t="n">
        <v>426</v>
      </c>
      <c r="J552" t="n">
        <v>462</v>
      </c>
      <c r="K552" t="n">
        <v>671.2722117202268</v>
      </c>
      <c r="L552" t="n">
        <v>698.6710775047259</v>
      </c>
      <c r="M552">
        <f>2*SQRT(K552/PI())</f>
        <v/>
      </c>
      <c r="N552">
        <f>2*SQRT(L552/PI())</f>
        <v/>
      </c>
      <c r="O552" t="inlineStr">
        <is>
          <t>12(4)-P01</t>
        </is>
      </c>
      <c r="P552" t="inlineStr">
        <is>
          <t>是</t>
        </is>
      </c>
      <c r="Q552" t="inlineStr">
        <is>
          <t>auto_pipeline;review_png_green</t>
        </is>
      </c>
      <c r="R552" t="inlineStr">
        <is>
          <t>样品12</t>
        </is>
      </c>
    </row>
    <row r="553">
      <c r="A553" t="n">
        <v>552</v>
      </c>
      <c r="B553" t="inlineStr">
        <is>
          <t>12 (4).tif</t>
        </is>
      </c>
      <c r="C553" t="inlineStr">
        <is>
          <t>12(4)-V03</t>
        </is>
      </c>
      <c r="D553" t="n">
        <v>3</v>
      </c>
      <c r="E553" t="inlineStr">
        <is>
          <t>primary</t>
        </is>
      </c>
      <c r="F553" t="n">
        <v>146.6446124763705</v>
      </c>
      <c r="G553">
        <f>2*SQRT(F553/PI())</f>
        <v/>
      </c>
      <c r="H553" t="n">
        <v>49.55771959346274</v>
      </c>
      <c r="I553" t="n">
        <v>499</v>
      </c>
      <c r="J553" t="n">
        <v>555</v>
      </c>
      <c r="K553" t="n">
        <v>143.7117202268431</v>
      </c>
      <c r="L553" t="n">
        <v>149.5775047258979</v>
      </c>
      <c r="M553">
        <f>2*SQRT(K553/PI())</f>
        <v/>
      </c>
      <c r="N553">
        <f>2*SQRT(L553/PI())</f>
        <v/>
      </c>
      <c r="P553" t="inlineStr">
        <is>
          <t>是</t>
        </is>
      </c>
      <c r="Q553" t="inlineStr">
        <is>
          <t>auto_pipeline;review_png_green</t>
        </is>
      </c>
      <c r="R553" t="inlineStr">
        <is>
          <t>样品12</t>
        </is>
      </c>
    </row>
    <row r="554">
      <c r="A554" t="n">
        <v>553</v>
      </c>
      <c r="B554" t="inlineStr">
        <is>
          <t>12 (4).tif</t>
        </is>
      </c>
      <c r="C554" t="inlineStr">
        <is>
          <t>12(4)-V04</t>
        </is>
      </c>
      <c r="D554" t="n">
        <v>4</v>
      </c>
      <c r="E554" t="inlineStr">
        <is>
          <t>primary</t>
        </is>
      </c>
      <c r="F554" t="n">
        <v>131.0018903591682</v>
      </c>
      <c r="G554">
        <f>2*SQRT(F554/PI())</f>
        <v/>
      </c>
      <c r="H554" t="n">
        <v>44.38402621642403</v>
      </c>
      <c r="I554" t="n">
        <v>116</v>
      </c>
      <c r="J554" t="n">
        <v>131</v>
      </c>
      <c r="K554" t="n">
        <v>128.3818525519849</v>
      </c>
      <c r="L554" t="n">
        <v>133.6219281663516</v>
      </c>
      <c r="M554">
        <f>2*SQRT(K554/PI())</f>
        <v/>
      </c>
      <c r="N554">
        <f>2*SQRT(L554/PI())</f>
        <v/>
      </c>
      <c r="P554" t="inlineStr">
        <is>
          <t>是</t>
        </is>
      </c>
      <c r="Q554" t="inlineStr">
        <is>
          <t>auto_pipeline;review_png_green</t>
        </is>
      </c>
      <c r="R554" t="inlineStr">
        <is>
          <t>样品12</t>
        </is>
      </c>
    </row>
    <row r="555">
      <c r="A555" t="n">
        <v>554</v>
      </c>
      <c r="B555" t="inlineStr">
        <is>
          <t>12 (5).tif</t>
        </is>
      </c>
      <c r="C555" t="inlineStr">
        <is>
          <t>12(5)-V01</t>
        </is>
      </c>
      <c r="D555" t="n">
        <v>1</v>
      </c>
      <c r="E555" t="inlineStr">
        <is>
          <t>primary</t>
        </is>
      </c>
      <c r="F555" t="n">
        <v>1965.099243856333</v>
      </c>
      <c r="G555">
        <f>2*SQRT(F555/PI())</f>
        <v/>
      </c>
      <c r="H555" t="n">
        <v>185.8934203178986</v>
      </c>
      <c r="I555" t="n">
        <v>493</v>
      </c>
      <c r="J555" t="n">
        <v>351</v>
      </c>
      <c r="K555" t="n">
        <v>1925.797258979206</v>
      </c>
      <c r="L555" t="n">
        <v>2004.401228733459</v>
      </c>
      <c r="M555">
        <f>2*SQRT(K555/PI())</f>
        <v/>
      </c>
      <c r="N555">
        <f>2*SQRT(L555/PI())</f>
        <v/>
      </c>
      <c r="P555" t="inlineStr">
        <is>
          <t>是</t>
        </is>
      </c>
      <c r="Q555" t="inlineStr">
        <is>
          <t>auto_pipeline;review_png_green</t>
        </is>
      </c>
      <c r="R555" t="inlineStr">
        <is>
          <t>样品12</t>
        </is>
      </c>
    </row>
    <row r="556">
      <c r="A556" t="n">
        <v>555</v>
      </c>
      <c r="B556" t="inlineStr">
        <is>
          <t>12 (5).tif</t>
        </is>
      </c>
      <c r="C556" t="inlineStr">
        <is>
          <t>12(5)-V02</t>
        </is>
      </c>
      <c r="D556" t="n">
        <v>2</v>
      </c>
      <c r="E556" t="inlineStr">
        <is>
          <t>primary</t>
        </is>
      </c>
      <c r="F556" t="n">
        <v>151.1578449905482</v>
      </c>
      <c r="G556">
        <f>2*SQRT(F556/PI())</f>
        <v/>
      </c>
      <c r="H556" t="n">
        <v>47.58574835632158</v>
      </c>
      <c r="I556" t="n">
        <v>134</v>
      </c>
      <c r="J556" t="n">
        <v>583</v>
      </c>
      <c r="K556" t="n">
        <v>148.1346880907372</v>
      </c>
      <c r="L556" t="n">
        <v>154.1810018903592</v>
      </c>
      <c r="M556">
        <f>2*SQRT(K556/PI())</f>
        <v/>
      </c>
      <c r="N556">
        <f>2*SQRT(L556/PI())</f>
        <v/>
      </c>
      <c r="P556" t="inlineStr">
        <is>
          <t>是</t>
        </is>
      </c>
      <c r="Q556" t="inlineStr">
        <is>
          <t>auto_pipeline;review_png_green</t>
        </is>
      </c>
      <c r="R556" t="inlineStr">
        <is>
          <t>样品12</t>
        </is>
      </c>
    </row>
    <row r="557">
      <c r="A557" t="n">
        <v>556</v>
      </c>
      <c r="B557" t="inlineStr">
        <is>
          <t>12 (6).tif</t>
        </is>
      </c>
      <c r="C557" t="inlineStr">
        <is>
          <t>12(6)-V01</t>
        </is>
      </c>
      <c r="D557" t="n">
        <v>1</v>
      </c>
      <c r="E557" t="inlineStr">
        <is>
          <t>primary</t>
        </is>
      </c>
      <c r="F557" t="n">
        <v>523.5586011342155</v>
      </c>
      <c r="G557">
        <f>2*SQRT(F557/PI())</f>
        <v/>
      </c>
      <c r="H557" t="n">
        <v>85.77732213165449</v>
      </c>
      <c r="I557" t="n">
        <v>851</v>
      </c>
      <c r="J557" t="n">
        <v>137</v>
      </c>
      <c r="K557" t="n">
        <v>513.0874291115312</v>
      </c>
      <c r="L557" t="n">
        <v>534.0297731568998</v>
      </c>
      <c r="M557">
        <f>2*SQRT(K557/PI())</f>
        <v/>
      </c>
      <c r="N557">
        <f>2*SQRT(L557/PI())</f>
        <v/>
      </c>
      <c r="P557" t="inlineStr">
        <is>
          <t>是</t>
        </is>
      </c>
      <c r="Q557" t="inlineStr">
        <is>
          <t>auto_pipeline;review_png_green</t>
        </is>
      </c>
      <c r="R557" t="inlineStr">
        <is>
          <t>样品12</t>
        </is>
      </c>
    </row>
    <row r="558">
      <c r="A558" t="n">
        <v>557</v>
      </c>
      <c r="B558" t="inlineStr">
        <is>
          <t>12 (6).tif</t>
        </is>
      </c>
      <c r="C558" t="inlineStr">
        <is>
          <t>12(6)-V02</t>
        </is>
      </c>
      <c r="D558" t="n">
        <v>2</v>
      </c>
      <c r="E558" t="inlineStr">
        <is>
          <t>primary</t>
        </is>
      </c>
      <c r="F558" t="n">
        <v>477.5992438563327</v>
      </c>
      <c r="G558">
        <f>2*SQRT(F558/PI())</f>
        <v/>
      </c>
      <c r="H558" t="n">
        <v>82.06622045973073</v>
      </c>
      <c r="I558" t="n">
        <v>534</v>
      </c>
      <c r="J558" t="n">
        <v>426</v>
      </c>
      <c r="K558" t="n">
        <v>468.047258979206</v>
      </c>
      <c r="L558" t="n">
        <v>487.1512287334593</v>
      </c>
      <c r="M558">
        <f>2*SQRT(K558/PI())</f>
        <v/>
      </c>
      <c r="N558">
        <f>2*SQRT(L558/PI())</f>
        <v/>
      </c>
      <c r="P558" t="inlineStr">
        <is>
          <t>是</t>
        </is>
      </c>
      <c r="Q558" t="inlineStr">
        <is>
          <t>auto_pipeline;review_png_green</t>
        </is>
      </c>
      <c r="R558" t="inlineStr">
        <is>
          <t>样品12</t>
        </is>
      </c>
    </row>
    <row r="559">
      <c r="A559" t="n">
        <v>558</v>
      </c>
      <c r="B559" t="inlineStr">
        <is>
          <t>12 (6).tif</t>
        </is>
      </c>
      <c r="C559" t="inlineStr">
        <is>
          <t>12(6)-V03</t>
        </is>
      </c>
      <c r="D559" t="n">
        <v>3</v>
      </c>
      <c r="E559" t="inlineStr">
        <is>
          <t>primary</t>
        </is>
      </c>
      <c r="F559" t="n">
        <v>457.7504725897921</v>
      </c>
      <c r="G559">
        <f>2*SQRT(F559/PI())</f>
        <v/>
      </c>
      <c r="H559" t="n">
        <v>81.09115932298742</v>
      </c>
      <c r="I559" t="n">
        <v>956</v>
      </c>
      <c r="J559" t="n">
        <v>239</v>
      </c>
      <c r="K559" t="n">
        <v>448.5954631379962</v>
      </c>
      <c r="L559" t="n">
        <v>466.905482041588</v>
      </c>
      <c r="M559">
        <f>2*SQRT(K559/PI())</f>
        <v/>
      </c>
      <c r="N559">
        <f>2*SQRT(L559/PI())</f>
        <v/>
      </c>
      <c r="P559" t="inlineStr">
        <is>
          <t>是</t>
        </is>
      </c>
      <c r="Q559" t="inlineStr">
        <is>
          <t>auto_pipeline;review_png_green</t>
        </is>
      </c>
      <c r="R559" t="inlineStr">
        <is>
          <t>样品12</t>
        </is>
      </c>
    </row>
    <row r="560">
      <c r="A560" t="n">
        <v>559</v>
      </c>
      <c r="B560" t="inlineStr">
        <is>
          <t>12 (6).tif</t>
        </is>
      </c>
      <c r="C560" t="inlineStr">
        <is>
          <t>12(6)-V04</t>
        </is>
      </c>
      <c r="D560" t="n">
        <v>4</v>
      </c>
      <c r="E560" t="inlineStr">
        <is>
          <t>primary</t>
        </is>
      </c>
      <c r="F560" t="n">
        <v>222.8733459357278</v>
      </c>
      <c r="G560">
        <f>2*SQRT(F560/PI())</f>
        <v/>
      </c>
      <c r="H560" t="n">
        <v>58.97374313810597</v>
      </c>
      <c r="I560" t="n">
        <v>346</v>
      </c>
      <c r="J560" t="n">
        <v>634</v>
      </c>
      <c r="K560" t="n">
        <v>218.4158790170132</v>
      </c>
      <c r="L560" t="n">
        <v>227.3308128544424</v>
      </c>
      <c r="M560">
        <f>2*SQRT(K560/PI())</f>
        <v/>
      </c>
      <c r="N560">
        <f>2*SQRT(L560/PI())</f>
        <v/>
      </c>
      <c r="P560" t="inlineStr">
        <is>
          <t>是</t>
        </is>
      </c>
      <c r="Q560" t="inlineStr">
        <is>
          <t>auto_pipeline;review_png_green</t>
        </is>
      </c>
      <c r="R560" t="inlineStr">
        <is>
          <t>样品12</t>
        </is>
      </c>
    </row>
    <row r="561">
      <c r="A561" t="n">
        <v>560</v>
      </c>
      <c r="B561" t="inlineStr">
        <is>
          <t>12 (6).tif</t>
        </is>
      </c>
      <c r="C561" t="inlineStr">
        <is>
          <t>12(6)-V05</t>
        </is>
      </c>
      <c r="D561" t="n">
        <v>5</v>
      </c>
      <c r="E561" t="inlineStr">
        <is>
          <t>primary</t>
        </is>
      </c>
      <c r="F561" t="n">
        <v>189.5793950850662</v>
      </c>
      <c r="G561">
        <f>2*SQRT(F561/PI())</f>
        <v/>
      </c>
      <c r="H561" t="n">
        <v>52.2937601286432</v>
      </c>
      <c r="I561" t="n">
        <v>342</v>
      </c>
      <c r="J561" t="n">
        <v>398</v>
      </c>
      <c r="K561" t="n">
        <v>185.7878071833648</v>
      </c>
      <c r="L561" t="n">
        <v>193.3709829867675</v>
      </c>
      <c r="M561">
        <f>2*SQRT(K561/PI())</f>
        <v/>
      </c>
      <c r="N561">
        <f>2*SQRT(L561/PI())</f>
        <v/>
      </c>
      <c r="P561" t="inlineStr">
        <is>
          <t>是</t>
        </is>
      </c>
      <c r="Q561" t="inlineStr">
        <is>
          <t>auto_pipeline;review_png_green</t>
        </is>
      </c>
      <c r="R561" t="inlineStr">
        <is>
          <t>样品12</t>
        </is>
      </c>
    </row>
    <row r="562">
      <c r="A562" t="n">
        <v>561</v>
      </c>
      <c r="B562" t="inlineStr">
        <is>
          <t>12 (7).tif</t>
        </is>
      </c>
      <c r="C562" t="inlineStr">
        <is>
          <t>12(7)-V01</t>
        </is>
      </c>
      <c r="D562" t="n">
        <v>1</v>
      </c>
      <c r="E562" t="inlineStr">
        <is>
          <t>primary</t>
        </is>
      </c>
      <c r="F562" t="n">
        <v>735.0425330812855</v>
      </c>
      <c r="G562">
        <f>2*SQRT(F562/PI())</f>
        <v/>
      </c>
      <c r="H562" t="n">
        <v>103.8452999229016</v>
      </c>
      <c r="I562" t="n">
        <v>760</v>
      </c>
      <c r="J562" t="n">
        <v>599</v>
      </c>
      <c r="K562" t="n">
        <v>720.3416824196597</v>
      </c>
      <c r="L562" t="n">
        <v>749.7433837429112</v>
      </c>
      <c r="M562">
        <f>2*SQRT(K562/PI())</f>
        <v/>
      </c>
      <c r="N562">
        <f>2*SQRT(L562/PI())</f>
        <v/>
      </c>
      <c r="P562" t="inlineStr">
        <is>
          <t>是</t>
        </is>
      </c>
      <c r="Q562" t="inlineStr">
        <is>
          <t>auto_pipeline;review_png_green</t>
        </is>
      </c>
      <c r="R562" t="inlineStr">
        <is>
          <t>样品12</t>
        </is>
      </c>
    </row>
    <row r="563">
      <c r="A563" t="n">
        <v>562</v>
      </c>
      <c r="B563" t="inlineStr">
        <is>
          <t>12 (7).tif</t>
        </is>
      </c>
      <c r="C563" t="inlineStr">
        <is>
          <t>12(7)-V02</t>
        </is>
      </c>
      <c r="D563" t="n">
        <v>2</v>
      </c>
      <c r="E563" t="inlineStr">
        <is>
          <t>primary</t>
        </is>
      </c>
      <c r="F563" t="n">
        <v>698.7948960302457</v>
      </c>
      <c r="G563">
        <f>2*SQRT(F563/PI())</f>
        <v/>
      </c>
      <c r="H563" t="n">
        <v>99.49747383594513</v>
      </c>
      <c r="I563" t="n">
        <v>607</v>
      </c>
      <c r="J563" t="n">
        <v>403</v>
      </c>
      <c r="K563" t="n">
        <v>684.8189981096408</v>
      </c>
      <c r="L563" t="n">
        <v>712.7707939508506</v>
      </c>
      <c r="M563">
        <f>2*SQRT(K563/PI())</f>
        <v/>
      </c>
      <c r="N563">
        <f>2*SQRT(L563/PI())</f>
        <v/>
      </c>
      <c r="P563" t="inlineStr">
        <is>
          <t>是</t>
        </is>
      </c>
      <c r="Q563" t="inlineStr">
        <is>
          <t>auto_pipeline;review_png_green</t>
        </is>
      </c>
      <c r="R563" t="inlineStr">
        <is>
          <t>样品12</t>
        </is>
      </c>
    </row>
    <row r="564">
      <c r="A564" t="n">
        <v>563</v>
      </c>
      <c r="B564" t="inlineStr">
        <is>
          <t>12 (7).tif</t>
        </is>
      </c>
      <c r="C564" t="inlineStr">
        <is>
          <t>12(7)-V03</t>
        </is>
      </c>
      <c r="D564" t="n">
        <v>3</v>
      </c>
      <c r="E564" t="inlineStr">
        <is>
          <t>primary</t>
        </is>
      </c>
      <c r="F564" t="n">
        <v>391.2570888468809</v>
      </c>
      <c r="G564">
        <f>2*SQRT(F564/PI())</f>
        <v/>
      </c>
      <c r="H564" t="n">
        <v>77.40190661471823</v>
      </c>
      <c r="I564" t="n">
        <v>434</v>
      </c>
      <c r="J564" t="n">
        <v>335</v>
      </c>
      <c r="K564" t="n">
        <v>383.4319470699432</v>
      </c>
      <c r="L564" t="n">
        <v>399.0822306238185</v>
      </c>
      <c r="M564">
        <f>2*SQRT(K564/PI())</f>
        <v/>
      </c>
      <c r="N564">
        <f>2*SQRT(L564/PI())</f>
        <v/>
      </c>
      <c r="P564" t="inlineStr">
        <is>
          <t>是</t>
        </is>
      </c>
      <c r="Q564" t="inlineStr">
        <is>
          <t>auto_pipeline;review_png_green</t>
        </is>
      </c>
      <c r="R564" t="inlineStr">
        <is>
          <t>样品12</t>
        </is>
      </c>
    </row>
    <row r="565">
      <c r="A565" t="n">
        <v>564</v>
      </c>
      <c r="B565" t="inlineStr">
        <is>
          <t>12 (7).tif</t>
        </is>
      </c>
      <c r="C565" t="inlineStr">
        <is>
          <t>12(7)-V04</t>
        </is>
      </c>
      <c r="D565" t="n">
        <v>4</v>
      </c>
      <c r="E565" t="inlineStr">
        <is>
          <t>primary</t>
        </is>
      </c>
      <c r="F565" t="n">
        <v>314.7684310018903</v>
      </c>
      <c r="G565">
        <f>2*SQRT(F565/PI())</f>
        <v/>
      </c>
      <c r="H565" t="n">
        <v>67.49835250170334</v>
      </c>
      <c r="I565" t="n">
        <v>930</v>
      </c>
      <c r="J565" t="n">
        <v>149</v>
      </c>
      <c r="K565" t="n">
        <v>308.4730623818525</v>
      </c>
      <c r="L565" t="n">
        <v>321.0637996219282</v>
      </c>
      <c r="M565">
        <f>2*SQRT(K565/PI())</f>
        <v/>
      </c>
      <c r="N565">
        <f>2*SQRT(L565/PI())</f>
        <v/>
      </c>
      <c r="P565" t="inlineStr">
        <is>
          <t>是</t>
        </is>
      </c>
      <c r="Q565" t="inlineStr">
        <is>
          <t>auto_pipeline;review_png_green</t>
        </is>
      </c>
      <c r="R565" t="inlineStr">
        <is>
          <t>样品12</t>
        </is>
      </c>
    </row>
    <row r="566">
      <c r="A566" t="n">
        <v>565</v>
      </c>
      <c r="B566" t="inlineStr">
        <is>
          <t>12 (7).tif</t>
        </is>
      </c>
      <c r="C566" t="inlineStr">
        <is>
          <t>12(7)-V05</t>
        </is>
      </c>
      <c r="D566" t="n">
        <v>5</v>
      </c>
      <c r="E566" t="inlineStr">
        <is>
          <t>primary</t>
        </is>
      </c>
      <c r="F566" t="n">
        <v>130.765595463138</v>
      </c>
      <c r="G566">
        <f>2*SQRT(F566/PI())</f>
        <v/>
      </c>
      <c r="H566" t="n">
        <v>45.46458327251932</v>
      </c>
      <c r="I566" t="n">
        <v>89</v>
      </c>
      <c r="J566" t="n">
        <v>552</v>
      </c>
      <c r="K566" t="n">
        <v>128.1502835538752</v>
      </c>
      <c r="L566" t="n">
        <v>133.3809073724008</v>
      </c>
      <c r="M566">
        <f>2*SQRT(K566/PI())</f>
        <v/>
      </c>
      <c r="N566">
        <f>2*SQRT(L566/PI())</f>
        <v/>
      </c>
      <c r="P566" t="inlineStr">
        <is>
          <t>是</t>
        </is>
      </c>
      <c r="Q566" t="inlineStr">
        <is>
          <t>auto_pipeline;review_png_green</t>
        </is>
      </c>
      <c r="R566" t="inlineStr">
        <is>
          <t>样品12</t>
        </is>
      </c>
    </row>
    <row r="567">
      <c r="A567" t="n">
        <v>566</v>
      </c>
      <c r="B567" t="inlineStr">
        <is>
          <t>13 (1).tif</t>
        </is>
      </c>
      <c r="C567" t="inlineStr">
        <is>
          <t>13(1)-V01</t>
        </is>
      </c>
      <c r="D567" t="n">
        <v>1</v>
      </c>
      <c r="E567" t="inlineStr">
        <is>
          <t>primary</t>
        </is>
      </c>
      <c r="F567" t="n">
        <v>940.0756143667297</v>
      </c>
      <c r="G567">
        <f>2*SQRT(F567/PI())</f>
        <v/>
      </c>
      <c r="H567" t="n">
        <v>115.8044722287551</v>
      </c>
      <c r="I567" t="n">
        <v>635</v>
      </c>
      <c r="J567" t="n">
        <v>278</v>
      </c>
      <c r="K567" t="n">
        <v>921.2741020793951</v>
      </c>
      <c r="L567" t="n">
        <v>958.8771266540643</v>
      </c>
      <c r="M567">
        <f>2*SQRT(K567/PI())</f>
        <v/>
      </c>
      <c r="N567">
        <f>2*SQRT(L567/PI())</f>
        <v/>
      </c>
      <c r="P567" t="inlineStr">
        <is>
          <t>是</t>
        </is>
      </c>
      <c r="Q567" t="inlineStr">
        <is>
          <t>auto_pipeline;review_png_green</t>
        </is>
      </c>
      <c r="R567" t="inlineStr">
        <is>
          <t>样品13</t>
        </is>
      </c>
    </row>
    <row r="568">
      <c r="A568" t="n">
        <v>567</v>
      </c>
      <c r="B568" t="inlineStr">
        <is>
          <t>13 (1).tif</t>
        </is>
      </c>
      <c r="C568" t="inlineStr">
        <is>
          <t>13(1)-V02</t>
        </is>
      </c>
      <c r="D568" t="n">
        <v>2</v>
      </c>
      <c r="E568" t="inlineStr">
        <is>
          <t>primary</t>
        </is>
      </c>
      <c r="F568" t="n">
        <v>592.6984877126654</v>
      </c>
      <c r="G568">
        <f>2*SQRT(F568/PI())</f>
        <v/>
      </c>
      <c r="H568" t="n">
        <v>92.94483570948891</v>
      </c>
      <c r="I568" t="n">
        <v>448</v>
      </c>
      <c r="J568" t="n">
        <v>431</v>
      </c>
      <c r="K568" t="n">
        <v>580.8445179584121</v>
      </c>
      <c r="L568" t="n">
        <v>604.5524574669187</v>
      </c>
      <c r="M568">
        <f>2*SQRT(K568/PI())</f>
        <v/>
      </c>
      <c r="N568">
        <f>2*SQRT(L568/PI())</f>
        <v/>
      </c>
      <c r="P568" t="inlineStr">
        <is>
          <t>是</t>
        </is>
      </c>
      <c r="Q568" t="inlineStr">
        <is>
          <t>auto_pipeline;review_png_green</t>
        </is>
      </c>
      <c r="R568" t="inlineStr">
        <is>
          <t>样品13</t>
        </is>
      </c>
    </row>
    <row r="569">
      <c r="A569" t="n">
        <v>568</v>
      </c>
      <c r="B569" t="inlineStr">
        <is>
          <t>13 (1).tif</t>
        </is>
      </c>
      <c r="C569" t="inlineStr">
        <is>
          <t>13(1)-V03</t>
        </is>
      </c>
      <c r="D569" t="n">
        <v>3</v>
      </c>
      <c r="E569" t="inlineStr">
        <is>
          <t>primary</t>
        </is>
      </c>
      <c r="F569" t="n">
        <v>373.8657844990548</v>
      </c>
      <c r="G569">
        <f>2*SQRT(F569/PI())</f>
        <v/>
      </c>
      <c r="H569" t="n">
        <v>73.05408052776171</v>
      </c>
      <c r="I569" t="n">
        <v>96</v>
      </c>
      <c r="J569" t="n">
        <v>423</v>
      </c>
      <c r="K569" t="n">
        <v>366.3884688090737</v>
      </c>
      <c r="L569" t="n">
        <v>381.3431001890359</v>
      </c>
      <c r="M569">
        <f>2*SQRT(K569/PI())</f>
        <v/>
      </c>
      <c r="N569">
        <f>2*SQRT(L569/PI())</f>
        <v/>
      </c>
      <c r="P569" t="inlineStr">
        <is>
          <t>是</t>
        </is>
      </c>
      <c r="Q569" t="inlineStr">
        <is>
          <t>auto_pipeline;review_png_green</t>
        </is>
      </c>
      <c r="R569" t="inlineStr">
        <is>
          <t>样品13</t>
        </is>
      </c>
    </row>
    <row r="570">
      <c r="A570" t="n">
        <v>569</v>
      </c>
      <c r="B570" t="inlineStr">
        <is>
          <t>13 (1).tif</t>
        </is>
      </c>
      <c r="C570" t="inlineStr">
        <is>
          <t>13(1)-V04</t>
        </is>
      </c>
      <c r="D570" t="n">
        <v>4</v>
      </c>
      <c r="E570" t="inlineStr">
        <is>
          <t>primary</t>
        </is>
      </c>
      <c r="F570" t="n">
        <v>138.2561436672968</v>
      </c>
      <c r="G570">
        <f>2*SQRT(F570/PI())</f>
        <v/>
      </c>
      <c r="H570" t="n">
        <v>51.72258260457412</v>
      </c>
      <c r="I570" t="n">
        <v>774</v>
      </c>
      <c r="J570" t="n">
        <v>131</v>
      </c>
      <c r="K570" t="n">
        <v>135.4910207939508</v>
      </c>
      <c r="L570" t="n">
        <v>141.0212665406427</v>
      </c>
      <c r="M570">
        <f>2*SQRT(K570/PI())</f>
        <v/>
      </c>
      <c r="N570">
        <f>2*SQRT(L570/PI())</f>
        <v/>
      </c>
      <c r="P570" t="inlineStr">
        <is>
          <t>是</t>
        </is>
      </c>
      <c r="Q570" t="inlineStr">
        <is>
          <t>auto_pipeline;review_png_green</t>
        </is>
      </c>
      <c r="R570" t="inlineStr">
        <is>
          <t>样品13</t>
        </is>
      </c>
    </row>
    <row r="571">
      <c r="A571" t="n">
        <v>570</v>
      </c>
      <c r="B571" t="inlineStr">
        <is>
          <t>13 (2).tif</t>
        </is>
      </c>
      <c r="C571" t="inlineStr">
        <is>
          <t>13(2)-V01</t>
        </is>
      </c>
      <c r="D571" t="n">
        <v>1</v>
      </c>
      <c r="E571" t="inlineStr">
        <is>
          <t>primary</t>
        </is>
      </c>
      <c r="F571" t="n">
        <v>519.305293005671</v>
      </c>
      <c r="G571">
        <f>2*SQRT(F571/PI())</f>
        <v/>
      </c>
      <c r="H571" t="n">
        <v>88.13132801781529</v>
      </c>
      <c r="I571" t="n">
        <v>522</v>
      </c>
      <c r="J571" t="n">
        <v>319</v>
      </c>
      <c r="K571" t="n">
        <v>508.9191871455576</v>
      </c>
      <c r="L571" t="n">
        <v>529.6913988657844</v>
      </c>
      <c r="M571">
        <f>2*SQRT(K571/PI())</f>
        <v/>
      </c>
      <c r="N571">
        <f>2*SQRT(L571/PI())</f>
        <v/>
      </c>
      <c r="P571" t="inlineStr">
        <is>
          <t>是</t>
        </is>
      </c>
      <c r="Q571" t="inlineStr">
        <is>
          <t>auto_pipeline;review_png_green</t>
        </is>
      </c>
      <c r="R571" t="inlineStr">
        <is>
          <t>样品13</t>
        </is>
      </c>
    </row>
    <row r="572">
      <c r="A572" t="n">
        <v>571</v>
      </c>
      <c r="B572" t="inlineStr">
        <is>
          <t>13 (2).tif</t>
        </is>
      </c>
      <c r="C572" t="inlineStr">
        <is>
          <t>13(2)-V02</t>
        </is>
      </c>
      <c r="D572" t="n">
        <v>2</v>
      </c>
      <c r="E572" t="inlineStr">
        <is>
          <t>primary</t>
        </is>
      </c>
      <c r="F572" t="n">
        <v>132.3724007561437</v>
      </c>
      <c r="G572">
        <f>2*SQRT(F572/PI())</f>
        <v/>
      </c>
      <c r="H572" t="n">
        <v>43.61995691838472</v>
      </c>
      <c r="I572" t="n">
        <v>48</v>
      </c>
      <c r="J572" t="n">
        <v>161</v>
      </c>
      <c r="K572" t="n">
        <v>129.7249527410208</v>
      </c>
      <c r="L572" t="n">
        <v>135.0198487712665</v>
      </c>
      <c r="M572">
        <f>2*SQRT(K572/PI())</f>
        <v/>
      </c>
      <c r="N572">
        <f>2*SQRT(L572/PI())</f>
        <v/>
      </c>
      <c r="P572" t="inlineStr">
        <is>
          <t>是</t>
        </is>
      </c>
      <c r="Q572" t="inlineStr">
        <is>
          <t>auto_pipeline;review_png_green</t>
        </is>
      </c>
      <c r="R572" t="inlineStr">
        <is>
          <t>样品13</t>
        </is>
      </c>
    </row>
    <row r="573">
      <c r="A573" t="n">
        <v>572</v>
      </c>
      <c r="B573" t="inlineStr">
        <is>
          <t>13 (3).tif</t>
        </is>
      </c>
      <c r="C573" t="inlineStr">
        <is>
          <t>13(3)-V01</t>
        </is>
      </c>
      <c r="D573" t="n">
        <v>1</v>
      </c>
      <c r="E573" t="inlineStr">
        <is>
          <t>primary</t>
        </is>
      </c>
      <c r="F573" t="n">
        <v>1028.568052930057</v>
      </c>
      <c r="G573">
        <f>2*SQRT(F573/PI())</f>
        <v/>
      </c>
      <c r="H573" t="n">
        <v>120.6398288840833</v>
      </c>
      <c r="I573" t="n">
        <v>378</v>
      </c>
      <c r="J573" t="n">
        <v>382</v>
      </c>
      <c r="K573" t="n">
        <v>1007.996691871455</v>
      </c>
      <c r="L573" t="n">
        <v>1049.139413988658</v>
      </c>
      <c r="M573">
        <f>2*SQRT(K573/PI())</f>
        <v/>
      </c>
      <c r="N573">
        <f>2*SQRT(L573/PI())</f>
        <v/>
      </c>
      <c r="P573" t="inlineStr">
        <is>
          <t>是</t>
        </is>
      </c>
      <c r="Q573" t="inlineStr">
        <is>
          <t>auto_pipeline;review_png_green</t>
        </is>
      </c>
      <c r="R573" t="inlineStr">
        <is>
          <t>样品13</t>
        </is>
      </c>
    </row>
    <row r="574">
      <c r="A574" t="n">
        <v>573</v>
      </c>
      <c r="B574" t="inlineStr">
        <is>
          <t>13 (3).tif</t>
        </is>
      </c>
      <c r="C574" t="inlineStr">
        <is>
          <t>13(3)-V02</t>
        </is>
      </c>
      <c r="D574" t="n">
        <v>2</v>
      </c>
      <c r="E574" t="inlineStr">
        <is>
          <t>primary</t>
        </is>
      </c>
      <c r="F574" t="n">
        <v>839.6975425330813</v>
      </c>
      <c r="G574">
        <f>2*SQRT(F574/PI())</f>
        <v/>
      </c>
      <c r="H574" t="n">
        <v>108.8916484169338</v>
      </c>
      <c r="I574" t="n">
        <v>898</v>
      </c>
      <c r="J574" t="n">
        <v>301</v>
      </c>
      <c r="K574" t="n">
        <v>822.9035916824197</v>
      </c>
      <c r="L574" t="n">
        <v>856.491493383743</v>
      </c>
      <c r="M574">
        <f>2*SQRT(K574/PI())</f>
        <v/>
      </c>
      <c r="N574">
        <f>2*SQRT(L574/PI())</f>
        <v/>
      </c>
      <c r="P574" t="inlineStr">
        <is>
          <t>是</t>
        </is>
      </c>
      <c r="Q574" t="inlineStr">
        <is>
          <t>auto_pipeline;review_png_green</t>
        </is>
      </c>
      <c r="R574" t="inlineStr">
        <is>
          <t>样品13</t>
        </is>
      </c>
    </row>
    <row r="575">
      <c r="A575" t="n">
        <v>574</v>
      </c>
      <c r="B575" t="inlineStr">
        <is>
          <t>13 (3).tif</t>
        </is>
      </c>
      <c r="C575" t="inlineStr">
        <is>
          <t>13(3)-V03</t>
        </is>
      </c>
      <c r="D575" t="n">
        <v>3</v>
      </c>
      <c r="E575" t="inlineStr">
        <is>
          <t>primary</t>
        </is>
      </c>
      <c r="F575" t="n">
        <v>731.4035916824197</v>
      </c>
      <c r="G575">
        <f>2*SQRT(F575/PI())</f>
        <v/>
      </c>
      <c r="H575" t="n">
        <v>102.106169488119</v>
      </c>
      <c r="I575" t="n">
        <v>582</v>
      </c>
      <c r="J575" t="n">
        <v>356</v>
      </c>
      <c r="K575" t="n">
        <v>716.7755198487713</v>
      </c>
      <c r="L575" t="n">
        <v>746.0316635160681</v>
      </c>
      <c r="M575">
        <f>2*SQRT(K575/PI())</f>
        <v/>
      </c>
      <c r="N575">
        <f>2*SQRT(L575/PI())</f>
        <v/>
      </c>
      <c r="P575" t="inlineStr">
        <is>
          <t>是</t>
        </is>
      </c>
      <c r="Q575" t="inlineStr">
        <is>
          <t>auto_pipeline;review_png_green</t>
        </is>
      </c>
      <c r="R575" t="inlineStr">
        <is>
          <t>样品13</t>
        </is>
      </c>
    </row>
    <row r="576">
      <c r="A576" t="n">
        <v>575</v>
      </c>
      <c r="B576" t="inlineStr">
        <is>
          <t>13 (3).tif</t>
        </is>
      </c>
      <c r="C576" t="inlineStr">
        <is>
          <t>13(3)-V04</t>
        </is>
      </c>
      <c r="D576" t="n">
        <v>4</v>
      </c>
      <c r="E576" t="inlineStr">
        <is>
          <t>primary</t>
        </is>
      </c>
      <c r="F576" t="n">
        <v>199.5746691871456</v>
      </c>
      <c r="G576">
        <f>2*SQRT(F576/PI())</f>
        <v/>
      </c>
      <c r="H576" t="n">
        <v>55.85566795390585</v>
      </c>
      <c r="I576" t="n">
        <v>735</v>
      </c>
      <c r="J576" t="n">
        <v>86</v>
      </c>
      <c r="K576" t="n">
        <v>195.5831758034026</v>
      </c>
      <c r="L576" t="n">
        <v>203.5661625708885</v>
      </c>
      <c r="M576">
        <f>2*SQRT(K576/PI())</f>
        <v/>
      </c>
      <c r="N576">
        <f>2*SQRT(L576/PI())</f>
        <v/>
      </c>
      <c r="P576" t="inlineStr">
        <is>
          <t>是</t>
        </is>
      </c>
      <c r="Q576" t="inlineStr">
        <is>
          <t>auto_pipeline;review_png_green</t>
        </is>
      </c>
      <c r="R576" t="inlineStr">
        <is>
          <t>样品13</t>
        </is>
      </c>
    </row>
    <row r="577">
      <c r="A577" t="n">
        <v>576</v>
      </c>
      <c r="B577" t="inlineStr">
        <is>
          <t>13 (3).tif</t>
        </is>
      </c>
      <c r="C577" t="inlineStr">
        <is>
          <t>13(3)-V05</t>
        </is>
      </c>
      <c r="D577" t="n">
        <v>5</v>
      </c>
      <c r="E577" t="inlineStr">
        <is>
          <t>primary</t>
        </is>
      </c>
      <c r="F577" t="n">
        <v>177.1266540642722</v>
      </c>
      <c r="G577">
        <f>2*SQRT(F577/PI())</f>
        <v/>
      </c>
      <c r="H577" t="n">
        <v>59.01744106541509</v>
      </c>
      <c r="I577" t="n">
        <v>221</v>
      </c>
      <c r="J577" t="n">
        <v>340</v>
      </c>
      <c r="K577" t="n">
        <v>173.5841209829867</v>
      </c>
      <c r="L577" t="n">
        <v>180.6691871455577</v>
      </c>
      <c r="M577">
        <f>2*SQRT(K577/PI())</f>
        <v/>
      </c>
      <c r="N577">
        <f>2*SQRT(L577/PI())</f>
        <v/>
      </c>
      <c r="P577" t="inlineStr">
        <is>
          <t>是</t>
        </is>
      </c>
      <c r="Q577" t="inlineStr">
        <is>
          <t>auto_pipeline;review_png_green</t>
        </is>
      </c>
      <c r="R577" t="inlineStr">
        <is>
          <t>样品13</t>
        </is>
      </c>
    </row>
    <row r="578">
      <c r="A578" t="n">
        <v>577</v>
      </c>
      <c r="B578" t="inlineStr">
        <is>
          <t>13 (3).tif</t>
        </is>
      </c>
      <c r="C578" t="inlineStr">
        <is>
          <t>13(3)-V06</t>
        </is>
      </c>
      <c r="D578" t="n">
        <v>6</v>
      </c>
      <c r="E578" t="inlineStr">
        <is>
          <t>primary</t>
        </is>
      </c>
      <c r="F578" t="n">
        <v>128.1663516068053</v>
      </c>
      <c r="G578">
        <f>2*SQRT(F578/PI())</f>
        <v/>
      </c>
      <c r="H578" t="n">
        <v>47.35290755396304</v>
      </c>
      <c r="I578" t="n">
        <v>762</v>
      </c>
      <c r="J578" t="n">
        <v>329</v>
      </c>
      <c r="K578" t="n">
        <v>125.6030245746692</v>
      </c>
      <c r="L578" t="n">
        <v>130.7296786389414</v>
      </c>
      <c r="M578">
        <f>2*SQRT(K578/PI())</f>
        <v/>
      </c>
      <c r="N578">
        <f>2*SQRT(L578/PI())</f>
        <v/>
      </c>
      <c r="P578" t="inlineStr">
        <is>
          <t>是</t>
        </is>
      </c>
      <c r="Q578" t="inlineStr">
        <is>
          <t>auto_pipeline;review_png_green</t>
        </is>
      </c>
      <c r="R578" t="inlineStr">
        <is>
          <t>样品13</t>
        </is>
      </c>
    </row>
    <row r="579">
      <c r="A579" t="n">
        <v>578</v>
      </c>
      <c r="B579" t="inlineStr">
        <is>
          <t>13 (4).tif</t>
        </is>
      </c>
      <c r="C579" t="inlineStr">
        <is>
          <t>13(4)-V01</t>
        </is>
      </c>
      <c r="D579" t="n">
        <v>1</v>
      </c>
      <c r="E579" t="inlineStr">
        <is>
          <t>primary</t>
        </is>
      </c>
      <c r="F579" t="n">
        <v>473.0151228733459</v>
      </c>
      <c r="G579">
        <f>2*SQRT(F579/PI())</f>
        <v/>
      </c>
      <c r="H579" t="n">
        <v>82.68109591110893</v>
      </c>
      <c r="I579" t="n">
        <v>593</v>
      </c>
      <c r="J579" t="n">
        <v>382</v>
      </c>
      <c r="K579" t="n">
        <v>463.554820415879</v>
      </c>
      <c r="L579" t="n">
        <v>482.4754253308129</v>
      </c>
      <c r="M579">
        <f>2*SQRT(K579/PI())</f>
        <v/>
      </c>
      <c r="N579">
        <f>2*SQRT(L579/PI())</f>
        <v/>
      </c>
      <c r="P579" t="inlineStr">
        <is>
          <t>是</t>
        </is>
      </c>
      <c r="Q579" t="inlineStr">
        <is>
          <t>auto_pipeline;review_png_green</t>
        </is>
      </c>
      <c r="R579" t="inlineStr">
        <is>
          <t>样品13</t>
        </is>
      </c>
    </row>
    <row r="580">
      <c r="A580" t="n">
        <v>579</v>
      </c>
      <c r="B580" t="inlineStr">
        <is>
          <t>13 (4).tif</t>
        </is>
      </c>
      <c r="C580" t="inlineStr">
        <is>
          <t>13(4)-V02</t>
        </is>
      </c>
      <c r="D580" t="n">
        <v>2</v>
      </c>
      <c r="E580" t="inlineStr">
        <is>
          <t>primary</t>
        </is>
      </c>
      <c r="F580" t="n">
        <v>199.8582230623819</v>
      </c>
      <c r="G580">
        <f>2*SQRT(F580/PI())</f>
        <v/>
      </c>
      <c r="H580" t="n">
        <v>69.85610728678496</v>
      </c>
      <c r="I580" t="n">
        <v>571</v>
      </c>
      <c r="J580" t="n">
        <v>136</v>
      </c>
      <c r="K580" t="n">
        <v>195.8610586011342</v>
      </c>
      <c r="L580" t="n">
        <v>203.8553875236295</v>
      </c>
      <c r="M580">
        <f>2*SQRT(K580/PI())</f>
        <v/>
      </c>
      <c r="N580">
        <f>2*SQRT(L580/PI())</f>
        <v/>
      </c>
      <c r="P580" t="inlineStr">
        <is>
          <t>是</t>
        </is>
      </c>
      <c r="Q580" t="inlineStr">
        <is>
          <t>auto_pipeline;review_png_green</t>
        </is>
      </c>
      <c r="R580" t="inlineStr">
        <is>
          <t>样品13</t>
        </is>
      </c>
    </row>
    <row r="581">
      <c r="A581" t="n">
        <v>580</v>
      </c>
      <c r="B581" t="inlineStr">
        <is>
          <t>13 (4).tif</t>
        </is>
      </c>
      <c r="C581" t="inlineStr">
        <is>
          <t>13(4)-V03</t>
        </is>
      </c>
      <c r="D581" t="n">
        <v>3</v>
      </c>
      <c r="E581" t="inlineStr">
        <is>
          <t>primary</t>
        </is>
      </c>
      <c r="F581" t="n">
        <v>182.1124763705104</v>
      </c>
      <c r="G581">
        <f>2*SQRT(F581/PI())</f>
        <v/>
      </c>
      <c r="H581" t="n">
        <v>56.13220668357351</v>
      </c>
      <c r="I581" t="n">
        <v>960</v>
      </c>
      <c r="J581" t="n">
        <v>435</v>
      </c>
      <c r="K581" t="n">
        <v>178.4702268431002</v>
      </c>
      <c r="L581" t="n">
        <v>185.7547258979206</v>
      </c>
      <c r="M581">
        <f>2*SQRT(K581/PI())</f>
        <v/>
      </c>
      <c r="N581">
        <f>2*SQRT(L581/PI())</f>
        <v/>
      </c>
      <c r="P581" t="inlineStr">
        <is>
          <t>是</t>
        </is>
      </c>
      <c r="Q581" t="inlineStr">
        <is>
          <t>auto_pipeline;review_png_green</t>
        </is>
      </c>
      <c r="R581" t="inlineStr">
        <is>
          <t>样品13</t>
        </is>
      </c>
    </row>
    <row r="582">
      <c r="A582" t="n">
        <v>581</v>
      </c>
      <c r="B582" t="inlineStr">
        <is>
          <t>13 (4).tif</t>
        </is>
      </c>
      <c r="C582" t="inlineStr">
        <is>
          <t>13(4)-V04</t>
        </is>
      </c>
      <c r="D582" t="n">
        <v>4</v>
      </c>
      <c r="E582" t="inlineStr">
        <is>
          <t>primary</t>
        </is>
      </c>
      <c r="F582" t="n">
        <v>158.1758034026465</v>
      </c>
      <c r="G582">
        <f>2*SQRT(F582/PI())</f>
        <v/>
      </c>
      <c r="H582" t="n">
        <v>68.16067477931146</v>
      </c>
      <c r="I582" t="n">
        <v>877</v>
      </c>
      <c r="J582" t="n">
        <v>277</v>
      </c>
      <c r="K582" t="n">
        <v>155.0122873345936</v>
      </c>
      <c r="L582" t="n">
        <v>161.3393194706994</v>
      </c>
      <c r="M582">
        <f>2*SQRT(K582/PI())</f>
        <v/>
      </c>
      <c r="N582">
        <f>2*SQRT(L582/PI())</f>
        <v/>
      </c>
      <c r="P582" t="inlineStr">
        <is>
          <t>是</t>
        </is>
      </c>
      <c r="Q582" t="inlineStr">
        <is>
          <t>auto_pipeline;review_png_green</t>
        </is>
      </c>
      <c r="R582" t="inlineStr">
        <is>
          <t>样品13</t>
        </is>
      </c>
    </row>
    <row r="583">
      <c r="A583" t="n">
        <v>582</v>
      </c>
      <c r="B583" t="inlineStr">
        <is>
          <t>13 (5).tif</t>
        </is>
      </c>
      <c r="C583" t="inlineStr">
        <is>
          <t>13(5)-V01</t>
        </is>
      </c>
      <c r="D583" t="n">
        <v>1</v>
      </c>
      <c r="E583" t="inlineStr">
        <is>
          <t>primary</t>
        </is>
      </c>
      <c r="F583" t="n">
        <v>664.1776937618148</v>
      </c>
      <c r="G583">
        <f>2*SQRT(F583/PI())</f>
        <v/>
      </c>
      <c r="H583" t="n">
        <v>97.01612306677777</v>
      </c>
      <c r="I583" t="n">
        <v>439</v>
      </c>
      <c r="J583" t="n">
        <v>361</v>
      </c>
      <c r="K583" t="n">
        <v>650.8941398865785</v>
      </c>
      <c r="L583" t="n">
        <v>677.4612476370511</v>
      </c>
      <c r="M583">
        <f>2*SQRT(K583/PI())</f>
        <v/>
      </c>
      <c r="N583">
        <f>2*SQRT(L583/PI())</f>
        <v/>
      </c>
      <c r="O583" t="inlineStr">
        <is>
          <t>13(5)-P01</t>
        </is>
      </c>
      <c r="P583" t="inlineStr">
        <is>
          <t>是</t>
        </is>
      </c>
      <c r="Q583" t="inlineStr">
        <is>
          <t>auto_pipeline;review_png_green</t>
        </is>
      </c>
      <c r="R583" t="inlineStr">
        <is>
          <t>样品13</t>
        </is>
      </c>
    </row>
    <row r="584">
      <c r="A584" t="n">
        <v>583</v>
      </c>
      <c r="B584" t="inlineStr">
        <is>
          <t>13 (5).tif</t>
        </is>
      </c>
      <c r="C584" t="inlineStr">
        <is>
          <t>13(5)-V02</t>
        </is>
      </c>
      <c r="D584" t="n">
        <v>2</v>
      </c>
      <c r="E584" t="inlineStr">
        <is>
          <t>primary</t>
        </is>
      </c>
      <c r="F584" t="n">
        <v>664.0595463137996</v>
      </c>
      <c r="G584">
        <f>2*SQRT(F584/PI())</f>
        <v/>
      </c>
      <c r="H584" t="n">
        <v>99.64666768260624</v>
      </c>
      <c r="I584" t="n">
        <v>711</v>
      </c>
      <c r="J584" t="n">
        <v>106</v>
      </c>
      <c r="K584" t="n">
        <v>650.7783553875236</v>
      </c>
      <c r="L584" t="n">
        <v>677.3407372400757</v>
      </c>
      <c r="M584">
        <f>2*SQRT(K584/PI())</f>
        <v/>
      </c>
      <c r="N584">
        <f>2*SQRT(L584/PI())</f>
        <v/>
      </c>
      <c r="P584" t="inlineStr">
        <is>
          <t>是</t>
        </is>
      </c>
      <c r="Q584" t="inlineStr">
        <is>
          <t>auto_pipeline;review_png_green</t>
        </is>
      </c>
      <c r="R584" t="inlineStr">
        <is>
          <t>样品13</t>
        </is>
      </c>
    </row>
    <row r="585">
      <c r="A585" t="n">
        <v>584</v>
      </c>
      <c r="B585" t="inlineStr">
        <is>
          <t>13 (5).tif</t>
        </is>
      </c>
      <c r="C585" t="inlineStr">
        <is>
          <t>13(5)-V03</t>
        </is>
      </c>
      <c r="D585" t="n">
        <v>3</v>
      </c>
      <c r="E585" t="inlineStr">
        <is>
          <t>primary</t>
        </is>
      </c>
      <c r="F585" t="n">
        <v>645.6521739130435</v>
      </c>
      <c r="G585">
        <f>2*SQRT(F585/PI())</f>
        <v/>
      </c>
      <c r="H585" t="n">
        <v>95.17149671264316</v>
      </c>
      <c r="I585" t="n">
        <v>592</v>
      </c>
      <c r="J585" t="n">
        <v>391</v>
      </c>
      <c r="K585" t="n">
        <v>632.7391304347826</v>
      </c>
      <c r="L585" t="n">
        <v>658.5652173913044</v>
      </c>
      <c r="M585">
        <f>2*SQRT(K585/PI())</f>
        <v/>
      </c>
      <c r="N585">
        <f>2*SQRT(L585/PI())</f>
        <v/>
      </c>
      <c r="O585" t="inlineStr">
        <is>
          <t>13(5)-P01</t>
        </is>
      </c>
      <c r="P585" t="inlineStr">
        <is>
          <t>是</t>
        </is>
      </c>
      <c r="Q585" t="inlineStr">
        <is>
          <t>auto_pipeline;review_png_green</t>
        </is>
      </c>
      <c r="R585" t="inlineStr">
        <is>
          <t>样品13</t>
        </is>
      </c>
    </row>
    <row r="586">
      <c r="A586" t="n">
        <v>585</v>
      </c>
      <c r="B586" t="inlineStr">
        <is>
          <t>13 (5).tif</t>
        </is>
      </c>
      <c r="C586" t="inlineStr">
        <is>
          <t>13(5)-V04</t>
        </is>
      </c>
      <c r="D586" t="n">
        <v>4</v>
      </c>
      <c r="E586" t="inlineStr">
        <is>
          <t>primary</t>
        </is>
      </c>
      <c r="F586" t="n">
        <v>228.3790170132325</v>
      </c>
      <c r="G586">
        <f>2*SQRT(F586/PI())</f>
        <v/>
      </c>
      <c r="H586" t="n">
        <v>62.72854273733885</v>
      </c>
      <c r="I586" t="n">
        <v>946</v>
      </c>
      <c r="J586" t="n">
        <v>466</v>
      </c>
      <c r="K586" t="n">
        <v>223.8114366729679</v>
      </c>
      <c r="L586" t="n">
        <v>232.9465973534972</v>
      </c>
      <c r="M586">
        <f>2*SQRT(K586/PI())</f>
        <v/>
      </c>
      <c r="N586">
        <f>2*SQRT(L586/PI())</f>
        <v/>
      </c>
      <c r="P586" t="inlineStr">
        <is>
          <t>是</t>
        </is>
      </c>
      <c r="Q586" t="inlineStr">
        <is>
          <t>auto_pipeline;review_png_green</t>
        </is>
      </c>
      <c r="R586" t="inlineStr">
        <is>
          <t>样品13</t>
        </is>
      </c>
    </row>
    <row r="587">
      <c r="A587" t="n">
        <v>586</v>
      </c>
      <c r="B587" t="inlineStr">
        <is>
          <t>13 (5).tif</t>
        </is>
      </c>
      <c r="C587" t="inlineStr">
        <is>
          <t>13(5)-V05</t>
        </is>
      </c>
      <c r="D587" t="n">
        <v>5</v>
      </c>
      <c r="E587" t="inlineStr">
        <is>
          <t>primary</t>
        </is>
      </c>
      <c r="F587" t="n">
        <v>133.5538752362949</v>
      </c>
      <c r="G587">
        <f>2*SQRT(F587/PI())</f>
        <v/>
      </c>
      <c r="H587" t="n">
        <v>44.38402621642403</v>
      </c>
      <c r="I587" t="n">
        <v>893</v>
      </c>
      <c r="J587" t="n">
        <v>92</v>
      </c>
      <c r="K587" t="n">
        <v>130.882797731569</v>
      </c>
      <c r="L587" t="n">
        <v>136.2249527410208</v>
      </c>
      <c r="M587">
        <f>2*SQRT(K587/PI())</f>
        <v/>
      </c>
      <c r="N587">
        <f>2*SQRT(L587/PI())</f>
        <v/>
      </c>
      <c r="P587" t="inlineStr">
        <is>
          <t>是</t>
        </is>
      </c>
      <c r="Q587" t="inlineStr">
        <is>
          <t>auto_pipeline;review_png_green</t>
        </is>
      </c>
      <c r="R587" t="inlineStr">
        <is>
          <t>样品13</t>
        </is>
      </c>
    </row>
    <row r="588">
      <c r="A588" t="n">
        <v>587</v>
      </c>
      <c r="B588" t="inlineStr">
        <is>
          <t>13 (5).tif</t>
        </is>
      </c>
      <c r="C588" t="inlineStr">
        <is>
          <t>13(5)-V06</t>
        </is>
      </c>
      <c r="D588" t="n">
        <v>6</v>
      </c>
      <c r="E588" t="inlineStr">
        <is>
          <t>primary</t>
        </is>
      </c>
      <c r="F588" t="n">
        <v>116.0680529300567</v>
      </c>
      <c r="G588">
        <f>2*SQRT(F588/PI())</f>
        <v/>
      </c>
      <c r="H588" t="n">
        <v>43.66365484569383</v>
      </c>
      <c r="I588" t="n">
        <v>937</v>
      </c>
      <c r="J588" t="n">
        <v>198</v>
      </c>
      <c r="K588" t="n">
        <v>113.7466918714556</v>
      </c>
      <c r="L588" t="n">
        <v>118.3894139886579</v>
      </c>
      <c r="M588">
        <f>2*SQRT(K588/PI())</f>
        <v/>
      </c>
      <c r="N588">
        <f>2*SQRT(L588/PI())</f>
        <v/>
      </c>
      <c r="P588" t="inlineStr">
        <is>
          <t>是</t>
        </is>
      </c>
      <c r="Q588" t="inlineStr">
        <is>
          <t>auto_pipeline;review_png_green</t>
        </is>
      </c>
      <c r="R588" t="inlineStr">
        <is>
          <t>样品13</t>
        </is>
      </c>
    </row>
    <row r="589">
      <c r="A589" t="n">
        <v>588</v>
      </c>
      <c r="B589" t="inlineStr">
        <is>
          <t>13 (6).tif</t>
        </is>
      </c>
      <c r="C589" t="inlineStr">
        <is>
          <t>13(6)-V01</t>
        </is>
      </c>
      <c r="D589" t="n">
        <v>1</v>
      </c>
      <c r="E589" t="inlineStr">
        <is>
          <t>primary</t>
        </is>
      </c>
      <c r="F589" t="n">
        <v>501.5359168241966</v>
      </c>
      <c r="G589">
        <f>2*SQRT(F589/PI())</f>
        <v/>
      </c>
      <c r="H589" t="n">
        <v>84.54757122889809</v>
      </c>
      <c r="I589" t="n">
        <v>431</v>
      </c>
      <c r="J589" t="n">
        <v>395</v>
      </c>
      <c r="K589" t="n">
        <v>491.5051984877127</v>
      </c>
      <c r="L589" t="n">
        <v>511.5666351606805</v>
      </c>
      <c r="M589">
        <f>2*SQRT(K589/PI())</f>
        <v/>
      </c>
      <c r="N589">
        <f>2*SQRT(L589/PI())</f>
        <v/>
      </c>
      <c r="P589" t="inlineStr">
        <is>
          <t>是</t>
        </is>
      </c>
      <c r="Q589" t="inlineStr">
        <is>
          <t>auto_pipeline;review_png_green</t>
        </is>
      </c>
      <c r="R589" t="inlineStr">
        <is>
          <t>样品13</t>
        </is>
      </c>
    </row>
    <row r="590">
      <c r="A590" t="n">
        <v>589</v>
      </c>
      <c r="B590" t="inlineStr">
        <is>
          <t>13 (6).tif</t>
        </is>
      </c>
      <c r="C590" t="inlineStr">
        <is>
          <t>13(6)-V02</t>
        </is>
      </c>
      <c r="D590" t="n">
        <v>2</v>
      </c>
      <c r="E590" t="inlineStr">
        <is>
          <t>primary</t>
        </is>
      </c>
      <c r="F590" t="n">
        <v>451.8194706994329</v>
      </c>
      <c r="G590">
        <f>2*SQRT(F590/PI())</f>
        <v/>
      </c>
      <c r="H590" t="n">
        <v>80.60362875461578</v>
      </c>
      <c r="I590" t="n">
        <v>835</v>
      </c>
      <c r="J590" t="n">
        <v>482</v>
      </c>
      <c r="K590" t="n">
        <v>442.7830812854442</v>
      </c>
      <c r="L590" t="n">
        <v>460.8558601134216</v>
      </c>
      <c r="M590">
        <f>2*SQRT(K590/PI())</f>
        <v/>
      </c>
      <c r="N590">
        <f>2*SQRT(L590/PI())</f>
        <v/>
      </c>
      <c r="P590" t="inlineStr">
        <is>
          <t>是</t>
        </is>
      </c>
      <c r="Q590" t="inlineStr">
        <is>
          <t>auto_pipeline;review_png_green</t>
        </is>
      </c>
      <c r="R590" t="inlineStr">
        <is>
          <t>样品13</t>
        </is>
      </c>
    </row>
    <row r="591">
      <c r="A591" t="n">
        <v>590</v>
      </c>
      <c r="B591" t="inlineStr">
        <is>
          <t>13 (6).tif</t>
        </is>
      </c>
      <c r="C591" t="inlineStr">
        <is>
          <t>13(6)-V03</t>
        </is>
      </c>
      <c r="D591" t="n">
        <v>3</v>
      </c>
      <c r="E591" t="inlineStr">
        <is>
          <t>primary</t>
        </is>
      </c>
      <c r="F591" t="n">
        <v>319.0453686200378</v>
      </c>
      <c r="G591">
        <f>2*SQRT(F591/PI())</f>
        <v/>
      </c>
      <c r="H591" t="n">
        <v>69.32112989218338</v>
      </c>
      <c r="I591" t="n">
        <v>601</v>
      </c>
      <c r="J591" t="n">
        <v>391</v>
      </c>
      <c r="K591" t="n">
        <v>312.6644612476371</v>
      </c>
      <c r="L591" t="n">
        <v>325.4262759924386</v>
      </c>
      <c r="M591">
        <f>2*SQRT(K591/PI())</f>
        <v/>
      </c>
      <c r="N591">
        <f>2*SQRT(L591/PI())</f>
        <v/>
      </c>
      <c r="P591" t="inlineStr">
        <is>
          <t>是</t>
        </is>
      </c>
      <c r="Q591" t="inlineStr">
        <is>
          <t>auto_pipeline;review_png_green</t>
        </is>
      </c>
      <c r="R591" t="inlineStr">
        <is>
          <t>样品13</t>
        </is>
      </c>
    </row>
    <row r="592">
      <c r="A592" t="n">
        <v>591</v>
      </c>
      <c r="B592" t="inlineStr">
        <is>
          <t>13 (7).tif</t>
        </is>
      </c>
      <c r="C592" t="inlineStr">
        <is>
          <t>13(7)-V01</t>
        </is>
      </c>
      <c r="D592" t="n">
        <v>1</v>
      </c>
      <c r="E592" t="inlineStr">
        <is>
          <t>primary</t>
        </is>
      </c>
      <c r="F592" t="n">
        <v>756.0491493383743</v>
      </c>
      <c r="G592">
        <f>2*SQRT(F592/PI())</f>
        <v/>
      </c>
      <c r="H592" t="n">
        <v>102.9538857418558</v>
      </c>
      <c r="I592" t="n">
        <v>601</v>
      </c>
      <c r="J592" t="n">
        <v>376</v>
      </c>
      <c r="K592" t="n">
        <v>740.9281663516068</v>
      </c>
      <c r="L592" t="n">
        <v>771.1701323251417</v>
      </c>
      <c r="M592">
        <f>2*SQRT(K592/PI())</f>
        <v/>
      </c>
      <c r="N592">
        <f>2*SQRT(L592/PI())</f>
        <v/>
      </c>
      <c r="P592" t="inlineStr">
        <is>
          <t>是</t>
        </is>
      </c>
      <c r="Q592" t="inlineStr">
        <is>
          <t>auto_pipeline;review_png_green</t>
        </is>
      </c>
      <c r="R592" t="inlineStr">
        <is>
          <t>样品13</t>
        </is>
      </c>
    </row>
    <row r="593">
      <c r="A593" t="n">
        <v>592</v>
      </c>
      <c r="B593" t="inlineStr">
        <is>
          <t>13 (7).tif</t>
        </is>
      </c>
      <c r="C593" t="inlineStr">
        <is>
          <t>13(7)-V02</t>
        </is>
      </c>
      <c r="D593" t="n">
        <v>2</v>
      </c>
      <c r="E593" t="inlineStr">
        <is>
          <t>primary</t>
        </is>
      </c>
      <c r="F593" t="n">
        <v>407.7504725897921</v>
      </c>
      <c r="G593">
        <f>2*SQRT(F593/PI())</f>
        <v/>
      </c>
      <c r="H593" t="n">
        <v>75.51358233327451</v>
      </c>
      <c r="I593" t="n">
        <v>452</v>
      </c>
      <c r="J593" t="n">
        <v>346</v>
      </c>
      <c r="K593" t="n">
        <v>399.5954631379962</v>
      </c>
      <c r="L593" t="n">
        <v>415.905482041588</v>
      </c>
      <c r="M593">
        <f>2*SQRT(K593/PI())</f>
        <v/>
      </c>
      <c r="N593">
        <f>2*SQRT(L593/PI())</f>
        <v/>
      </c>
      <c r="O593" t="inlineStr">
        <is>
          <t>13(7)-P01</t>
        </is>
      </c>
      <c r="P593" t="inlineStr">
        <is>
          <t>是</t>
        </is>
      </c>
      <c r="Q593" t="inlineStr">
        <is>
          <t>auto_pipeline;review_png_green</t>
        </is>
      </c>
      <c r="R593" t="inlineStr">
        <is>
          <t>样品13</t>
        </is>
      </c>
    </row>
    <row r="594">
      <c r="A594" t="n">
        <v>593</v>
      </c>
      <c r="B594" t="inlineStr">
        <is>
          <t>13 (7).tif</t>
        </is>
      </c>
      <c r="C594" t="inlineStr">
        <is>
          <t>13(7)-V03</t>
        </is>
      </c>
      <c r="D594" t="n">
        <v>3</v>
      </c>
      <c r="E594" t="inlineStr">
        <is>
          <t>primary</t>
        </is>
      </c>
      <c r="F594" t="n">
        <v>212.0982986767486</v>
      </c>
      <c r="G594">
        <f>2*SQRT(F594/PI())</f>
        <v/>
      </c>
      <c r="H594" t="n">
        <v>58.35886768672777</v>
      </c>
      <c r="I594" t="n">
        <v>921</v>
      </c>
      <c r="J594" t="n">
        <v>555</v>
      </c>
      <c r="K594" t="n">
        <v>207.8563327032136</v>
      </c>
      <c r="L594" t="n">
        <v>216.3402646502836</v>
      </c>
      <c r="M594">
        <f>2*SQRT(K594/PI())</f>
        <v/>
      </c>
      <c r="N594">
        <f>2*SQRT(L594/PI())</f>
        <v/>
      </c>
      <c r="P594" t="inlineStr">
        <is>
          <t>是</t>
        </is>
      </c>
      <c r="Q594" t="inlineStr">
        <is>
          <t>auto_pipeline;review_png_green</t>
        </is>
      </c>
      <c r="R594" t="inlineStr">
        <is>
          <t>样品13</t>
        </is>
      </c>
    </row>
    <row r="595">
      <c r="A595" t="n">
        <v>594</v>
      </c>
      <c r="B595" t="inlineStr">
        <is>
          <t>13 (7).tif</t>
        </is>
      </c>
      <c r="C595" t="inlineStr">
        <is>
          <t>13(7)-V04</t>
        </is>
      </c>
      <c r="D595" t="n">
        <v>4</v>
      </c>
      <c r="E595" t="inlineStr">
        <is>
          <t>primary</t>
        </is>
      </c>
      <c r="F595" t="n">
        <v>174.976370510397</v>
      </c>
      <c r="G595">
        <f>2*SQRT(F595/PI())</f>
        <v/>
      </c>
      <c r="H595" t="n">
        <v>62.93953457604284</v>
      </c>
      <c r="I595" t="n">
        <v>439</v>
      </c>
      <c r="J595" t="n">
        <v>161</v>
      </c>
      <c r="K595" t="n">
        <v>171.476843100189</v>
      </c>
      <c r="L595" t="n">
        <v>178.4758979206049</v>
      </c>
      <c r="M595">
        <f>2*SQRT(K595/PI())</f>
        <v/>
      </c>
      <c r="N595">
        <f>2*SQRT(L595/PI())</f>
        <v/>
      </c>
      <c r="P595" t="inlineStr">
        <is>
          <t>是</t>
        </is>
      </c>
      <c r="Q595" t="inlineStr">
        <is>
          <t>auto_pipeline;review_png_green</t>
        </is>
      </c>
      <c r="R595" t="inlineStr">
        <is>
          <t>样品13</t>
        </is>
      </c>
    </row>
    <row r="596">
      <c r="A596" t="n">
        <v>595</v>
      </c>
      <c r="B596" t="inlineStr">
        <is>
          <t>13 (7).tif</t>
        </is>
      </c>
      <c r="C596" t="inlineStr">
        <is>
          <t>13(7)-V05</t>
        </is>
      </c>
      <c r="D596" t="n">
        <v>5</v>
      </c>
      <c r="E596" t="inlineStr">
        <is>
          <t>primary</t>
        </is>
      </c>
      <c r="F596" t="n">
        <v>133.2939508506616</v>
      </c>
      <c r="G596">
        <f>2*SQRT(F596/PI())</f>
        <v/>
      </c>
      <c r="H596" t="n">
        <v>56.25580266765926</v>
      </c>
      <c r="I596" t="n">
        <v>673</v>
      </c>
      <c r="J596" t="n">
        <v>345</v>
      </c>
      <c r="K596" t="n">
        <v>130.6280718336484</v>
      </c>
      <c r="L596" t="n">
        <v>135.9598298676748</v>
      </c>
      <c r="M596">
        <f>2*SQRT(K596/PI())</f>
        <v/>
      </c>
      <c r="N596">
        <f>2*SQRT(L596/PI())</f>
        <v/>
      </c>
      <c r="P596" t="inlineStr">
        <is>
          <t>是</t>
        </is>
      </c>
      <c r="Q596" t="inlineStr">
        <is>
          <t>auto_pipeline;review_png_green</t>
        </is>
      </c>
      <c r="R596" t="inlineStr">
        <is>
          <t>样品13</t>
        </is>
      </c>
    </row>
    <row r="597">
      <c r="A597" t="n">
        <v>596</v>
      </c>
      <c r="B597" t="inlineStr">
        <is>
          <t>13 (7).tif</t>
        </is>
      </c>
      <c r="C597" t="inlineStr">
        <is>
          <t>13(7)-V06</t>
        </is>
      </c>
      <c r="D597" t="n">
        <v>6</v>
      </c>
      <c r="E597" t="inlineStr">
        <is>
          <t>primary</t>
        </is>
      </c>
      <c r="F597" t="n">
        <v>117.2022684310019</v>
      </c>
      <c r="G597">
        <f>2*SQRT(F597/PI())</f>
        <v/>
      </c>
      <c r="H597" t="n">
        <v>46.52704026388086</v>
      </c>
      <c r="I597" t="n">
        <v>715</v>
      </c>
      <c r="J597" t="n">
        <v>502</v>
      </c>
      <c r="K597" t="n">
        <v>114.8582230623819</v>
      </c>
      <c r="L597" t="n">
        <v>119.5463137996219</v>
      </c>
      <c r="M597">
        <f>2*SQRT(K597/PI())</f>
        <v/>
      </c>
      <c r="N597">
        <f>2*SQRT(L597/PI())</f>
        <v/>
      </c>
      <c r="P597" t="inlineStr">
        <is>
          <t>是</t>
        </is>
      </c>
      <c r="Q597" t="inlineStr">
        <is>
          <t>auto_pipeline;review_png_green</t>
        </is>
      </c>
      <c r="R597" t="inlineStr">
        <is>
          <t>样品13</t>
        </is>
      </c>
    </row>
    <row r="598">
      <c r="A598" t="n">
        <v>597</v>
      </c>
      <c r="B598" t="inlineStr">
        <is>
          <t>13 (7).tif</t>
        </is>
      </c>
      <c r="C598" t="inlineStr">
        <is>
          <t>13(7)-V07</t>
        </is>
      </c>
      <c r="D598" t="n">
        <v>7</v>
      </c>
      <c r="E598" t="inlineStr">
        <is>
          <t>primary</t>
        </is>
      </c>
      <c r="F598" t="n">
        <v>84.78260869565217</v>
      </c>
      <c r="G598">
        <f>2*SQRT(F598/PI())</f>
        <v/>
      </c>
      <c r="H598" t="n">
        <v>35.8375678891721</v>
      </c>
      <c r="I598" t="n">
        <v>506</v>
      </c>
      <c r="J598" t="n">
        <v>397</v>
      </c>
      <c r="K598" t="n">
        <v>83.08695652173913</v>
      </c>
      <c r="L598" t="n">
        <v>86.47826086956522</v>
      </c>
      <c r="M598">
        <f>2*SQRT(K598/PI())</f>
        <v/>
      </c>
      <c r="N598">
        <f>2*SQRT(L598/PI())</f>
        <v/>
      </c>
      <c r="O598" t="inlineStr">
        <is>
          <t>13(7)-P01</t>
        </is>
      </c>
      <c r="P598" t="inlineStr">
        <is>
          <t>是</t>
        </is>
      </c>
      <c r="Q598" t="inlineStr">
        <is>
          <t>auto_pipeline;review_png_green</t>
        </is>
      </c>
      <c r="R598" t="inlineStr">
        <is>
          <t>样品13</t>
        </is>
      </c>
    </row>
    <row r="599">
      <c r="A599" t="n">
        <v>598</v>
      </c>
      <c r="B599" t="inlineStr">
        <is>
          <t>13 (8).tif</t>
        </is>
      </c>
      <c r="C599" t="inlineStr">
        <is>
          <t>13(8)-V01</t>
        </is>
      </c>
      <c r="D599" t="n">
        <v>1</v>
      </c>
      <c r="E599" t="inlineStr">
        <is>
          <t>primary</t>
        </is>
      </c>
      <c r="F599" t="n">
        <v>809.68809073724</v>
      </c>
      <c r="G599">
        <f>2*SQRT(F599/PI())</f>
        <v/>
      </c>
      <c r="H599" t="n">
        <v>106.7923322967861</v>
      </c>
      <c r="I599" t="n">
        <v>582</v>
      </c>
      <c r="J599" t="n">
        <v>358</v>
      </c>
      <c r="K599" t="n">
        <v>793.4943289224952</v>
      </c>
      <c r="L599" t="n">
        <v>825.8818525519848</v>
      </c>
      <c r="M599">
        <f>2*SQRT(K599/PI())</f>
        <v/>
      </c>
      <c r="N599">
        <f>2*SQRT(L599/PI())</f>
        <v/>
      </c>
      <c r="P599" t="inlineStr">
        <is>
          <t>是</t>
        </is>
      </c>
      <c r="Q599" t="inlineStr">
        <is>
          <t>auto_pipeline;review_png_green</t>
        </is>
      </c>
      <c r="R599" t="inlineStr">
        <is>
          <t>样品13</t>
        </is>
      </c>
    </row>
    <row r="600">
      <c r="A600" t="n">
        <v>599</v>
      </c>
      <c r="B600" t="inlineStr">
        <is>
          <t>13 (8).tif</t>
        </is>
      </c>
      <c r="C600" t="inlineStr">
        <is>
          <t>13(8)-V02</t>
        </is>
      </c>
      <c r="D600" t="n">
        <v>2</v>
      </c>
      <c r="E600" t="inlineStr">
        <is>
          <t>primary</t>
        </is>
      </c>
      <c r="F600" t="n">
        <v>697.069943289225</v>
      </c>
      <c r="G600">
        <f>2*SQRT(F600/PI())</f>
        <v/>
      </c>
      <c r="H600" t="n">
        <v>103.1648775805598</v>
      </c>
      <c r="I600" t="n">
        <v>676</v>
      </c>
      <c r="J600" t="n">
        <v>561</v>
      </c>
      <c r="K600" t="n">
        <v>683.1285444234404</v>
      </c>
      <c r="L600" t="n">
        <v>711.0113421550095</v>
      </c>
      <c r="M600">
        <f>2*SQRT(K600/PI())</f>
        <v/>
      </c>
      <c r="N600">
        <f>2*SQRT(L600/PI())</f>
        <v/>
      </c>
      <c r="P600" t="inlineStr">
        <is>
          <t>是</t>
        </is>
      </c>
      <c r="Q600" t="inlineStr">
        <is>
          <t>auto_pipeline;review_png_green</t>
        </is>
      </c>
      <c r="R600" t="inlineStr">
        <is>
          <t>样品13</t>
        </is>
      </c>
    </row>
    <row r="601">
      <c r="A601" t="n">
        <v>600</v>
      </c>
      <c r="B601" t="inlineStr">
        <is>
          <t>13 (8).tif</t>
        </is>
      </c>
      <c r="C601" t="inlineStr">
        <is>
          <t>13(8)-V03</t>
        </is>
      </c>
      <c r="D601" t="n">
        <v>3</v>
      </c>
      <c r="E601" t="inlineStr">
        <is>
          <t>primary</t>
        </is>
      </c>
      <c r="F601" t="n">
        <v>104.6786389413989</v>
      </c>
      <c r="G601">
        <f>2*SQRT(F601/PI())</f>
        <v/>
      </c>
      <c r="H601" t="n">
        <v>40.65107558084571</v>
      </c>
      <c r="I601" t="n">
        <v>167</v>
      </c>
      <c r="J601" t="n">
        <v>591</v>
      </c>
      <c r="K601" t="n">
        <v>102.5850661625709</v>
      </c>
      <c r="L601" t="n">
        <v>106.7722117202268</v>
      </c>
      <c r="M601">
        <f>2*SQRT(K601/PI())</f>
        <v/>
      </c>
      <c r="N601">
        <f>2*SQRT(L601/PI())</f>
        <v/>
      </c>
      <c r="P601" t="inlineStr">
        <is>
          <t>是</t>
        </is>
      </c>
      <c r="Q601" t="inlineStr">
        <is>
          <t>auto_pipeline;review_png_green</t>
        </is>
      </c>
      <c r="R601" t="inlineStr">
        <is>
          <t>样品13</t>
        </is>
      </c>
    </row>
    <row r="602">
      <c r="A602" t="n">
        <v>601</v>
      </c>
      <c r="B602" t="inlineStr">
        <is>
          <t>14 (1).tif</t>
        </is>
      </c>
      <c r="C602" t="inlineStr">
        <is>
          <t>14(1)-V01</t>
        </is>
      </c>
      <c r="D602" t="n">
        <v>1</v>
      </c>
      <c r="E602" t="inlineStr">
        <is>
          <t>primary</t>
        </is>
      </c>
      <c r="F602" t="n">
        <v>583.8374291115312</v>
      </c>
      <c r="G602">
        <f>2*SQRT(F602/PI())</f>
        <v/>
      </c>
      <c r="H602" t="n">
        <v>91.33305015771285</v>
      </c>
      <c r="I602" t="n">
        <v>495</v>
      </c>
      <c r="J602" t="n">
        <v>460</v>
      </c>
      <c r="K602" t="n">
        <v>572.1606805293005</v>
      </c>
      <c r="L602" t="n">
        <v>595.5141776937618</v>
      </c>
      <c r="M602">
        <f>2*SQRT(K602/PI())</f>
        <v/>
      </c>
      <c r="N602">
        <f>2*SQRT(L602/PI())</f>
        <v/>
      </c>
      <c r="P602" t="inlineStr">
        <is>
          <t>是</t>
        </is>
      </c>
      <c r="Q602" t="inlineStr">
        <is>
          <t>auto_pipeline;review_png_green</t>
        </is>
      </c>
      <c r="R602" t="inlineStr">
        <is>
          <t>样品14</t>
        </is>
      </c>
    </row>
    <row r="603">
      <c r="A603" t="n">
        <v>602</v>
      </c>
      <c r="B603" t="inlineStr">
        <is>
          <t>14 (1).tif</t>
        </is>
      </c>
      <c r="C603" t="inlineStr">
        <is>
          <t>14(1)-V02</t>
        </is>
      </c>
      <c r="D603" t="n">
        <v>2</v>
      </c>
      <c r="E603" t="inlineStr">
        <is>
          <t>primary</t>
        </is>
      </c>
      <c r="F603" t="n">
        <v>559.8771266540642</v>
      </c>
      <c r="G603">
        <f>2*SQRT(F603/PI())</f>
        <v/>
      </c>
      <c r="H603" t="n">
        <v>88.87354835220005</v>
      </c>
      <c r="I603" t="n">
        <v>501</v>
      </c>
      <c r="J603" t="n">
        <v>320</v>
      </c>
      <c r="K603" t="n">
        <v>548.6795841209829</v>
      </c>
      <c r="L603" t="n">
        <v>571.0746691871456</v>
      </c>
      <c r="M603">
        <f>2*SQRT(K603/PI())</f>
        <v/>
      </c>
      <c r="N603">
        <f>2*SQRT(L603/PI())</f>
        <v/>
      </c>
      <c r="P603" t="inlineStr">
        <is>
          <t>是</t>
        </is>
      </c>
      <c r="Q603" t="inlineStr">
        <is>
          <t>auto_pipeline;review_png_green</t>
        </is>
      </c>
      <c r="R603" t="inlineStr">
        <is>
          <t>样品14</t>
        </is>
      </c>
    </row>
    <row r="604">
      <c r="A604" t="n">
        <v>603</v>
      </c>
      <c r="B604" t="inlineStr">
        <is>
          <t>14 (1).tif</t>
        </is>
      </c>
      <c r="C604" t="inlineStr">
        <is>
          <t>14(1)-V03</t>
        </is>
      </c>
      <c r="D604" t="n">
        <v>3</v>
      </c>
      <c r="E604" t="inlineStr">
        <is>
          <t>primary</t>
        </is>
      </c>
      <c r="F604" t="n">
        <v>177.882797731569</v>
      </c>
      <c r="G604">
        <f>2*SQRT(F604/PI())</f>
        <v/>
      </c>
      <c r="H604" t="n">
        <v>63.04128159647402</v>
      </c>
      <c r="I604" t="n">
        <v>79</v>
      </c>
      <c r="J604" t="n">
        <v>584</v>
      </c>
      <c r="K604" t="n">
        <v>174.3251417769376</v>
      </c>
      <c r="L604" t="n">
        <v>181.4404536862004</v>
      </c>
      <c r="M604">
        <f>2*SQRT(K604/PI())</f>
        <v/>
      </c>
      <c r="N604">
        <f>2*SQRT(L604/PI())</f>
        <v/>
      </c>
      <c r="P604" t="inlineStr">
        <is>
          <t>是</t>
        </is>
      </c>
      <c r="Q604" t="inlineStr">
        <is>
          <t>auto_pipeline;review_png_green</t>
        </is>
      </c>
      <c r="R604" t="inlineStr">
        <is>
          <t>样品14</t>
        </is>
      </c>
    </row>
    <row r="605">
      <c r="A605" t="n">
        <v>604</v>
      </c>
      <c r="B605" t="inlineStr">
        <is>
          <t>14 (1).tif</t>
        </is>
      </c>
      <c r="C605" t="inlineStr">
        <is>
          <t>14(1)-V04</t>
        </is>
      </c>
      <c r="D605" t="n">
        <v>4</v>
      </c>
      <c r="E605" t="inlineStr">
        <is>
          <t>primary</t>
        </is>
      </c>
      <c r="F605" t="n">
        <v>146.2429111531191</v>
      </c>
      <c r="G605">
        <f>2*SQRT(F605/PI())</f>
        <v/>
      </c>
      <c r="H605" t="n">
        <v>46.61068721957829</v>
      </c>
      <c r="I605" t="n">
        <v>644</v>
      </c>
      <c r="J605" t="n">
        <v>336</v>
      </c>
      <c r="K605" t="n">
        <v>143.3180529300567</v>
      </c>
      <c r="L605" t="n">
        <v>149.1677693761815</v>
      </c>
      <c r="M605">
        <f>2*SQRT(K605/PI())</f>
        <v/>
      </c>
      <c r="N605">
        <f>2*SQRT(L605/PI())</f>
        <v/>
      </c>
      <c r="P605" t="inlineStr">
        <is>
          <t>是</t>
        </is>
      </c>
      <c r="Q605" t="inlineStr">
        <is>
          <t>auto_pipeline;review_png_green</t>
        </is>
      </c>
      <c r="R605" t="inlineStr">
        <is>
          <t>样品14</t>
        </is>
      </c>
    </row>
    <row r="606">
      <c r="A606" t="n">
        <v>605</v>
      </c>
      <c r="B606" t="inlineStr">
        <is>
          <t>14 (1).tif</t>
        </is>
      </c>
      <c r="C606" t="inlineStr">
        <is>
          <t>14(1)-V05</t>
        </is>
      </c>
      <c r="D606" t="n">
        <v>5</v>
      </c>
      <c r="E606" t="inlineStr">
        <is>
          <t>primary</t>
        </is>
      </c>
      <c r="F606" t="n">
        <v>127.882797731569</v>
      </c>
      <c r="G606">
        <f>2*SQRT(F606/PI())</f>
        <v/>
      </c>
      <c r="H606" t="n">
        <v>45.76297096584154</v>
      </c>
      <c r="I606" t="n">
        <v>640</v>
      </c>
      <c r="J606" t="n">
        <v>267</v>
      </c>
      <c r="K606" t="n">
        <v>125.3251417769376</v>
      </c>
      <c r="L606" t="n">
        <v>130.4404536862004</v>
      </c>
      <c r="M606">
        <f>2*SQRT(K606/PI())</f>
        <v/>
      </c>
      <c r="N606">
        <f>2*SQRT(L606/PI())</f>
        <v/>
      </c>
      <c r="P606" t="inlineStr">
        <is>
          <t>是</t>
        </is>
      </c>
      <c r="Q606" t="inlineStr">
        <is>
          <t>auto_pipeline;review_png_green</t>
        </is>
      </c>
      <c r="R606" t="inlineStr">
        <is>
          <t>样品14</t>
        </is>
      </c>
    </row>
    <row r="607">
      <c r="A607" t="n">
        <v>606</v>
      </c>
      <c r="B607" t="inlineStr">
        <is>
          <t>14 (1).tif</t>
        </is>
      </c>
      <c r="C607" t="inlineStr">
        <is>
          <t>14(1)-V06</t>
        </is>
      </c>
      <c r="D607" t="n">
        <v>6</v>
      </c>
      <c r="E607" t="inlineStr">
        <is>
          <t>primary</t>
        </is>
      </c>
      <c r="F607" t="n">
        <v>109.617202268431</v>
      </c>
      <c r="G607">
        <f>2*SQRT(F607/PI())</f>
        <v/>
      </c>
      <c r="H607" t="n">
        <v>42.15736521326977</v>
      </c>
      <c r="I607" t="n">
        <v>75</v>
      </c>
      <c r="J607" t="n">
        <v>263</v>
      </c>
      <c r="K607" t="n">
        <v>107.4248582230624</v>
      </c>
      <c r="L607" t="n">
        <v>111.8095463137996</v>
      </c>
      <c r="M607">
        <f>2*SQRT(K607/PI())</f>
        <v/>
      </c>
      <c r="N607">
        <f>2*SQRT(L607/PI())</f>
        <v/>
      </c>
      <c r="P607" t="inlineStr">
        <is>
          <t>是</t>
        </is>
      </c>
      <c r="Q607" t="inlineStr">
        <is>
          <t>auto_pipeline;review_png_green</t>
        </is>
      </c>
      <c r="R607" t="inlineStr">
        <is>
          <t>样品14</t>
        </is>
      </c>
    </row>
    <row r="608">
      <c r="A608" t="n">
        <v>607</v>
      </c>
      <c r="B608" t="inlineStr">
        <is>
          <t>14 (2).tif</t>
        </is>
      </c>
      <c r="C608" t="inlineStr">
        <is>
          <t>14(2)-V01</t>
        </is>
      </c>
      <c r="D608" t="n">
        <v>1</v>
      </c>
      <c r="E608" t="inlineStr">
        <is>
          <t>primary</t>
        </is>
      </c>
      <c r="F608" t="n">
        <v>736.4130434782609</v>
      </c>
      <c r="G608">
        <f>2*SQRT(F608/PI())</f>
        <v/>
      </c>
      <c r="H608" t="n">
        <v>101.5967899560928</v>
      </c>
      <c r="I608" t="n">
        <v>529</v>
      </c>
      <c r="J608" t="n">
        <v>293</v>
      </c>
      <c r="K608" t="n">
        <v>721.6847826086956</v>
      </c>
      <c r="L608" t="n">
        <v>751.1413043478261</v>
      </c>
      <c r="M608">
        <f>2*SQRT(K608/PI())</f>
        <v/>
      </c>
      <c r="N608">
        <f>2*SQRT(L608/PI())</f>
        <v/>
      </c>
      <c r="P608" t="inlineStr">
        <is>
          <t>是</t>
        </is>
      </c>
      <c r="Q608" t="inlineStr">
        <is>
          <t>auto_pipeline;review_png_green</t>
        </is>
      </c>
      <c r="R608" t="inlineStr">
        <is>
          <t>样品14</t>
        </is>
      </c>
    </row>
    <row r="609">
      <c r="A609" t="n">
        <v>608</v>
      </c>
      <c r="B609" t="inlineStr">
        <is>
          <t>14 (2).tif</t>
        </is>
      </c>
      <c r="C609" t="inlineStr">
        <is>
          <t>14(2)-V02</t>
        </is>
      </c>
      <c r="D609" t="n">
        <v>2</v>
      </c>
      <c r="E609" t="inlineStr">
        <is>
          <t>primary</t>
        </is>
      </c>
      <c r="F609" t="n">
        <v>227.2211720226843</v>
      </c>
      <c r="G609">
        <f>2*SQRT(F609/PI())</f>
        <v/>
      </c>
      <c r="H609" t="n">
        <v>59.22843290411907</v>
      </c>
      <c r="I609" t="n">
        <v>112</v>
      </c>
      <c r="J609" t="n">
        <v>57</v>
      </c>
      <c r="K609" t="n">
        <v>222.6767485822306</v>
      </c>
      <c r="L609" t="n">
        <v>231.765595463138</v>
      </c>
      <c r="M609">
        <f>2*SQRT(K609/PI())</f>
        <v/>
      </c>
      <c r="N609">
        <f>2*SQRT(L609/PI())</f>
        <v/>
      </c>
      <c r="P609" t="inlineStr">
        <is>
          <t>是</t>
        </is>
      </c>
      <c r="Q609" t="inlineStr">
        <is>
          <t>auto_pipeline;review_png_green</t>
        </is>
      </c>
      <c r="R609" t="inlineStr">
        <is>
          <t>样品14</t>
        </is>
      </c>
    </row>
    <row r="610">
      <c r="A610" t="n">
        <v>609</v>
      </c>
      <c r="B610" t="inlineStr">
        <is>
          <t>14 (2).tif</t>
        </is>
      </c>
      <c r="C610" t="inlineStr">
        <is>
          <t>14(2)-V03</t>
        </is>
      </c>
      <c r="D610" t="n">
        <v>3</v>
      </c>
      <c r="E610" t="inlineStr">
        <is>
          <t>primary</t>
        </is>
      </c>
      <c r="F610" t="n">
        <v>123.2514177693762</v>
      </c>
      <c r="G610">
        <f>2*SQRT(F610/PI())</f>
        <v/>
      </c>
      <c r="H610" t="n">
        <v>42.03002033026322</v>
      </c>
      <c r="I610" t="n">
        <v>218</v>
      </c>
      <c r="J610" t="n">
        <v>437</v>
      </c>
      <c r="K610" t="n">
        <v>120.7863894139886</v>
      </c>
      <c r="L610" t="n">
        <v>125.7164461247637</v>
      </c>
      <c r="M610">
        <f>2*SQRT(K610/PI())</f>
        <v/>
      </c>
      <c r="N610">
        <f>2*SQRT(L610/PI())</f>
        <v/>
      </c>
      <c r="P610" t="inlineStr">
        <is>
          <t>是</t>
        </is>
      </c>
      <c r="Q610" t="inlineStr">
        <is>
          <t>auto_pipeline;review_png_green</t>
        </is>
      </c>
      <c r="R610" t="inlineStr">
        <is>
          <t>样品14</t>
        </is>
      </c>
    </row>
    <row r="611">
      <c r="A611" t="n">
        <v>610</v>
      </c>
      <c r="B611" t="inlineStr">
        <is>
          <t>14 (2).tif</t>
        </is>
      </c>
      <c r="C611" t="inlineStr">
        <is>
          <t>14(2)-V04</t>
        </is>
      </c>
      <c r="D611" t="n">
        <v>4</v>
      </c>
      <c r="E611" t="inlineStr">
        <is>
          <t>primary</t>
        </is>
      </c>
      <c r="F611" t="n">
        <v>121.5973534971645</v>
      </c>
      <c r="G611">
        <f>2*SQRT(F611/PI())</f>
        <v/>
      </c>
      <c r="H611" t="n">
        <v>44.23483236976292</v>
      </c>
      <c r="I611" t="n">
        <v>360</v>
      </c>
      <c r="J611" t="n">
        <v>231</v>
      </c>
      <c r="K611" t="n">
        <v>119.1654064272212</v>
      </c>
      <c r="L611" t="n">
        <v>124.0293005671078</v>
      </c>
      <c r="M611">
        <f>2*SQRT(K611/PI())</f>
        <v/>
      </c>
      <c r="N611">
        <f>2*SQRT(L611/PI())</f>
        <v/>
      </c>
      <c r="P611" t="inlineStr">
        <is>
          <t>是</t>
        </is>
      </c>
      <c r="Q611" t="inlineStr">
        <is>
          <t>auto_pipeline;review_png_green</t>
        </is>
      </c>
      <c r="R611" t="inlineStr">
        <is>
          <t>样品14</t>
        </is>
      </c>
    </row>
    <row r="612">
      <c r="A612" t="n">
        <v>611</v>
      </c>
      <c r="B612" t="inlineStr">
        <is>
          <t>14 (3).tif</t>
        </is>
      </c>
      <c r="C612" t="inlineStr">
        <is>
          <t>14(3)-V01</t>
        </is>
      </c>
      <c r="D612" t="n">
        <v>1</v>
      </c>
      <c r="E612" t="inlineStr">
        <is>
          <t>primary</t>
        </is>
      </c>
      <c r="F612" t="n">
        <v>979.0170132325142</v>
      </c>
      <c r="G612">
        <f>2*SQRT(F612/PI())</f>
        <v/>
      </c>
      <c r="H612" t="n">
        <v>119.1335392516592</v>
      </c>
      <c r="I612" t="n">
        <v>414</v>
      </c>
      <c r="J612" t="n">
        <v>366</v>
      </c>
      <c r="K612" t="n">
        <v>959.4366729678638</v>
      </c>
      <c r="L612" t="n">
        <v>998.5973534971645</v>
      </c>
      <c r="M612">
        <f>2*SQRT(K612/PI())</f>
        <v/>
      </c>
      <c r="N612">
        <f>2*SQRT(L612/PI())</f>
        <v/>
      </c>
      <c r="P612" t="inlineStr">
        <is>
          <t>是</t>
        </is>
      </c>
      <c r="Q612" t="inlineStr">
        <is>
          <t>auto_pipeline;review_png_green</t>
        </is>
      </c>
      <c r="R612" t="inlineStr">
        <is>
          <t>样品14</t>
        </is>
      </c>
    </row>
    <row r="613">
      <c r="A613" t="n">
        <v>612</v>
      </c>
      <c r="B613" t="inlineStr">
        <is>
          <t>14 (3).tif</t>
        </is>
      </c>
      <c r="C613" t="inlineStr">
        <is>
          <t>14(3)-V02</t>
        </is>
      </c>
      <c r="D613" t="n">
        <v>2</v>
      </c>
      <c r="E613" t="inlineStr">
        <is>
          <t>primary</t>
        </is>
      </c>
      <c r="F613" t="n">
        <v>359.4045368620038</v>
      </c>
      <c r="G613">
        <f>2*SQRT(F613/PI())</f>
        <v/>
      </c>
      <c r="H613" t="n">
        <v>72.90488668110059</v>
      </c>
      <c r="I613" t="n">
        <v>71</v>
      </c>
      <c r="J613" t="n">
        <v>378</v>
      </c>
      <c r="K613" t="n">
        <v>352.2164461247637</v>
      </c>
      <c r="L613" t="n">
        <v>366.5926275992439</v>
      </c>
      <c r="M613">
        <f>2*SQRT(K613/PI())</f>
        <v/>
      </c>
      <c r="N613">
        <f>2*SQRT(L613/PI())</f>
        <v/>
      </c>
      <c r="P613" t="inlineStr">
        <is>
          <t>是</t>
        </is>
      </c>
      <c r="Q613" t="inlineStr">
        <is>
          <t>auto_pipeline;review_png_green</t>
        </is>
      </c>
      <c r="R613" t="inlineStr">
        <is>
          <t>样品14</t>
        </is>
      </c>
    </row>
    <row r="614">
      <c r="A614" t="n">
        <v>613</v>
      </c>
      <c r="B614" t="inlineStr">
        <is>
          <t>14 (3).tif</t>
        </is>
      </c>
      <c r="C614" t="inlineStr">
        <is>
          <t>14(3)-V03</t>
        </is>
      </c>
      <c r="D614" t="n">
        <v>3</v>
      </c>
      <c r="E614" t="inlineStr">
        <is>
          <t>primary</t>
        </is>
      </c>
      <c r="F614" t="n">
        <v>206.0964083175803</v>
      </c>
      <c r="G614">
        <f>2*SQRT(F614/PI())</f>
        <v/>
      </c>
      <c r="H614" t="n">
        <v>54.01104159977125</v>
      </c>
      <c r="I614" t="n">
        <v>125</v>
      </c>
      <c r="J614" t="n">
        <v>277</v>
      </c>
      <c r="K614" t="n">
        <v>201.9744801512287</v>
      </c>
      <c r="L614" t="n">
        <v>210.2183364839319</v>
      </c>
      <c r="M614">
        <f>2*SQRT(K614/PI())</f>
        <v/>
      </c>
      <c r="N614">
        <f>2*SQRT(L614/PI())</f>
        <v/>
      </c>
      <c r="P614" t="inlineStr">
        <is>
          <t>是</t>
        </is>
      </c>
      <c r="Q614" t="inlineStr">
        <is>
          <t>auto_pipeline;review_png_green</t>
        </is>
      </c>
      <c r="R614" t="inlineStr">
        <is>
          <t>样品14</t>
        </is>
      </c>
    </row>
    <row r="615">
      <c r="A615" t="n">
        <v>614</v>
      </c>
      <c r="B615" t="inlineStr">
        <is>
          <t>14 (3).tif</t>
        </is>
      </c>
      <c r="C615" t="inlineStr">
        <is>
          <t>14(3)-V04</t>
        </is>
      </c>
      <c r="D615" t="n">
        <v>4</v>
      </c>
      <c r="E615" t="inlineStr">
        <is>
          <t>primary</t>
        </is>
      </c>
      <c r="F615" t="n">
        <v>137.6181474480151</v>
      </c>
      <c r="G615">
        <f>2*SQRT(F615/PI())</f>
        <v/>
      </c>
      <c r="H615" t="n">
        <v>45.25359143381533</v>
      </c>
      <c r="I615" t="n">
        <v>723</v>
      </c>
      <c r="J615" t="n">
        <v>124</v>
      </c>
      <c r="K615" t="n">
        <v>134.8657844990548</v>
      </c>
      <c r="L615" t="n">
        <v>140.3705103969754</v>
      </c>
      <c r="M615">
        <f>2*SQRT(K615/PI())</f>
        <v/>
      </c>
      <c r="N615">
        <f>2*SQRT(L615/PI())</f>
        <v/>
      </c>
      <c r="P615" t="inlineStr">
        <is>
          <t>是</t>
        </is>
      </c>
      <c r="Q615" t="inlineStr">
        <is>
          <t>auto_pipeline;review_png_green</t>
        </is>
      </c>
      <c r="R615" t="inlineStr">
        <is>
          <t>样品14</t>
        </is>
      </c>
    </row>
    <row r="616">
      <c r="A616" t="n">
        <v>615</v>
      </c>
      <c r="B616" t="inlineStr">
        <is>
          <t>14 (4).tif</t>
        </is>
      </c>
      <c r="C616" t="inlineStr">
        <is>
          <t>14(4)-V01</t>
        </is>
      </c>
      <c r="D616" t="n">
        <v>1</v>
      </c>
      <c r="E616" t="inlineStr">
        <is>
          <t>primary</t>
        </is>
      </c>
      <c r="F616" t="n">
        <v>711.7674858223062</v>
      </c>
      <c r="G616">
        <f>2*SQRT(F616/PI())</f>
        <v/>
      </c>
      <c r="H616" t="n">
        <v>101.2147553070732</v>
      </c>
      <c r="I616" t="n">
        <v>487</v>
      </c>
      <c r="J616" t="n">
        <v>499</v>
      </c>
      <c r="K616" t="n">
        <v>697.5321361058601</v>
      </c>
      <c r="L616" t="n">
        <v>726.0028355387523</v>
      </c>
      <c r="M616">
        <f>2*SQRT(K616/PI())</f>
        <v/>
      </c>
      <c r="N616">
        <f>2*SQRT(L616/PI())</f>
        <v/>
      </c>
      <c r="P616" t="inlineStr">
        <is>
          <t>是</t>
        </is>
      </c>
      <c r="Q616" t="inlineStr">
        <is>
          <t>auto_pipeline;review_png_green</t>
        </is>
      </c>
      <c r="R616" t="inlineStr">
        <is>
          <t>样品14</t>
        </is>
      </c>
    </row>
    <row r="617">
      <c r="A617" t="n">
        <v>616</v>
      </c>
      <c r="B617" t="inlineStr">
        <is>
          <t>14 (4).tif</t>
        </is>
      </c>
      <c r="C617" t="inlineStr">
        <is>
          <t>14(4)-V02</t>
        </is>
      </c>
      <c r="D617" t="n">
        <v>2</v>
      </c>
      <c r="E617" t="inlineStr">
        <is>
          <t>primary</t>
        </is>
      </c>
      <c r="F617" t="n">
        <v>536.6020793950851</v>
      </c>
      <c r="G617">
        <f>2*SQRT(F617/PI())</f>
        <v/>
      </c>
      <c r="H617" t="n">
        <v>88.23682393716729</v>
      </c>
      <c r="I617" t="n">
        <v>486</v>
      </c>
      <c r="J617" t="n">
        <v>320</v>
      </c>
      <c r="K617" t="n">
        <v>525.8700378071834</v>
      </c>
      <c r="L617" t="n">
        <v>547.3341209829867</v>
      </c>
      <c r="M617">
        <f>2*SQRT(K617/PI())</f>
        <v/>
      </c>
      <c r="N617">
        <f>2*SQRT(L617/PI())</f>
        <v/>
      </c>
      <c r="P617" t="inlineStr">
        <is>
          <t>是</t>
        </is>
      </c>
      <c r="Q617" t="inlineStr">
        <is>
          <t>auto_pipeline;review_png_green</t>
        </is>
      </c>
      <c r="R617" t="inlineStr">
        <is>
          <t>样品14</t>
        </is>
      </c>
    </row>
    <row r="618">
      <c r="A618" t="n">
        <v>617</v>
      </c>
      <c r="B618" t="inlineStr">
        <is>
          <t>14 (4).tif</t>
        </is>
      </c>
      <c r="C618" t="inlineStr">
        <is>
          <t>14(4)-V03</t>
        </is>
      </c>
      <c r="D618" t="n">
        <v>3</v>
      </c>
      <c r="E618" t="inlineStr">
        <is>
          <t>primary</t>
        </is>
      </c>
      <c r="F618" t="n">
        <v>441.8714555765595</v>
      </c>
      <c r="G618">
        <f>2*SQRT(F618/PI())</f>
        <v/>
      </c>
      <c r="H618" t="n">
        <v>79.71221457356992</v>
      </c>
      <c r="I618" t="n">
        <v>903</v>
      </c>
      <c r="J618" t="n">
        <v>396</v>
      </c>
      <c r="K618" t="n">
        <v>433.0340264650283</v>
      </c>
      <c r="L618" t="n">
        <v>450.7088846880907</v>
      </c>
      <c r="M618">
        <f>2*SQRT(K618/PI())</f>
        <v/>
      </c>
      <c r="N618">
        <f>2*SQRT(L618/PI())</f>
        <v/>
      </c>
      <c r="P618" t="inlineStr">
        <is>
          <t>是</t>
        </is>
      </c>
      <c r="Q618" t="inlineStr">
        <is>
          <t>auto_pipeline;review_png_green</t>
        </is>
      </c>
      <c r="R618" t="inlineStr">
        <is>
          <t>样品14</t>
        </is>
      </c>
    </row>
    <row r="619">
      <c r="A619" t="n">
        <v>618</v>
      </c>
      <c r="B619" t="inlineStr">
        <is>
          <t>14 (4).tif</t>
        </is>
      </c>
      <c r="C619" t="inlineStr">
        <is>
          <t>14(4)-V04</t>
        </is>
      </c>
      <c r="D619" t="n">
        <v>4</v>
      </c>
      <c r="E619" t="inlineStr">
        <is>
          <t>primary</t>
        </is>
      </c>
      <c r="F619" t="n">
        <v>203.0718336483932</v>
      </c>
      <c r="G619">
        <f>2*SQRT(F619/PI())</f>
        <v/>
      </c>
      <c r="H619" t="n">
        <v>54.52042113179746</v>
      </c>
      <c r="I619" t="n">
        <v>210</v>
      </c>
      <c r="J619" t="n">
        <v>515</v>
      </c>
      <c r="K619" t="n">
        <v>199.0103969754254</v>
      </c>
      <c r="L619" t="n">
        <v>207.1332703213611</v>
      </c>
      <c r="M619">
        <f>2*SQRT(K619/PI())</f>
        <v/>
      </c>
      <c r="N619">
        <f>2*SQRT(L619/PI())</f>
        <v/>
      </c>
      <c r="P619" t="inlineStr">
        <is>
          <t>是</t>
        </is>
      </c>
      <c r="Q619" t="inlineStr">
        <is>
          <t>auto_pipeline;review_png_green</t>
        </is>
      </c>
      <c r="R619" t="inlineStr">
        <is>
          <t>样品14</t>
        </is>
      </c>
    </row>
    <row r="620">
      <c r="A620" t="n">
        <v>619</v>
      </c>
      <c r="B620" t="inlineStr">
        <is>
          <t>14 (4).tif</t>
        </is>
      </c>
      <c r="C620" t="inlineStr">
        <is>
          <t>14(4)-V05</t>
        </is>
      </c>
      <c r="D620" t="n">
        <v>5</v>
      </c>
      <c r="E620" t="inlineStr">
        <is>
          <t>primary</t>
        </is>
      </c>
      <c r="F620" t="n">
        <v>138.9413988657845</v>
      </c>
      <c r="G620">
        <f>2*SQRT(F620/PI())</f>
        <v/>
      </c>
      <c r="H620" t="n">
        <v>45.97396280454553</v>
      </c>
      <c r="I620" t="n">
        <v>495</v>
      </c>
      <c r="J620" t="n">
        <v>223</v>
      </c>
      <c r="K620" t="n">
        <v>136.1625708884688</v>
      </c>
      <c r="L620" t="n">
        <v>141.7202268431002</v>
      </c>
      <c r="M620">
        <f>2*SQRT(K620/PI())</f>
        <v/>
      </c>
      <c r="N620">
        <f>2*SQRT(L620/PI())</f>
        <v/>
      </c>
      <c r="P620" t="inlineStr">
        <is>
          <t>是</t>
        </is>
      </c>
      <c r="Q620" t="inlineStr">
        <is>
          <t>auto_pipeline;review_png_green</t>
        </is>
      </c>
      <c r="R620" t="inlineStr">
        <is>
          <t>样品14</t>
        </is>
      </c>
    </row>
    <row r="621">
      <c r="A621" t="n">
        <v>620</v>
      </c>
      <c r="B621" t="inlineStr">
        <is>
          <t>14 (5).tif</t>
        </is>
      </c>
      <c r="C621" t="inlineStr">
        <is>
          <t>14(5)-V01</t>
        </is>
      </c>
      <c r="D621" t="n">
        <v>1</v>
      </c>
      <c r="E621" t="inlineStr">
        <is>
          <t>primary</t>
        </is>
      </c>
      <c r="F621" t="n">
        <v>645.0614366729678</v>
      </c>
      <c r="G621">
        <f>2*SQRT(F621/PI())</f>
        <v/>
      </c>
      <c r="H621" t="n">
        <v>95.55353136166282</v>
      </c>
      <c r="I621" t="n">
        <v>535</v>
      </c>
      <c r="J621" t="n">
        <v>262</v>
      </c>
      <c r="K621" t="n">
        <v>632.1602079395085</v>
      </c>
      <c r="L621" t="n">
        <v>657.9626654064272</v>
      </c>
      <c r="M621">
        <f>2*SQRT(K621/PI())</f>
        <v/>
      </c>
      <c r="N621">
        <f>2*SQRT(L621/PI())</f>
        <v/>
      </c>
      <c r="P621" t="inlineStr">
        <is>
          <t>是</t>
        </is>
      </c>
      <c r="Q621" t="inlineStr">
        <is>
          <t>auto_pipeline;review_png_green</t>
        </is>
      </c>
      <c r="R621" t="inlineStr">
        <is>
          <t>样品14</t>
        </is>
      </c>
    </row>
    <row r="622">
      <c r="A622" t="n">
        <v>621</v>
      </c>
      <c r="B622" t="inlineStr">
        <is>
          <t>14 (5).tif</t>
        </is>
      </c>
      <c r="C622" t="inlineStr">
        <is>
          <t>14(5)-V02</t>
        </is>
      </c>
      <c r="D622" t="n">
        <v>2</v>
      </c>
      <c r="E622" t="inlineStr">
        <is>
          <t>primary</t>
        </is>
      </c>
      <c r="F622" t="n">
        <v>611.6729678638941</v>
      </c>
      <c r="G622">
        <f>2*SQRT(F622/PI())</f>
        <v/>
      </c>
      <c r="H622" t="n">
        <v>93.07218059249546</v>
      </c>
      <c r="I622" t="n">
        <v>466</v>
      </c>
      <c r="J622" t="n">
        <v>443</v>
      </c>
      <c r="K622" t="n">
        <v>599.4395085066162</v>
      </c>
      <c r="L622" t="n">
        <v>623.906427221172</v>
      </c>
      <c r="M622">
        <f>2*SQRT(K622/PI())</f>
        <v/>
      </c>
      <c r="N622">
        <f>2*SQRT(L622/PI())</f>
        <v/>
      </c>
      <c r="P622" t="inlineStr">
        <is>
          <t>是</t>
        </is>
      </c>
      <c r="Q622" t="inlineStr">
        <is>
          <t>auto_pipeline;review_png_green</t>
        </is>
      </c>
      <c r="R622" t="inlineStr">
        <is>
          <t>样品14</t>
        </is>
      </c>
    </row>
    <row r="623">
      <c r="A623" t="n">
        <v>622</v>
      </c>
      <c r="B623" t="inlineStr">
        <is>
          <t>14 (5).tif</t>
        </is>
      </c>
      <c r="C623" t="inlineStr">
        <is>
          <t>14(5)-V03</t>
        </is>
      </c>
      <c r="D623" t="n">
        <v>3</v>
      </c>
      <c r="E623" t="inlineStr">
        <is>
          <t>primary</t>
        </is>
      </c>
      <c r="F623" t="n">
        <v>144.1398865784499</v>
      </c>
      <c r="G623">
        <f>2*SQRT(F623/PI())</f>
        <v/>
      </c>
      <c r="H623" t="n">
        <v>53.14147638237994</v>
      </c>
      <c r="I623" t="n">
        <v>897</v>
      </c>
      <c r="J623" t="n">
        <v>116</v>
      </c>
      <c r="K623" t="n">
        <v>141.2570888468809</v>
      </c>
      <c r="L623" t="n">
        <v>147.0226843100189</v>
      </c>
      <c r="M623">
        <f>2*SQRT(K623/PI())</f>
        <v/>
      </c>
      <c r="N623">
        <f>2*SQRT(L623/PI())</f>
        <v/>
      </c>
      <c r="P623" t="inlineStr">
        <is>
          <t>是</t>
        </is>
      </c>
      <c r="Q623" t="inlineStr">
        <is>
          <t>auto_pipeline;review_png_green</t>
        </is>
      </c>
      <c r="R623" t="inlineStr">
        <is>
          <t>样品14</t>
        </is>
      </c>
    </row>
    <row r="624">
      <c r="A624" t="n">
        <v>623</v>
      </c>
      <c r="B624" t="inlineStr">
        <is>
          <t>14 (5).tif</t>
        </is>
      </c>
      <c r="C624" t="inlineStr">
        <is>
          <t>14(5)-V04</t>
        </is>
      </c>
      <c r="D624" t="n">
        <v>4</v>
      </c>
      <c r="E624" t="inlineStr">
        <is>
          <t>primary</t>
        </is>
      </c>
      <c r="F624" t="n">
        <v>116.1625708884688</v>
      </c>
      <c r="G624">
        <f>2*SQRT(F624/PI())</f>
        <v/>
      </c>
      <c r="H624" t="n">
        <v>40.54557966149371</v>
      </c>
      <c r="I624" t="n">
        <v>143</v>
      </c>
      <c r="J624" t="n">
        <v>605</v>
      </c>
      <c r="K624" t="n">
        <v>113.8393194706994</v>
      </c>
      <c r="L624" t="n">
        <v>118.4858223062382</v>
      </c>
      <c r="M624">
        <f>2*SQRT(K624/PI())</f>
        <v/>
      </c>
      <c r="N624">
        <f>2*SQRT(L624/PI())</f>
        <v/>
      </c>
      <c r="P624" t="inlineStr">
        <is>
          <t>是</t>
        </is>
      </c>
      <c r="Q624" t="inlineStr">
        <is>
          <t>auto_pipeline;review_png_green</t>
        </is>
      </c>
      <c r="R624" t="inlineStr">
        <is>
          <t>样品14</t>
        </is>
      </c>
    </row>
    <row r="625">
      <c r="A625" t="n">
        <v>624</v>
      </c>
      <c r="B625" t="inlineStr">
        <is>
          <t>14 (6).tif</t>
        </is>
      </c>
      <c r="C625" t="inlineStr">
        <is>
          <t>14(6)-V01</t>
        </is>
      </c>
      <c r="D625" t="n">
        <v>1</v>
      </c>
      <c r="E625" t="inlineStr">
        <is>
          <t>primary</t>
        </is>
      </c>
      <c r="F625" t="n">
        <v>440.9735349716446</v>
      </c>
      <c r="G625">
        <f>2*SQRT(F625/PI())</f>
        <v/>
      </c>
      <c r="H625" t="n">
        <v>78.73715343682662</v>
      </c>
      <c r="I625" t="n">
        <v>494</v>
      </c>
      <c r="J625" t="n">
        <v>284</v>
      </c>
      <c r="K625" t="n">
        <v>432.1540642722117</v>
      </c>
      <c r="L625" t="n">
        <v>449.7930056710775</v>
      </c>
      <c r="M625">
        <f>2*SQRT(K625/PI())</f>
        <v/>
      </c>
      <c r="N625">
        <f>2*SQRT(L625/PI())</f>
        <v/>
      </c>
      <c r="P625" t="inlineStr">
        <is>
          <t>是</t>
        </is>
      </c>
      <c r="Q625" t="inlineStr">
        <is>
          <t>auto_pipeline;review_png_green</t>
        </is>
      </c>
      <c r="R625" t="inlineStr">
        <is>
          <t>样品14</t>
        </is>
      </c>
    </row>
    <row r="626">
      <c r="A626" t="n">
        <v>625</v>
      </c>
      <c r="B626" t="inlineStr">
        <is>
          <t>14 (6).tif</t>
        </is>
      </c>
      <c r="C626" t="inlineStr">
        <is>
          <t>14(6)-V02</t>
        </is>
      </c>
      <c r="D626" t="n">
        <v>2</v>
      </c>
      <c r="E626" t="inlineStr">
        <is>
          <t>primary</t>
        </is>
      </c>
      <c r="F626" t="n">
        <v>381.1200378071834</v>
      </c>
      <c r="G626">
        <f>2*SQRT(F626/PI())</f>
        <v/>
      </c>
      <c r="H626" t="n">
        <v>73.79630086214645</v>
      </c>
      <c r="I626" t="n">
        <v>527</v>
      </c>
      <c r="J626" t="n">
        <v>462</v>
      </c>
      <c r="K626" t="n">
        <v>373.4976370510397</v>
      </c>
      <c r="L626" t="n">
        <v>388.7424385633271</v>
      </c>
      <c r="M626">
        <f>2*SQRT(K626/PI())</f>
        <v/>
      </c>
      <c r="N626">
        <f>2*SQRT(L626/PI())</f>
        <v/>
      </c>
      <c r="P626" t="inlineStr">
        <is>
          <t>是</t>
        </is>
      </c>
      <c r="Q626" t="inlineStr">
        <is>
          <t>auto_pipeline;review_png_green</t>
        </is>
      </c>
      <c r="R626" t="inlineStr">
        <is>
          <t>样品14</t>
        </is>
      </c>
    </row>
    <row r="627">
      <c r="A627" t="n">
        <v>626</v>
      </c>
      <c r="B627" t="inlineStr">
        <is>
          <t>14 (6).tif</t>
        </is>
      </c>
      <c r="C627" t="inlineStr">
        <is>
          <t>14(6)-V03</t>
        </is>
      </c>
      <c r="D627" t="n">
        <v>3</v>
      </c>
      <c r="E627" t="inlineStr">
        <is>
          <t>primary</t>
        </is>
      </c>
      <c r="F627" t="n">
        <v>266.6824196597353</v>
      </c>
      <c r="G627">
        <f>2*SQRT(F627/PI())</f>
        <v/>
      </c>
      <c r="H627" t="n">
        <v>61.17855517760567</v>
      </c>
      <c r="I627" t="n">
        <v>932</v>
      </c>
      <c r="J627" t="n">
        <v>481</v>
      </c>
      <c r="K627" t="n">
        <v>261.3487712665406</v>
      </c>
      <c r="L627" t="n">
        <v>272.0160680529301</v>
      </c>
      <c r="M627">
        <f>2*SQRT(K627/PI())</f>
        <v/>
      </c>
      <c r="N627">
        <f>2*SQRT(L627/PI())</f>
        <v/>
      </c>
      <c r="P627" t="inlineStr">
        <is>
          <t>是</t>
        </is>
      </c>
      <c r="Q627" t="inlineStr">
        <is>
          <t>auto_pipeline;review_png_green</t>
        </is>
      </c>
      <c r="R627" t="inlineStr">
        <is>
          <t>样品14</t>
        </is>
      </c>
    </row>
    <row r="628">
      <c r="A628" t="n">
        <v>627</v>
      </c>
      <c r="B628" t="inlineStr">
        <is>
          <t>14 (6).tif</t>
        </is>
      </c>
      <c r="C628" t="inlineStr">
        <is>
          <t>14(6)-V04</t>
        </is>
      </c>
      <c r="D628" t="n">
        <v>4</v>
      </c>
      <c r="E628" t="inlineStr">
        <is>
          <t>primary</t>
        </is>
      </c>
      <c r="F628" t="n">
        <v>149.3856332703214</v>
      </c>
      <c r="G628">
        <f>2*SQRT(F628/PI())</f>
        <v/>
      </c>
      <c r="H628" t="n">
        <v>46.22865257055863</v>
      </c>
      <c r="I628" t="n">
        <v>437</v>
      </c>
      <c r="J628" t="n">
        <v>494</v>
      </c>
      <c r="K628" t="n">
        <v>146.3979206049149</v>
      </c>
      <c r="L628" t="n">
        <v>152.3733459357278</v>
      </c>
      <c r="M628">
        <f>2*SQRT(K628/PI())</f>
        <v/>
      </c>
      <c r="N628">
        <f>2*SQRT(L628/PI())</f>
        <v/>
      </c>
      <c r="P628" t="inlineStr">
        <is>
          <t>是</t>
        </is>
      </c>
      <c r="Q628" t="inlineStr">
        <is>
          <t>auto_pipeline;review_png_green</t>
        </is>
      </c>
      <c r="R628" t="inlineStr">
        <is>
          <t>样品14</t>
        </is>
      </c>
    </row>
    <row r="629">
      <c r="A629" t="n">
        <v>628</v>
      </c>
      <c r="B629" t="inlineStr">
        <is>
          <t>14 (6).tif</t>
        </is>
      </c>
      <c r="C629" t="inlineStr">
        <is>
          <t>14(6)-V05</t>
        </is>
      </c>
      <c r="D629" t="n">
        <v>5</v>
      </c>
      <c r="E629" t="inlineStr">
        <is>
          <t>primary</t>
        </is>
      </c>
      <c r="F629" t="n">
        <v>146.3610586011342</v>
      </c>
      <c r="G629">
        <f>2*SQRT(F629/PI())</f>
        <v/>
      </c>
      <c r="H629" t="n">
        <v>48.83734822273254</v>
      </c>
      <c r="I629" t="n">
        <v>106</v>
      </c>
      <c r="J629" t="n">
        <v>138</v>
      </c>
      <c r="K629" t="n">
        <v>143.4338374291115</v>
      </c>
      <c r="L629" t="n">
        <v>149.2882797731569</v>
      </c>
      <c r="M629">
        <f>2*SQRT(K629/PI())</f>
        <v/>
      </c>
      <c r="N629">
        <f>2*SQRT(L629/PI())</f>
        <v/>
      </c>
      <c r="P629" t="inlineStr">
        <is>
          <t>是</t>
        </is>
      </c>
      <c r="Q629" t="inlineStr">
        <is>
          <t>auto_pipeline;review_png_green</t>
        </is>
      </c>
      <c r="R629" t="inlineStr">
        <is>
          <t>样品14</t>
        </is>
      </c>
    </row>
    <row r="630">
      <c r="A630" t="n">
        <v>629</v>
      </c>
      <c r="B630" t="inlineStr">
        <is>
          <t>14 (6).tif</t>
        </is>
      </c>
      <c r="C630" t="inlineStr">
        <is>
          <t>14(6)-V06</t>
        </is>
      </c>
      <c r="D630" t="n">
        <v>6</v>
      </c>
      <c r="E630" t="inlineStr">
        <is>
          <t>primary</t>
        </is>
      </c>
      <c r="F630" t="n">
        <v>145.4395085066162</v>
      </c>
      <c r="G630">
        <f>2*SQRT(F630/PI())</f>
        <v/>
      </c>
      <c r="H630" t="n">
        <v>60.70912467396777</v>
      </c>
      <c r="I630" t="n">
        <v>517</v>
      </c>
      <c r="J630" t="n">
        <v>180</v>
      </c>
      <c r="K630" t="n">
        <v>142.5307183364839</v>
      </c>
      <c r="L630" t="n">
        <v>148.3482986767486</v>
      </c>
      <c r="M630">
        <f>2*SQRT(K630/PI())</f>
        <v/>
      </c>
      <c r="N630">
        <f>2*SQRT(L630/PI())</f>
        <v/>
      </c>
      <c r="P630" t="inlineStr">
        <is>
          <t>是</t>
        </is>
      </c>
      <c r="Q630" t="inlineStr">
        <is>
          <t>auto_pipeline;review_png_green</t>
        </is>
      </c>
      <c r="R630" t="inlineStr">
        <is>
          <t>样品14</t>
        </is>
      </c>
    </row>
    <row r="631">
      <c r="A631" t="n">
        <v>630</v>
      </c>
      <c r="B631" t="inlineStr">
        <is>
          <t>14 (7).tif</t>
        </is>
      </c>
      <c r="C631" t="inlineStr">
        <is>
          <t>14(7)-V01</t>
        </is>
      </c>
      <c r="D631" t="n">
        <v>1</v>
      </c>
      <c r="E631" t="inlineStr">
        <is>
          <t>primary</t>
        </is>
      </c>
      <c r="F631" t="n">
        <v>366.375236294896</v>
      </c>
      <c r="G631">
        <f>2*SQRT(F631/PI())</f>
        <v/>
      </c>
      <c r="H631" t="n">
        <v>72.05717042736384</v>
      </c>
      <c r="I631" t="n">
        <v>895</v>
      </c>
      <c r="J631" t="n">
        <v>173</v>
      </c>
      <c r="K631" t="n">
        <v>359.0477315689981</v>
      </c>
      <c r="L631" t="n">
        <v>373.702741020794</v>
      </c>
      <c r="M631">
        <f>2*SQRT(K631/PI())</f>
        <v/>
      </c>
      <c r="N631">
        <f>2*SQRT(L631/PI())</f>
        <v/>
      </c>
      <c r="P631" t="inlineStr">
        <is>
          <t>是</t>
        </is>
      </c>
      <c r="Q631" t="inlineStr">
        <is>
          <t>auto_pipeline;review_png_green</t>
        </is>
      </c>
      <c r="R631" t="inlineStr">
        <is>
          <t>样品14</t>
        </is>
      </c>
    </row>
    <row r="632">
      <c r="A632" t="n">
        <v>631</v>
      </c>
      <c r="B632" t="inlineStr">
        <is>
          <t>14 (7).tif</t>
        </is>
      </c>
      <c r="C632" t="inlineStr">
        <is>
          <t>14(7)-V02</t>
        </is>
      </c>
      <c r="D632" t="n">
        <v>2</v>
      </c>
      <c r="E632" t="inlineStr">
        <is>
          <t>primary</t>
        </is>
      </c>
      <c r="F632" t="n">
        <v>161.7674858223062</v>
      </c>
      <c r="G632">
        <f>2*SQRT(F632/PI())</f>
        <v/>
      </c>
      <c r="H632" t="n">
        <v>55.09159865586654</v>
      </c>
      <c r="I632" t="n">
        <v>631</v>
      </c>
      <c r="J632" t="n">
        <v>565</v>
      </c>
      <c r="K632" t="n">
        <v>158.5321361058601</v>
      </c>
      <c r="L632" t="n">
        <v>165.0028355387524</v>
      </c>
      <c r="M632">
        <f>2*SQRT(K632/PI())</f>
        <v/>
      </c>
      <c r="N632">
        <f>2*SQRT(L632/PI())</f>
        <v/>
      </c>
      <c r="P632" t="inlineStr">
        <is>
          <t>是</t>
        </is>
      </c>
      <c r="Q632" t="inlineStr">
        <is>
          <t>auto_pipeline;review_png_green</t>
        </is>
      </c>
      <c r="R632" t="inlineStr">
        <is>
          <t>样品14</t>
        </is>
      </c>
    </row>
    <row r="633">
      <c r="A633" t="n">
        <v>632</v>
      </c>
      <c r="B633" t="inlineStr">
        <is>
          <t>14 (7).tif</t>
        </is>
      </c>
      <c r="C633" t="inlineStr">
        <is>
          <t>14(7)-V03</t>
        </is>
      </c>
      <c r="D633" t="n">
        <v>3</v>
      </c>
      <c r="E633" t="inlineStr">
        <is>
          <t>primary</t>
        </is>
      </c>
      <c r="F633" t="n">
        <v>138.6578449905482</v>
      </c>
      <c r="G633">
        <f>2*SQRT(F633/PI())</f>
        <v/>
      </c>
      <c r="H633" t="n">
        <v>45.10439758715422</v>
      </c>
      <c r="I633" t="n">
        <v>614</v>
      </c>
      <c r="J633" t="n">
        <v>167</v>
      </c>
      <c r="K633" t="n">
        <v>135.8846880907372</v>
      </c>
      <c r="L633" t="n">
        <v>141.4310018903592</v>
      </c>
      <c r="M633">
        <f>2*SQRT(K633/PI())</f>
        <v/>
      </c>
      <c r="N633">
        <f>2*SQRT(L633/PI())</f>
        <v/>
      </c>
      <c r="P633" t="inlineStr">
        <is>
          <t>是</t>
        </is>
      </c>
      <c r="Q633" t="inlineStr">
        <is>
          <t>auto_pipeline;review_png_green</t>
        </is>
      </c>
      <c r="R633" t="inlineStr">
        <is>
          <t>样品14</t>
        </is>
      </c>
    </row>
    <row r="634">
      <c r="A634" t="n">
        <v>633</v>
      </c>
      <c r="B634" t="inlineStr">
        <is>
          <t>14 (8).tif</t>
        </is>
      </c>
      <c r="C634" t="inlineStr">
        <is>
          <t>14(8)-V01</t>
        </is>
      </c>
      <c r="D634" t="n">
        <v>1</v>
      </c>
      <c r="E634" t="inlineStr">
        <is>
          <t>primary</t>
        </is>
      </c>
      <c r="F634" t="n">
        <v>414.5321361058601</v>
      </c>
      <c r="G634">
        <f>2*SQRT(F634/PI())</f>
        <v/>
      </c>
      <c r="H634" t="n">
        <v>76.51049243367237</v>
      </c>
      <c r="I634" t="n">
        <v>158</v>
      </c>
      <c r="J634" t="n">
        <v>520</v>
      </c>
      <c r="K634" t="n">
        <v>406.2414933837429</v>
      </c>
      <c r="L634" t="n">
        <v>422.8227788279773</v>
      </c>
      <c r="M634">
        <f>2*SQRT(K634/PI())</f>
        <v/>
      </c>
      <c r="N634">
        <f>2*SQRT(L634/PI())</f>
        <v/>
      </c>
      <c r="P634" t="inlineStr">
        <is>
          <t>是</t>
        </is>
      </c>
      <c r="Q634" t="inlineStr">
        <is>
          <t>auto_pipeline;review_png_green</t>
        </is>
      </c>
      <c r="R634" t="inlineStr">
        <is>
          <t>样品14</t>
        </is>
      </c>
    </row>
    <row r="635">
      <c r="A635" t="n">
        <v>634</v>
      </c>
      <c r="B635" t="inlineStr">
        <is>
          <t>14 (8).tif</t>
        </is>
      </c>
      <c r="C635" t="inlineStr">
        <is>
          <t>14(8)-V02</t>
        </is>
      </c>
      <c r="D635" t="n">
        <v>2</v>
      </c>
      <c r="E635" t="inlineStr">
        <is>
          <t>primary</t>
        </is>
      </c>
      <c r="F635" t="n">
        <v>353.875236294896</v>
      </c>
      <c r="G635">
        <f>2*SQRT(F635/PI())</f>
        <v/>
      </c>
      <c r="H635" t="n">
        <v>70.70007464160089</v>
      </c>
      <c r="I635" t="n">
        <v>445</v>
      </c>
      <c r="J635" t="n">
        <v>382</v>
      </c>
      <c r="K635" t="n">
        <v>346.7977315689981</v>
      </c>
      <c r="L635" t="n">
        <v>360.952741020794</v>
      </c>
      <c r="M635">
        <f>2*SQRT(K635/PI())</f>
        <v/>
      </c>
      <c r="N635">
        <f>2*SQRT(L635/PI())</f>
        <v/>
      </c>
      <c r="O635" t="inlineStr">
        <is>
          <t>14(8)-P01</t>
        </is>
      </c>
      <c r="P635" t="inlineStr">
        <is>
          <t>是</t>
        </is>
      </c>
      <c r="Q635" t="inlineStr">
        <is>
          <t>auto_pipeline;review_png_green</t>
        </is>
      </c>
      <c r="R635" t="inlineStr">
        <is>
          <t>样品14</t>
        </is>
      </c>
    </row>
    <row r="636">
      <c r="A636" t="n">
        <v>635</v>
      </c>
      <c r="B636" t="inlineStr">
        <is>
          <t>14 (8).tif</t>
        </is>
      </c>
      <c r="C636" t="inlineStr">
        <is>
          <t>14(8)-V03</t>
        </is>
      </c>
      <c r="D636" t="n">
        <v>3</v>
      </c>
      <c r="E636" t="inlineStr">
        <is>
          <t>primary</t>
        </is>
      </c>
      <c r="F636" t="n">
        <v>314.3667296786389</v>
      </c>
      <c r="G636">
        <f>2*SQRT(F636/PI())</f>
        <v/>
      </c>
      <c r="H636" t="n">
        <v>66.50144240130548</v>
      </c>
      <c r="I636" t="n">
        <v>564</v>
      </c>
      <c r="J636" t="n">
        <v>354</v>
      </c>
      <c r="K636" t="n">
        <v>308.0793950850662</v>
      </c>
      <c r="L636" t="n">
        <v>320.6540642722117</v>
      </c>
      <c r="M636">
        <f>2*SQRT(K636/PI())</f>
        <v/>
      </c>
      <c r="N636">
        <f>2*SQRT(L636/PI())</f>
        <v/>
      </c>
      <c r="O636" t="inlineStr">
        <is>
          <t>14(8)-P01</t>
        </is>
      </c>
      <c r="P636" t="inlineStr">
        <is>
          <t>是</t>
        </is>
      </c>
      <c r="Q636" t="inlineStr">
        <is>
          <t>auto_pipeline;review_png_green</t>
        </is>
      </c>
      <c r="R636" t="inlineStr">
        <is>
          <t>样品14</t>
        </is>
      </c>
    </row>
    <row r="637">
      <c r="A637" t="n">
        <v>636</v>
      </c>
      <c r="B637" t="inlineStr">
        <is>
          <t>14 (8).tif</t>
        </is>
      </c>
      <c r="C637" t="inlineStr">
        <is>
          <t>14(8)-V04</t>
        </is>
      </c>
      <c r="D637" t="n">
        <v>4</v>
      </c>
      <c r="E637" t="inlineStr">
        <is>
          <t>primary</t>
        </is>
      </c>
      <c r="F637" t="n">
        <v>313.3979206049149</v>
      </c>
      <c r="G637">
        <f>2*SQRT(F637/PI())</f>
        <v/>
      </c>
      <c r="H637" t="n">
        <v>87.98213417115419</v>
      </c>
      <c r="I637" t="n">
        <v>176</v>
      </c>
      <c r="J637" t="n">
        <v>348</v>
      </c>
      <c r="K637" t="n">
        <v>307.1299621928166</v>
      </c>
      <c r="L637" t="n">
        <v>319.6658790170133</v>
      </c>
      <c r="M637">
        <f>2*SQRT(K637/PI())</f>
        <v/>
      </c>
      <c r="N637">
        <f>2*SQRT(L637/PI())</f>
        <v/>
      </c>
      <c r="P637" t="inlineStr">
        <is>
          <t>是</t>
        </is>
      </c>
      <c r="Q637" t="inlineStr">
        <is>
          <t>auto_pipeline;review_png_green</t>
        </is>
      </c>
      <c r="R637" t="inlineStr">
        <is>
          <t>样品14</t>
        </is>
      </c>
    </row>
    <row r="638">
      <c r="A638" t="n">
        <v>637</v>
      </c>
      <c r="B638" t="inlineStr">
        <is>
          <t>14 (8).tif</t>
        </is>
      </c>
      <c r="C638" t="inlineStr">
        <is>
          <t>14(8)-V05</t>
        </is>
      </c>
      <c r="D638" t="n">
        <v>5</v>
      </c>
      <c r="E638" t="inlineStr">
        <is>
          <t>primary</t>
        </is>
      </c>
      <c r="F638" t="n">
        <v>152.7410207939508</v>
      </c>
      <c r="G638">
        <f>2*SQRT(F638/PI())</f>
        <v/>
      </c>
      <c r="H638" t="n">
        <v>52.82498862432396</v>
      </c>
      <c r="I638" t="n">
        <v>815</v>
      </c>
      <c r="J638" t="n">
        <v>588</v>
      </c>
      <c r="K638" t="n">
        <v>149.6862003780718</v>
      </c>
      <c r="L638" t="n">
        <v>155.7958412098299</v>
      </c>
      <c r="M638">
        <f>2*SQRT(K638/PI())</f>
        <v/>
      </c>
      <c r="N638">
        <f>2*SQRT(L638/PI())</f>
        <v/>
      </c>
      <c r="P638" t="inlineStr">
        <is>
          <t>是</t>
        </is>
      </c>
      <c r="Q638" t="inlineStr">
        <is>
          <t>auto_pipeline;review_png_green</t>
        </is>
      </c>
      <c r="R638" t="inlineStr">
        <is>
          <t>样品14</t>
        </is>
      </c>
    </row>
    <row r="639">
      <c r="A639" t="n">
        <v>638</v>
      </c>
      <c r="B639" t="inlineStr">
        <is>
          <t>15 (1).tif</t>
        </is>
      </c>
      <c r="C639" t="inlineStr">
        <is>
          <t>15(1)-V01</t>
        </is>
      </c>
      <c r="D639" t="n">
        <v>1</v>
      </c>
      <c r="E639" t="inlineStr">
        <is>
          <t>primary</t>
        </is>
      </c>
      <c r="F639" t="n">
        <v>817.320415879017</v>
      </c>
      <c r="G639">
        <f>2*SQRT(F639/PI())</f>
        <v/>
      </c>
      <c r="H639" t="n">
        <v>107.789242397184</v>
      </c>
      <c r="I639" t="n">
        <v>496</v>
      </c>
      <c r="J639" t="n">
        <v>267</v>
      </c>
      <c r="K639" t="n">
        <v>800.9740075614367</v>
      </c>
      <c r="L639" t="n">
        <v>833.6668241965973</v>
      </c>
      <c r="M639">
        <f>2*SQRT(K639/PI())</f>
        <v/>
      </c>
      <c r="N639">
        <f>2*SQRT(L639/PI())</f>
        <v/>
      </c>
      <c r="P639" t="inlineStr">
        <is>
          <t>是</t>
        </is>
      </c>
      <c r="Q639" t="inlineStr">
        <is>
          <t>auto_pipeline;review_png_green</t>
        </is>
      </c>
      <c r="R639" t="inlineStr">
        <is>
          <t>样品15</t>
        </is>
      </c>
    </row>
    <row r="640">
      <c r="A640" t="n">
        <v>639</v>
      </c>
      <c r="B640" t="inlineStr">
        <is>
          <t>15 (1).tif</t>
        </is>
      </c>
      <c r="C640" t="inlineStr">
        <is>
          <t>15(1)-V02</t>
        </is>
      </c>
      <c r="D640" t="n">
        <v>2</v>
      </c>
      <c r="E640" t="inlineStr">
        <is>
          <t>primary</t>
        </is>
      </c>
      <c r="F640" t="n">
        <v>125.7088846880907</v>
      </c>
      <c r="G640">
        <f>2*SQRT(F640/PI())</f>
        <v/>
      </c>
      <c r="H640" t="n">
        <v>51.55153979425845</v>
      </c>
      <c r="I640" t="n">
        <v>203</v>
      </c>
      <c r="J640" t="n">
        <v>361</v>
      </c>
      <c r="K640" t="n">
        <v>123.1947069943289</v>
      </c>
      <c r="L640" t="n">
        <v>128.2230623818525</v>
      </c>
      <c r="M640">
        <f>2*SQRT(K640/PI())</f>
        <v/>
      </c>
      <c r="N640">
        <f>2*SQRT(L640/PI())</f>
        <v/>
      </c>
      <c r="P640" t="inlineStr">
        <is>
          <t>是</t>
        </is>
      </c>
      <c r="Q640" t="inlineStr">
        <is>
          <t>auto_pipeline;review_png_green</t>
        </is>
      </c>
      <c r="R640" t="inlineStr">
        <is>
          <t>样品15</t>
        </is>
      </c>
    </row>
    <row r="641">
      <c r="A641" t="n">
        <v>640</v>
      </c>
      <c r="B641" t="inlineStr">
        <is>
          <t>15 (2).tif</t>
        </is>
      </c>
      <c r="C641" t="inlineStr">
        <is>
          <t>15(2)-V01</t>
        </is>
      </c>
      <c r="D641" t="n">
        <v>1</v>
      </c>
      <c r="E641" t="inlineStr">
        <is>
          <t>primary</t>
        </is>
      </c>
      <c r="F641" t="n">
        <v>1060.23156899811</v>
      </c>
      <c r="G641">
        <f>2*SQRT(F641/PI())</f>
        <v/>
      </c>
      <c r="H641" t="n">
        <v>123.0993306895961</v>
      </c>
      <c r="I641" t="n">
        <v>461</v>
      </c>
      <c r="J641" t="n">
        <v>242</v>
      </c>
      <c r="K641" t="n">
        <v>1039.026937618147</v>
      </c>
      <c r="L641" t="n">
        <v>1081.436200378072</v>
      </c>
      <c r="M641">
        <f>2*SQRT(K641/PI())</f>
        <v/>
      </c>
      <c r="N641">
        <f>2*SQRT(L641/PI())</f>
        <v/>
      </c>
      <c r="P641" t="inlineStr">
        <is>
          <t>是</t>
        </is>
      </c>
      <c r="Q641" t="inlineStr">
        <is>
          <t>auto_pipeline;review_png_green</t>
        </is>
      </c>
      <c r="R641" t="inlineStr">
        <is>
          <t>样品15</t>
        </is>
      </c>
    </row>
    <row r="642">
      <c r="A642" t="n">
        <v>641</v>
      </c>
      <c r="B642" t="inlineStr">
        <is>
          <t>15 (2).tif</t>
        </is>
      </c>
      <c r="C642" t="inlineStr">
        <is>
          <t>15(2)-V02</t>
        </is>
      </c>
      <c r="D642" t="n">
        <v>2</v>
      </c>
      <c r="E642" t="inlineStr">
        <is>
          <t>primary</t>
        </is>
      </c>
      <c r="F642" t="n">
        <v>856.3327032136106</v>
      </c>
      <c r="G642">
        <f>2*SQRT(F642/PI())</f>
        <v/>
      </c>
      <c r="H642" t="n">
        <v>112.0097236011339</v>
      </c>
      <c r="I642" t="n">
        <v>896</v>
      </c>
      <c r="J642" t="n">
        <v>275</v>
      </c>
      <c r="K642" t="n">
        <v>839.2060491493384</v>
      </c>
      <c r="L642" t="n">
        <v>873.4593572778828</v>
      </c>
      <c r="M642">
        <f>2*SQRT(K642/PI())</f>
        <v/>
      </c>
      <c r="N642">
        <f>2*SQRT(L642/PI())</f>
        <v/>
      </c>
      <c r="P642" t="inlineStr">
        <is>
          <t>是</t>
        </is>
      </c>
      <c r="Q642" t="inlineStr">
        <is>
          <t>auto_pipeline;review_png_green</t>
        </is>
      </c>
      <c r="R642" t="inlineStr">
        <is>
          <t>样品15</t>
        </is>
      </c>
    </row>
    <row r="643">
      <c r="A643" t="n">
        <v>642</v>
      </c>
      <c r="B643" t="inlineStr">
        <is>
          <t>15 (2).tif</t>
        </is>
      </c>
      <c r="C643" t="inlineStr">
        <is>
          <t>15(2)-V03</t>
        </is>
      </c>
      <c r="D643" t="n">
        <v>3</v>
      </c>
      <c r="E643" t="inlineStr">
        <is>
          <t>primary</t>
        </is>
      </c>
      <c r="F643" t="n">
        <v>855.1512287334593</v>
      </c>
      <c r="G643">
        <f>2*SQRT(F643/PI())</f>
        <v/>
      </c>
      <c r="H643" t="n">
        <v>110.6307788517164</v>
      </c>
      <c r="I643" t="n">
        <v>490</v>
      </c>
      <c r="J643" t="n">
        <v>456</v>
      </c>
      <c r="K643" t="n">
        <v>838.0482041587901</v>
      </c>
      <c r="L643" t="n">
        <v>872.2542533081286</v>
      </c>
      <c r="M643">
        <f>2*SQRT(K643/PI())</f>
        <v/>
      </c>
      <c r="N643">
        <f>2*SQRT(L643/PI())</f>
        <v/>
      </c>
      <c r="P643" t="inlineStr">
        <is>
          <t>是</t>
        </is>
      </c>
      <c r="Q643" t="inlineStr">
        <is>
          <t>auto_pipeline;review_png_green</t>
        </is>
      </c>
      <c r="R643" t="inlineStr">
        <is>
          <t>样品15</t>
        </is>
      </c>
    </row>
    <row r="644">
      <c r="A644" t="n">
        <v>643</v>
      </c>
      <c r="B644" t="inlineStr">
        <is>
          <t>15 (2).tif</t>
        </is>
      </c>
      <c r="C644" t="inlineStr">
        <is>
          <t>15(2)-V04</t>
        </is>
      </c>
      <c r="D644" t="n">
        <v>4</v>
      </c>
      <c r="E644" t="inlineStr">
        <is>
          <t>primary</t>
        </is>
      </c>
      <c r="F644" t="n">
        <v>755.5293005671077</v>
      </c>
      <c r="G644">
        <f>2*SQRT(F644/PI())</f>
        <v/>
      </c>
      <c r="H644" t="n">
        <v>103.2085755078689</v>
      </c>
      <c r="I644" t="n">
        <v>108</v>
      </c>
      <c r="J644" t="n">
        <v>203</v>
      </c>
      <c r="K644" t="n">
        <v>740.4187145557655</v>
      </c>
      <c r="L644" t="n">
        <v>770.6398865784499</v>
      </c>
      <c r="M644">
        <f>2*SQRT(K644/PI())</f>
        <v/>
      </c>
      <c r="N644">
        <f>2*SQRT(L644/PI())</f>
        <v/>
      </c>
      <c r="P644" t="inlineStr">
        <is>
          <t>是</t>
        </is>
      </c>
      <c r="Q644" t="inlineStr">
        <is>
          <t>auto_pipeline;review_png_green</t>
        </is>
      </c>
      <c r="R644" t="inlineStr">
        <is>
          <t>样品15</t>
        </is>
      </c>
    </row>
    <row r="645">
      <c r="A645" t="n">
        <v>644</v>
      </c>
      <c r="B645" t="inlineStr">
        <is>
          <t>15 (2).tif</t>
        </is>
      </c>
      <c r="C645" t="inlineStr">
        <is>
          <t>15(2)-V05</t>
        </is>
      </c>
      <c r="D645" t="n">
        <v>5</v>
      </c>
      <c r="E645" t="inlineStr">
        <is>
          <t>primary</t>
        </is>
      </c>
      <c r="F645" t="n">
        <v>338.6578449905482</v>
      </c>
      <c r="G645">
        <f>2*SQRT(F645/PI())</f>
        <v/>
      </c>
      <c r="H645" t="n">
        <v>76.17215571196182</v>
      </c>
      <c r="I645" t="n">
        <v>87</v>
      </c>
      <c r="J645" t="n">
        <v>65</v>
      </c>
      <c r="K645" t="n">
        <v>331.8846880907373</v>
      </c>
      <c r="L645" t="n">
        <v>345.4310018903591</v>
      </c>
      <c r="M645">
        <f>2*SQRT(K645/PI())</f>
        <v/>
      </c>
      <c r="N645">
        <f>2*SQRT(L645/PI())</f>
        <v/>
      </c>
      <c r="P645" t="inlineStr">
        <is>
          <t>是</t>
        </is>
      </c>
      <c r="Q645" t="inlineStr">
        <is>
          <t>auto_pipeline;review_png_green</t>
        </is>
      </c>
      <c r="R645" t="inlineStr">
        <is>
          <t>样品15</t>
        </is>
      </c>
    </row>
    <row r="646">
      <c r="A646" t="n">
        <v>645</v>
      </c>
      <c r="B646" t="inlineStr">
        <is>
          <t>15 (2).tif</t>
        </is>
      </c>
      <c r="C646" t="inlineStr">
        <is>
          <t>15(2)-V06</t>
        </is>
      </c>
      <c r="D646" t="n">
        <v>6</v>
      </c>
      <c r="E646" t="inlineStr">
        <is>
          <t>primary</t>
        </is>
      </c>
      <c r="F646" t="n">
        <v>320.6049149338374</v>
      </c>
      <c r="G646">
        <f>2*SQRT(F646/PI())</f>
        <v/>
      </c>
      <c r="H646" t="n">
        <v>70.44538487558779</v>
      </c>
      <c r="I646" t="n">
        <v>140</v>
      </c>
      <c r="J646" t="n">
        <v>511</v>
      </c>
      <c r="K646" t="n">
        <v>314.1928166351607</v>
      </c>
      <c r="L646" t="n">
        <v>327.0170132325142</v>
      </c>
      <c r="M646">
        <f>2*SQRT(K646/PI())</f>
        <v/>
      </c>
      <c r="N646">
        <f>2*SQRT(L646/PI())</f>
        <v/>
      </c>
      <c r="P646" t="inlineStr">
        <is>
          <t>是</t>
        </is>
      </c>
      <c r="Q646" t="inlineStr">
        <is>
          <t>auto_pipeline;review_png_green</t>
        </is>
      </c>
      <c r="R646" t="inlineStr">
        <is>
          <t>样品15</t>
        </is>
      </c>
    </row>
    <row r="647">
      <c r="A647" t="n">
        <v>646</v>
      </c>
      <c r="B647" t="inlineStr">
        <is>
          <t>15 (3).tif</t>
        </is>
      </c>
      <c r="C647" t="inlineStr">
        <is>
          <t>15(3)-V01</t>
        </is>
      </c>
      <c r="D647" t="n">
        <v>1</v>
      </c>
      <c r="E647" t="inlineStr">
        <is>
          <t>primary</t>
        </is>
      </c>
      <c r="F647" t="n">
        <v>326.2996219281663</v>
      </c>
      <c r="G647">
        <f>2*SQRT(F647/PI())</f>
        <v/>
      </c>
      <c r="H647" t="n">
        <v>68.21872387243354</v>
      </c>
      <c r="I647" t="n">
        <v>460</v>
      </c>
      <c r="J647" t="n">
        <v>326</v>
      </c>
      <c r="K647" t="n">
        <v>319.773629489603</v>
      </c>
      <c r="L647" t="n">
        <v>332.8256143667297</v>
      </c>
      <c r="M647">
        <f>2*SQRT(K647/PI())</f>
        <v/>
      </c>
      <c r="N647">
        <f>2*SQRT(L647/PI())</f>
        <v/>
      </c>
      <c r="P647" t="inlineStr">
        <is>
          <t>是</t>
        </is>
      </c>
      <c r="Q647" t="inlineStr">
        <is>
          <t>auto_pipeline;review_png_green</t>
        </is>
      </c>
      <c r="R647" t="inlineStr">
        <is>
          <t>样品15</t>
        </is>
      </c>
    </row>
    <row r="648">
      <c r="A648" t="n">
        <v>647</v>
      </c>
      <c r="B648" t="inlineStr">
        <is>
          <t>15 (3).tif</t>
        </is>
      </c>
      <c r="C648" t="inlineStr">
        <is>
          <t>15(3)-V02</t>
        </is>
      </c>
      <c r="D648" t="n">
        <v>2</v>
      </c>
      <c r="E648" t="inlineStr">
        <is>
          <t>primary</t>
        </is>
      </c>
      <c r="F648" t="n">
        <v>313.3270321361059</v>
      </c>
      <c r="G648">
        <f>2*SQRT(F648/PI())</f>
        <v/>
      </c>
      <c r="H648" t="n">
        <v>73.11587851980458</v>
      </c>
      <c r="I648" t="n">
        <v>121</v>
      </c>
      <c r="J648" t="n">
        <v>318</v>
      </c>
      <c r="K648" t="n">
        <v>307.0604914933837</v>
      </c>
      <c r="L648" t="n">
        <v>319.593572778828</v>
      </c>
      <c r="M648">
        <f>2*SQRT(K648/PI())</f>
        <v/>
      </c>
      <c r="N648">
        <f>2*SQRT(L648/PI())</f>
        <v/>
      </c>
      <c r="P648" t="inlineStr">
        <is>
          <t>是</t>
        </is>
      </c>
      <c r="Q648" t="inlineStr">
        <is>
          <t>auto_pipeline;review_png_green</t>
        </is>
      </c>
      <c r="R648" t="inlineStr">
        <is>
          <t>样品15</t>
        </is>
      </c>
    </row>
    <row r="649">
      <c r="A649" t="n">
        <v>648</v>
      </c>
      <c r="B649" t="inlineStr">
        <is>
          <t>15 (3).tif</t>
        </is>
      </c>
      <c r="C649" t="inlineStr">
        <is>
          <t>15(3)-V03</t>
        </is>
      </c>
      <c r="D649" t="n">
        <v>3</v>
      </c>
      <c r="E649" t="inlineStr">
        <is>
          <t>primary</t>
        </is>
      </c>
      <c r="F649" t="n">
        <v>249.1493383742911</v>
      </c>
      <c r="G649">
        <f>2*SQRT(F649/PI())</f>
        <v/>
      </c>
      <c r="H649" t="n">
        <v>59.07923905745796</v>
      </c>
      <c r="I649" t="n">
        <v>738</v>
      </c>
      <c r="J649" t="n">
        <v>372</v>
      </c>
      <c r="K649" t="n">
        <v>244.1663516068053</v>
      </c>
      <c r="L649" t="n">
        <v>254.132325141777</v>
      </c>
      <c r="M649">
        <f>2*SQRT(K649/PI())</f>
        <v/>
      </c>
      <c r="N649">
        <f>2*SQRT(L649/PI())</f>
        <v/>
      </c>
      <c r="P649" t="inlineStr">
        <is>
          <t>是</t>
        </is>
      </c>
      <c r="Q649" t="inlineStr">
        <is>
          <t>auto_pipeline;review_png_green</t>
        </is>
      </c>
      <c r="R649" t="inlineStr">
        <is>
          <t>样品15</t>
        </is>
      </c>
    </row>
    <row r="650">
      <c r="A650" t="n">
        <v>649</v>
      </c>
      <c r="B650" t="inlineStr">
        <is>
          <t>15 (3).tif</t>
        </is>
      </c>
      <c r="C650" t="inlineStr">
        <is>
          <t>15(3)-V04</t>
        </is>
      </c>
      <c r="D650" t="n">
        <v>4</v>
      </c>
      <c r="E650" t="inlineStr">
        <is>
          <t>primary</t>
        </is>
      </c>
      <c r="F650" t="n">
        <v>230.6238185255199</v>
      </c>
      <c r="G650">
        <f>2*SQRT(F650/PI())</f>
        <v/>
      </c>
      <c r="H650" t="n">
        <v>57.23461270332336</v>
      </c>
      <c r="I650" t="n">
        <v>880</v>
      </c>
      <c r="J650" t="n">
        <v>92</v>
      </c>
      <c r="K650" t="n">
        <v>226.0113421550095</v>
      </c>
      <c r="L650" t="n">
        <v>235.2362948960302</v>
      </c>
      <c r="M650">
        <f>2*SQRT(K650/PI())</f>
        <v/>
      </c>
      <c r="N650">
        <f>2*SQRT(L650/PI())</f>
        <v/>
      </c>
      <c r="P650" t="inlineStr">
        <is>
          <t>是</t>
        </is>
      </c>
      <c r="Q650" t="inlineStr">
        <is>
          <t>auto_pipeline;review_png_green</t>
        </is>
      </c>
      <c r="R650" t="inlineStr">
        <is>
          <t>样品15</t>
        </is>
      </c>
    </row>
    <row r="651">
      <c r="A651" t="n">
        <v>650</v>
      </c>
      <c r="B651" t="inlineStr">
        <is>
          <t>15 (3).tif</t>
        </is>
      </c>
      <c r="C651" t="inlineStr">
        <is>
          <t>15(3)-V05</t>
        </is>
      </c>
      <c r="D651" t="n">
        <v>5</v>
      </c>
      <c r="E651" t="inlineStr">
        <is>
          <t>primary</t>
        </is>
      </c>
      <c r="F651" t="n">
        <v>165.2882797731569</v>
      </c>
      <c r="G651">
        <f>2*SQRT(F651/PI())</f>
        <v/>
      </c>
      <c r="H651" t="n">
        <v>48.20062380769978</v>
      </c>
      <c r="I651" t="n">
        <v>540</v>
      </c>
      <c r="J651" t="n">
        <v>392</v>
      </c>
      <c r="K651" t="n">
        <v>161.9825141776938</v>
      </c>
      <c r="L651" t="n">
        <v>168.59404536862</v>
      </c>
      <c r="M651">
        <f>2*SQRT(K651/PI())</f>
        <v/>
      </c>
      <c r="N651">
        <f>2*SQRT(L651/PI())</f>
        <v/>
      </c>
      <c r="P651" t="inlineStr">
        <is>
          <t>是</t>
        </is>
      </c>
      <c r="Q651" t="inlineStr">
        <is>
          <t>auto_pipeline;review_png_green</t>
        </is>
      </c>
      <c r="R651" t="inlineStr">
        <is>
          <t>样品15</t>
        </is>
      </c>
    </row>
    <row r="652">
      <c r="A652" t="n">
        <v>651</v>
      </c>
      <c r="B652" t="inlineStr">
        <is>
          <t>15 (3).tif</t>
        </is>
      </c>
      <c r="C652" t="inlineStr">
        <is>
          <t>15(3)-V06</t>
        </is>
      </c>
      <c r="D652" t="n">
        <v>6</v>
      </c>
      <c r="E652" t="inlineStr">
        <is>
          <t>primary</t>
        </is>
      </c>
      <c r="F652" t="n">
        <v>145.15595463138</v>
      </c>
      <c r="G652">
        <f>2*SQRT(F652/PI())</f>
        <v/>
      </c>
      <c r="H652" t="n">
        <v>46.71618313893028</v>
      </c>
      <c r="I652" t="n">
        <v>611</v>
      </c>
      <c r="J652" t="n">
        <v>357</v>
      </c>
      <c r="K652" t="n">
        <v>142.2528355387524</v>
      </c>
      <c r="L652" t="n">
        <v>148.0590737240076</v>
      </c>
      <c r="M652">
        <f>2*SQRT(K652/PI())</f>
        <v/>
      </c>
      <c r="N652">
        <f>2*SQRT(L652/PI())</f>
        <v/>
      </c>
      <c r="P652" t="inlineStr">
        <is>
          <t>是</t>
        </is>
      </c>
      <c r="Q652" t="inlineStr">
        <is>
          <t>auto_pipeline;review_png_green</t>
        </is>
      </c>
      <c r="R652" t="inlineStr">
        <is>
          <t>样品15</t>
        </is>
      </c>
    </row>
    <row r="653">
      <c r="A653" t="n">
        <v>652</v>
      </c>
      <c r="B653" t="inlineStr">
        <is>
          <t>15 (4).tif</t>
        </is>
      </c>
      <c r="C653" t="inlineStr">
        <is>
          <t>15(4)-V01</t>
        </is>
      </c>
      <c r="D653" t="n">
        <v>1</v>
      </c>
      <c r="E653" t="inlineStr">
        <is>
          <t>primary</t>
        </is>
      </c>
      <c r="F653" t="n">
        <v>1192.296786389414</v>
      </c>
      <c r="G653">
        <f>2*SQRT(F653/PI())</f>
        <v/>
      </c>
      <c r="H653" t="n">
        <v>130.034003465072</v>
      </c>
      <c r="I653" t="n">
        <v>375</v>
      </c>
      <c r="J653" t="n">
        <v>310</v>
      </c>
      <c r="K653" t="n">
        <v>1168.450850661626</v>
      </c>
      <c r="L653" t="n">
        <v>1216.142722117202</v>
      </c>
      <c r="M653">
        <f>2*SQRT(K653/PI())</f>
        <v/>
      </c>
      <c r="N653">
        <f>2*SQRT(L653/PI())</f>
        <v/>
      </c>
      <c r="P653" t="inlineStr">
        <is>
          <t>是</t>
        </is>
      </c>
      <c r="Q653" t="inlineStr">
        <is>
          <t>auto_pipeline;review_png_green</t>
        </is>
      </c>
      <c r="R653" t="inlineStr">
        <is>
          <t>样品15</t>
        </is>
      </c>
    </row>
    <row r="654">
      <c r="A654" t="n">
        <v>653</v>
      </c>
      <c r="B654" t="inlineStr">
        <is>
          <t>15 (4).tif</t>
        </is>
      </c>
      <c r="C654" t="inlineStr">
        <is>
          <t>15(4)-V02</t>
        </is>
      </c>
      <c r="D654" t="n">
        <v>2</v>
      </c>
      <c r="E654" t="inlineStr">
        <is>
          <t>primary</t>
        </is>
      </c>
      <c r="F654" t="n">
        <v>774.976370510397</v>
      </c>
      <c r="G654">
        <f>2*SQRT(F654/PI())</f>
        <v/>
      </c>
      <c r="H654" t="n">
        <v>104.9258569789969</v>
      </c>
      <c r="I654" t="n">
        <v>594</v>
      </c>
      <c r="J654" t="n">
        <v>321</v>
      </c>
      <c r="K654" t="n">
        <v>759.4768431001891</v>
      </c>
      <c r="L654" t="n">
        <v>790.475897920605</v>
      </c>
      <c r="M654">
        <f>2*SQRT(K654/PI())</f>
        <v/>
      </c>
      <c r="N654">
        <f>2*SQRT(L654/PI())</f>
        <v/>
      </c>
      <c r="P654" t="inlineStr">
        <is>
          <t>是</t>
        </is>
      </c>
      <c r="Q654" t="inlineStr">
        <is>
          <t>auto_pipeline;review_png_green</t>
        </is>
      </c>
      <c r="R654" t="inlineStr">
        <is>
          <t>样品15</t>
        </is>
      </c>
    </row>
    <row r="655">
      <c r="A655" t="n">
        <v>654</v>
      </c>
      <c r="B655" t="inlineStr">
        <is>
          <t>15 (4).tif</t>
        </is>
      </c>
      <c r="C655" t="inlineStr">
        <is>
          <t>15(4)-V03</t>
        </is>
      </c>
      <c r="D655" t="n">
        <v>3</v>
      </c>
      <c r="E655" t="inlineStr">
        <is>
          <t>primary</t>
        </is>
      </c>
      <c r="F655" t="n">
        <v>527.4338374291116</v>
      </c>
      <c r="G655">
        <f>2*SQRT(F655/PI())</f>
        <v/>
      </c>
      <c r="H655" t="n">
        <v>88.89539731585461</v>
      </c>
      <c r="I655" t="n">
        <v>325</v>
      </c>
      <c r="J655" t="n">
        <v>588</v>
      </c>
      <c r="K655" t="n">
        <v>516.8851606805293</v>
      </c>
      <c r="L655" t="n">
        <v>537.9825141776938</v>
      </c>
      <c r="M655">
        <f>2*SQRT(K655/PI())</f>
        <v/>
      </c>
      <c r="N655">
        <f>2*SQRT(L655/PI())</f>
        <v/>
      </c>
      <c r="P655" t="inlineStr">
        <is>
          <t>是</t>
        </is>
      </c>
      <c r="Q655" t="inlineStr">
        <is>
          <t>auto_pipeline;review_png_green</t>
        </is>
      </c>
      <c r="R655" t="inlineStr">
        <is>
          <t>样品15</t>
        </is>
      </c>
    </row>
    <row r="656">
      <c r="A656" t="n">
        <v>655</v>
      </c>
      <c r="B656" t="inlineStr">
        <is>
          <t>15 (4).tif</t>
        </is>
      </c>
      <c r="C656" t="inlineStr">
        <is>
          <t>15(4)-V04</t>
        </is>
      </c>
      <c r="D656" t="n">
        <v>4</v>
      </c>
      <c r="E656" t="inlineStr">
        <is>
          <t>primary</t>
        </is>
      </c>
      <c r="F656" t="n">
        <v>491.9659735349716</v>
      </c>
      <c r="G656">
        <f>2*SQRT(F656/PI())</f>
        <v/>
      </c>
      <c r="H656" t="n">
        <v>86.05386086132215</v>
      </c>
      <c r="I656" t="n">
        <v>917</v>
      </c>
      <c r="J656" t="n">
        <v>412</v>
      </c>
      <c r="K656" t="n">
        <v>482.1266540642722</v>
      </c>
      <c r="L656" t="n">
        <v>501.805293005671</v>
      </c>
      <c r="M656">
        <f>2*SQRT(K656/PI())</f>
        <v/>
      </c>
      <c r="N656">
        <f>2*SQRT(L656/PI())</f>
        <v/>
      </c>
      <c r="P656" t="inlineStr">
        <is>
          <t>是</t>
        </is>
      </c>
      <c r="Q656" t="inlineStr">
        <is>
          <t>auto_pipeline;review_png_green</t>
        </is>
      </c>
      <c r="R656" t="inlineStr">
        <is>
          <t>样品15</t>
        </is>
      </c>
    </row>
    <row r="657">
      <c r="A657" t="n">
        <v>656</v>
      </c>
      <c r="B657" t="inlineStr">
        <is>
          <t>15 (4).tif</t>
        </is>
      </c>
      <c r="C657" t="inlineStr">
        <is>
          <t>15(4)-V05</t>
        </is>
      </c>
      <c r="D657" t="n">
        <v>5</v>
      </c>
      <c r="E657" t="inlineStr">
        <is>
          <t>primary</t>
        </is>
      </c>
      <c r="F657" t="n">
        <v>161.0822306238185</v>
      </c>
      <c r="G657">
        <f>2*SQRT(F657/PI())</f>
        <v/>
      </c>
      <c r="H657" t="n">
        <v>56.43059437689574</v>
      </c>
      <c r="I657" t="n">
        <v>648</v>
      </c>
      <c r="J657" t="n">
        <v>593</v>
      </c>
      <c r="K657" t="n">
        <v>157.8605860113421</v>
      </c>
      <c r="L657" t="n">
        <v>164.3038752362949</v>
      </c>
      <c r="M657">
        <f>2*SQRT(K657/PI())</f>
        <v/>
      </c>
      <c r="N657">
        <f>2*SQRT(L657/PI())</f>
        <v/>
      </c>
      <c r="P657" t="inlineStr">
        <is>
          <t>是</t>
        </is>
      </c>
      <c r="Q657" t="inlineStr">
        <is>
          <t>auto_pipeline;review_png_green</t>
        </is>
      </c>
      <c r="R657" t="inlineStr">
        <is>
          <t>样品15</t>
        </is>
      </c>
    </row>
    <row r="658">
      <c r="A658" t="n">
        <v>657</v>
      </c>
      <c r="B658" t="inlineStr">
        <is>
          <t>15 (4).tif</t>
        </is>
      </c>
      <c r="C658" t="inlineStr">
        <is>
          <t>15(4)-V06</t>
        </is>
      </c>
      <c r="D658" t="n">
        <v>6</v>
      </c>
      <c r="E658" t="inlineStr">
        <is>
          <t>primary</t>
        </is>
      </c>
      <c r="F658" t="n">
        <v>129.5841209829868</v>
      </c>
      <c r="G658">
        <f>2*SQRT(F658/PI())</f>
        <v/>
      </c>
      <c r="H658" t="n">
        <v>49.19753390809764</v>
      </c>
      <c r="I658" t="n">
        <v>763</v>
      </c>
      <c r="J658" t="n">
        <v>212</v>
      </c>
      <c r="K658" t="n">
        <v>126.992438563327</v>
      </c>
      <c r="L658" t="n">
        <v>132.1758034026465</v>
      </c>
      <c r="M658">
        <f>2*SQRT(K658/PI())</f>
        <v/>
      </c>
      <c r="N658">
        <f>2*SQRT(L658/PI())</f>
        <v/>
      </c>
      <c r="P658" t="inlineStr">
        <is>
          <t>是</t>
        </is>
      </c>
      <c r="Q658" t="inlineStr">
        <is>
          <t>auto_pipeline;review_png_green</t>
        </is>
      </c>
      <c r="R658" t="inlineStr">
        <is>
          <t>样品15</t>
        </is>
      </c>
    </row>
    <row r="659">
      <c r="A659" t="n">
        <v>658</v>
      </c>
      <c r="B659" t="inlineStr">
        <is>
          <t>15 (5).tif</t>
        </is>
      </c>
      <c r="C659" t="inlineStr">
        <is>
          <t>15(5)-V01</t>
        </is>
      </c>
      <c r="D659" t="n">
        <v>1</v>
      </c>
      <c r="E659" t="inlineStr">
        <is>
          <t>primary</t>
        </is>
      </c>
      <c r="F659" t="n">
        <v>765.9735349716447</v>
      </c>
      <c r="G659">
        <f>2*SQRT(F659/PI())</f>
        <v/>
      </c>
      <c r="H659" t="n">
        <v>104.0781407252602</v>
      </c>
      <c r="I659" t="n">
        <v>478</v>
      </c>
      <c r="J659" t="n">
        <v>437</v>
      </c>
      <c r="K659" t="n">
        <v>750.6540642722117</v>
      </c>
      <c r="L659" t="n">
        <v>781.2930056710776</v>
      </c>
      <c r="M659">
        <f>2*SQRT(K659/PI())</f>
        <v/>
      </c>
      <c r="N659">
        <f>2*SQRT(L659/PI())</f>
        <v/>
      </c>
      <c r="P659" t="inlineStr">
        <is>
          <t>是</t>
        </is>
      </c>
      <c r="Q659" t="inlineStr">
        <is>
          <t>auto_pipeline;review_png_green</t>
        </is>
      </c>
      <c r="R659" t="inlineStr">
        <is>
          <t>样品15</t>
        </is>
      </c>
    </row>
    <row r="660">
      <c r="A660" t="n">
        <v>659</v>
      </c>
      <c r="B660" t="inlineStr">
        <is>
          <t>15 (5).tif</t>
        </is>
      </c>
      <c r="C660" t="inlineStr">
        <is>
          <t>15(5)-V02</t>
        </is>
      </c>
      <c r="D660" t="n">
        <v>2</v>
      </c>
      <c r="E660" t="inlineStr">
        <is>
          <t>primary</t>
        </is>
      </c>
      <c r="F660" t="n">
        <v>461.3657844990548</v>
      </c>
      <c r="G660">
        <f>2*SQRT(F660/PI())</f>
        <v/>
      </c>
      <c r="H660" t="n">
        <v>80.96381443998088</v>
      </c>
      <c r="I660" t="n">
        <v>471</v>
      </c>
      <c r="J660" t="n">
        <v>289</v>
      </c>
      <c r="K660" t="n">
        <v>452.1384688090737</v>
      </c>
      <c r="L660" t="n">
        <v>470.5931001890359</v>
      </c>
      <c r="M660">
        <f>2*SQRT(K660/PI())</f>
        <v/>
      </c>
      <c r="N660">
        <f>2*SQRT(L660/PI())</f>
        <v/>
      </c>
      <c r="P660" t="inlineStr">
        <is>
          <t>是</t>
        </is>
      </c>
      <c r="Q660" t="inlineStr">
        <is>
          <t>auto_pipeline;review_png_green</t>
        </is>
      </c>
      <c r="R660" t="inlineStr">
        <is>
          <t>样品15</t>
        </is>
      </c>
    </row>
    <row r="661">
      <c r="A661" t="n">
        <v>660</v>
      </c>
      <c r="B661" t="inlineStr">
        <is>
          <t>15 (5).tif</t>
        </is>
      </c>
      <c r="C661" t="inlineStr">
        <is>
          <t>15(5)-V03</t>
        </is>
      </c>
      <c r="D661" t="n">
        <v>3</v>
      </c>
      <c r="E661" t="inlineStr">
        <is>
          <t>primary</t>
        </is>
      </c>
      <c r="F661" t="n">
        <v>443.6672967863894</v>
      </c>
      <c r="G661">
        <f>2*SQRT(F661/PI())</f>
        <v/>
      </c>
      <c r="H661" t="n">
        <v>79.60671865421793</v>
      </c>
      <c r="I661" t="n">
        <v>942</v>
      </c>
      <c r="J661" t="n">
        <v>577</v>
      </c>
      <c r="K661" t="n">
        <v>434.7939508506616</v>
      </c>
      <c r="L661" t="n">
        <v>452.5406427221172</v>
      </c>
      <c r="M661">
        <f>2*SQRT(K661/PI())</f>
        <v/>
      </c>
      <c r="N661">
        <f>2*SQRT(L661/PI())</f>
        <v/>
      </c>
      <c r="P661" t="inlineStr">
        <is>
          <t>是</t>
        </is>
      </c>
      <c r="Q661" t="inlineStr">
        <is>
          <t>auto_pipeline;review_png_green</t>
        </is>
      </c>
      <c r="R661" t="inlineStr">
        <is>
          <t>样品15</t>
        </is>
      </c>
    </row>
    <row r="662">
      <c r="A662" t="n">
        <v>661</v>
      </c>
      <c r="B662" t="inlineStr">
        <is>
          <t>15 (5).tif</t>
        </is>
      </c>
      <c r="C662" t="inlineStr">
        <is>
          <t>15(5)-V04</t>
        </is>
      </c>
      <c r="D662" t="n">
        <v>4</v>
      </c>
      <c r="E662" t="inlineStr">
        <is>
          <t>primary</t>
        </is>
      </c>
      <c r="F662" t="n">
        <v>351.5122873345936</v>
      </c>
      <c r="G662">
        <f>2*SQRT(F662/PI())</f>
        <v/>
      </c>
      <c r="H662" t="n">
        <v>70.95476440761401</v>
      </c>
      <c r="I662" t="n">
        <v>787</v>
      </c>
      <c r="J662" t="n">
        <v>149</v>
      </c>
      <c r="K662" t="n">
        <v>344.4820415879017</v>
      </c>
      <c r="L662" t="n">
        <v>358.5425330812855</v>
      </c>
      <c r="M662">
        <f>2*SQRT(K662/PI())</f>
        <v/>
      </c>
      <c r="N662">
        <f>2*SQRT(L662/PI())</f>
        <v/>
      </c>
      <c r="P662" t="inlineStr">
        <is>
          <t>是</t>
        </is>
      </c>
      <c r="Q662" t="inlineStr">
        <is>
          <t>auto_pipeline;review_png_green</t>
        </is>
      </c>
      <c r="R662" t="inlineStr">
        <is>
          <t>样品15</t>
        </is>
      </c>
    </row>
    <row r="663">
      <c r="A663" t="n">
        <v>662</v>
      </c>
      <c r="B663" t="inlineStr">
        <is>
          <t>15 (6).tif</t>
        </is>
      </c>
      <c r="C663" t="inlineStr">
        <is>
          <t>15(6)-V01</t>
        </is>
      </c>
      <c r="D663" t="n">
        <v>1</v>
      </c>
      <c r="E663" t="inlineStr">
        <is>
          <t>primary</t>
        </is>
      </c>
      <c r="F663" t="n">
        <v>554.1351606805293</v>
      </c>
      <c r="G663">
        <f>2*SQRT(F663/PI())</f>
        <v/>
      </c>
      <c r="H663" t="n">
        <v>89.0008932352066</v>
      </c>
      <c r="I663" t="n">
        <v>416</v>
      </c>
      <c r="J663" t="n">
        <v>323</v>
      </c>
      <c r="K663" t="n">
        <v>543.0524574669188</v>
      </c>
      <c r="L663" t="n">
        <v>565.2178638941399</v>
      </c>
      <c r="M663">
        <f>2*SQRT(K663/PI())</f>
        <v/>
      </c>
      <c r="N663">
        <f>2*SQRT(L663/PI())</f>
        <v/>
      </c>
      <c r="P663" t="inlineStr">
        <is>
          <t>是</t>
        </is>
      </c>
      <c r="Q663" t="inlineStr">
        <is>
          <t>auto_pipeline;review_png_green</t>
        </is>
      </c>
      <c r="R663" t="inlineStr">
        <is>
          <t>样品15</t>
        </is>
      </c>
    </row>
    <row r="664">
      <c r="A664" t="n">
        <v>663</v>
      </c>
      <c r="B664" t="inlineStr">
        <is>
          <t>15 (6).tif</t>
        </is>
      </c>
      <c r="C664" t="inlineStr">
        <is>
          <t>15(6)-V02</t>
        </is>
      </c>
      <c r="D664" t="n">
        <v>2</v>
      </c>
      <c r="E664" t="inlineStr">
        <is>
          <t>primary</t>
        </is>
      </c>
      <c r="F664" t="n">
        <v>479.3005671077505</v>
      </c>
      <c r="G664">
        <f>2*SQRT(F664/PI())</f>
        <v/>
      </c>
      <c r="H664" t="n">
        <v>82.06622045973073</v>
      </c>
      <c r="I664" t="n">
        <v>556</v>
      </c>
      <c r="J664" t="n">
        <v>403</v>
      </c>
      <c r="K664" t="n">
        <v>469.7145557655954</v>
      </c>
      <c r="L664" t="n">
        <v>488.8865784499055</v>
      </c>
      <c r="M664">
        <f>2*SQRT(K664/PI())</f>
        <v/>
      </c>
      <c r="N664">
        <f>2*SQRT(L664/PI())</f>
        <v/>
      </c>
      <c r="P664" t="inlineStr">
        <is>
          <t>是</t>
        </is>
      </c>
      <c r="Q664" t="inlineStr">
        <is>
          <t>auto_pipeline;review_png_green</t>
        </is>
      </c>
      <c r="R664" t="inlineStr">
        <is>
          <t>样品15</t>
        </is>
      </c>
    </row>
    <row r="665">
      <c r="A665" t="n">
        <v>664</v>
      </c>
      <c r="B665" t="inlineStr">
        <is>
          <t>15 (6).tif</t>
        </is>
      </c>
      <c r="C665" t="inlineStr">
        <is>
          <t>15(6)-V03</t>
        </is>
      </c>
      <c r="D665" t="n">
        <v>3</v>
      </c>
      <c r="E665" t="inlineStr">
        <is>
          <t>primary</t>
        </is>
      </c>
      <c r="F665" t="n">
        <v>118.5727788279773</v>
      </c>
      <c r="G665">
        <f>2*SQRT(F665/PI())</f>
        <v/>
      </c>
      <c r="H665" t="n">
        <v>43.40896507968073</v>
      </c>
      <c r="I665" t="n">
        <v>635</v>
      </c>
      <c r="J665" t="n">
        <v>61</v>
      </c>
      <c r="K665" t="n">
        <v>116.2013232514178</v>
      </c>
      <c r="L665" t="n">
        <v>120.9442344045369</v>
      </c>
      <c r="M665">
        <f>2*SQRT(K665/PI())</f>
        <v/>
      </c>
      <c r="N665">
        <f>2*SQRT(L665/PI())</f>
        <v/>
      </c>
      <c r="P665" t="inlineStr">
        <is>
          <t>是</t>
        </is>
      </c>
      <c r="Q665" t="inlineStr">
        <is>
          <t>auto_pipeline;review_png_green</t>
        </is>
      </c>
      <c r="R665" t="inlineStr">
        <is>
          <t>样品15</t>
        </is>
      </c>
    </row>
    <row r="666">
      <c r="A666" t="n">
        <v>665</v>
      </c>
      <c r="B666" t="inlineStr">
        <is>
          <t>15 (7).tif</t>
        </is>
      </c>
      <c r="C666" t="inlineStr">
        <is>
          <t>15(7)-V01</t>
        </is>
      </c>
      <c r="D666" t="n">
        <v>1</v>
      </c>
      <c r="E666" t="inlineStr">
        <is>
          <t>primary</t>
        </is>
      </c>
      <c r="F666" t="n">
        <v>645.132325141777</v>
      </c>
      <c r="G666">
        <f>2*SQRT(F666/PI())</f>
        <v/>
      </c>
      <c r="H666" t="n">
        <v>95.42618647865626</v>
      </c>
      <c r="I666" t="n">
        <v>450</v>
      </c>
      <c r="J666" t="n">
        <v>393</v>
      </c>
      <c r="K666" t="n">
        <v>632.2296786389414</v>
      </c>
      <c r="L666" t="n">
        <v>658.0349716446125</v>
      </c>
      <c r="M666">
        <f>2*SQRT(K666/PI())</f>
        <v/>
      </c>
      <c r="N666">
        <f>2*SQRT(L666/PI())</f>
        <v/>
      </c>
      <c r="P666" t="inlineStr">
        <is>
          <t>是</t>
        </is>
      </c>
      <c r="Q666" t="inlineStr">
        <is>
          <t>auto_pipeline;review_png_green</t>
        </is>
      </c>
      <c r="R666" t="inlineStr">
        <is>
          <t>样品15</t>
        </is>
      </c>
    </row>
    <row r="667">
      <c r="A667" t="n">
        <v>666</v>
      </c>
      <c r="B667" t="inlineStr">
        <is>
          <t>15 (7).tif</t>
        </is>
      </c>
      <c r="C667" t="inlineStr">
        <is>
          <t>15(7)-V02</t>
        </is>
      </c>
      <c r="D667" t="n">
        <v>2</v>
      </c>
      <c r="E667" t="inlineStr">
        <is>
          <t>primary</t>
        </is>
      </c>
      <c r="F667" t="n">
        <v>584.569943289225</v>
      </c>
      <c r="G667">
        <f>2*SQRT(F667/PI())</f>
        <v/>
      </c>
      <c r="H667" t="n">
        <v>90.84551958934121</v>
      </c>
      <c r="I667" t="n">
        <v>618</v>
      </c>
      <c r="J667" t="n">
        <v>400</v>
      </c>
      <c r="K667" t="n">
        <v>572.8785444234404</v>
      </c>
      <c r="L667" t="n">
        <v>596.2613421550095</v>
      </c>
      <c r="M667">
        <f>2*SQRT(K667/PI())</f>
        <v/>
      </c>
      <c r="N667">
        <f>2*SQRT(L667/PI())</f>
        <v/>
      </c>
      <c r="P667" t="inlineStr">
        <is>
          <t>是</t>
        </is>
      </c>
      <c r="Q667" t="inlineStr">
        <is>
          <t>auto_pipeline;review_png_green</t>
        </is>
      </c>
      <c r="R667" t="inlineStr">
        <is>
          <t>样品15</t>
        </is>
      </c>
    </row>
    <row r="668">
      <c r="A668" t="n">
        <v>667</v>
      </c>
      <c r="B668" t="inlineStr">
        <is>
          <t>15 (7).tif</t>
        </is>
      </c>
      <c r="C668" t="inlineStr">
        <is>
          <t>15(7)-V03</t>
        </is>
      </c>
      <c r="D668" t="n">
        <v>3</v>
      </c>
      <c r="E668" t="inlineStr">
        <is>
          <t>primary</t>
        </is>
      </c>
      <c r="F668" t="n">
        <v>349.2674858223062</v>
      </c>
      <c r="G668">
        <f>2*SQRT(F668/PI())</f>
        <v/>
      </c>
      <c r="H668" t="n">
        <v>69.95785430721614</v>
      </c>
      <c r="I668" t="n">
        <v>311</v>
      </c>
      <c r="J668" t="n">
        <v>161</v>
      </c>
      <c r="K668" t="n">
        <v>342.2821361058601</v>
      </c>
      <c r="L668" t="n">
        <v>356.2528355387524</v>
      </c>
      <c r="M668">
        <f>2*SQRT(K668/PI())</f>
        <v/>
      </c>
      <c r="N668">
        <f>2*SQRT(L668/PI())</f>
        <v/>
      </c>
      <c r="P668" t="inlineStr">
        <is>
          <t>是</t>
        </is>
      </c>
      <c r="Q668" t="inlineStr">
        <is>
          <t>auto_pipeline;review_png_green</t>
        </is>
      </c>
      <c r="R668" t="inlineStr">
        <is>
          <t>样品15</t>
        </is>
      </c>
    </row>
    <row r="669">
      <c r="A669" t="n">
        <v>668</v>
      </c>
      <c r="B669" t="inlineStr">
        <is>
          <t>15 (7).tif</t>
        </is>
      </c>
      <c r="C669" t="inlineStr">
        <is>
          <t>15(7)-V04</t>
        </is>
      </c>
      <c r="D669" t="n">
        <v>4</v>
      </c>
      <c r="E669" t="inlineStr">
        <is>
          <t>primary</t>
        </is>
      </c>
      <c r="F669" t="n">
        <v>222.117202268431</v>
      </c>
      <c r="G669">
        <f>2*SQRT(F669/PI())</f>
        <v/>
      </c>
      <c r="H669" t="n">
        <v>56.47054340528405</v>
      </c>
      <c r="I669" t="n">
        <v>84</v>
      </c>
      <c r="J669" t="n">
        <v>351</v>
      </c>
      <c r="K669" t="n">
        <v>217.6748582230624</v>
      </c>
      <c r="L669" t="n">
        <v>226.5595463137996</v>
      </c>
      <c r="M669">
        <f>2*SQRT(K669/PI())</f>
        <v/>
      </c>
      <c r="N669">
        <f>2*SQRT(L669/PI())</f>
        <v/>
      </c>
      <c r="P669" t="inlineStr">
        <is>
          <t>是</t>
        </is>
      </c>
      <c r="Q669" t="inlineStr">
        <is>
          <t>auto_pipeline;review_png_green</t>
        </is>
      </c>
      <c r="R669" t="inlineStr">
        <is>
          <t>样品15</t>
        </is>
      </c>
    </row>
    <row r="670">
      <c r="A670" t="n">
        <v>669</v>
      </c>
      <c r="B670" t="inlineStr">
        <is>
          <t>15 (7).tif</t>
        </is>
      </c>
      <c r="C670" t="inlineStr">
        <is>
          <t>15(7)-V05</t>
        </is>
      </c>
      <c r="D670" t="n">
        <v>5</v>
      </c>
      <c r="E670" t="inlineStr">
        <is>
          <t>primary</t>
        </is>
      </c>
      <c r="F670" t="n">
        <v>123.1568998109641</v>
      </c>
      <c r="G670">
        <f>2*SQRT(F670/PI())</f>
        <v/>
      </c>
      <c r="H670" t="n">
        <v>50.25999089945918</v>
      </c>
      <c r="I670" t="n">
        <v>465</v>
      </c>
      <c r="J670" t="n">
        <v>89</v>
      </c>
      <c r="K670" t="n">
        <v>120.6937618147448</v>
      </c>
      <c r="L670" t="n">
        <v>125.6200378071834</v>
      </c>
      <c r="M670">
        <f>2*SQRT(K670/PI())</f>
        <v/>
      </c>
      <c r="N670">
        <f>2*SQRT(L670/PI())</f>
        <v/>
      </c>
      <c r="P670" t="inlineStr">
        <is>
          <t>是</t>
        </is>
      </c>
      <c r="Q670" t="inlineStr">
        <is>
          <t>auto_pipeline;review_png_green</t>
        </is>
      </c>
      <c r="R670" t="inlineStr">
        <is>
          <t>样品15</t>
        </is>
      </c>
    </row>
    <row r="671">
      <c r="A671" t="n">
        <v>670</v>
      </c>
      <c r="B671" t="inlineStr">
        <is>
          <t>15 (7).tif</t>
        </is>
      </c>
      <c r="C671" t="inlineStr">
        <is>
          <t>15(7)-V06</t>
        </is>
      </c>
      <c r="D671" t="n">
        <v>6</v>
      </c>
      <c r="E671" t="inlineStr">
        <is>
          <t>primary</t>
        </is>
      </c>
      <c r="F671" t="n">
        <v>108.1521739130435</v>
      </c>
      <c r="G671">
        <f>2*SQRT(F671/PI())</f>
        <v/>
      </c>
      <c r="H671" t="n">
        <v>40.41823477848716</v>
      </c>
      <c r="I671" t="n">
        <v>219</v>
      </c>
      <c r="J671" t="n">
        <v>81</v>
      </c>
      <c r="K671" t="n">
        <v>105.9891304347826</v>
      </c>
      <c r="L671" t="n">
        <v>110.3152173913044</v>
      </c>
      <c r="M671">
        <f>2*SQRT(K671/PI())</f>
        <v/>
      </c>
      <c r="N671">
        <f>2*SQRT(L671/PI())</f>
        <v/>
      </c>
      <c r="P671" t="inlineStr">
        <is>
          <t>是</t>
        </is>
      </c>
      <c r="Q671" t="inlineStr">
        <is>
          <t>auto_pipeline;review_png_green</t>
        </is>
      </c>
      <c r="R671" t="inlineStr">
        <is>
          <t>样品15</t>
        </is>
      </c>
    </row>
    <row r="672">
      <c r="A672" t="n">
        <v>671</v>
      </c>
      <c r="B672" t="inlineStr">
        <is>
          <t>15 (8).tif</t>
        </is>
      </c>
      <c r="C672" t="inlineStr">
        <is>
          <t>15(8)-V01</t>
        </is>
      </c>
      <c r="D672" t="n">
        <v>1</v>
      </c>
      <c r="E672" t="inlineStr">
        <is>
          <t>primary</t>
        </is>
      </c>
      <c r="F672" t="n">
        <v>1174.314744801512</v>
      </c>
      <c r="G672">
        <f>2*SQRT(F672/PI())</f>
        <v/>
      </c>
      <c r="H672" t="n">
        <v>129.0370933646741</v>
      </c>
      <c r="I672" t="n">
        <v>476</v>
      </c>
      <c r="J672" t="n">
        <v>267</v>
      </c>
      <c r="K672" t="n">
        <v>1150.828449905482</v>
      </c>
      <c r="L672" t="n">
        <v>1197.801039697543</v>
      </c>
      <c r="M672">
        <f>2*SQRT(K672/PI())</f>
        <v/>
      </c>
      <c r="N672">
        <f>2*SQRT(L672/PI())</f>
        <v/>
      </c>
      <c r="O672" t="inlineStr">
        <is>
          <t>15(8)-P01</t>
        </is>
      </c>
      <c r="P672" t="inlineStr">
        <is>
          <t>是</t>
        </is>
      </c>
      <c r="Q672" t="inlineStr">
        <is>
          <t>auto_pipeline;review_png_green</t>
        </is>
      </c>
      <c r="R672" t="inlineStr">
        <is>
          <t>样品15</t>
        </is>
      </c>
    </row>
    <row r="673">
      <c r="A673" t="n">
        <v>672</v>
      </c>
      <c r="B673" t="inlineStr">
        <is>
          <t>15 (8).tif</t>
        </is>
      </c>
      <c r="C673" t="inlineStr">
        <is>
          <t>15(8)-V02</t>
        </is>
      </c>
      <c r="D673" t="n">
        <v>2</v>
      </c>
      <c r="E673" t="inlineStr">
        <is>
          <t>primary</t>
        </is>
      </c>
      <c r="F673" t="n">
        <v>848.2041587901701</v>
      </c>
      <c r="G673">
        <f>2*SQRT(F673/PI())</f>
        <v/>
      </c>
      <c r="H673" t="n">
        <v>110.0159034003382</v>
      </c>
      <c r="I673" t="n">
        <v>560</v>
      </c>
      <c r="J673" t="n">
        <v>432</v>
      </c>
      <c r="K673" t="n">
        <v>831.2400756143667</v>
      </c>
      <c r="L673" t="n">
        <v>865.1682419659736</v>
      </c>
      <c r="M673">
        <f>2*SQRT(K673/PI())</f>
        <v/>
      </c>
      <c r="N673">
        <f>2*SQRT(L673/PI())</f>
        <v/>
      </c>
      <c r="O673" t="inlineStr">
        <is>
          <t>15(8)-P01</t>
        </is>
      </c>
      <c r="P673" t="inlineStr">
        <is>
          <t>是</t>
        </is>
      </c>
      <c r="Q673" t="inlineStr">
        <is>
          <t>auto_pipeline;review_png_green</t>
        </is>
      </c>
      <c r="R673" t="inlineStr">
        <is>
          <t>样品15</t>
        </is>
      </c>
    </row>
    <row r="674">
      <c r="A674" t="n">
        <v>673</v>
      </c>
      <c r="B674" t="inlineStr">
        <is>
          <t>15 (8).tif</t>
        </is>
      </c>
      <c r="C674" t="inlineStr">
        <is>
          <t>15(8)-V03</t>
        </is>
      </c>
      <c r="D674" t="n">
        <v>3</v>
      </c>
      <c r="E674" t="inlineStr">
        <is>
          <t>primary</t>
        </is>
      </c>
      <c r="F674" t="n">
        <v>377.0085066162571</v>
      </c>
      <c r="G674">
        <f>2*SQRT(F674/PI())</f>
        <v/>
      </c>
      <c r="H674" t="n">
        <v>75.17524561156397</v>
      </c>
      <c r="I674" t="n">
        <v>820</v>
      </c>
      <c r="J674" t="n">
        <v>412</v>
      </c>
      <c r="K674" t="n">
        <v>369.4683364839319</v>
      </c>
      <c r="L674" t="n">
        <v>384.5486767485822</v>
      </c>
      <c r="M674">
        <f>2*SQRT(K674/PI())</f>
        <v/>
      </c>
      <c r="N674">
        <f>2*SQRT(L674/PI())</f>
        <v/>
      </c>
      <c r="P674" t="inlineStr">
        <is>
          <t>是</t>
        </is>
      </c>
      <c r="Q674" t="inlineStr">
        <is>
          <t>auto_pipeline;review_png_green</t>
        </is>
      </c>
      <c r="R674" t="inlineStr">
        <is>
          <t>样品15</t>
        </is>
      </c>
    </row>
    <row r="675">
      <c r="A675" t="n">
        <v>674</v>
      </c>
      <c r="B675" t="inlineStr">
        <is>
          <t>15 (8).tif</t>
        </is>
      </c>
      <c r="C675" t="inlineStr">
        <is>
          <t>15(8)-V04</t>
        </is>
      </c>
      <c r="D675" t="n">
        <v>4</v>
      </c>
      <c r="E675" t="inlineStr">
        <is>
          <t>primary</t>
        </is>
      </c>
      <c r="F675" t="n">
        <v>160.6805293005671</v>
      </c>
      <c r="G675">
        <f>2*SQRT(F675/PI())</f>
        <v/>
      </c>
      <c r="H675" t="n">
        <v>48.58265845671944</v>
      </c>
      <c r="I675" t="n">
        <v>691</v>
      </c>
      <c r="J675" t="n">
        <v>455</v>
      </c>
      <c r="K675" t="n">
        <v>157.4669187145558</v>
      </c>
      <c r="L675" t="n">
        <v>163.8941398865785</v>
      </c>
      <c r="M675">
        <f>2*SQRT(K675/PI())</f>
        <v/>
      </c>
      <c r="N675">
        <f>2*SQRT(L675/PI())</f>
        <v/>
      </c>
      <c r="P675" t="inlineStr">
        <is>
          <t>是</t>
        </is>
      </c>
      <c r="Q675" t="inlineStr">
        <is>
          <t>auto_pipeline;review_png_green</t>
        </is>
      </c>
      <c r="R675" t="inlineStr">
        <is>
          <t>样品15</t>
        </is>
      </c>
    </row>
    <row r="676">
      <c r="A676" t="n">
        <v>675</v>
      </c>
      <c r="B676" t="inlineStr">
        <is>
          <t>15 (8).tif</t>
        </is>
      </c>
      <c r="C676" t="inlineStr">
        <is>
          <t>15(8)-V05</t>
        </is>
      </c>
      <c r="D676" t="n">
        <v>5</v>
      </c>
      <c r="E676" t="inlineStr">
        <is>
          <t>primary</t>
        </is>
      </c>
      <c r="F676" t="n">
        <v>143.4546313799622</v>
      </c>
      <c r="G676">
        <f>2*SQRT(F676/PI())</f>
        <v/>
      </c>
      <c r="H676" t="n">
        <v>47.98963196899579</v>
      </c>
      <c r="I676" t="n">
        <v>470</v>
      </c>
      <c r="J676" t="n">
        <v>169</v>
      </c>
      <c r="K676" t="n">
        <v>140.5855387523629</v>
      </c>
      <c r="L676" t="n">
        <v>146.3237240075615</v>
      </c>
      <c r="M676">
        <f>2*SQRT(K676/PI())</f>
        <v/>
      </c>
      <c r="N676">
        <f>2*SQRT(L676/PI())</f>
        <v/>
      </c>
      <c r="P676" t="inlineStr">
        <is>
          <t>是</t>
        </is>
      </c>
      <c r="Q676" t="inlineStr">
        <is>
          <t>auto_pipeline;review_png_green</t>
        </is>
      </c>
      <c r="R676" t="inlineStr">
        <is>
          <t>样品15</t>
        </is>
      </c>
    </row>
    <row r="677">
      <c r="A677" t="n">
        <v>676</v>
      </c>
      <c r="B677" t="inlineStr">
        <is>
          <t>15 (8).tif</t>
        </is>
      </c>
      <c r="C677" t="inlineStr">
        <is>
          <t>15(8)-V06</t>
        </is>
      </c>
      <c r="D677" t="n">
        <v>6</v>
      </c>
      <c r="E677" t="inlineStr">
        <is>
          <t>primary</t>
        </is>
      </c>
      <c r="F677" t="n">
        <v>128.1663516068053</v>
      </c>
      <c r="G677">
        <f>2*SQRT(F677/PI())</f>
        <v/>
      </c>
      <c r="H677" t="n">
        <v>50.00530113344607</v>
      </c>
      <c r="I677" t="n">
        <v>159</v>
      </c>
      <c r="J677" t="n">
        <v>514</v>
      </c>
      <c r="K677" t="n">
        <v>125.6030245746692</v>
      </c>
      <c r="L677" t="n">
        <v>130.7296786389414</v>
      </c>
      <c r="M677">
        <f>2*SQRT(K677/PI())</f>
        <v/>
      </c>
      <c r="N677">
        <f>2*SQRT(L677/PI())</f>
        <v/>
      </c>
      <c r="P677" t="inlineStr">
        <is>
          <t>是</t>
        </is>
      </c>
      <c r="Q677" t="inlineStr">
        <is>
          <t>auto_pipeline;review_png_green</t>
        </is>
      </c>
      <c r="R677" t="inlineStr">
        <is>
          <t>样品15</t>
        </is>
      </c>
    </row>
    <row r="678">
      <c r="A678" t="n">
        <v>677</v>
      </c>
      <c r="B678" t="inlineStr">
        <is>
          <t>16 (1).tif</t>
        </is>
      </c>
      <c r="C678" t="inlineStr">
        <is>
          <t>16(1)-V01</t>
        </is>
      </c>
      <c r="D678" t="n">
        <v>1</v>
      </c>
      <c r="E678" t="inlineStr">
        <is>
          <t>primary</t>
        </is>
      </c>
      <c r="F678" t="n">
        <v>560.0425330812855</v>
      </c>
      <c r="G678">
        <f>2*SQRT(F678/PI())</f>
        <v/>
      </c>
      <c r="H678" t="n">
        <v>89.1063891545586</v>
      </c>
      <c r="I678" t="n">
        <v>381</v>
      </c>
      <c r="J678" t="n">
        <v>351</v>
      </c>
      <c r="K678" t="n">
        <v>548.8416824196597</v>
      </c>
      <c r="L678" t="n">
        <v>571.2433837429112</v>
      </c>
      <c r="M678">
        <f>2*SQRT(K678/PI())</f>
        <v/>
      </c>
      <c r="N678">
        <f>2*SQRT(L678/PI())</f>
        <v/>
      </c>
      <c r="P678" t="inlineStr">
        <is>
          <t>是</t>
        </is>
      </c>
      <c r="Q678" t="inlineStr">
        <is>
          <t>auto_pipeline;review_png_green</t>
        </is>
      </c>
      <c r="R678" t="inlineStr">
        <is>
          <t>样品16</t>
        </is>
      </c>
    </row>
    <row r="679">
      <c r="A679" t="n">
        <v>678</v>
      </c>
      <c r="B679" t="inlineStr">
        <is>
          <t>16 (1).tif</t>
        </is>
      </c>
      <c r="C679" t="inlineStr">
        <is>
          <t>16(1)-V02</t>
        </is>
      </c>
      <c r="D679" t="n">
        <v>2</v>
      </c>
      <c r="E679" t="inlineStr">
        <is>
          <t>primary</t>
        </is>
      </c>
      <c r="F679" t="n">
        <v>404.5604914933837</v>
      </c>
      <c r="G679">
        <f>2*SQRT(F679/PI())</f>
        <v/>
      </c>
      <c r="H679" t="n">
        <v>78.24962286845498</v>
      </c>
      <c r="I679" t="n">
        <v>780</v>
      </c>
      <c r="J679" t="n">
        <v>135</v>
      </c>
      <c r="K679" t="n">
        <v>396.469281663516</v>
      </c>
      <c r="L679" t="n">
        <v>412.6517013232514</v>
      </c>
      <c r="M679">
        <f>2*SQRT(K679/PI())</f>
        <v/>
      </c>
      <c r="N679">
        <f>2*SQRT(L679/PI())</f>
        <v/>
      </c>
      <c r="P679" t="inlineStr">
        <is>
          <t>是</t>
        </is>
      </c>
      <c r="Q679" t="inlineStr">
        <is>
          <t>auto_pipeline;review_png_green</t>
        </is>
      </c>
      <c r="R679" t="inlineStr">
        <is>
          <t>样品16</t>
        </is>
      </c>
    </row>
    <row r="680">
      <c r="A680" t="n">
        <v>679</v>
      </c>
      <c r="B680" t="inlineStr">
        <is>
          <t>16 (1).tif</t>
        </is>
      </c>
      <c r="C680" t="inlineStr">
        <is>
          <t>16(1)-V03</t>
        </is>
      </c>
      <c r="D680" t="n">
        <v>3</v>
      </c>
      <c r="E680" t="inlineStr">
        <is>
          <t>primary</t>
        </is>
      </c>
      <c r="F680" t="n">
        <v>346.3610586011342</v>
      </c>
      <c r="G680">
        <f>2*SQRT(F680/PI())</f>
        <v/>
      </c>
      <c r="H680" t="n">
        <v>70.95476440761401</v>
      </c>
      <c r="I680" t="n">
        <v>535</v>
      </c>
      <c r="J680" t="n">
        <v>380</v>
      </c>
      <c r="K680" t="n">
        <v>339.4338374291115</v>
      </c>
      <c r="L680" t="n">
        <v>353.2882797731569</v>
      </c>
      <c r="M680">
        <f>2*SQRT(K680/PI())</f>
        <v/>
      </c>
      <c r="N680">
        <f>2*SQRT(L680/PI())</f>
        <v/>
      </c>
      <c r="P680" t="inlineStr">
        <is>
          <t>是</t>
        </is>
      </c>
      <c r="Q680" t="inlineStr">
        <is>
          <t>auto_pipeline;review_png_green</t>
        </is>
      </c>
      <c r="R680" t="inlineStr">
        <is>
          <t>样品16</t>
        </is>
      </c>
    </row>
    <row r="681">
      <c r="A681" t="n">
        <v>680</v>
      </c>
      <c r="B681" t="inlineStr">
        <is>
          <t>16 (1).tif</t>
        </is>
      </c>
      <c r="C681" t="inlineStr">
        <is>
          <t>16(1)-V04</t>
        </is>
      </c>
      <c r="D681" t="n">
        <v>4</v>
      </c>
      <c r="E681" t="inlineStr">
        <is>
          <t>primary</t>
        </is>
      </c>
      <c r="F681" t="n">
        <v>169.9905482041588</v>
      </c>
      <c r="G681">
        <f>2*SQRT(F681/PI())</f>
        <v/>
      </c>
      <c r="H681" t="n">
        <v>51.44604387490646</v>
      </c>
      <c r="I681" t="n">
        <v>84</v>
      </c>
      <c r="J681" t="n">
        <v>372</v>
      </c>
      <c r="K681" t="n">
        <v>166.5907372400756</v>
      </c>
      <c r="L681" t="n">
        <v>173.390359168242</v>
      </c>
      <c r="M681">
        <f>2*SQRT(K681/PI())</f>
        <v/>
      </c>
      <c r="N681">
        <f>2*SQRT(L681/PI())</f>
        <v/>
      </c>
      <c r="P681" t="inlineStr">
        <is>
          <t>是</t>
        </is>
      </c>
      <c r="Q681" t="inlineStr">
        <is>
          <t>auto_pipeline;review_png_green</t>
        </is>
      </c>
      <c r="R681" t="inlineStr">
        <is>
          <t>样品16</t>
        </is>
      </c>
    </row>
    <row r="682">
      <c r="A682" t="n">
        <v>681</v>
      </c>
      <c r="B682" t="inlineStr">
        <is>
          <t>16 (1).tif</t>
        </is>
      </c>
      <c r="C682" t="inlineStr">
        <is>
          <t>16(1)-V05</t>
        </is>
      </c>
      <c r="D682" t="n">
        <v>5</v>
      </c>
      <c r="E682" t="inlineStr">
        <is>
          <t>primary</t>
        </is>
      </c>
      <c r="F682" t="n">
        <v>104.5368620037807</v>
      </c>
      <c r="G682">
        <f>2*SQRT(F682/PI())</f>
        <v/>
      </c>
      <c r="H682" t="n">
        <v>39.06113899272421</v>
      </c>
      <c r="I682" t="n">
        <v>227</v>
      </c>
      <c r="J682" t="n">
        <v>608</v>
      </c>
      <c r="K682" t="n">
        <v>102.4461247637051</v>
      </c>
      <c r="L682" t="n">
        <v>106.6275992438563</v>
      </c>
      <c r="M682">
        <f>2*SQRT(K682/PI())</f>
        <v/>
      </c>
      <c r="N682">
        <f>2*SQRT(L682/PI())</f>
        <v/>
      </c>
      <c r="P682" t="inlineStr">
        <is>
          <t>是</t>
        </is>
      </c>
      <c r="Q682" t="inlineStr">
        <is>
          <t>auto_pipeline;review_png_green</t>
        </is>
      </c>
      <c r="R682" t="inlineStr">
        <is>
          <t>样品16</t>
        </is>
      </c>
    </row>
    <row r="683">
      <c r="A683" t="n">
        <v>682</v>
      </c>
      <c r="B683" t="inlineStr">
        <is>
          <t>16 (2).tif</t>
        </is>
      </c>
      <c r="C683" t="inlineStr">
        <is>
          <t>16(2)-V01</t>
        </is>
      </c>
      <c r="D683" t="n">
        <v>1</v>
      </c>
      <c r="E683" t="inlineStr">
        <is>
          <t>primary</t>
        </is>
      </c>
      <c r="F683" t="n">
        <v>527.5047258979206</v>
      </c>
      <c r="G683">
        <f>2*SQRT(F683/PI())</f>
        <v/>
      </c>
      <c r="H683" t="n">
        <v>86.77423223205234</v>
      </c>
      <c r="I683" t="n">
        <v>426</v>
      </c>
      <c r="J683" t="n">
        <v>404</v>
      </c>
      <c r="K683" t="n">
        <v>516.9546313799622</v>
      </c>
      <c r="L683" t="n">
        <v>538.054820415879</v>
      </c>
      <c r="M683">
        <f>2*SQRT(K683/PI())</f>
        <v/>
      </c>
      <c r="N683">
        <f>2*SQRT(L683/PI())</f>
        <v/>
      </c>
      <c r="P683" t="inlineStr">
        <is>
          <t>是</t>
        </is>
      </c>
      <c r="Q683" t="inlineStr">
        <is>
          <t>auto_pipeline;review_png_green</t>
        </is>
      </c>
      <c r="R683" t="inlineStr">
        <is>
          <t>样品16</t>
        </is>
      </c>
    </row>
    <row r="684">
      <c r="A684" t="n">
        <v>683</v>
      </c>
      <c r="B684" t="inlineStr">
        <is>
          <t>16 (2).tif</t>
        </is>
      </c>
      <c r="C684" t="inlineStr">
        <is>
          <t>16(2)-V02</t>
        </is>
      </c>
      <c r="D684" t="n">
        <v>2</v>
      </c>
      <c r="E684" t="inlineStr">
        <is>
          <t>primary</t>
        </is>
      </c>
      <c r="F684" t="n">
        <v>266.4933837429111</v>
      </c>
      <c r="G684">
        <f>2*SQRT(F684/PI())</f>
        <v/>
      </c>
      <c r="H684" t="n">
        <v>61.79343062898387</v>
      </c>
      <c r="I684" t="n">
        <v>523</v>
      </c>
      <c r="J684" t="n">
        <v>258</v>
      </c>
      <c r="K684" t="n">
        <v>261.1635160680529</v>
      </c>
      <c r="L684" t="n">
        <v>271.8232514177694</v>
      </c>
      <c r="M684">
        <f>2*SQRT(K684/PI())</f>
        <v/>
      </c>
      <c r="N684">
        <f>2*SQRT(L684/PI())</f>
        <v/>
      </c>
      <c r="P684" t="inlineStr">
        <is>
          <t>是</t>
        </is>
      </c>
      <c r="Q684" t="inlineStr">
        <is>
          <t>auto_pipeline;review_png_green</t>
        </is>
      </c>
      <c r="R684" t="inlineStr">
        <is>
          <t>样品16</t>
        </is>
      </c>
    </row>
    <row r="685">
      <c r="A685" t="n">
        <v>684</v>
      </c>
      <c r="B685" t="inlineStr">
        <is>
          <t>16 (2).tif</t>
        </is>
      </c>
      <c r="C685" t="inlineStr">
        <is>
          <t>16(2)-V03</t>
        </is>
      </c>
      <c r="D685" t="n">
        <v>3</v>
      </c>
      <c r="E685" t="inlineStr">
        <is>
          <t>primary</t>
        </is>
      </c>
      <c r="F685" t="n">
        <v>232.5378071833648</v>
      </c>
      <c r="G685">
        <f>2*SQRT(F685/PI())</f>
        <v/>
      </c>
      <c r="H685" t="n">
        <v>58.69720440843831</v>
      </c>
      <c r="I685" t="n">
        <v>733</v>
      </c>
      <c r="J685" t="n">
        <v>118</v>
      </c>
      <c r="K685" t="n">
        <v>227.8870510396975</v>
      </c>
      <c r="L685" t="n">
        <v>237.1885633270321</v>
      </c>
      <c r="M685">
        <f>2*SQRT(K685/PI())</f>
        <v/>
      </c>
      <c r="N685">
        <f>2*SQRT(L685/PI())</f>
        <v/>
      </c>
      <c r="P685" t="inlineStr">
        <is>
          <t>是</t>
        </is>
      </c>
      <c r="Q685" t="inlineStr">
        <is>
          <t>auto_pipeline;review_png_green</t>
        </is>
      </c>
      <c r="R685" t="inlineStr">
        <is>
          <t>样品16</t>
        </is>
      </c>
    </row>
    <row r="686">
      <c r="A686" t="n">
        <v>685</v>
      </c>
      <c r="B686" t="inlineStr">
        <is>
          <t>16 (2).tif</t>
        </is>
      </c>
      <c r="C686" t="inlineStr">
        <is>
          <t>16(2)-V04</t>
        </is>
      </c>
      <c r="D686" t="n">
        <v>4</v>
      </c>
      <c r="E686" t="inlineStr">
        <is>
          <t>primary</t>
        </is>
      </c>
      <c r="F686" t="n">
        <v>210.9168241965974</v>
      </c>
      <c r="G686">
        <f>2*SQRT(F686/PI())</f>
        <v/>
      </c>
      <c r="H686" t="n">
        <v>57.08541885666225</v>
      </c>
      <c r="I686" t="n">
        <v>89</v>
      </c>
      <c r="J686" t="n">
        <v>457</v>
      </c>
      <c r="K686" t="n">
        <v>206.6984877126654</v>
      </c>
      <c r="L686" t="n">
        <v>215.1351606805293</v>
      </c>
      <c r="M686">
        <f>2*SQRT(K686/PI())</f>
        <v/>
      </c>
      <c r="N686">
        <f>2*SQRT(L686/PI())</f>
        <v/>
      </c>
      <c r="P686" t="inlineStr">
        <is>
          <t>是</t>
        </is>
      </c>
      <c r="Q686" t="inlineStr">
        <is>
          <t>auto_pipeline;review_png_green</t>
        </is>
      </c>
      <c r="R686" t="inlineStr">
        <is>
          <t>样品16</t>
        </is>
      </c>
    </row>
    <row r="687">
      <c r="A687" t="n">
        <v>686</v>
      </c>
      <c r="B687" t="inlineStr">
        <is>
          <t>16 (2).tif</t>
        </is>
      </c>
      <c r="C687" t="inlineStr">
        <is>
          <t>16(2)-V05</t>
        </is>
      </c>
      <c r="D687" t="n">
        <v>5</v>
      </c>
      <c r="E687" t="inlineStr">
        <is>
          <t>primary</t>
        </is>
      </c>
      <c r="F687" t="n">
        <v>156.710775047259</v>
      </c>
      <c r="G687">
        <f>2*SQRT(F687/PI())</f>
        <v/>
      </c>
      <c r="H687" t="n">
        <v>46.84352802193683</v>
      </c>
      <c r="I687" t="n">
        <v>924</v>
      </c>
      <c r="J687" t="n">
        <v>605</v>
      </c>
      <c r="K687" t="n">
        <v>153.5765595463138</v>
      </c>
      <c r="L687" t="n">
        <v>159.8449905482042</v>
      </c>
      <c r="M687">
        <f>2*SQRT(K687/PI())</f>
        <v/>
      </c>
      <c r="N687">
        <f>2*SQRT(L687/PI())</f>
        <v/>
      </c>
      <c r="P687" t="inlineStr">
        <is>
          <t>是</t>
        </is>
      </c>
      <c r="Q687" t="inlineStr">
        <is>
          <t>auto_pipeline;review_png_green</t>
        </is>
      </c>
      <c r="R687" t="inlineStr">
        <is>
          <t>样品16</t>
        </is>
      </c>
    </row>
    <row r="688">
      <c r="A688" t="n">
        <v>687</v>
      </c>
      <c r="B688" t="inlineStr">
        <is>
          <t>16 (2).tif</t>
        </is>
      </c>
      <c r="C688" t="inlineStr">
        <is>
          <t>16(2)-V06</t>
        </is>
      </c>
      <c r="D688" t="n">
        <v>6</v>
      </c>
      <c r="E688" t="inlineStr">
        <is>
          <t>primary</t>
        </is>
      </c>
      <c r="F688" t="n">
        <v>143.0765595463138</v>
      </c>
      <c r="G688">
        <f>2*SQRT(F688/PI())</f>
        <v/>
      </c>
      <c r="H688" t="n">
        <v>45.84661792153897</v>
      </c>
      <c r="I688" t="n">
        <v>701</v>
      </c>
      <c r="J688" t="n">
        <v>484</v>
      </c>
      <c r="K688" t="n">
        <v>140.2150283553875</v>
      </c>
      <c r="L688" t="n">
        <v>145.9380907372401</v>
      </c>
      <c r="M688">
        <f>2*SQRT(K688/PI())</f>
        <v/>
      </c>
      <c r="N688">
        <f>2*SQRT(L688/PI())</f>
        <v/>
      </c>
      <c r="P688" t="inlineStr">
        <is>
          <t>是</t>
        </is>
      </c>
      <c r="Q688" t="inlineStr">
        <is>
          <t>auto_pipeline;review_png_green</t>
        </is>
      </c>
      <c r="R688" t="inlineStr">
        <is>
          <t>样品16</t>
        </is>
      </c>
    </row>
    <row r="689">
      <c r="A689" t="n">
        <v>688</v>
      </c>
      <c r="B689" t="inlineStr">
        <is>
          <t>16 (3).tif</t>
        </is>
      </c>
      <c r="C689" t="inlineStr">
        <is>
          <t>16(3)-V01</t>
        </is>
      </c>
      <c r="D689" t="n">
        <v>1</v>
      </c>
      <c r="E689" t="inlineStr">
        <is>
          <t>primary</t>
        </is>
      </c>
      <c r="F689" t="n">
        <v>691.4697542533081</v>
      </c>
      <c r="G689">
        <f>2*SQRT(F689/PI())</f>
        <v/>
      </c>
      <c r="H689" t="n">
        <v>98.88259838456693</v>
      </c>
      <c r="I689" t="n">
        <v>466</v>
      </c>
      <c r="J689" t="n">
        <v>324</v>
      </c>
      <c r="K689" t="n">
        <v>677.640359168242</v>
      </c>
      <c r="L689" t="n">
        <v>705.2991493383743</v>
      </c>
      <c r="M689">
        <f>2*SQRT(K689/PI())</f>
        <v/>
      </c>
      <c r="N689">
        <f>2*SQRT(L689/PI())</f>
        <v/>
      </c>
      <c r="O689" t="inlineStr">
        <is>
          <t>16(3)-P01</t>
        </is>
      </c>
      <c r="P689" t="inlineStr">
        <is>
          <t>是</t>
        </is>
      </c>
      <c r="Q689" t="inlineStr">
        <is>
          <t>auto_pipeline;review_png_green</t>
        </is>
      </c>
      <c r="R689" t="inlineStr">
        <is>
          <t>样品16</t>
        </is>
      </c>
    </row>
    <row r="690">
      <c r="A690" t="n">
        <v>689</v>
      </c>
      <c r="B690" t="inlineStr">
        <is>
          <t>16 (3).tif</t>
        </is>
      </c>
      <c r="C690" t="inlineStr">
        <is>
          <t>16(3)-V02</t>
        </is>
      </c>
      <c r="D690" t="n">
        <v>2</v>
      </c>
      <c r="E690" t="inlineStr">
        <is>
          <t>primary</t>
        </is>
      </c>
      <c r="F690" t="n">
        <v>498.4404536862004</v>
      </c>
      <c r="G690">
        <f>2*SQRT(F690/PI())</f>
        <v/>
      </c>
      <c r="H690" t="n">
        <v>83.55066112850024</v>
      </c>
      <c r="I690" t="n">
        <v>587</v>
      </c>
      <c r="J690" t="n">
        <v>389</v>
      </c>
      <c r="K690" t="n">
        <v>488.4716446124764</v>
      </c>
      <c r="L690" t="n">
        <v>508.4092627599244</v>
      </c>
      <c r="M690">
        <f>2*SQRT(K690/PI())</f>
        <v/>
      </c>
      <c r="N690">
        <f>2*SQRT(L690/PI())</f>
        <v/>
      </c>
      <c r="O690" t="inlineStr">
        <is>
          <t>16(3)-P01</t>
        </is>
      </c>
      <c r="P690" t="inlineStr">
        <is>
          <t>是</t>
        </is>
      </c>
      <c r="Q690" t="inlineStr">
        <is>
          <t>auto_pipeline;review_png_green</t>
        </is>
      </c>
      <c r="R690" t="inlineStr">
        <is>
          <t>样品16</t>
        </is>
      </c>
    </row>
    <row r="691">
      <c r="A691" t="n">
        <v>690</v>
      </c>
      <c r="B691" t="inlineStr">
        <is>
          <t>16 (3).tif</t>
        </is>
      </c>
      <c r="C691" t="inlineStr">
        <is>
          <t>16(3)-V03</t>
        </is>
      </c>
      <c r="D691" t="n">
        <v>3</v>
      </c>
      <c r="E691" t="inlineStr">
        <is>
          <t>primary</t>
        </is>
      </c>
      <c r="F691" t="n">
        <v>170.4158790170132</v>
      </c>
      <c r="G691">
        <f>2*SQRT(F691/PI())</f>
        <v/>
      </c>
      <c r="H691" t="n">
        <v>50.06709912548894</v>
      </c>
      <c r="I691" t="n">
        <v>55</v>
      </c>
      <c r="J691" t="n">
        <v>68</v>
      </c>
      <c r="K691" t="n">
        <v>167.0075614366729</v>
      </c>
      <c r="L691" t="n">
        <v>173.8241965973535</v>
      </c>
      <c r="M691">
        <f>2*SQRT(K691/PI())</f>
        <v/>
      </c>
      <c r="N691">
        <f>2*SQRT(L691/PI())</f>
        <v/>
      </c>
      <c r="P691" t="inlineStr">
        <is>
          <t>是</t>
        </is>
      </c>
      <c r="Q691" t="inlineStr">
        <is>
          <t>auto_pipeline;review_png_green</t>
        </is>
      </c>
      <c r="R691" t="inlineStr">
        <is>
          <t>样品16</t>
        </is>
      </c>
    </row>
    <row r="692">
      <c r="A692" t="n">
        <v>691</v>
      </c>
      <c r="B692" t="inlineStr">
        <is>
          <t>16 (3).tif</t>
        </is>
      </c>
      <c r="C692" t="inlineStr">
        <is>
          <t>16(3)-V04</t>
        </is>
      </c>
      <c r="D692" t="n">
        <v>4</v>
      </c>
      <c r="E692" t="inlineStr">
        <is>
          <t>primary</t>
        </is>
      </c>
      <c r="F692" t="n">
        <v>152.1266540642722</v>
      </c>
      <c r="G692">
        <f>2*SQRT(F692/PI())</f>
        <v/>
      </c>
      <c r="H692" t="n">
        <v>48.58265845671944</v>
      </c>
      <c r="I692" t="n">
        <v>551</v>
      </c>
      <c r="J692" t="n">
        <v>596</v>
      </c>
      <c r="K692" t="n">
        <v>149.0841209829867</v>
      </c>
      <c r="L692" t="n">
        <v>155.1691871455577</v>
      </c>
      <c r="M692">
        <f>2*SQRT(K692/PI())</f>
        <v/>
      </c>
      <c r="N692">
        <f>2*SQRT(L692/PI())</f>
        <v/>
      </c>
      <c r="P692" t="inlineStr">
        <is>
          <t>是</t>
        </is>
      </c>
      <c r="Q692" t="inlineStr">
        <is>
          <t>auto_pipeline;review_png_green</t>
        </is>
      </c>
      <c r="R692" t="inlineStr">
        <is>
          <t>样品16</t>
        </is>
      </c>
    </row>
    <row r="693">
      <c r="A693" t="n">
        <v>692</v>
      </c>
      <c r="B693" t="inlineStr">
        <is>
          <t>16 (3).tif</t>
        </is>
      </c>
      <c r="C693" t="inlineStr">
        <is>
          <t>16(3)-V05</t>
        </is>
      </c>
      <c r="D693" t="n">
        <v>5</v>
      </c>
      <c r="E693" t="inlineStr">
        <is>
          <t>primary</t>
        </is>
      </c>
      <c r="F693" t="n">
        <v>136.6729678638941</v>
      </c>
      <c r="G693">
        <f>2*SQRT(F693/PI())</f>
        <v/>
      </c>
      <c r="H693" t="n">
        <v>47.66939531201901</v>
      </c>
      <c r="I693" t="n">
        <v>447</v>
      </c>
      <c r="J693" t="n">
        <v>80</v>
      </c>
      <c r="K693" t="n">
        <v>133.9395085066162</v>
      </c>
      <c r="L693" t="n">
        <v>139.406427221172</v>
      </c>
      <c r="M693">
        <f>2*SQRT(K693/PI())</f>
        <v/>
      </c>
      <c r="N693">
        <f>2*SQRT(L693/PI())</f>
        <v/>
      </c>
      <c r="P693" t="inlineStr">
        <is>
          <t>是</t>
        </is>
      </c>
      <c r="Q693" t="inlineStr">
        <is>
          <t>auto_pipeline;review_png_green</t>
        </is>
      </c>
      <c r="R693" t="inlineStr">
        <is>
          <t>样品16</t>
        </is>
      </c>
    </row>
    <row r="694">
      <c r="A694" t="n">
        <v>693</v>
      </c>
      <c r="B694" t="inlineStr">
        <is>
          <t>16 (3).tif</t>
        </is>
      </c>
      <c r="C694" t="inlineStr">
        <is>
          <t>16(3)-V06</t>
        </is>
      </c>
      <c r="D694" t="n">
        <v>6</v>
      </c>
      <c r="E694" t="inlineStr">
        <is>
          <t>primary</t>
        </is>
      </c>
      <c r="F694" t="n">
        <v>133.0812854442344</v>
      </c>
      <c r="G694">
        <f>2*SQRT(F694/PI())</f>
        <v/>
      </c>
      <c r="H694" t="n">
        <v>43.51446099903272</v>
      </c>
      <c r="I694" t="n">
        <v>160</v>
      </c>
      <c r="J694" t="n">
        <v>219</v>
      </c>
      <c r="K694" t="n">
        <v>130.4196597353497</v>
      </c>
      <c r="L694" t="n">
        <v>135.7429111531191</v>
      </c>
      <c r="M694">
        <f>2*SQRT(K694/PI())</f>
        <v/>
      </c>
      <c r="N694">
        <f>2*SQRT(L694/PI())</f>
        <v/>
      </c>
      <c r="P694" t="inlineStr">
        <is>
          <t>是</t>
        </is>
      </c>
      <c r="Q694" t="inlineStr">
        <is>
          <t>auto_pipeline;review_png_green</t>
        </is>
      </c>
      <c r="R694" t="inlineStr">
        <is>
          <t>样品16</t>
        </is>
      </c>
    </row>
    <row r="695">
      <c r="A695" t="n">
        <v>694</v>
      </c>
      <c r="B695" t="inlineStr">
        <is>
          <t>16 (3).tif</t>
        </is>
      </c>
      <c r="C695" t="inlineStr">
        <is>
          <t>16(3)-V07</t>
        </is>
      </c>
      <c r="D695" t="n">
        <v>7</v>
      </c>
      <c r="E695" t="inlineStr">
        <is>
          <t>primary</t>
        </is>
      </c>
      <c r="F695" t="n">
        <v>130.3402646502836</v>
      </c>
      <c r="G695">
        <f>2*SQRT(F695/PI())</f>
        <v/>
      </c>
      <c r="H695" t="n">
        <v>43.87464668439782</v>
      </c>
      <c r="I695" t="n">
        <v>622</v>
      </c>
      <c r="J695" t="n">
        <v>600</v>
      </c>
      <c r="K695" t="n">
        <v>127.7334593572779</v>
      </c>
      <c r="L695" t="n">
        <v>132.9470699432892</v>
      </c>
      <c r="M695">
        <f>2*SQRT(K695/PI())</f>
        <v/>
      </c>
      <c r="N695">
        <f>2*SQRT(L695/PI())</f>
        <v/>
      </c>
      <c r="P695" t="inlineStr">
        <is>
          <t>是</t>
        </is>
      </c>
      <c r="Q695" t="inlineStr">
        <is>
          <t>auto_pipeline;review_png_green</t>
        </is>
      </c>
      <c r="R695" t="inlineStr">
        <is>
          <t>样品16</t>
        </is>
      </c>
    </row>
    <row r="696">
      <c r="A696" t="n">
        <v>695</v>
      </c>
      <c r="B696" t="inlineStr">
        <is>
          <t>16 (3).tif</t>
        </is>
      </c>
      <c r="C696" t="inlineStr">
        <is>
          <t>16(3)-V08</t>
        </is>
      </c>
      <c r="D696" t="n">
        <v>8</v>
      </c>
      <c r="E696" t="inlineStr">
        <is>
          <t>primary</t>
        </is>
      </c>
      <c r="F696" t="n">
        <v>121.0302457466919</v>
      </c>
      <c r="G696">
        <f>2*SQRT(F696/PI())</f>
        <v/>
      </c>
      <c r="H696" t="n">
        <v>42.39020601562832</v>
      </c>
      <c r="I696" t="n">
        <v>643</v>
      </c>
      <c r="J696" t="n">
        <v>261</v>
      </c>
      <c r="K696" t="n">
        <v>118.609640831758</v>
      </c>
      <c r="L696" t="n">
        <v>123.4508506616257</v>
      </c>
      <c r="M696">
        <f>2*SQRT(K696/PI())</f>
        <v/>
      </c>
      <c r="N696">
        <f>2*SQRT(L696/PI())</f>
        <v/>
      </c>
      <c r="P696" t="inlineStr">
        <is>
          <t>是</t>
        </is>
      </c>
      <c r="Q696" t="inlineStr">
        <is>
          <t>auto_pipeline;review_png_green</t>
        </is>
      </c>
      <c r="R696" t="inlineStr">
        <is>
          <t>样品16</t>
        </is>
      </c>
    </row>
    <row r="697">
      <c r="A697" t="n">
        <v>696</v>
      </c>
      <c r="B697" t="inlineStr">
        <is>
          <t>16 (4).tif</t>
        </is>
      </c>
      <c r="C697" t="inlineStr">
        <is>
          <t>16(4)-V01</t>
        </is>
      </c>
      <c r="D697" t="n">
        <v>1</v>
      </c>
      <c r="E697" t="inlineStr">
        <is>
          <t>primary</t>
        </is>
      </c>
      <c r="F697" t="n">
        <v>691.9187145557656</v>
      </c>
      <c r="G697">
        <f>2*SQRT(F697/PI())</f>
        <v/>
      </c>
      <c r="H697" t="n">
        <v>99.00994326757348</v>
      </c>
      <c r="I697" t="n">
        <v>533</v>
      </c>
      <c r="J697" t="n">
        <v>455</v>
      </c>
      <c r="K697" t="n">
        <v>678.0803402646503</v>
      </c>
      <c r="L697" t="n">
        <v>705.7570888468809</v>
      </c>
      <c r="M697">
        <f>2*SQRT(K697/PI())</f>
        <v/>
      </c>
      <c r="N697">
        <f>2*SQRT(L697/PI())</f>
        <v/>
      </c>
      <c r="O697" t="inlineStr">
        <is>
          <t>16(4)-P01</t>
        </is>
      </c>
      <c r="P697" t="inlineStr">
        <is>
          <t>是</t>
        </is>
      </c>
      <c r="Q697" t="inlineStr">
        <is>
          <t>auto_pipeline;review_png_green</t>
        </is>
      </c>
      <c r="R697" t="inlineStr">
        <is>
          <t>样品16</t>
        </is>
      </c>
    </row>
    <row r="698">
      <c r="A698" t="n">
        <v>697</v>
      </c>
      <c r="B698" t="inlineStr">
        <is>
          <t>16 (4).tif</t>
        </is>
      </c>
      <c r="C698" t="inlineStr">
        <is>
          <t>16(4)-V02</t>
        </is>
      </c>
      <c r="D698" t="n">
        <v>2</v>
      </c>
      <c r="E698" t="inlineStr">
        <is>
          <t>primary</t>
        </is>
      </c>
      <c r="F698" t="n">
        <v>452.8355387523629</v>
      </c>
      <c r="G698">
        <f>2*SQRT(F698/PI())</f>
        <v/>
      </c>
      <c r="H698" t="n">
        <v>80.32709002494812</v>
      </c>
      <c r="I698" t="n">
        <v>473</v>
      </c>
      <c r="J698" t="n">
        <v>313</v>
      </c>
      <c r="K698" t="n">
        <v>443.7788279773156</v>
      </c>
      <c r="L698" t="n">
        <v>461.8922495274102</v>
      </c>
      <c r="M698">
        <f>2*SQRT(K698/PI())</f>
        <v/>
      </c>
      <c r="N698">
        <f>2*SQRT(L698/PI())</f>
        <v/>
      </c>
      <c r="O698" t="inlineStr">
        <is>
          <t>16(4)-P01</t>
        </is>
      </c>
      <c r="P698" t="inlineStr">
        <is>
          <t>是</t>
        </is>
      </c>
      <c r="Q698" t="inlineStr">
        <is>
          <t>auto_pipeline;review_png_green</t>
        </is>
      </c>
      <c r="R698" t="inlineStr">
        <is>
          <t>样品16</t>
        </is>
      </c>
    </row>
    <row r="699">
      <c r="A699" t="n">
        <v>698</v>
      </c>
      <c r="B699" t="inlineStr">
        <is>
          <t>16 (4).tif</t>
        </is>
      </c>
      <c r="C699" t="inlineStr">
        <is>
          <t>16(4)-V03</t>
        </is>
      </c>
      <c r="D699" t="n">
        <v>3</v>
      </c>
      <c r="E699" t="inlineStr">
        <is>
          <t>primary</t>
        </is>
      </c>
      <c r="F699" t="n">
        <v>296.8336483931947</v>
      </c>
      <c r="G699">
        <f>2*SQRT(F699/PI())</f>
        <v/>
      </c>
      <c r="H699" t="n">
        <v>78.82454929144485</v>
      </c>
      <c r="I699" t="n">
        <v>851</v>
      </c>
      <c r="J699" t="n">
        <v>383</v>
      </c>
      <c r="K699" t="n">
        <v>290.8969754253308</v>
      </c>
      <c r="L699" t="n">
        <v>302.7703213610586</v>
      </c>
      <c r="M699">
        <f>2*SQRT(K699/PI())</f>
        <v/>
      </c>
      <c r="N699">
        <f>2*SQRT(L699/PI())</f>
        <v/>
      </c>
      <c r="P699" t="inlineStr">
        <is>
          <t>是</t>
        </is>
      </c>
      <c r="Q699" t="inlineStr">
        <is>
          <t>auto_pipeline;review_png_green</t>
        </is>
      </c>
      <c r="R699" t="inlineStr">
        <is>
          <t>样品16</t>
        </is>
      </c>
    </row>
    <row r="700">
      <c r="A700" t="n">
        <v>699</v>
      </c>
      <c r="B700" t="inlineStr">
        <is>
          <t>16 (4).tif</t>
        </is>
      </c>
      <c r="C700" t="inlineStr">
        <is>
          <t>16(4)-V04</t>
        </is>
      </c>
      <c r="D700" t="n">
        <v>4</v>
      </c>
      <c r="E700" t="inlineStr">
        <is>
          <t>primary</t>
        </is>
      </c>
      <c r="F700" t="n">
        <v>232.9867674858223</v>
      </c>
      <c r="G700">
        <f>2*SQRT(F700/PI())</f>
        <v/>
      </c>
      <c r="H700" t="n">
        <v>59.18473497680996</v>
      </c>
      <c r="I700" t="n">
        <v>916</v>
      </c>
      <c r="J700" t="n">
        <v>203</v>
      </c>
      <c r="K700" t="n">
        <v>228.3270321361059</v>
      </c>
      <c r="L700" t="n">
        <v>237.6465028355387</v>
      </c>
      <c r="M700">
        <f>2*SQRT(K700/PI())</f>
        <v/>
      </c>
      <c r="N700">
        <f>2*SQRT(L700/PI())</f>
        <v/>
      </c>
      <c r="P700" t="inlineStr">
        <is>
          <t>是</t>
        </is>
      </c>
      <c r="Q700" t="inlineStr">
        <is>
          <t>auto_pipeline;review_png_green</t>
        </is>
      </c>
      <c r="R700" t="inlineStr">
        <is>
          <t>样品16</t>
        </is>
      </c>
    </row>
    <row r="701">
      <c r="A701" t="n">
        <v>700</v>
      </c>
      <c r="B701" t="inlineStr">
        <is>
          <t>16 (4).tif</t>
        </is>
      </c>
      <c r="C701" t="inlineStr">
        <is>
          <t>16(4)-V05</t>
        </is>
      </c>
      <c r="D701" t="n">
        <v>5</v>
      </c>
      <c r="E701" t="inlineStr">
        <is>
          <t>primary</t>
        </is>
      </c>
      <c r="F701" t="n">
        <v>232.8449905482042</v>
      </c>
      <c r="G701">
        <f>2*SQRT(F701/PI())</f>
        <v/>
      </c>
      <c r="H701" t="n">
        <v>63.23417337044425</v>
      </c>
      <c r="I701" t="n">
        <v>220</v>
      </c>
      <c r="J701" t="n">
        <v>634</v>
      </c>
      <c r="K701" t="n">
        <v>228.1880907372401</v>
      </c>
      <c r="L701" t="n">
        <v>237.5018903591682</v>
      </c>
      <c r="M701">
        <f>2*SQRT(K701/PI())</f>
        <v/>
      </c>
      <c r="N701">
        <f>2*SQRT(L701/PI())</f>
        <v/>
      </c>
      <c r="P701" t="inlineStr">
        <is>
          <t>是</t>
        </is>
      </c>
      <c r="Q701" t="inlineStr">
        <is>
          <t>auto_pipeline;review_png_green</t>
        </is>
      </c>
      <c r="R701" t="inlineStr">
        <is>
          <t>样品16</t>
        </is>
      </c>
    </row>
    <row r="702">
      <c r="A702" t="n">
        <v>701</v>
      </c>
      <c r="B702" t="inlineStr">
        <is>
          <t>16 (4).tif</t>
        </is>
      </c>
      <c r="C702" t="inlineStr">
        <is>
          <t>16(4)-V06</t>
        </is>
      </c>
      <c r="D702" t="n">
        <v>6</v>
      </c>
      <c r="E702" t="inlineStr">
        <is>
          <t>primary</t>
        </is>
      </c>
      <c r="F702" t="n">
        <v>124.1257088846881</v>
      </c>
      <c r="G702">
        <f>2*SQRT(F702/PI())</f>
        <v/>
      </c>
      <c r="H702" t="n">
        <v>44.10748748675636</v>
      </c>
      <c r="I702" t="n">
        <v>955</v>
      </c>
      <c r="J702" t="n">
        <v>492</v>
      </c>
      <c r="K702" t="n">
        <v>121.6431947069943</v>
      </c>
      <c r="L702" t="n">
        <v>126.6082230623819</v>
      </c>
      <c r="M702">
        <f>2*SQRT(K702/PI())</f>
        <v/>
      </c>
      <c r="N702">
        <f>2*SQRT(L702/PI())</f>
        <v/>
      </c>
      <c r="P702" t="inlineStr">
        <is>
          <t>是</t>
        </is>
      </c>
      <c r="Q702" t="inlineStr">
        <is>
          <t>auto_pipeline;review_png_green</t>
        </is>
      </c>
      <c r="R702" t="inlineStr">
        <is>
          <t>样品16</t>
        </is>
      </c>
    </row>
    <row r="703">
      <c r="A703" t="n">
        <v>702</v>
      </c>
      <c r="B703" t="inlineStr">
        <is>
          <t>16 (5).tif</t>
        </is>
      </c>
      <c r="C703" t="inlineStr">
        <is>
          <t>16(5)-V01</t>
        </is>
      </c>
      <c r="D703" t="n">
        <v>1</v>
      </c>
      <c r="E703" t="inlineStr">
        <is>
          <t>primary</t>
        </is>
      </c>
      <c r="F703" t="n">
        <v>865.7136105860113</v>
      </c>
      <c r="G703">
        <f>2*SQRT(F703/PI())</f>
        <v/>
      </c>
      <c r="H703" t="n">
        <v>110.5034339687099</v>
      </c>
      <c r="I703" t="n">
        <v>493</v>
      </c>
      <c r="J703" t="n">
        <v>274</v>
      </c>
      <c r="K703" t="n">
        <v>848.3993383742911</v>
      </c>
      <c r="L703" t="n">
        <v>883.0278827977315</v>
      </c>
      <c r="M703">
        <f>2*SQRT(K703/PI())</f>
        <v/>
      </c>
      <c r="N703">
        <f>2*SQRT(L703/PI())</f>
        <v/>
      </c>
      <c r="O703" t="inlineStr">
        <is>
          <t>16(5)-P01</t>
        </is>
      </c>
      <c r="P703" t="inlineStr">
        <is>
          <t>是</t>
        </is>
      </c>
      <c r="Q703" t="inlineStr">
        <is>
          <t>auto_pipeline;review_png_green</t>
        </is>
      </c>
      <c r="R703" t="inlineStr">
        <is>
          <t>样品16</t>
        </is>
      </c>
    </row>
    <row r="704">
      <c r="A704" t="n">
        <v>703</v>
      </c>
      <c r="B704" t="inlineStr">
        <is>
          <t>16 (5).tif</t>
        </is>
      </c>
      <c r="C704" t="inlineStr">
        <is>
          <t>16(5)-V02</t>
        </is>
      </c>
      <c r="D704" t="n">
        <v>2</v>
      </c>
      <c r="E704" t="inlineStr">
        <is>
          <t>primary</t>
        </is>
      </c>
      <c r="F704" t="n">
        <v>606.3090737240076</v>
      </c>
      <c r="G704">
        <f>2*SQRT(F704/PI())</f>
        <v/>
      </c>
      <c r="H704" t="n">
        <v>92.58465002412382</v>
      </c>
      <c r="I704" t="n">
        <v>445</v>
      </c>
      <c r="J704" t="n">
        <v>443</v>
      </c>
      <c r="K704" t="n">
        <v>594.1828922495274</v>
      </c>
      <c r="L704" t="n">
        <v>618.4352551984878</v>
      </c>
      <c r="M704">
        <f>2*SQRT(K704/PI())</f>
        <v/>
      </c>
      <c r="N704">
        <f>2*SQRT(L704/PI())</f>
        <v/>
      </c>
      <c r="O704" t="inlineStr">
        <is>
          <t>16(5)-P01</t>
        </is>
      </c>
      <c r="P704" t="inlineStr">
        <is>
          <t>是</t>
        </is>
      </c>
      <c r="Q704" t="inlineStr">
        <is>
          <t>auto_pipeline;review_png_green</t>
        </is>
      </c>
      <c r="R704" t="inlineStr">
        <is>
          <t>样品16</t>
        </is>
      </c>
    </row>
    <row r="705">
      <c r="A705" t="n">
        <v>704</v>
      </c>
      <c r="B705" t="inlineStr">
        <is>
          <t>16 (5).tif</t>
        </is>
      </c>
      <c r="C705" t="inlineStr">
        <is>
          <t>16(5)-V03</t>
        </is>
      </c>
      <c r="D705" t="n">
        <v>3</v>
      </c>
      <c r="E705" t="inlineStr">
        <is>
          <t>primary</t>
        </is>
      </c>
      <c r="F705" t="n">
        <v>242.3676748582231</v>
      </c>
      <c r="G705">
        <f>2*SQRT(F705/PI())</f>
        <v/>
      </c>
      <c r="H705" t="n">
        <v>70.46723383924235</v>
      </c>
      <c r="I705" t="n">
        <v>946</v>
      </c>
      <c r="J705" t="n">
        <v>609</v>
      </c>
      <c r="K705" t="n">
        <v>237.5203213610586</v>
      </c>
      <c r="L705" t="n">
        <v>247.2150283553875</v>
      </c>
      <c r="M705">
        <f>2*SQRT(K705/PI())</f>
        <v/>
      </c>
      <c r="N705">
        <f>2*SQRT(L705/PI())</f>
        <v/>
      </c>
      <c r="P705" t="inlineStr">
        <is>
          <t>是</t>
        </is>
      </c>
      <c r="Q705" t="inlineStr">
        <is>
          <t>auto_pipeline;review_png_green</t>
        </is>
      </c>
      <c r="R705" t="inlineStr">
        <is>
          <t>样品16</t>
        </is>
      </c>
    </row>
    <row r="706">
      <c r="A706" t="n">
        <v>705</v>
      </c>
      <c r="B706" t="inlineStr">
        <is>
          <t>16 (5).tif</t>
        </is>
      </c>
      <c r="C706" t="inlineStr">
        <is>
          <t>16(5)-V04</t>
        </is>
      </c>
      <c r="D706" t="n">
        <v>4</v>
      </c>
      <c r="E706" t="inlineStr">
        <is>
          <t>primary</t>
        </is>
      </c>
      <c r="F706" t="n">
        <v>223.3695652173913</v>
      </c>
      <c r="G706">
        <f>2*SQRT(F706/PI())</f>
        <v/>
      </c>
      <c r="H706" t="n">
        <v>57.61664735234302</v>
      </c>
      <c r="I706" t="n">
        <v>239</v>
      </c>
      <c r="J706" t="n">
        <v>433</v>
      </c>
      <c r="K706" t="n">
        <v>218.9021739130435</v>
      </c>
      <c r="L706" t="n">
        <v>227.8369565217392</v>
      </c>
      <c r="M706">
        <f>2*SQRT(K706/PI())</f>
        <v/>
      </c>
      <c r="N706">
        <f>2*SQRT(L706/PI())</f>
        <v/>
      </c>
      <c r="P706" t="inlineStr">
        <is>
          <t>是</t>
        </is>
      </c>
      <c r="Q706" t="inlineStr">
        <is>
          <t>auto_pipeline;review_png_green</t>
        </is>
      </c>
      <c r="R706" t="inlineStr">
        <is>
          <t>样品16</t>
        </is>
      </c>
    </row>
    <row r="707">
      <c r="A707" t="n">
        <v>706</v>
      </c>
      <c r="B707" t="inlineStr">
        <is>
          <t>16 (5).tif</t>
        </is>
      </c>
      <c r="C707" t="inlineStr">
        <is>
          <t>16(5)-V05</t>
        </is>
      </c>
      <c r="D707" t="n">
        <v>5</v>
      </c>
      <c r="E707" t="inlineStr">
        <is>
          <t>primary</t>
        </is>
      </c>
      <c r="F707" t="n">
        <v>154.796786389414</v>
      </c>
      <c r="G707">
        <f>2*SQRT(F707/PI())</f>
        <v/>
      </c>
      <c r="H707" t="n">
        <v>48.45531357371289</v>
      </c>
      <c r="I707" t="n">
        <v>40</v>
      </c>
      <c r="J707" t="n">
        <v>96</v>
      </c>
      <c r="K707" t="n">
        <v>151.7008506616257</v>
      </c>
      <c r="L707" t="n">
        <v>157.8927221172023</v>
      </c>
      <c r="M707">
        <f>2*SQRT(K707/PI())</f>
        <v/>
      </c>
      <c r="N707">
        <f>2*SQRT(L707/PI())</f>
        <v/>
      </c>
      <c r="P707" t="inlineStr">
        <is>
          <t>是</t>
        </is>
      </c>
      <c r="Q707" t="inlineStr">
        <is>
          <t>auto_pipeline;review_png_green</t>
        </is>
      </c>
      <c r="R707" t="inlineStr">
        <is>
          <t>样品16</t>
        </is>
      </c>
    </row>
    <row r="708">
      <c r="A708" t="n">
        <v>707</v>
      </c>
      <c r="B708" t="inlineStr">
        <is>
          <t>16 (5).tif</t>
        </is>
      </c>
      <c r="C708" t="inlineStr">
        <is>
          <t>16(5)-V06</t>
        </is>
      </c>
      <c r="D708" t="n">
        <v>6</v>
      </c>
      <c r="E708" t="inlineStr">
        <is>
          <t>primary</t>
        </is>
      </c>
      <c r="F708" t="n">
        <v>140.7372400756144</v>
      </c>
      <c r="G708">
        <f>2*SQRT(F708/PI())</f>
        <v/>
      </c>
      <c r="H708" t="n">
        <v>45.97396280454553</v>
      </c>
      <c r="I708" t="n">
        <v>543</v>
      </c>
      <c r="J708" t="n">
        <v>600</v>
      </c>
      <c r="K708" t="n">
        <v>137.9224952741021</v>
      </c>
      <c r="L708" t="n">
        <v>143.5519848771267</v>
      </c>
      <c r="M708">
        <f>2*SQRT(K708/PI())</f>
        <v/>
      </c>
      <c r="N708">
        <f>2*SQRT(L708/PI())</f>
        <v/>
      </c>
      <c r="P708" t="inlineStr">
        <is>
          <t>是</t>
        </is>
      </c>
      <c r="Q708" t="inlineStr">
        <is>
          <t>auto_pipeline;review_png_green</t>
        </is>
      </c>
      <c r="R708" t="inlineStr">
        <is>
          <t>样品16</t>
        </is>
      </c>
    </row>
    <row r="709">
      <c r="A709" t="n">
        <v>708</v>
      </c>
      <c r="B709" t="inlineStr">
        <is>
          <t>16 (5).tif</t>
        </is>
      </c>
      <c r="C709" t="inlineStr">
        <is>
          <t>16(5)-V07</t>
        </is>
      </c>
      <c r="D709" t="n">
        <v>7</v>
      </c>
      <c r="E709" t="inlineStr">
        <is>
          <t>primary</t>
        </is>
      </c>
      <c r="F709" t="n">
        <v>101.4177693761815</v>
      </c>
      <c r="G709">
        <f>2*SQRT(F709/PI())</f>
        <v/>
      </c>
      <c r="H709" t="n">
        <v>38.44626354134601</v>
      </c>
      <c r="I709" t="n">
        <v>135</v>
      </c>
      <c r="J709" t="n">
        <v>103</v>
      </c>
      <c r="K709" t="n">
        <v>99.38941398865784</v>
      </c>
      <c r="L709" t="n">
        <v>103.4461247637051</v>
      </c>
      <c r="M709">
        <f>2*SQRT(K709/PI())</f>
        <v/>
      </c>
      <c r="N709">
        <f>2*SQRT(L709/PI())</f>
        <v/>
      </c>
      <c r="P709" t="inlineStr">
        <is>
          <t>是</t>
        </is>
      </c>
      <c r="Q709" t="inlineStr">
        <is>
          <t>auto_pipeline;review_png_green</t>
        </is>
      </c>
      <c r="R709" t="inlineStr">
        <is>
          <t>样品16</t>
        </is>
      </c>
    </row>
    <row r="710">
      <c r="A710" t="n">
        <v>709</v>
      </c>
      <c r="B710" t="inlineStr">
        <is>
          <t>16 (6).tif</t>
        </is>
      </c>
      <c r="C710" t="inlineStr">
        <is>
          <t>16(6)-V01</t>
        </is>
      </c>
      <c r="D710" t="n">
        <v>1</v>
      </c>
      <c r="E710" t="inlineStr">
        <is>
          <t>primary</t>
        </is>
      </c>
      <c r="F710" t="n">
        <v>615.5718336483932</v>
      </c>
      <c r="G710">
        <f>2*SQRT(F710/PI())</f>
        <v/>
      </c>
      <c r="H710" t="n">
        <v>92.94483570948891</v>
      </c>
      <c r="I710" t="n">
        <v>507</v>
      </c>
      <c r="J710" t="n">
        <v>282</v>
      </c>
      <c r="K710" t="n">
        <v>603.2603969754254</v>
      </c>
      <c r="L710" t="n">
        <v>627.883270321361</v>
      </c>
      <c r="M710">
        <f>2*SQRT(K710/PI())</f>
        <v/>
      </c>
      <c r="N710">
        <f>2*SQRT(L710/PI())</f>
        <v/>
      </c>
      <c r="O710" t="inlineStr">
        <is>
          <t>16(6)-P01</t>
        </is>
      </c>
      <c r="P710" t="inlineStr">
        <is>
          <t>是</t>
        </is>
      </c>
      <c r="Q710" t="inlineStr">
        <is>
          <t>auto_pipeline;review_png_green</t>
        </is>
      </c>
      <c r="R710" t="inlineStr">
        <is>
          <t>样品16</t>
        </is>
      </c>
    </row>
    <row r="711">
      <c r="A711" t="n">
        <v>710</v>
      </c>
      <c r="B711" t="inlineStr">
        <is>
          <t>16 (6).tif</t>
        </is>
      </c>
      <c r="C711" t="inlineStr">
        <is>
          <t>16(6)-V02</t>
        </is>
      </c>
      <c r="D711" t="n">
        <v>2</v>
      </c>
      <c r="E711" t="inlineStr">
        <is>
          <t>primary</t>
        </is>
      </c>
      <c r="F711" t="n">
        <v>605.6710775047259</v>
      </c>
      <c r="G711">
        <f>2*SQRT(F711/PI())</f>
        <v/>
      </c>
      <c r="H711" t="n">
        <v>92.20261537510416</v>
      </c>
      <c r="I711" t="n">
        <v>196</v>
      </c>
      <c r="J711" t="n">
        <v>370</v>
      </c>
      <c r="K711" t="n">
        <v>593.5576559546314</v>
      </c>
      <c r="L711" t="n">
        <v>617.7844990548203</v>
      </c>
      <c r="M711">
        <f>2*SQRT(K711/PI())</f>
        <v/>
      </c>
      <c r="N711">
        <f>2*SQRT(L711/PI())</f>
        <v/>
      </c>
      <c r="P711" t="inlineStr">
        <is>
          <t>是</t>
        </is>
      </c>
      <c r="Q711" t="inlineStr">
        <is>
          <t>auto_pipeline;review_png_green</t>
        </is>
      </c>
      <c r="R711" t="inlineStr">
        <is>
          <t>样品16</t>
        </is>
      </c>
    </row>
    <row r="712">
      <c r="A712" t="n">
        <v>711</v>
      </c>
      <c r="B712" t="inlineStr">
        <is>
          <t>16 (6).tif</t>
        </is>
      </c>
      <c r="C712" t="inlineStr">
        <is>
          <t>16(6)-V03</t>
        </is>
      </c>
      <c r="D712" t="n">
        <v>3</v>
      </c>
      <c r="E712" t="inlineStr">
        <is>
          <t>primary</t>
        </is>
      </c>
      <c r="F712" t="n">
        <v>439.9338374291115</v>
      </c>
      <c r="G712">
        <f>2*SQRT(F712/PI())</f>
        <v/>
      </c>
      <c r="H712" t="n">
        <v>79.71221457356992</v>
      </c>
      <c r="I712" t="n">
        <v>547</v>
      </c>
      <c r="J712" t="n">
        <v>440</v>
      </c>
      <c r="K712" t="n">
        <v>431.1351606805293</v>
      </c>
      <c r="L712" t="n">
        <v>448.7325141776938</v>
      </c>
      <c r="M712">
        <f>2*SQRT(K712/PI())</f>
        <v/>
      </c>
      <c r="N712">
        <f>2*SQRT(L712/PI())</f>
        <v/>
      </c>
      <c r="O712" t="inlineStr">
        <is>
          <t>16(6)-P01</t>
        </is>
      </c>
      <c r="P712" t="inlineStr">
        <is>
          <t>是</t>
        </is>
      </c>
      <c r="Q712" t="inlineStr">
        <is>
          <t>auto_pipeline;review_png_green</t>
        </is>
      </c>
      <c r="R712" t="inlineStr">
        <is>
          <t>样品16</t>
        </is>
      </c>
    </row>
    <row r="713">
      <c r="A713" t="n">
        <v>712</v>
      </c>
      <c r="B713" t="inlineStr">
        <is>
          <t>16 (6).tif</t>
        </is>
      </c>
      <c r="C713" t="inlineStr">
        <is>
          <t>16(6)-V04</t>
        </is>
      </c>
      <c r="D713" t="n">
        <v>4</v>
      </c>
      <c r="E713" t="inlineStr">
        <is>
          <t>primary</t>
        </is>
      </c>
      <c r="F713" t="n">
        <v>152.9536862003781</v>
      </c>
      <c r="G713">
        <f>2*SQRT(F713/PI())</f>
        <v/>
      </c>
      <c r="H713" t="n">
        <v>52.80313966066941</v>
      </c>
      <c r="I713" t="n">
        <v>195</v>
      </c>
      <c r="J713" t="n">
        <v>180</v>
      </c>
      <c r="K713" t="n">
        <v>149.8946124763705</v>
      </c>
      <c r="L713" t="n">
        <v>156.0127599243856</v>
      </c>
      <c r="M713">
        <f>2*SQRT(K713/PI())</f>
        <v/>
      </c>
      <c r="N713">
        <f>2*SQRT(L713/PI())</f>
        <v/>
      </c>
      <c r="P713" t="inlineStr">
        <is>
          <t>是</t>
        </is>
      </c>
      <c r="Q713" t="inlineStr">
        <is>
          <t>auto_pipeline;review_png_green</t>
        </is>
      </c>
      <c r="R713" t="inlineStr">
        <is>
          <t>样品16</t>
        </is>
      </c>
    </row>
    <row r="714">
      <c r="A714" t="n">
        <v>713</v>
      </c>
      <c r="B714" t="inlineStr">
        <is>
          <t>16 (6).tif</t>
        </is>
      </c>
      <c r="C714" t="inlineStr">
        <is>
          <t>16(6)-V05</t>
        </is>
      </c>
      <c r="D714" t="n">
        <v>5</v>
      </c>
      <c r="E714" t="inlineStr">
        <is>
          <t>primary</t>
        </is>
      </c>
      <c r="F714" t="n">
        <v>106.2618147448015</v>
      </c>
      <c r="G714">
        <f>2*SQRT(F714/PI())</f>
        <v/>
      </c>
      <c r="H714" t="n">
        <v>39.54866956109586</v>
      </c>
      <c r="I714" t="n">
        <v>273</v>
      </c>
      <c r="J714" t="n">
        <v>308</v>
      </c>
      <c r="K714" t="n">
        <v>104.1365784499055</v>
      </c>
      <c r="L714" t="n">
        <v>108.3870510396975</v>
      </c>
      <c r="M714">
        <f>2*SQRT(K714/PI())</f>
        <v/>
      </c>
      <c r="N714">
        <f>2*SQRT(L714/PI())</f>
        <v/>
      </c>
      <c r="P714" t="inlineStr">
        <is>
          <t>是</t>
        </is>
      </c>
      <c r="Q714" t="inlineStr">
        <is>
          <t>auto_pipeline;review_png_green</t>
        </is>
      </c>
      <c r="R714" t="inlineStr">
        <is>
          <t>样品16</t>
        </is>
      </c>
    </row>
    <row r="715">
      <c r="A715" t="n">
        <v>714</v>
      </c>
      <c r="B715" t="inlineStr">
        <is>
          <t>17 (1).tif</t>
        </is>
      </c>
      <c r="C715" t="inlineStr">
        <is>
          <t>17(1)-V01</t>
        </is>
      </c>
      <c r="D715" t="n">
        <v>1</v>
      </c>
      <c r="E715" t="inlineStr">
        <is>
          <t>primary</t>
        </is>
      </c>
      <c r="F715" t="n">
        <v>303.0954631379962</v>
      </c>
      <c r="G715">
        <f>2*SQRT(F715/PI())</f>
        <v/>
      </c>
      <c r="H715" t="n">
        <v>69.44847477518994</v>
      </c>
      <c r="I715" t="n">
        <v>275</v>
      </c>
      <c r="J715" t="n">
        <v>449</v>
      </c>
      <c r="K715" t="n">
        <v>297.0335538752363</v>
      </c>
      <c r="L715" t="n">
        <v>309.1573724007561</v>
      </c>
      <c r="M715">
        <f>2*SQRT(K715/PI())</f>
        <v/>
      </c>
      <c r="N715">
        <f>2*SQRT(L715/PI())</f>
        <v/>
      </c>
      <c r="P715" t="inlineStr">
        <is>
          <t>是</t>
        </is>
      </c>
      <c r="Q715" t="inlineStr">
        <is>
          <t>auto_pipeline;review_png_green</t>
        </is>
      </c>
      <c r="R715" t="inlineStr">
        <is>
          <t>样品17</t>
        </is>
      </c>
    </row>
    <row r="716">
      <c r="A716" t="n">
        <v>715</v>
      </c>
      <c r="B716" t="inlineStr">
        <is>
          <t>17 (1).tif</t>
        </is>
      </c>
      <c r="C716" t="inlineStr">
        <is>
          <t>17(1)-V02</t>
        </is>
      </c>
      <c r="D716" t="n">
        <v>2</v>
      </c>
      <c r="E716" t="inlineStr">
        <is>
          <t>primary</t>
        </is>
      </c>
      <c r="F716" t="n">
        <v>297.8733459357278</v>
      </c>
      <c r="G716">
        <f>2*SQRT(F716/PI())</f>
        <v/>
      </c>
      <c r="H716" t="n">
        <v>64.76231196652287</v>
      </c>
      <c r="I716" t="n">
        <v>198</v>
      </c>
      <c r="J716" t="n">
        <v>235</v>
      </c>
      <c r="K716" t="n">
        <v>291.9158790170133</v>
      </c>
      <c r="L716" t="n">
        <v>303.8308128544423</v>
      </c>
      <c r="M716">
        <f>2*SQRT(K716/PI())</f>
        <v/>
      </c>
      <c r="N716">
        <f>2*SQRT(L716/PI())</f>
        <v/>
      </c>
      <c r="P716" t="inlineStr">
        <is>
          <t>是</t>
        </is>
      </c>
      <c r="Q716" t="inlineStr">
        <is>
          <t>auto_pipeline;review_png_green</t>
        </is>
      </c>
      <c r="R716" t="inlineStr">
        <is>
          <t>样品17</t>
        </is>
      </c>
    </row>
    <row r="717">
      <c r="A717" t="n">
        <v>716</v>
      </c>
      <c r="B717" t="inlineStr">
        <is>
          <t>17 (1).tif</t>
        </is>
      </c>
      <c r="C717" t="inlineStr">
        <is>
          <t>17(1)-V03</t>
        </is>
      </c>
      <c r="D717" t="n">
        <v>3</v>
      </c>
      <c r="E717" t="inlineStr">
        <is>
          <t>primary</t>
        </is>
      </c>
      <c r="F717" t="n">
        <v>139.2013232514178</v>
      </c>
      <c r="G717">
        <f>2*SQRT(F717/PI())</f>
        <v/>
      </c>
      <c r="H717" t="n">
        <v>46.35599745356518</v>
      </c>
      <c r="I717" t="n">
        <v>186</v>
      </c>
      <c r="J717" t="n">
        <v>154</v>
      </c>
      <c r="K717" t="n">
        <v>136.4172967863894</v>
      </c>
      <c r="L717" t="n">
        <v>141.9853497164461</v>
      </c>
      <c r="M717">
        <f>2*SQRT(K717/PI())</f>
        <v/>
      </c>
      <c r="N717">
        <f>2*SQRT(L717/PI())</f>
        <v/>
      </c>
      <c r="P717" t="inlineStr">
        <is>
          <t>是</t>
        </is>
      </c>
      <c r="Q717" t="inlineStr">
        <is>
          <t>auto_pipeline;review_png_green</t>
        </is>
      </c>
      <c r="R717" t="inlineStr">
        <is>
          <t>样品17</t>
        </is>
      </c>
    </row>
    <row r="718">
      <c r="A718" t="n">
        <v>717</v>
      </c>
      <c r="B718" t="inlineStr">
        <is>
          <t>17 (2).tif</t>
        </is>
      </c>
      <c r="C718" t="inlineStr">
        <is>
          <t>17(2)-V01</t>
        </is>
      </c>
      <c r="D718" t="n">
        <v>1</v>
      </c>
      <c r="E718" t="inlineStr">
        <is>
          <t>primary</t>
        </is>
      </c>
      <c r="F718" t="n">
        <v>952.2211720226843</v>
      </c>
      <c r="G718">
        <f>2*SQRT(F718/PI())</f>
        <v/>
      </c>
      <c r="H718" t="n">
        <v>116.0591619947682</v>
      </c>
      <c r="I718" t="n">
        <v>464</v>
      </c>
      <c r="J718" t="n">
        <v>304</v>
      </c>
      <c r="K718" t="n">
        <v>933.1767485822306</v>
      </c>
      <c r="L718" t="n">
        <v>971.265595463138</v>
      </c>
      <c r="M718">
        <f>2*SQRT(K718/PI())</f>
        <v/>
      </c>
      <c r="N718">
        <f>2*SQRT(L718/PI())</f>
        <v/>
      </c>
      <c r="O718" t="inlineStr">
        <is>
          <t>17(2)-P01</t>
        </is>
      </c>
      <c r="P718" t="inlineStr">
        <is>
          <t>是</t>
        </is>
      </c>
      <c r="Q718" t="inlineStr">
        <is>
          <t>auto_pipeline;review_png_green</t>
        </is>
      </c>
      <c r="R718" t="inlineStr">
        <is>
          <t>样品17</t>
        </is>
      </c>
    </row>
    <row r="719">
      <c r="A719" t="n">
        <v>718</v>
      </c>
      <c r="B719" t="inlineStr">
        <is>
          <t>17 (2).tif</t>
        </is>
      </c>
      <c r="C719" t="inlineStr">
        <is>
          <t>17(2)-V02</t>
        </is>
      </c>
      <c r="D719" t="n">
        <v>2</v>
      </c>
      <c r="E719" t="inlineStr">
        <is>
          <t>primary</t>
        </is>
      </c>
      <c r="F719" t="n">
        <v>429.867674858223</v>
      </c>
      <c r="G719">
        <f>2*SQRT(F719/PI())</f>
        <v/>
      </c>
      <c r="H719" t="n">
        <v>77.86758821943532</v>
      </c>
      <c r="I719" t="n">
        <v>514</v>
      </c>
      <c r="J719" t="n">
        <v>462</v>
      </c>
      <c r="K719" t="n">
        <v>421.2703213610586</v>
      </c>
      <c r="L719" t="n">
        <v>438.4650283553875</v>
      </c>
      <c r="M719">
        <f>2*SQRT(K719/PI())</f>
        <v/>
      </c>
      <c r="N719">
        <f>2*SQRT(L719/PI())</f>
        <v/>
      </c>
      <c r="O719" t="inlineStr">
        <is>
          <t>17(2)-P01</t>
        </is>
      </c>
      <c r="P719" t="inlineStr">
        <is>
          <t>是</t>
        </is>
      </c>
      <c r="Q719" t="inlineStr">
        <is>
          <t>auto_pipeline;review_png_green</t>
        </is>
      </c>
      <c r="R719" t="inlineStr">
        <is>
          <t>样品17</t>
        </is>
      </c>
    </row>
    <row r="720">
      <c r="A720" t="n">
        <v>719</v>
      </c>
      <c r="B720" t="inlineStr">
        <is>
          <t>17 (2).tif</t>
        </is>
      </c>
      <c r="C720" t="inlineStr">
        <is>
          <t>17(2)-V03</t>
        </is>
      </c>
      <c r="D720" t="n">
        <v>3</v>
      </c>
      <c r="E720" t="inlineStr">
        <is>
          <t>primary</t>
        </is>
      </c>
      <c r="F720" t="n">
        <v>274.4092627599244</v>
      </c>
      <c r="G720">
        <f>2*SQRT(F720/PI())</f>
        <v/>
      </c>
      <c r="H720" t="n">
        <v>65.14434661554253</v>
      </c>
      <c r="I720" t="n">
        <v>684</v>
      </c>
      <c r="J720" t="n">
        <v>379</v>
      </c>
      <c r="K720" t="n">
        <v>268.9210775047259</v>
      </c>
      <c r="L720" t="n">
        <v>279.8974480151229</v>
      </c>
      <c r="M720">
        <f>2*SQRT(K720/PI())</f>
        <v/>
      </c>
      <c r="N720">
        <f>2*SQRT(L720/PI())</f>
        <v/>
      </c>
      <c r="P720" t="inlineStr">
        <is>
          <t>是</t>
        </is>
      </c>
      <c r="Q720" t="inlineStr">
        <is>
          <t>auto_pipeline;review_png_green</t>
        </is>
      </c>
      <c r="R720" t="inlineStr">
        <is>
          <t>样品17</t>
        </is>
      </c>
    </row>
    <row r="721">
      <c r="A721" t="n">
        <v>720</v>
      </c>
      <c r="B721" t="inlineStr">
        <is>
          <t>17 (2).tif</t>
        </is>
      </c>
      <c r="C721" t="inlineStr">
        <is>
          <t>17(2)-V04</t>
        </is>
      </c>
      <c r="D721" t="n">
        <v>4</v>
      </c>
      <c r="E721" t="inlineStr">
        <is>
          <t>primary</t>
        </is>
      </c>
      <c r="F721" t="n">
        <v>118.8327032136106</v>
      </c>
      <c r="G721">
        <f>2*SQRT(F721/PI())</f>
        <v/>
      </c>
      <c r="H721" t="n">
        <v>41.28779999587847</v>
      </c>
      <c r="I721" t="n">
        <v>580</v>
      </c>
      <c r="J721" t="n">
        <v>232</v>
      </c>
      <c r="K721" t="n">
        <v>116.4560491493384</v>
      </c>
      <c r="L721" t="n">
        <v>121.2093572778828</v>
      </c>
      <c r="M721">
        <f>2*SQRT(K721/PI())</f>
        <v/>
      </c>
      <c r="N721">
        <f>2*SQRT(L721/PI())</f>
        <v/>
      </c>
      <c r="P721" t="inlineStr">
        <is>
          <t>是</t>
        </is>
      </c>
      <c r="Q721" t="inlineStr">
        <is>
          <t>auto_pipeline;review_png_green</t>
        </is>
      </c>
      <c r="R721" t="inlineStr">
        <is>
          <t>样品17</t>
        </is>
      </c>
    </row>
    <row r="722">
      <c r="A722" t="n">
        <v>721</v>
      </c>
      <c r="B722" t="inlineStr">
        <is>
          <t>17 (2).tif</t>
        </is>
      </c>
      <c r="C722" t="inlineStr">
        <is>
          <t>17(2)-V05</t>
        </is>
      </c>
      <c r="D722" t="n">
        <v>5</v>
      </c>
      <c r="E722" t="inlineStr">
        <is>
          <t>primary</t>
        </is>
      </c>
      <c r="F722" t="n">
        <v>117.3913043478261</v>
      </c>
      <c r="G722">
        <f>2*SQRT(F722/PI())</f>
        <v/>
      </c>
      <c r="H722" t="n">
        <v>41.41514487888502</v>
      </c>
      <c r="I722" t="n">
        <v>668</v>
      </c>
      <c r="J722" t="n">
        <v>492</v>
      </c>
      <c r="K722" t="n">
        <v>115.0434782608696</v>
      </c>
      <c r="L722" t="n">
        <v>119.7391304347826</v>
      </c>
      <c r="M722">
        <f>2*SQRT(K722/PI())</f>
        <v/>
      </c>
      <c r="N722">
        <f>2*SQRT(L722/PI())</f>
        <v/>
      </c>
      <c r="P722" t="inlineStr">
        <is>
          <t>是</t>
        </is>
      </c>
      <c r="Q722" t="inlineStr">
        <is>
          <t>auto_pipeline;review_png_green</t>
        </is>
      </c>
      <c r="R722" t="inlineStr">
        <is>
          <t>样品17</t>
        </is>
      </c>
    </row>
    <row r="723">
      <c r="A723" t="n">
        <v>722</v>
      </c>
      <c r="B723" t="inlineStr">
        <is>
          <t>17 (2).tif</t>
        </is>
      </c>
      <c r="C723" t="inlineStr">
        <is>
          <t>17(2)-V06</t>
        </is>
      </c>
      <c r="D723" t="n">
        <v>6</v>
      </c>
      <c r="E723" t="inlineStr">
        <is>
          <t>primary</t>
        </is>
      </c>
      <c r="F723" t="n">
        <v>106.2381852551985</v>
      </c>
      <c r="G723">
        <f>2*SQRT(F723/PI())</f>
        <v/>
      </c>
      <c r="H723" t="n">
        <v>39.31582875873731</v>
      </c>
      <c r="I723" t="n">
        <v>564</v>
      </c>
      <c r="J723" t="n">
        <v>149</v>
      </c>
      <c r="K723" t="n">
        <v>104.1134215500945</v>
      </c>
      <c r="L723" t="n">
        <v>108.3629489603025</v>
      </c>
      <c r="M723">
        <f>2*SQRT(K723/PI())</f>
        <v/>
      </c>
      <c r="N723">
        <f>2*SQRT(L723/PI())</f>
        <v/>
      </c>
      <c r="P723" t="inlineStr">
        <is>
          <t>是</t>
        </is>
      </c>
      <c r="Q723" t="inlineStr">
        <is>
          <t>auto_pipeline;review_png_green</t>
        </is>
      </c>
      <c r="R723" t="inlineStr">
        <is>
          <t>样品17</t>
        </is>
      </c>
    </row>
    <row r="724">
      <c r="A724" t="n">
        <v>723</v>
      </c>
      <c r="B724" t="inlineStr">
        <is>
          <t>17 (3).tif</t>
        </is>
      </c>
      <c r="C724" t="inlineStr">
        <is>
          <t>17(3)-V01</t>
        </is>
      </c>
      <c r="D724" t="n">
        <v>1</v>
      </c>
      <c r="E724" t="inlineStr">
        <is>
          <t>primary</t>
        </is>
      </c>
      <c r="F724" t="n">
        <v>249.6691871455577</v>
      </c>
      <c r="G724">
        <f>2*SQRT(F724/PI())</f>
        <v/>
      </c>
      <c r="H724" t="n">
        <v>61.68793470963188</v>
      </c>
      <c r="I724" t="n">
        <v>473</v>
      </c>
      <c r="J724" t="n">
        <v>334</v>
      </c>
      <c r="K724" t="n">
        <v>244.6758034026465</v>
      </c>
      <c r="L724" t="n">
        <v>254.6625708884688</v>
      </c>
      <c r="M724">
        <f>2*SQRT(K724/PI())</f>
        <v/>
      </c>
      <c r="N724">
        <f>2*SQRT(L724/PI())</f>
        <v/>
      </c>
      <c r="P724" t="inlineStr">
        <is>
          <t>是</t>
        </is>
      </c>
      <c r="Q724" t="inlineStr">
        <is>
          <t>auto_pipeline;review_png_green</t>
        </is>
      </c>
      <c r="R724" t="inlineStr">
        <is>
          <t>样品17</t>
        </is>
      </c>
    </row>
    <row r="725">
      <c r="A725" t="n">
        <v>724</v>
      </c>
      <c r="B725" t="inlineStr">
        <is>
          <t>17 (3).tif</t>
        </is>
      </c>
      <c r="C725" t="inlineStr">
        <is>
          <t>17(3)-V02</t>
        </is>
      </c>
      <c r="D725" t="n">
        <v>2</v>
      </c>
      <c r="E725" t="inlineStr">
        <is>
          <t>primary</t>
        </is>
      </c>
      <c r="F725" t="n">
        <v>217.9584120982987</v>
      </c>
      <c r="G725">
        <f>2*SQRT(F725/PI())</f>
        <v/>
      </c>
      <c r="H725" t="n">
        <v>56.11035771991895</v>
      </c>
      <c r="I725" t="n">
        <v>313</v>
      </c>
      <c r="J725" t="n">
        <v>170</v>
      </c>
      <c r="K725" t="n">
        <v>213.5992438563327</v>
      </c>
      <c r="L725" t="n">
        <v>222.3175803402647</v>
      </c>
      <c r="M725">
        <f>2*SQRT(K725/PI())</f>
        <v/>
      </c>
      <c r="N725">
        <f>2*SQRT(L725/PI())</f>
        <v/>
      </c>
      <c r="P725" t="inlineStr">
        <is>
          <t>是</t>
        </is>
      </c>
      <c r="Q725" t="inlineStr">
        <is>
          <t>auto_pipeline;review_png_green</t>
        </is>
      </c>
      <c r="R725" t="inlineStr">
        <is>
          <t>样品17</t>
        </is>
      </c>
    </row>
    <row r="726">
      <c r="A726" t="n">
        <v>725</v>
      </c>
      <c r="B726" t="inlineStr">
        <is>
          <t>17 (3).tif</t>
        </is>
      </c>
      <c r="C726" t="inlineStr">
        <is>
          <t>17(3)-V03</t>
        </is>
      </c>
      <c r="D726" t="n">
        <v>3</v>
      </c>
      <c r="E726" t="inlineStr">
        <is>
          <t>primary</t>
        </is>
      </c>
      <c r="F726" t="n">
        <v>168.4310018903592</v>
      </c>
      <c r="G726">
        <f>2*SQRT(F726/PI())</f>
        <v/>
      </c>
      <c r="H726" t="n">
        <v>50.42728481085404</v>
      </c>
      <c r="I726" t="n">
        <v>521</v>
      </c>
      <c r="J726" t="n">
        <v>412</v>
      </c>
      <c r="K726" t="n">
        <v>165.062381852552</v>
      </c>
      <c r="L726" t="n">
        <v>171.7996219281663</v>
      </c>
      <c r="M726">
        <f>2*SQRT(K726/PI())</f>
        <v/>
      </c>
      <c r="N726">
        <f>2*SQRT(L726/PI())</f>
        <v/>
      </c>
      <c r="P726" t="inlineStr">
        <is>
          <t>是</t>
        </is>
      </c>
      <c r="Q726" t="inlineStr">
        <is>
          <t>auto_pipeline;review_png_green</t>
        </is>
      </c>
      <c r="R726" t="inlineStr">
        <is>
          <t>样品17</t>
        </is>
      </c>
    </row>
    <row r="727">
      <c r="A727" t="n">
        <v>726</v>
      </c>
      <c r="B727" t="inlineStr">
        <is>
          <t>17 (3).tif</t>
        </is>
      </c>
      <c r="C727" t="inlineStr">
        <is>
          <t>17(3)-V04</t>
        </is>
      </c>
      <c r="D727" t="n">
        <v>4</v>
      </c>
      <c r="E727" t="inlineStr">
        <is>
          <t>primary</t>
        </is>
      </c>
      <c r="F727" t="n">
        <v>166.1625708884688</v>
      </c>
      <c r="G727">
        <f>2*SQRT(F727/PI())</f>
        <v/>
      </c>
      <c r="H727" t="n">
        <v>49.30302982744963</v>
      </c>
      <c r="I727" t="n">
        <v>225</v>
      </c>
      <c r="J727" t="n">
        <v>633</v>
      </c>
      <c r="K727" t="n">
        <v>162.8393194706995</v>
      </c>
      <c r="L727" t="n">
        <v>169.4858223062382</v>
      </c>
      <c r="M727">
        <f>2*SQRT(K727/PI())</f>
        <v/>
      </c>
      <c r="N727">
        <f>2*SQRT(L727/PI())</f>
        <v/>
      </c>
      <c r="P727" t="inlineStr">
        <is>
          <t>是</t>
        </is>
      </c>
      <c r="Q727" t="inlineStr">
        <is>
          <t>auto_pipeline;review_png_green</t>
        </is>
      </c>
      <c r="R727" t="inlineStr">
        <is>
          <t>样品17</t>
        </is>
      </c>
    </row>
    <row r="728">
      <c r="A728" t="n">
        <v>727</v>
      </c>
      <c r="B728" t="inlineStr">
        <is>
          <t>17 (3).tif</t>
        </is>
      </c>
      <c r="C728" t="inlineStr">
        <is>
          <t>17(3)-V05</t>
        </is>
      </c>
      <c r="D728" t="n">
        <v>5</v>
      </c>
      <c r="E728" t="inlineStr">
        <is>
          <t>primary</t>
        </is>
      </c>
      <c r="F728" t="n">
        <v>146.9754253308129</v>
      </c>
      <c r="G728">
        <f>2*SQRT(F728/PI())</f>
        <v/>
      </c>
      <c r="H728" t="n">
        <v>46.84352802193683</v>
      </c>
      <c r="I728" t="n">
        <v>77</v>
      </c>
      <c r="J728" t="n">
        <v>448</v>
      </c>
      <c r="K728" t="n">
        <v>144.0359168241966</v>
      </c>
      <c r="L728" t="n">
        <v>149.9149338374291</v>
      </c>
      <c r="M728">
        <f>2*SQRT(K728/PI())</f>
        <v/>
      </c>
      <c r="N728">
        <f>2*SQRT(L728/PI())</f>
        <v/>
      </c>
      <c r="P728" t="inlineStr">
        <is>
          <t>是</t>
        </is>
      </c>
      <c r="Q728" t="inlineStr">
        <is>
          <t>auto_pipeline;review_png_green</t>
        </is>
      </c>
      <c r="R728" t="inlineStr">
        <is>
          <t>样品17</t>
        </is>
      </c>
    </row>
    <row r="729">
      <c r="A729" t="n">
        <v>728</v>
      </c>
      <c r="B729" t="inlineStr">
        <is>
          <t>17 (3).tif</t>
        </is>
      </c>
      <c r="C729" t="inlineStr">
        <is>
          <t>17(3)-V06</t>
        </is>
      </c>
      <c r="D729" t="n">
        <v>6</v>
      </c>
      <c r="E729" t="inlineStr">
        <is>
          <t>primary</t>
        </is>
      </c>
      <c r="F729" t="n">
        <v>135.1134215500945</v>
      </c>
      <c r="G729">
        <f>2*SQRT(F729/PI())</f>
        <v/>
      </c>
      <c r="H729" t="n">
        <v>44.48952213577602</v>
      </c>
      <c r="I729" t="n">
        <v>99</v>
      </c>
      <c r="J729" t="n">
        <v>167</v>
      </c>
      <c r="K729" t="n">
        <v>132.4111531190926</v>
      </c>
      <c r="L729" t="n">
        <v>137.8156899810964</v>
      </c>
      <c r="M729">
        <f>2*SQRT(K729/PI())</f>
        <v/>
      </c>
      <c r="N729">
        <f>2*SQRT(L729/PI())</f>
        <v/>
      </c>
      <c r="P729" t="inlineStr">
        <is>
          <t>是</t>
        </is>
      </c>
      <c r="Q729" t="inlineStr">
        <is>
          <t>auto_pipeline;review_png_green</t>
        </is>
      </c>
      <c r="R729" t="inlineStr">
        <is>
          <t>样品17</t>
        </is>
      </c>
    </row>
    <row r="730">
      <c r="A730" t="n">
        <v>729</v>
      </c>
      <c r="B730" t="inlineStr">
        <is>
          <t>17 (4).tif</t>
        </is>
      </c>
      <c r="C730" t="inlineStr">
        <is>
          <t>17(4)-V01</t>
        </is>
      </c>
      <c r="D730" t="n">
        <v>1</v>
      </c>
      <c r="E730" t="inlineStr">
        <is>
          <t>primary</t>
        </is>
      </c>
      <c r="F730" t="n">
        <v>311.578449905482</v>
      </c>
      <c r="G730">
        <f>2*SQRT(F730/PI())</f>
        <v/>
      </c>
      <c r="H730" t="n">
        <v>74.73141297050144</v>
      </c>
      <c r="I730" t="n">
        <v>145</v>
      </c>
      <c r="J730" t="n">
        <v>298</v>
      </c>
      <c r="K730" t="n">
        <v>305.3468809073724</v>
      </c>
      <c r="L730" t="n">
        <v>317.8100189035917</v>
      </c>
      <c r="M730">
        <f>2*SQRT(K730/PI())</f>
        <v/>
      </c>
      <c r="N730">
        <f>2*SQRT(L730/PI())</f>
        <v/>
      </c>
      <c r="P730" t="inlineStr">
        <is>
          <t>是</t>
        </is>
      </c>
      <c r="Q730" t="inlineStr">
        <is>
          <t>auto_pipeline;review_png_green</t>
        </is>
      </c>
      <c r="R730" t="inlineStr">
        <is>
          <t>样品17</t>
        </is>
      </c>
    </row>
    <row r="731">
      <c r="A731" t="n">
        <v>730</v>
      </c>
      <c r="B731" t="inlineStr">
        <is>
          <t>17 (4).tif</t>
        </is>
      </c>
      <c r="C731" t="inlineStr">
        <is>
          <t>17(4)-V02</t>
        </is>
      </c>
      <c r="D731" t="n">
        <v>2</v>
      </c>
      <c r="E731" t="inlineStr">
        <is>
          <t>primary</t>
        </is>
      </c>
      <c r="F731" t="n">
        <v>215.4300567107751</v>
      </c>
      <c r="G731">
        <f>2*SQRT(F731/PI())</f>
        <v/>
      </c>
      <c r="H731" t="n">
        <v>62.2372632700464</v>
      </c>
      <c r="I731" t="n">
        <v>600</v>
      </c>
      <c r="J731" t="n">
        <v>389</v>
      </c>
      <c r="K731" t="n">
        <v>211.1214555765596</v>
      </c>
      <c r="L731" t="n">
        <v>219.7386578449906</v>
      </c>
      <c r="M731">
        <f>2*SQRT(K731/PI())</f>
        <v/>
      </c>
      <c r="N731">
        <f>2*SQRT(L731/PI())</f>
        <v/>
      </c>
      <c r="P731" t="inlineStr">
        <is>
          <t>是</t>
        </is>
      </c>
      <c r="Q731" t="inlineStr">
        <is>
          <t>auto_pipeline;review_png_green</t>
        </is>
      </c>
      <c r="R731" t="inlineStr">
        <is>
          <t>样品17</t>
        </is>
      </c>
    </row>
    <row r="732">
      <c r="A732" t="n">
        <v>731</v>
      </c>
      <c r="B732" t="inlineStr">
        <is>
          <t>17 (4).tif</t>
        </is>
      </c>
      <c r="C732" t="inlineStr">
        <is>
          <t>17(4)-V03</t>
        </is>
      </c>
      <c r="D732" t="n">
        <v>3</v>
      </c>
      <c r="E732" t="inlineStr">
        <is>
          <t>primary</t>
        </is>
      </c>
      <c r="F732" t="n">
        <v>187.3109640831758</v>
      </c>
      <c r="G732">
        <f>2*SQRT(F732/PI())</f>
        <v/>
      </c>
      <c r="H732" t="n">
        <v>51.4241949112519</v>
      </c>
      <c r="I732" t="n">
        <v>492</v>
      </c>
      <c r="J732" t="n">
        <v>367</v>
      </c>
      <c r="K732" t="n">
        <v>183.5647448015123</v>
      </c>
      <c r="L732" t="n">
        <v>191.0571833648393</v>
      </c>
      <c r="M732">
        <f>2*SQRT(K732/PI())</f>
        <v/>
      </c>
      <c r="N732">
        <f>2*SQRT(L732/PI())</f>
        <v/>
      </c>
      <c r="P732" t="inlineStr">
        <is>
          <t>是</t>
        </is>
      </c>
      <c r="Q732" t="inlineStr">
        <is>
          <t>auto_pipeline;review_png_green</t>
        </is>
      </c>
      <c r="R732" t="inlineStr">
        <is>
          <t>样品17</t>
        </is>
      </c>
    </row>
    <row r="733">
      <c r="A733" t="n">
        <v>732</v>
      </c>
      <c r="B733" t="inlineStr">
        <is>
          <t>17 (4).tif</t>
        </is>
      </c>
      <c r="C733" t="inlineStr">
        <is>
          <t>17(4)-V04</t>
        </is>
      </c>
      <c r="D733" t="n">
        <v>4</v>
      </c>
      <c r="E733" t="inlineStr">
        <is>
          <t>primary</t>
        </is>
      </c>
      <c r="F733" t="n">
        <v>144.3761814744801</v>
      </c>
      <c r="G733">
        <f>2*SQRT(F733/PI())</f>
        <v/>
      </c>
      <c r="H733" t="n">
        <v>45.97396280454553</v>
      </c>
      <c r="I733" t="n">
        <v>949</v>
      </c>
      <c r="J733" t="n">
        <v>411</v>
      </c>
      <c r="K733" t="n">
        <v>141.4886578449905</v>
      </c>
      <c r="L733" t="n">
        <v>147.2637051039698</v>
      </c>
      <c r="M733">
        <f>2*SQRT(K733/PI())</f>
        <v/>
      </c>
      <c r="N733">
        <f>2*SQRT(L733/PI())</f>
        <v/>
      </c>
      <c r="P733" t="inlineStr">
        <is>
          <t>是</t>
        </is>
      </c>
      <c r="Q733" t="inlineStr">
        <is>
          <t>auto_pipeline;review_png_green</t>
        </is>
      </c>
      <c r="R733" t="inlineStr">
        <is>
          <t>样品17</t>
        </is>
      </c>
    </row>
    <row r="734">
      <c r="A734" t="n">
        <v>733</v>
      </c>
      <c r="B734" t="inlineStr">
        <is>
          <t>17 (4).tif</t>
        </is>
      </c>
      <c r="C734" t="inlineStr">
        <is>
          <t>17(4)-V05</t>
        </is>
      </c>
      <c r="D734" t="n">
        <v>5</v>
      </c>
      <c r="E734" t="inlineStr">
        <is>
          <t>primary</t>
        </is>
      </c>
      <c r="F734" t="n">
        <v>112.3109640831758</v>
      </c>
      <c r="G734">
        <f>2*SQRT(F734/PI())</f>
        <v/>
      </c>
      <c r="H734" t="n">
        <v>40.67292454450027</v>
      </c>
      <c r="I734" t="n">
        <v>43</v>
      </c>
      <c r="J734" t="n">
        <v>135</v>
      </c>
      <c r="K734" t="n">
        <v>110.0647448015123</v>
      </c>
      <c r="L734" t="n">
        <v>114.5571833648393</v>
      </c>
      <c r="M734">
        <f>2*SQRT(K734/PI())</f>
        <v/>
      </c>
      <c r="N734">
        <f>2*SQRT(L734/PI())</f>
        <v/>
      </c>
      <c r="P734" t="inlineStr">
        <is>
          <t>是</t>
        </is>
      </c>
      <c r="Q734" t="inlineStr">
        <is>
          <t>auto_pipeline;review_png_green</t>
        </is>
      </c>
      <c r="R734" t="inlineStr">
        <is>
          <t>样品17</t>
        </is>
      </c>
    </row>
    <row r="735">
      <c r="A735" t="n">
        <v>734</v>
      </c>
      <c r="B735" t="inlineStr">
        <is>
          <t>17 (5).tif</t>
        </is>
      </c>
      <c r="C735" t="inlineStr">
        <is>
          <t>17(5)-V01</t>
        </is>
      </c>
      <c r="D735" t="n">
        <v>1</v>
      </c>
      <c r="E735" t="inlineStr">
        <is>
          <t>primary</t>
        </is>
      </c>
      <c r="F735" t="n">
        <v>645.203213610586</v>
      </c>
      <c r="G735">
        <f>2*SQRT(F735/PI())</f>
        <v/>
      </c>
      <c r="H735" t="n">
        <v>96.16840681304102</v>
      </c>
      <c r="I735" t="n">
        <v>575</v>
      </c>
      <c r="J735" t="n">
        <v>353</v>
      </c>
      <c r="K735" t="n">
        <v>632.2991493383743</v>
      </c>
      <c r="L735" t="n">
        <v>658.1072778827977</v>
      </c>
      <c r="M735">
        <f>2*SQRT(K735/PI())</f>
        <v/>
      </c>
      <c r="N735">
        <f>2*SQRT(L735/PI())</f>
        <v/>
      </c>
      <c r="O735" t="inlineStr">
        <is>
          <t>17(5)-P01</t>
        </is>
      </c>
      <c r="P735" t="inlineStr">
        <is>
          <t>是</t>
        </is>
      </c>
      <c r="Q735" t="inlineStr">
        <is>
          <t>auto_pipeline;review_png_green</t>
        </is>
      </c>
      <c r="R735" t="inlineStr">
        <is>
          <t>样品17</t>
        </is>
      </c>
    </row>
    <row r="736">
      <c r="A736" t="n">
        <v>735</v>
      </c>
      <c r="B736" t="inlineStr">
        <is>
          <t>17 (5).tif</t>
        </is>
      </c>
      <c r="C736" t="inlineStr">
        <is>
          <t>17(5)-V02</t>
        </is>
      </c>
      <c r="D736" t="n">
        <v>2</v>
      </c>
      <c r="E736" t="inlineStr">
        <is>
          <t>primary</t>
        </is>
      </c>
      <c r="F736" t="n">
        <v>620.0614366729678</v>
      </c>
      <c r="G736">
        <f>2*SQRT(F736/PI())</f>
        <v/>
      </c>
      <c r="H736" t="n">
        <v>94.42927637825841</v>
      </c>
      <c r="I736" t="n">
        <v>418</v>
      </c>
      <c r="J736" t="n">
        <v>326</v>
      </c>
      <c r="K736" t="n">
        <v>607.6602079395085</v>
      </c>
      <c r="L736" t="n">
        <v>632.4626654064272</v>
      </c>
      <c r="M736">
        <f>2*SQRT(K736/PI())</f>
        <v/>
      </c>
      <c r="N736">
        <f>2*SQRT(L736/PI())</f>
        <v/>
      </c>
      <c r="O736" t="inlineStr">
        <is>
          <t>17(5)-P01</t>
        </is>
      </c>
      <c r="P736" t="inlineStr">
        <is>
          <t>是</t>
        </is>
      </c>
      <c r="Q736" t="inlineStr">
        <is>
          <t>auto_pipeline;review_png_green</t>
        </is>
      </c>
      <c r="R736" t="inlineStr">
        <is>
          <t>样品17</t>
        </is>
      </c>
    </row>
    <row r="737">
      <c r="A737" t="n">
        <v>736</v>
      </c>
      <c r="B737" t="inlineStr">
        <is>
          <t>17 (5).tif</t>
        </is>
      </c>
      <c r="C737" t="inlineStr">
        <is>
          <t>17(5)-V03</t>
        </is>
      </c>
      <c r="D737" t="n">
        <v>3</v>
      </c>
      <c r="E737" t="inlineStr">
        <is>
          <t>primary</t>
        </is>
      </c>
      <c r="F737" t="n">
        <v>240.5245746691872</v>
      </c>
      <c r="G737">
        <f>2*SQRT(F737/PI())</f>
        <v/>
      </c>
      <c r="H737" t="n">
        <v>65.24984253489453</v>
      </c>
      <c r="I737" t="n">
        <v>829</v>
      </c>
      <c r="J737" t="n">
        <v>120</v>
      </c>
      <c r="K737" t="n">
        <v>235.7140831758034</v>
      </c>
      <c r="L737" t="n">
        <v>245.3350661625709</v>
      </c>
      <c r="M737">
        <f>2*SQRT(K737/PI())</f>
        <v/>
      </c>
      <c r="N737">
        <f>2*SQRT(L737/PI())</f>
        <v/>
      </c>
      <c r="P737" t="inlineStr">
        <is>
          <t>是</t>
        </is>
      </c>
      <c r="Q737" t="inlineStr">
        <is>
          <t>auto_pipeline;review_png_green</t>
        </is>
      </c>
      <c r="R737" t="inlineStr">
        <is>
          <t>样品17</t>
        </is>
      </c>
    </row>
    <row r="738">
      <c r="A738" t="n">
        <v>737</v>
      </c>
      <c r="B738" t="inlineStr">
        <is>
          <t>17 (5).tif</t>
        </is>
      </c>
      <c r="C738" t="inlineStr">
        <is>
          <t>17(5)-V04</t>
        </is>
      </c>
      <c r="D738" t="n">
        <v>4</v>
      </c>
      <c r="E738" t="inlineStr">
        <is>
          <t>primary</t>
        </is>
      </c>
      <c r="F738" t="n">
        <v>195.7230623818525</v>
      </c>
      <c r="G738">
        <f>2*SQRT(F738/PI())</f>
        <v/>
      </c>
      <c r="H738" t="n">
        <v>55.26264146618221</v>
      </c>
      <c r="I738" t="n">
        <v>693</v>
      </c>
      <c r="J738" t="n">
        <v>321</v>
      </c>
      <c r="K738" t="n">
        <v>191.8086011342155</v>
      </c>
      <c r="L738" t="n">
        <v>199.6375236294896</v>
      </c>
      <c r="M738">
        <f>2*SQRT(K738/PI())</f>
        <v/>
      </c>
      <c r="N738">
        <f>2*SQRT(L738/PI())</f>
        <v/>
      </c>
      <c r="P738" t="inlineStr">
        <is>
          <t>是</t>
        </is>
      </c>
      <c r="Q738" t="inlineStr">
        <is>
          <t>auto_pipeline;review_png_green</t>
        </is>
      </c>
      <c r="R738" t="inlineStr">
        <is>
          <t>样品17</t>
        </is>
      </c>
    </row>
    <row r="739">
      <c r="A739" t="n">
        <v>738</v>
      </c>
      <c r="B739" t="inlineStr">
        <is>
          <t>17 (5).tif</t>
        </is>
      </c>
      <c r="C739" t="inlineStr">
        <is>
          <t>17(5)-V05</t>
        </is>
      </c>
      <c r="D739" t="n">
        <v>5</v>
      </c>
      <c r="E739" t="inlineStr">
        <is>
          <t>primary</t>
        </is>
      </c>
      <c r="F739" t="n">
        <v>131.9943289224953</v>
      </c>
      <c r="G739">
        <f>2*SQRT(F739/PI())</f>
        <v/>
      </c>
      <c r="H739" t="n">
        <v>44.84970782114112</v>
      </c>
      <c r="I739" t="n">
        <v>51</v>
      </c>
      <c r="J739" t="n">
        <v>105</v>
      </c>
      <c r="K739" t="n">
        <v>129.3544423440454</v>
      </c>
      <c r="L739" t="n">
        <v>134.6342155009452</v>
      </c>
      <c r="M739">
        <f>2*SQRT(K739/PI())</f>
        <v/>
      </c>
      <c r="N739">
        <f>2*SQRT(L739/PI())</f>
        <v/>
      </c>
      <c r="P739" t="inlineStr">
        <is>
          <t>是</t>
        </is>
      </c>
      <c r="Q739" t="inlineStr">
        <is>
          <t>auto_pipeline;review_png_green</t>
        </is>
      </c>
      <c r="R739" t="inlineStr">
        <is>
          <t>样品17</t>
        </is>
      </c>
    </row>
    <row r="740">
      <c r="A740" t="n">
        <v>739</v>
      </c>
      <c r="B740" t="inlineStr">
        <is>
          <t>17 (5).tif</t>
        </is>
      </c>
      <c r="C740" t="inlineStr">
        <is>
          <t>17(5)-V06</t>
        </is>
      </c>
      <c r="D740" t="n">
        <v>6</v>
      </c>
      <c r="E740" t="inlineStr">
        <is>
          <t>primary</t>
        </is>
      </c>
      <c r="F740" t="n">
        <v>131.5689981096408</v>
      </c>
      <c r="G740">
        <f>2*SQRT(F740/PI())</f>
        <v/>
      </c>
      <c r="H740" t="n">
        <v>43.51446099903272</v>
      </c>
      <c r="I740" t="n">
        <v>82</v>
      </c>
      <c r="J740" t="n">
        <v>296</v>
      </c>
      <c r="K740" t="n">
        <v>128.937618147448</v>
      </c>
      <c r="L740" t="n">
        <v>134.2003780718337</v>
      </c>
      <c r="M740">
        <f>2*SQRT(K740/PI())</f>
        <v/>
      </c>
      <c r="N740">
        <f>2*SQRT(L740/PI())</f>
        <v/>
      </c>
      <c r="P740" t="inlineStr">
        <is>
          <t>是</t>
        </is>
      </c>
      <c r="Q740" t="inlineStr">
        <is>
          <t>auto_pipeline;review_png_green</t>
        </is>
      </c>
      <c r="R740" t="inlineStr">
        <is>
          <t>样品17</t>
        </is>
      </c>
    </row>
    <row r="741">
      <c r="A741" t="n">
        <v>740</v>
      </c>
      <c r="B741" t="inlineStr">
        <is>
          <t>17 (6).tif</t>
        </is>
      </c>
      <c r="C741" t="inlineStr">
        <is>
          <t>17(6)-V01</t>
        </is>
      </c>
      <c r="D741" t="n">
        <v>1</v>
      </c>
      <c r="E741" t="inlineStr">
        <is>
          <t>primary</t>
        </is>
      </c>
      <c r="F741" t="n">
        <v>491.8005671077505</v>
      </c>
      <c r="G741">
        <f>2*SQRT(F741/PI())</f>
        <v/>
      </c>
      <c r="H741" t="n">
        <v>86.18120574432871</v>
      </c>
      <c r="I741" t="n">
        <v>589</v>
      </c>
      <c r="J741" t="n">
        <v>363</v>
      </c>
      <c r="K741" t="n">
        <v>481.9645557655954</v>
      </c>
      <c r="L741" t="n">
        <v>501.6365784499055</v>
      </c>
      <c r="M741">
        <f>2*SQRT(K741/PI())</f>
        <v/>
      </c>
      <c r="N741">
        <f>2*SQRT(L741/PI())</f>
        <v/>
      </c>
      <c r="P741" t="inlineStr">
        <is>
          <t>是</t>
        </is>
      </c>
      <c r="Q741" t="inlineStr">
        <is>
          <t>auto_pipeline;review_png_green</t>
        </is>
      </c>
      <c r="R741" t="inlineStr">
        <is>
          <t>样品17</t>
        </is>
      </c>
    </row>
    <row r="742">
      <c r="A742" t="n">
        <v>741</v>
      </c>
      <c r="B742" t="inlineStr">
        <is>
          <t>17 (6).tif</t>
        </is>
      </c>
      <c r="C742" t="inlineStr">
        <is>
          <t>17(6)-V02</t>
        </is>
      </c>
      <c r="D742" t="n">
        <v>2</v>
      </c>
      <c r="E742" t="inlineStr">
        <is>
          <t>primary</t>
        </is>
      </c>
      <c r="F742" t="n">
        <v>328.5680529300567</v>
      </c>
      <c r="G742">
        <f>2*SQRT(F742/PI())</f>
        <v/>
      </c>
      <c r="H742" t="n">
        <v>68.72810340445974</v>
      </c>
      <c r="I742" t="n">
        <v>449</v>
      </c>
      <c r="J742" t="n">
        <v>364</v>
      </c>
      <c r="K742" t="n">
        <v>321.9966918714555</v>
      </c>
      <c r="L742" t="n">
        <v>335.1394139886579</v>
      </c>
      <c r="M742">
        <f>2*SQRT(K742/PI())</f>
        <v/>
      </c>
      <c r="N742">
        <f>2*SQRT(L742/PI())</f>
        <v/>
      </c>
      <c r="P742" t="inlineStr">
        <is>
          <t>是</t>
        </is>
      </c>
      <c r="Q742" t="inlineStr">
        <is>
          <t>auto_pipeline;review_png_green</t>
        </is>
      </c>
      <c r="R742" t="inlineStr">
        <is>
          <t>样品17</t>
        </is>
      </c>
    </row>
    <row r="743">
      <c r="A743" t="n">
        <v>742</v>
      </c>
      <c r="B743" t="inlineStr">
        <is>
          <t>17 (6).tif</t>
        </is>
      </c>
      <c r="C743" t="inlineStr">
        <is>
          <t>17(6)-V03</t>
        </is>
      </c>
      <c r="D743" t="n">
        <v>3</v>
      </c>
      <c r="E743" t="inlineStr">
        <is>
          <t>primary</t>
        </is>
      </c>
      <c r="F743" t="n">
        <v>193.3364839319471</v>
      </c>
      <c r="G743">
        <f>2*SQRT(F743/PI())</f>
        <v/>
      </c>
      <c r="H743" t="n">
        <v>56.36504748593206</v>
      </c>
      <c r="I743" t="n">
        <v>705</v>
      </c>
      <c r="J743" t="n">
        <v>321</v>
      </c>
      <c r="K743" t="n">
        <v>189.4697542533081</v>
      </c>
      <c r="L743" t="n">
        <v>197.203213610586</v>
      </c>
      <c r="M743">
        <f>2*SQRT(K743/PI())</f>
        <v/>
      </c>
      <c r="N743">
        <f>2*SQRT(L743/PI())</f>
        <v/>
      </c>
      <c r="P743" t="inlineStr">
        <is>
          <t>是</t>
        </is>
      </c>
      <c r="Q743" t="inlineStr">
        <is>
          <t>auto_pipeline;review_png_green</t>
        </is>
      </c>
      <c r="R743" t="inlineStr">
        <is>
          <t>样品17</t>
        </is>
      </c>
    </row>
    <row r="744">
      <c r="A744" t="n">
        <v>743</v>
      </c>
      <c r="B744" t="inlineStr">
        <is>
          <t>17 (6).tif</t>
        </is>
      </c>
      <c r="C744" t="inlineStr">
        <is>
          <t>17(6)-V04</t>
        </is>
      </c>
      <c r="D744" t="n">
        <v>4</v>
      </c>
      <c r="E744" t="inlineStr">
        <is>
          <t>primary</t>
        </is>
      </c>
      <c r="F744" t="n">
        <v>146.8336483931947</v>
      </c>
      <c r="G744">
        <f>2*SQRT(F744/PI())</f>
        <v/>
      </c>
      <c r="H744" t="n">
        <v>45.61377711918043</v>
      </c>
      <c r="I744" t="n">
        <v>166</v>
      </c>
      <c r="J744" t="n">
        <v>500</v>
      </c>
      <c r="K744" t="n">
        <v>143.8969754253308</v>
      </c>
      <c r="L744" t="n">
        <v>149.7703213610586</v>
      </c>
      <c r="M744">
        <f>2*SQRT(K744/PI())</f>
        <v/>
      </c>
      <c r="N744">
        <f>2*SQRT(L744/PI())</f>
        <v/>
      </c>
      <c r="P744" t="inlineStr">
        <is>
          <t>是</t>
        </is>
      </c>
      <c r="Q744" t="inlineStr">
        <is>
          <t>auto_pipeline;review_png_green</t>
        </is>
      </c>
      <c r="R744" t="inlineStr">
        <is>
          <t>样品17</t>
        </is>
      </c>
    </row>
    <row r="745">
      <c r="A745" t="n">
        <v>744</v>
      </c>
      <c r="B745" t="inlineStr">
        <is>
          <t>17 (7).tif</t>
        </is>
      </c>
      <c r="C745" t="inlineStr">
        <is>
          <t>17(7)-V01</t>
        </is>
      </c>
      <c r="D745" t="n">
        <v>1</v>
      </c>
      <c r="E745" t="inlineStr">
        <is>
          <t>primary</t>
        </is>
      </c>
      <c r="F745" t="n">
        <v>757.1124763705104</v>
      </c>
      <c r="G745">
        <f>2*SQRT(F745/PI())</f>
        <v/>
      </c>
      <c r="H745" t="n">
        <v>103.0812306248623</v>
      </c>
      <c r="I745" t="n">
        <v>699</v>
      </c>
      <c r="J745" t="n">
        <v>216</v>
      </c>
      <c r="K745" t="n">
        <v>741.9702268431002</v>
      </c>
      <c r="L745" t="n">
        <v>772.2547258979206</v>
      </c>
      <c r="M745">
        <f>2*SQRT(K745/PI())</f>
        <v/>
      </c>
      <c r="N745">
        <f>2*SQRT(L745/PI())</f>
        <v/>
      </c>
      <c r="P745" t="inlineStr">
        <is>
          <t>是</t>
        </is>
      </c>
      <c r="Q745" t="inlineStr">
        <is>
          <t>auto_pipeline;review_png_green</t>
        </is>
      </c>
      <c r="R745" t="inlineStr">
        <is>
          <t>样品17</t>
        </is>
      </c>
    </row>
    <row r="746">
      <c r="A746" t="n">
        <v>745</v>
      </c>
      <c r="B746" t="inlineStr">
        <is>
          <t>17 (7).tif</t>
        </is>
      </c>
      <c r="C746" t="inlineStr">
        <is>
          <t>17(7)-V02</t>
        </is>
      </c>
      <c r="D746" t="n">
        <v>2</v>
      </c>
      <c r="E746" t="inlineStr">
        <is>
          <t>primary</t>
        </is>
      </c>
      <c r="F746" t="n">
        <v>534.640831758034</v>
      </c>
      <c r="G746">
        <f>2*SQRT(F746/PI())</f>
        <v/>
      </c>
      <c r="H746" t="n">
        <v>87.74929336879565</v>
      </c>
      <c r="I746" t="n">
        <v>579</v>
      </c>
      <c r="J746" t="n">
        <v>338</v>
      </c>
      <c r="K746" t="n">
        <v>523.9480151228732</v>
      </c>
      <c r="L746" t="n">
        <v>545.3336483931947</v>
      </c>
      <c r="M746">
        <f>2*SQRT(K746/PI())</f>
        <v/>
      </c>
      <c r="N746">
        <f>2*SQRT(L746/PI())</f>
        <v/>
      </c>
      <c r="O746" t="inlineStr">
        <is>
          <t>17(7)-P01</t>
        </is>
      </c>
      <c r="P746" t="inlineStr">
        <is>
          <t>是</t>
        </is>
      </c>
      <c r="Q746" t="inlineStr">
        <is>
          <t>auto_pipeline;review_png_green</t>
        </is>
      </c>
      <c r="R746" t="inlineStr">
        <is>
          <t>样品17</t>
        </is>
      </c>
    </row>
    <row r="747">
      <c r="A747" t="n">
        <v>746</v>
      </c>
      <c r="B747" t="inlineStr">
        <is>
          <t>17 (7).tif</t>
        </is>
      </c>
      <c r="C747" t="inlineStr">
        <is>
          <t>17(7)-V03</t>
        </is>
      </c>
      <c r="D747" t="n">
        <v>3</v>
      </c>
      <c r="E747" t="inlineStr">
        <is>
          <t>primary</t>
        </is>
      </c>
      <c r="F747" t="n">
        <v>507.703213610586</v>
      </c>
      <c r="G747">
        <f>2*SQRT(F747/PI())</f>
        <v/>
      </c>
      <c r="H747" t="n">
        <v>84.42022634589154</v>
      </c>
      <c r="I747" t="n">
        <v>450</v>
      </c>
      <c r="J747" t="n">
        <v>402</v>
      </c>
      <c r="K747" t="n">
        <v>497.5491493383743</v>
      </c>
      <c r="L747" t="n">
        <v>517.8572778827978</v>
      </c>
      <c r="M747">
        <f>2*SQRT(K747/PI())</f>
        <v/>
      </c>
      <c r="N747">
        <f>2*SQRT(L747/PI())</f>
        <v/>
      </c>
      <c r="O747" t="inlineStr">
        <is>
          <t>17(7)-P01</t>
        </is>
      </c>
      <c r="P747" t="inlineStr">
        <is>
          <t>是</t>
        </is>
      </c>
      <c r="Q747" t="inlineStr">
        <is>
          <t>auto_pipeline;review_png_green</t>
        </is>
      </c>
      <c r="R747" t="inlineStr">
        <is>
          <t>样品17</t>
        </is>
      </c>
    </row>
    <row r="748">
      <c r="A748" t="n">
        <v>747</v>
      </c>
      <c r="B748" t="inlineStr">
        <is>
          <t>17 (7).tif</t>
        </is>
      </c>
      <c r="C748" t="inlineStr">
        <is>
          <t>17(7)-V04</t>
        </is>
      </c>
      <c r="D748" t="n">
        <v>4</v>
      </c>
      <c r="E748" t="inlineStr">
        <is>
          <t>primary</t>
        </is>
      </c>
      <c r="F748" t="n">
        <v>437.6181474480151</v>
      </c>
      <c r="G748">
        <f>2*SQRT(F748/PI())</f>
        <v/>
      </c>
      <c r="H748" t="n">
        <v>78.48246367081352</v>
      </c>
      <c r="I748" t="n">
        <v>76</v>
      </c>
      <c r="J748" t="n">
        <v>491</v>
      </c>
      <c r="K748" t="n">
        <v>428.8657844990548</v>
      </c>
      <c r="L748" t="n">
        <v>446.3705103969754</v>
      </c>
      <c r="M748">
        <f>2*SQRT(K748/PI())</f>
        <v/>
      </c>
      <c r="N748">
        <f>2*SQRT(L748/PI())</f>
        <v/>
      </c>
      <c r="P748" t="inlineStr">
        <is>
          <t>是</t>
        </is>
      </c>
      <c r="Q748" t="inlineStr">
        <is>
          <t>auto_pipeline;review_png_green</t>
        </is>
      </c>
      <c r="R748" t="inlineStr">
        <is>
          <t>样品17</t>
        </is>
      </c>
    </row>
    <row r="749">
      <c r="A749" t="n">
        <v>748</v>
      </c>
      <c r="B749" t="inlineStr">
        <is>
          <t>17 (7).tif</t>
        </is>
      </c>
      <c r="C749" t="inlineStr">
        <is>
          <t>17(7)-V05</t>
        </is>
      </c>
      <c r="D749" t="n">
        <v>5</v>
      </c>
      <c r="E749" t="inlineStr">
        <is>
          <t>primary</t>
        </is>
      </c>
      <c r="F749" t="n">
        <v>378.7098298676748</v>
      </c>
      <c r="G749">
        <f>2*SQRT(F749/PI())</f>
        <v/>
      </c>
      <c r="H749" t="n">
        <v>73.79630086214645</v>
      </c>
      <c r="I749" t="n">
        <v>836</v>
      </c>
      <c r="J749" t="n">
        <v>127</v>
      </c>
      <c r="K749" t="n">
        <v>371.1356332703214</v>
      </c>
      <c r="L749" t="n">
        <v>386.2840264650283</v>
      </c>
      <c r="M749">
        <f>2*SQRT(K749/PI())</f>
        <v/>
      </c>
      <c r="N749">
        <f>2*SQRT(L749/PI())</f>
        <v/>
      </c>
      <c r="P749" t="inlineStr">
        <is>
          <t>是</t>
        </is>
      </c>
      <c r="Q749" t="inlineStr">
        <is>
          <t>auto_pipeline;review_png_green</t>
        </is>
      </c>
      <c r="R749" t="inlineStr">
        <is>
          <t>样品17</t>
        </is>
      </c>
    </row>
    <row r="750">
      <c r="A750" t="n">
        <v>749</v>
      </c>
      <c r="B750" t="inlineStr">
        <is>
          <t>17 (7).tif</t>
        </is>
      </c>
      <c r="C750" t="inlineStr">
        <is>
          <t>17(7)-V06</t>
        </is>
      </c>
      <c r="D750" t="n">
        <v>6</v>
      </c>
      <c r="E750" t="inlineStr">
        <is>
          <t>primary</t>
        </is>
      </c>
      <c r="F750" t="n">
        <v>127.6701323251418</v>
      </c>
      <c r="G750">
        <f>2*SQRT(F750/PI())</f>
        <v/>
      </c>
      <c r="H750" t="n">
        <v>45.74112200218698</v>
      </c>
      <c r="I750" t="n">
        <v>351</v>
      </c>
      <c r="J750" t="n">
        <v>275</v>
      </c>
      <c r="K750" t="n">
        <v>125.1167296786389</v>
      </c>
      <c r="L750" t="n">
        <v>130.2235349716446</v>
      </c>
      <c r="M750">
        <f>2*SQRT(K750/PI())</f>
        <v/>
      </c>
      <c r="N750">
        <f>2*SQRT(L750/PI())</f>
        <v/>
      </c>
      <c r="P750" t="inlineStr">
        <is>
          <t>是</t>
        </is>
      </c>
      <c r="Q750" t="inlineStr">
        <is>
          <t>auto_pipeline;review_png_green</t>
        </is>
      </c>
      <c r="R750" t="inlineStr">
        <is>
          <t>样品17</t>
        </is>
      </c>
    </row>
    <row r="751">
      <c r="A751" t="n">
        <v>750</v>
      </c>
      <c r="B751" t="inlineStr">
        <is>
          <t>17 (7).tif</t>
        </is>
      </c>
      <c r="C751" t="inlineStr">
        <is>
          <t>17(7)-V07</t>
        </is>
      </c>
      <c r="D751" t="n">
        <v>7</v>
      </c>
      <c r="E751" t="inlineStr">
        <is>
          <t>primary</t>
        </is>
      </c>
      <c r="F751" t="n">
        <v>107.9395085066163</v>
      </c>
      <c r="G751">
        <f>2*SQRT(F751/PI())</f>
        <v/>
      </c>
      <c r="H751" t="n">
        <v>39.31582875873731</v>
      </c>
      <c r="I751" t="n">
        <v>225</v>
      </c>
      <c r="J751" t="n">
        <v>75</v>
      </c>
      <c r="K751" t="n">
        <v>105.7807183364839</v>
      </c>
      <c r="L751" t="n">
        <v>110.0982986767486</v>
      </c>
      <c r="M751">
        <f>2*SQRT(K751/PI())</f>
        <v/>
      </c>
      <c r="N751">
        <f>2*SQRT(L751/PI())</f>
        <v/>
      </c>
      <c r="P751" t="inlineStr">
        <is>
          <t>是</t>
        </is>
      </c>
      <c r="Q751" t="inlineStr">
        <is>
          <t>auto_pipeline;review_png_green</t>
        </is>
      </c>
      <c r="R751" t="inlineStr">
        <is>
          <t>样品17</t>
        </is>
      </c>
    </row>
    <row r="752">
      <c r="A752" t="n">
        <v>751</v>
      </c>
      <c r="B752" t="inlineStr">
        <is>
          <t>18 (1).tif</t>
        </is>
      </c>
      <c r="C752" t="inlineStr">
        <is>
          <t>18(1)-V01</t>
        </is>
      </c>
      <c r="D752" t="n">
        <v>1</v>
      </c>
      <c r="E752" t="inlineStr">
        <is>
          <t>primary</t>
        </is>
      </c>
      <c r="F752" t="n">
        <v>953.2136105860113</v>
      </c>
      <c r="G752">
        <f>2*SQRT(F752/PI())</f>
        <v/>
      </c>
      <c r="H752" t="n">
        <v>116.4193476801333</v>
      </c>
      <c r="I752" t="n">
        <v>796</v>
      </c>
      <c r="J752" t="n">
        <v>165</v>
      </c>
      <c r="K752" t="n">
        <v>934.1493383742911</v>
      </c>
      <c r="L752" t="n">
        <v>972.2778827977315</v>
      </c>
      <c r="M752">
        <f>2*SQRT(K752/PI())</f>
        <v/>
      </c>
      <c r="N752">
        <f>2*SQRT(L752/PI())</f>
        <v/>
      </c>
      <c r="P752" t="inlineStr">
        <is>
          <t>是</t>
        </is>
      </c>
      <c r="Q752" t="inlineStr">
        <is>
          <t>auto_pipeline;review_png_green</t>
        </is>
      </c>
      <c r="R752" t="inlineStr">
        <is>
          <t>样品18</t>
        </is>
      </c>
    </row>
    <row r="753">
      <c r="A753" t="n">
        <v>752</v>
      </c>
      <c r="B753" t="inlineStr">
        <is>
          <t>18 (1).tif</t>
        </is>
      </c>
      <c r="C753" t="inlineStr">
        <is>
          <t>18(1)-V02</t>
        </is>
      </c>
      <c r="D753" t="n">
        <v>2</v>
      </c>
      <c r="E753" t="inlineStr">
        <is>
          <t>primary</t>
        </is>
      </c>
      <c r="F753" t="n">
        <v>819.0217391304348</v>
      </c>
      <c r="G753">
        <f>2*SQRT(F753/PI())</f>
        <v/>
      </c>
      <c r="H753" t="n">
        <v>107.789242397184</v>
      </c>
      <c r="I753" t="n">
        <v>586</v>
      </c>
      <c r="J753" t="n">
        <v>327</v>
      </c>
      <c r="K753" t="n">
        <v>802.641304347826</v>
      </c>
      <c r="L753" t="n">
        <v>835.4021739130435</v>
      </c>
      <c r="M753">
        <f>2*SQRT(K753/PI())</f>
        <v/>
      </c>
      <c r="N753">
        <f>2*SQRT(L753/PI())</f>
        <v/>
      </c>
      <c r="P753" t="inlineStr">
        <is>
          <t>是</t>
        </is>
      </c>
      <c r="Q753" t="inlineStr">
        <is>
          <t>auto_pipeline;review_png_green</t>
        </is>
      </c>
      <c r="R753" t="inlineStr">
        <is>
          <t>样品18</t>
        </is>
      </c>
    </row>
    <row r="754">
      <c r="A754" t="n">
        <v>753</v>
      </c>
      <c r="B754" t="inlineStr">
        <is>
          <t>18 (1).tif</t>
        </is>
      </c>
      <c r="C754" t="inlineStr">
        <is>
          <t>18(1)-V03</t>
        </is>
      </c>
      <c r="D754" t="n">
        <v>3</v>
      </c>
      <c r="E754" t="inlineStr">
        <is>
          <t>primary</t>
        </is>
      </c>
      <c r="F754" t="n">
        <v>483.4593572778828</v>
      </c>
      <c r="G754">
        <f>2*SQRT(F754/PI())</f>
        <v/>
      </c>
      <c r="H754" t="n">
        <v>83.80535089451334</v>
      </c>
      <c r="I754" t="n">
        <v>453</v>
      </c>
      <c r="J754" t="n">
        <v>436</v>
      </c>
      <c r="K754" t="n">
        <v>473.7901701323252</v>
      </c>
      <c r="L754" t="n">
        <v>493.1285444234405</v>
      </c>
      <c r="M754">
        <f>2*SQRT(K754/PI())</f>
        <v/>
      </c>
      <c r="N754">
        <f>2*SQRT(L754/PI())</f>
        <v/>
      </c>
      <c r="P754" t="inlineStr">
        <is>
          <t>是</t>
        </is>
      </c>
      <c r="Q754" t="inlineStr">
        <is>
          <t>auto_pipeline;review_png_green</t>
        </is>
      </c>
      <c r="R754" t="inlineStr">
        <is>
          <t>样品18</t>
        </is>
      </c>
    </row>
    <row r="755">
      <c r="A755" t="n">
        <v>754</v>
      </c>
      <c r="B755" t="inlineStr">
        <is>
          <t>18 (1).tif</t>
        </is>
      </c>
      <c r="C755" t="inlineStr">
        <is>
          <t>18(1)-V04</t>
        </is>
      </c>
      <c r="D755" t="n">
        <v>4</v>
      </c>
      <c r="E755" t="inlineStr">
        <is>
          <t>primary</t>
        </is>
      </c>
      <c r="F755" t="n">
        <v>420.4867674858223</v>
      </c>
      <c r="G755">
        <f>2*SQRT(F755/PI())</f>
        <v/>
      </c>
      <c r="H755" t="n">
        <v>79.37387785185938</v>
      </c>
      <c r="I755" t="n">
        <v>195</v>
      </c>
      <c r="J755" t="n">
        <v>421</v>
      </c>
      <c r="K755" t="n">
        <v>412.0770321361059</v>
      </c>
      <c r="L755" t="n">
        <v>428.8965028355388</v>
      </c>
      <c r="M755">
        <f>2*SQRT(K755/PI())</f>
        <v/>
      </c>
      <c r="N755">
        <f>2*SQRT(L755/PI())</f>
        <v/>
      </c>
      <c r="P755" t="inlineStr">
        <is>
          <t>是</t>
        </is>
      </c>
      <c r="Q755" t="inlineStr">
        <is>
          <t>auto_pipeline;review_png_green</t>
        </is>
      </c>
      <c r="R755" t="inlineStr">
        <is>
          <t>样品18</t>
        </is>
      </c>
    </row>
    <row r="756">
      <c r="A756" t="n">
        <v>755</v>
      </c>
      <c r="B756" t="inlineStr">
        <is>
          <t>18 (1).tif</t>
        </is>
      </c>
      <c r="C756" t="inlineStr">
        <is>
          <t>18(1)-V05</t>
        </is>
      </c>
      <c r="D756" t="n">
        <v>5</v>
      </c>
      <c r="E756" t="inlineStr">
        <is>
          <t>primary</t>
        </is>
      </c>
      <c r="F756" t="n">
        <v>184.1446124763705</v>
      </c>
      <c r="G756">
        <f>2*SQRT(F756/PI())</f>
        <v/>
      </c>
      <c r="H756" t="n">
        <v>57.67844534438589</v>
      </c>
      <c r="I756" t="n">
        <v>748</v>
      </c>
      <c r="J756" t="n">
        <v>511</v>
      </c>
      <c r="K756" t="n">
        <v>180.4617202268431</v>
      </c>
      <c r="L756" t="n">
        <v>187.8275047258979</v>
      </c>
      <c r="M756">
        <f>2*SQRT(K756/PI())</f>
        <v/>
      </c>
      <c r="N756">
        <f>2*SQRT(L756/PI())</f>
        <v/>
      </c>
      <c r="P756" t="inlineStr">
        <is>
          <t>是</t>
        </is>
      </c>
      <c r="Q756" t="inlineStr">
        <is>
          <t>auto_pipeline;review_png_green</t>
        </is>
      </c>
      <c r="R756" t="inlineStr">
        <is>
          <t>样品18</t>
        </is>
      </c>
    </row>
    <row r="757">
      <c r="A757" t="n">
        <v>756</v>
      </c>
      <c r="B757" t="inlineStr">
        <is>
          <t>18 (2).tif</t>
        </is>
      </c>
      <c r="C757" t="inlineStr">
        <is>
          <t>18(2)-V01</t>
        </is>
      </c>
      <c r="D757" t="n">
        <v>1</v>
      </c>
      <c r="E757" t="inlineStr">
        <is>
          <t>primary</t>
        </is>
      </c>
      <c r="F757" t="n">
        <v>997.4007561436673</v>
      </c>
      <c r="G757">
        <f>2*SQRT(F757/PI())</f>
        <v/>
      </c>
      <c r="H757" t="n">
        <v>131.2637543678284</v>
      </c>
      <c r="I757" t="n">
        <v>511</v>
      </c>
      <c r="J757" t="n">
        <v>376</v>
      </c>
      <c r="K757" t="n">
        <v>977.452741020794</v>
      </c>
      <c r="L757" t="n">
        <v>1017.348771266541</v>
      </c>
      <c r="M757">
        <f>2*SQRT(K757/PI())</f>
        <v/>
      </c>
      <c r="N757">
        <f>2*SQRT(L757/PI())</f>
        <v/>
      </c>
      <c r="P757" t="inlineStr">
        <is>
          <t>是</t>
        </is>
      </c>
      <c r="Q757" t="inlineStr">
        <is>
          <t>auto_pipeline;review_png_green</t>
        </is>
      </c>
      <c r="R757" t="inlineStr">
        <is>
          <t>样品18</t>
        </is>
      </c>
    </row>
    <row r="758">
      <c r="A758" t="n">
        <v>757</v>
      </c>
      <c r="B758" t="inlineStr">
        <is>
          <t>18 (2).tif</t>
        </is>
      </c>
      <c r="C758" t="inlineStr">
        <is>
          <t>18(2)-V02</t>
        </is>
      </c>
      <c r="D758" t="n">
        <v>2</v>
      </c>
      <c r="E758" t="inlineStr">
        <is>
          <t>primary</t>
        </is>
      </c>
      <c r="F758" t="n">
        <v>414.5085066162571</v>
      </c>
      <c r="G758">
        <f>2*SQRT(F758/PI())</f>
        <v/>
      </c>
      <c r="H758" t="n">
        <v>76.38314755066581</v>
      </c>
      <c r="I758" t="n">
        <v>257</v>
      </c>
      <c r="J758" t="n">
        <v>362</v>
      </c>
      <c r="K758" t="n">
        <v>406.2183364839319</v>
      </c>
      <c r="L758" t="n">
        <v>422.7986767485822</v>
      </c>
      <c r="M758">
        <f>2*SQRT(K758/PI())</f>
        <v/>
      </c>
      <c r="N758">
        <f>2*SQRT(L758/PI())</f>
        <v/>
      </c>
      <c r="P758" t="inlineStr">
        <is>
          <t>是</t>
        </is>
      </c>
      <c r="Q758" t="inlineStr">
        <is>
          <t>auto_pipeline;review_png_green</t>
        </is>
      </c>
      <c r="R758" t="inlineStr">
        <is>
          <t>样品18</t>
        </is>
      </c>
    </row>
    <row r="759">
      <c r="A759" t="n">
        <v>758</v>
      </c>
      <c r="B759" t="inlineStr">
        <is>
          <t>18 (2).tif</t>
        </is>
      </c>
      <c r="C759" t="inlineStr">
        <is>
          <t>18(2)-V03</t>
        </is>
      </c>
      <c r="D759" t="n">
        <v>3</v>
      </c>
      <c r="E759" t="inlineStr">
        <is>
          <t>primary</t>
        </is>
      </c>
      <c r="F759" t="n">
        <v>299.8582230623819</v>
      </c>
      <c r="G759">
        <f>2*SQRT(F759/PI())</f>
        <v/>
      </c>
      <c r="H759" t="n">
        <v>77.23461270332336</v>
      </c>
      <c r="I759" t="n">
        <v>267</v>
      </c>
      <c r="J759" t="n">
        <v>586</v>
      </c>
      <c r="K759" t="n">
        <v>293.8610586011342</v>
      </c>
      <c r="L759" t="n">
        <v>305.8553875236295</v>
      </c>
      <c r="M759">
        <f>2*SQRT(K759/PI())</f>
        <v/>
      </c>
      <c r="N759">
        <f>2*SQRT(L759/PI())</f>
        <v/>
      </c>
      <c r="P759" t="inlineStr">
        <is>
          <t>是</t>
        </is>
      </c>
      <c r="Q759" t="inlineStr">
        <is>
          <t>auto_pipeline;review_png_green</t>
        </is>
      </c>
      <c r="R759" t="inlineStr">
        <is>
          <t>样品18</t>
        </is>
      </c>
    </row>
    <row r="760">
      <c r="A760" t="n">
        <v>759</v>
      </c>
      <c r="B760" t="inlineStr">
        <is>
          <t>18 (2).tif</t>
        </is>
      </c>
      <c r="C760" t="inlineStr">
        <is>
          <t>18(2)-V04</t>
        </is>
      </c>
      <c r="D760" t="n">
        <v>4</v>
      </c>
      <c r="E760" t="inlineStr">
        <is>
          <t>primary</t>
        </is>
      </c>
      <c r="F760" t="n">
        <v>212.1455576559546</v>
      </c>
      <c r="G760">
        <f>2*SQRT(F760/PI())</f>
        <v/>
      </c>
      <c r="H760" t="n">
        <v>55.13529658317566</v>
      </c>
      <c r="I760" t="n">
        <v>475</v>
      </c>
      <c r="J760" t="n">
        <v>240</v>
      </c>
      <c r="K760" t="n">
        <v>207.9026465028355</v>
      </c>
      <c r="L760" t="n">
        <v>216.3884688090737</v>
      </c>
      <c r="M760">
        <f>2*SQRT(K760/PI())</f>
        <v/>
      </c>
      <c r="N760">
        <f>2*SQRT(L760/PI())</f>
        <v/>
      </c>
      <c r="P760" t="inlineStr">
        <is>
          <t>是</t>
        </is>
      </c>
      <c r="Q760" t="inlineStr">
        <is>
          <t>auto_pipeline;review_png_green</t>
        </is>
      </c>
      <c r="R760" t="inlineStr">
        <is>
          <t>样品18</t>
        </is>
      </c>
    </row>
    <row r="761">
      <c r="A761" t="n">
        <v>760</v>
      </c>
      <c r="B761" t="inlineStr">
        <is>
          <t>18 (2).tif</t>
        </is>
      </c>
      <c r="C761" t="inlineStr">
        <is>
          <t>18(2)-V05</t>
        </is>
      </c>
      <c r="D761" t="n">
        <v>5</v>
      </c>
      <c r="E761" t="inlineStr">
        <is>
          <t>primary</t>
        </is>
      </c>
      <c r="F761" t="n">
        <v>196.5500945179584</v>
      </c>
      <c r="G761">
        <f>2*SQRT(F761/PI())</f>
        <v/>
      </c>
      <c r="H761" t="n">
        <v>62.72479383841804</v>
      </c>
      <c r="I761" t="n">
        <v>531</v>
      </c>
      <c r="J761" t="n">
        <v>529</v>
      </c>
      <c r="K761" t="n">
        <v>192.6190926275992</v>
      </c>
      <c r="L761" t="n">
        <v>200.4810964083176</v>
      </c>
      <c r="M761">
        <f>2*SQRT(K761/PI())</f>
        <v/>
      </c>
      <c r="N761">
        <f>2*SQRT(L761/PI())</f>
        <v/>
      </c>
      <c r="P761" t="inlineStr">
        <is>
          <t>是</t>
        </is>
      </c>
      <c r="Q761" t="inlineStr">
        <is>
          <t>auto_pipeline;review_png_green</t>
        </is>
      </c>
      <c r="R761" t="inlineStr">
        <is>
          <t>样品18</t>
        </is>
      </c>
    </row>
    <row r="762">
      <c r="A762" t="n">
        <v>761</v>
      </c>
      <c r="B762" t="inlineStr">
        <is>
          <t>18 (3).tif</t>
        </is>
      </c>
      <c r="C762" t="inlineStr">
        <is>
          <t>18(3)-V01</t>
        </is>
      </c>
      <c r="D762" t="n">
        <v>1</v>
      </c>
      <c r="E762" t="inlineStr">
        <is>
          <t>primary</t>
        </is>
      </c>
      <c r="F762" t="n">
        <v>375.7088846880907</v>
      </c>
      <c r="G762">
        <f>2*SQRT(F762/PI())</f>
        <v/>
      </c>
      <c r="H762" t="n">
        <v>72.7993907617486</v>
      </c>
      <c r="I762" t="n">
        <v>444</v>
      </c>
      <c r="J762" t="n">
        <v>351</v>
      </c>
      <c r="K762" t="n">
        <v>368.1947069943289</v>
      </c>
      <c r="L762" t="n">
        <v>383.2230623818526</v>
      </c>
      <c r="M762">
        <f>2*SQRT(K762/PI())</f>
        <v/>
      </c>
      <c r="N762">
        <f>2*SQRT(L762/PI())</f>
        <v/>
      </c>
      <c r="P762" t="inlineStr">
        <is>
          <t>是</t>
        </is>
      </c>
      <c r="Q762" t="inlineStr">
        <is>
          <t>auto_pipeline;review_png_green</t>
        </is>
      </c>
      <c r="R762" t="inlineStr">
        <is>
          <t>样品18</t>
        </is>
      </c>
    </row>
    <row r="763">
      <c r="A763" t="n">
        <v>762</v>
      </c>
      <c r="B763" t="inlineStr">
        <is>
          <t>18 (3).tif</t>
        </is>
      </c>
      <c r="C763" t="inlineStr">
        <is>
          <t>18(3)-V02</t>
        </is>
      </c>
      <c r="D763" t="n">
        <v>2</v>
      </c>
      <c r="E763" t="inlineStr">
        <is>
          <t>primary</t>
        </is>
      </c>
      <c r="F763" t="n">
        <v>373.8421550094518</v>
      </c>
      <c r="G763">
        <f>2*SQRT(F763/PI())</f>
        <v/>
      </c>
      <c r="H763" t="n">
        <v>73.28692133012025</v>
      </c>
      <c r="I763" t="n">
        <v>620</v>
      </c>
      <c r="J763" t="n">
        <v>334</v>
      </c>
      <c r="K763" t="n">
        <v>366.3653119092627</v>
      </c>
      <c r="L763" t="n">
        <v>381.3189981096409</v>
      </c>
      <c r="M763">
        <f>2*SQRT(K763/PI())</f>
        <v/>
      </c>
      <c r="N763">
        <f>2*SQRT(L763/PI())</f>
        <v/>
      </c>
      <c r="O763" t="inlineStr">
        <is>
          <t>18(3)-P01</t>
        </is>
      </c>
      <c r="P763" t="inlineStr">
        <is>
          <t>是</t>
        </is>
      </c>
      <c r="Q763" t="inlineStr">
        <is>
          <t>auto_pipeline;review_png_green</t>
        </is>
      </c>
      <c r="R763" t="inlineStr">
        <is>
          <t>样品18</t>
        </is>
      </c>
    </row>
    <row r="764">
      <c r="A764" t="n">
        <v>763</v>
      </c>
      <c r="B764" t="inlineStr">
        <is>
          <t>18 (3).tif</t>
        </is>
      </c>
      <c r="C764" t="inlineStr">
        <is>
          <t>18(3)-V03</t>
        </is>
      </c>
      <c r="D764" t="n">
        <v>3</v>
      </c>
      <c r="E764" t="inlineStr">
        <is>
          <t>primary</t>
        </is>
      </c>
      <c r="F764" t="n">
        <v>328.5207939508506</v>
      </c>
      <c r="G764">
        <f>2*SQRT(F764/PI())</f>
        <v/>
      </c>
      <c r="H764" t="n">
        <v>68.72810340445974</v>
      </c>
      <c r="I764" t="n">
        <v>520</v>
      </c>
      <c r="J764" t="n">
        <v>363</v>
      </c>
      <c r="K764" t="n">
        <v>321.9503780718337</v>
      </c>
      <c r="L764" t="n">
        <v>335.0912098298676</v>
      </c>
      <c r="M764">
        <f>2*SQRT(K764/PI())</f>
        <v/>
      </c>
      <c r="N764">
        <f>2*SQRT(L764/PI())</f>
        <v/>
      </c>
      <c r="O764" t="inlineStr">
        <is>
          <t>18(3)-P01</t>
        </is>
      </c>
      <c r="P764" t="inlineStr">
        <is>
          <t>是</t>
        </is>
      </c>
      <c r="Q764" t="inlineStr">
        <is>
          <t>auto_pipeline;review_png_green</t>
        </is>
      </c>
      <c r="R764" t="inlineStr">
        <is>
          <t>样品18</t>
        </is>
      </c>
    </row>
    <row r="765">
      <c r="A765" t="n">
        <v>764</v>
      </c>
      <c r="B765" t="inlineStr">
        <is>
          <t>18 (3).tif</t>
        </is>
      </c>
      <c r="C765" t="inlineStr">
        <is>
          <t>18(3)-V04</t>
        </is>
      </c>
      <c r="D765" t="n">
        <v>4</v>
      </c>
      <c r="E765" t="inlineStr">
        <is>
          <t>primary</t>
        </is>
      </c>
      <c r="F765" t="n">
        <v>215.5482041587902</v>
      </c>
      <c r="G765">
        <f>2*SQRT(F765/PI())</f>
        <v/>
      </c>
      <c r="H765" t="n">
        <v>55.75017203455386</v>
      </c>
      <c r="I765" t="n">
        <v>282</v>
      </c>
      <c r="J765" t="n">
        <v>379</v>
      </c>
      <c r="K765" t="n">
        <v>211.2372400756144</v>
      </c>
      <c r="L765" t="n">
        <v>219.859168241966</v>
      </c>
      <c r="M765">
        <f>2*SQRT(K765/PI())</f>
        <v/>
      </c>
      <c r="N765">
        <f>2*SQRT(L765/PI())</f>
        <v/>
      </c>
      <c r="P765" t="inlineStr">
        <is>
          <t>是</t>
        </is>
      </c>
      <c r="Q765" t="inlineStr">
        <is>
          <t>auto_pipeline;review_png_green</t>
        </is>
      </c>
      <c r="R765" t="inlineStr">
        <is>
          <t>样品18</t>
        </is>
      </c>
    </row>
    <row r="766">
      <c r="A766" t="n">
        <v>765</v>
      </c>
      <c r="B766" t="inlineStr">
        <is>
          <t>18 (3).tif</t>
        </is>
      </c>
      <c r="C766" t="inlineStr">
        <is>
          <t>18(3)-V05</t>
        </is>
      </c>
      <c r="D766" t="n">
        <v>5</v>
      </c>
      <c r="E766" t="inlineStr">
        <is>
          <t>primary</t>
        </is>
      </c>
      <c r="F766" t="n">
        <v>166.304347826087</v>
      </c>
      <c r="G766">
        <f>2*SQRT(F766/PI())</f>
        <v/>
      </c>
      <c r="H766" t="n">
        <v>62.06622045973073</v>
      </c>
      <c r="I766" t="n">
        <v>922</v>
      </c>
      <c r="J766" t="n">
        <v>422</v>
      </c>
      <c r="K766" t="n">
        <v>162.9782608695652</v>
      </c>
      <c r="L766" t="n">
        <v>169.6304347826087</v>
      </c>
      <c r="M766">
        <f>2*SQRT(K766/PI())</f>
        <v/>
      </c>
      <c r="N766">
        <f>2*SQRT(L766/PI())</f>
        <v/>
      </c>
      <c r="P766" t="inlineStr">
        <is>
          <t>是</t>
        </is>
      </c>
      <c r="Q766" t="inlineStr">
        <is>
          <t>auto_pipeline;review_png_green</t>
        </is>
      </c>
      <c r="R766" t="inlineStr">
        <is>
          <t>样品18</t>
        </is>
      </c>
    </row>
    <row r="767">
      <c r="A767" t="n">
        <v>766</v>
      </c>
      <c r="B767" t="inlineStr">
        <is>
          <t>18 (3).tif</t>
        </is>
      </c>
      <c r="C767" t="inlineStr">
        <is>
          <t>18(3)-V06</t>
        </is>
      </c>
      <c r="D767" t="n">
        <v>6</v>
      </c>
      <c r="E767" t="inlineStr">
        <is>
          <t>primary</t>
        </is>
      </c>
      <c r="F767" t="n">
        <v>160.8695652173913</v>
      </c>
      <c r="G767">
        <f>2*SQRT(F767/PI())</f>
        <v/>
      </c>
      <c r="H767" t="n">
        <v>47.45840347331503</v>
      </c>
      <c r="I767" t="n">
        <v>844</v>
      </c>
      <c r="J767" t="n">
        <v>114</v>
      </c>
      <c r="K767" t="n">
        <v>157.6521739130435</v>
      </c>
      <c r="L767" t="n">
        <v>164.0869565217392</v>
      </c>
      <c r="M767">
        <f>2*SQRT(K767/PI())</f>
        <v/>
      </c>
      <c r="N767">
        <f>2*SQRT(L767/PI())</f>
        <v/>
      </c>
      <c r="P767" t="inlineStr">
        <is>
          <t>是</t>
        </is>
      </c>
      <c r="Q767" t="inlineStr">
        <is>
          <t>auto_pipeline;review_png_green</t>
        </is>
      </c>
      <c r="R767" t="inlineStr">
        <is>
          <t>样品18</t>
        </is>
      </c>
    </row>
    <row r="768">
      <c r="A768" t="n">
        <v>767</v>
      </c>
      <c r="B768" t="inlineStr">
        <is>
          <t>18 (3).tif</t>
        </is>
      </c>
      <c r="C768" t="inlineStr">
        <is>
          <t>18(3)-V07</t>
        </is>
      </c>
      <c r="D768" t="n">
        <v>7</v>
      </c>
      <c r="E768" t="inlineStr">
        <is>
          <t>primary</t>
        </is>
      </c>
      <c r="F768" t="n">
        <v>153.7807183364839</v>
      </c>
      <c r="G768">
        <f>2*SQRT(F768/PI())</f>
        <v/>
      </c>
      <c r="H768" t="n">
        <v>47.09821778794993</v>
      </c>
      <c r="I768" t="n">
        <v>347</v>
      </c>
      <c r="J768" t="n">
        <v>113</v>
      </c>
      <c r="K768" t="n">
        <v>150.7051039697542</v>
      </c>
      <c r="L768" t="n">
        <v>156.8563327032136</v>
      </c>
      <c r="M768">
        <f>2*SQRT(K768/PI())</f>
        <v/>
      </c>
      <c r="N768">
        <f>2*SQRT(L768/PI())</f>
        <v/>
      </c>
      <c r="P768" t="inlineStr">
        <is>
          <t>是</t>
        </is>
      </c>
      <c r="Q768" t="inlineStr">
        <is>
          <t>auto_pipeline;review_png_green</t>
        </is>
      </c>
      <c r="R768" t="inlineStr">
        <is>
          <t>样品18</t>
        </is>
      </c>
    </row>
    <row r="769">
      <c r="A769" t="n">
        <v>768</v>
      </c>
      <c r="B769" t="inlineStr">
        <is>
          <t>18 (3).tif</t>
        </is>
      </c>
      <c r="C769" t="inlineStr">
        <is>
          <t>18(3)-V08</t>
        </is>
      </c>
      <c r="D769" t="n">
        <v>8</v>
      </c>
      <c r="E769" t="inlineStr">
        <is>
          <t>primary</t>
        </is>
      </c>
      <c r="F769" t="n">
        <v>131.1909262759924</v>
      </c>
      <c r="G769">
        <f>2*SQRT(F769/PI())</f>
        <v/>
      </c>
      <c r="H769" t="n">
        <v>43.76915076504583</v>
      </c>
      <c r="I769" t="n">
        <v>782</v>
      </c>
      <c r="J769" t="n">
        <v>290</v>
      </c>
      <c r="K769" t="n">
        <v>128.5671077504726</v>
      </c>
      <c r="L769" t="n">
        <v>133.8147448015123</v>
      </c>
      <c r="M769">
        <f>2*SQRT(K769/PI())</f>
        <v/>
      </c>
      <c r="N769">
        <f>2*SQRT(L769/PI())</f>
        <v/>
      </c>
      <c r="P769" t="inlineStr">
        <is>
          <t>是</t>
        </is>
      </c>
      <c r="Q769" t="inlineStr">
        <is>
          <t>auto_pipeline;review_png_green</t>
        </is>
      </c>
      <c r="R769" t="inlineStr">
        <is>
          <t>样品18</t>
        </is>
      </c>
    </row>
    <row r="770">
      <c r="A770" t="n">
        <v>769</v>
      </c>
      <c r="B770" t="inlineStr">
        <is>
          <t>18 (4).tif</t>
        </is>
      </c>
      <c r="C770" t="inlineStr">
        <is>
          <t>18(4)-V01</t>
        </is>
      </c>
      <c r="D770" t="n">
        <v>1</v>
      </c>
      <c r="E770" t="inlineStr">
        <is>
          <t>primary</t>
        </is>
      </c>
      <c r="F770" t="n">
        <v>212.3345935727788</v>
      </c>
      <c r="G770">
        <f>2*SQRT(F770/PI())</f>
        <v/>
      </c>
      <c r="H770" t="n">
        <v>59.03554113014884</v>
      </c>
      <c r="I770" t="n">
        <v>729</v>
      </c>
      <c r="J770" t="n">
        <v>403</v>
      </c>
      <c r="K770" t="n">
        <v>208.0879017013233</v>
      </c>
      <c r="L770" t="n">
        <v>216.5812854442344</v>
      </c>
      <c r="M770">
        <f>2*SQRT(K770/PI())</f>
        <v/>
      </c>
      <c r="N770">
        <f>2*SQRT(L770/PI())</f>
        <v/>
      </c>
      <c r="P770" t="inlineStr">
        <is>
          <t>是</t>
        </is>
      </c>
      <c r="Q770" t="inlineStr">
        <is>
          <t>auto_pipeline;review_png_green</t>
        </is>
      </c>
      <c r="R770" t="inlineStr">
        <is>
          <t>样品18</t>
        </is>
      </c>
    </row>
    <row r="771">
      <c r="A771" t="n">
        <v>770</v>
      </c>
      <c r="B771" t="inlineStr">
        <is>
          <t>18 (4).tif</t>
        </is>
      </c>
      <c r="C771" t="inlineStr">
        <is>
          <t>18(4)-V02</t>
        </is>
      </c>
      <c r="D771" t="n">
        <v>2</v>
      </c>
      <c r="E771" t="inlineStr">
        <is>
          <t>primary</t>
        </is>
      </c>
      <c r="F771" t="n">
        <v>207.8449905482042</v>
      </c>
      <c r="G771">
        <f>2*SQRT(F771/PI())</f>
        <v/>
      </c>
      <c r="H771" t="n">
        <v>55.75017203455386</v>
      </c>
      <c r="I771" t="n">
        <v>715</v>
      </c>
      <c r="J771" t="n">
        <v>524</v>
      </c>
      <c r="K771" t="n">
        <v>203.6880907372401</v>
      </c>
      <c r="L771" t="n">
        <v>212.0018903591682</v>
      </c>
      <c r="M771">
        <f>2*SQRT(K771/PI())</f>
        <v/>
      </c>
      <c r="N771">
        <f>2*SQRT(L771/PI())</f>
        <v/>
      </c>
      <c r="P771" t="inlineStr">
        <is>
          <t>是</t>
        </is>
      </c>
      <c r="Q771" t="inlineStr">
        <is>
          <t>auto_pipeline;review_png_green</t>
        </is>
      </c>
      <c r="R771" t="inlineStr">
        <is>
          <t>样品18</t>
        </is>
      </c>
    </row>
    <row r="772">
      <c r="A772" t="n">
        <v>771</v>
      </c>
      <c r="B772" t="inlineStr">
        <is>
          <t>18 (4).tif</t>
        </is>
      </c>
      <c r="C772" t="inlineStr">
        <is>
          <t>18(4)-V03</t>
        </is>
      </c>
      <c r="D772" t="n">
        <v>3</v>
      </c>
      <c r="E772" t="inlineStr">
        <is>
          <t>primary</t>
        </is>
      </c>
      <c r="F772" t="n">
        <v>132.0415879017013</v>
      </c>
      <c r="G772">
        <f>2*SQRT(F772/PI())</f>
        <v/>
      </c>
      <c r="H772" t="n">
        <v>44.63871598243713</v>
      </c>
      <c r="I772" t="n">
        <v>472</v>
      </c>
      <c r="J772" t="n">
        <v>374</v>
      </c>
      <c r="K772" t="n">
        <v>129.4007561436673</v>
      </c>
      <c r="L772" t="n">
        <v>134.6824196597354</v>
      </c>
      <c r="M772">
        <f>2*SQRT(K772/PI())</f>
        <v/>
      </c>
      <c r="N772">
        <f>2*SQRT(L772/PI())</f>
        <v/>
      </c>
      <c r="P772" t="inlineStr">
        <is>
          <t>是</t>
        </is>
      </c>
      <c r="Q772" t="inlineStr">
        <is>
          <t>auto_pipeline;review_png_green</t>
        </is>
      </c>
      <c r="R772" t="inlineStr">
        <is>
          <t>样品18</t>
        </is>
      </c>
    </row>
    <row r="773">
      <c r="A773" t="n">
        <v>772</v>
      </c>
      <c r="B773" t="inlineStr">
        <is>
          <t>18 (5).tif</t>
        </is>
      </c>
      <c r="C773" t="inlineStr">
        <is>
          <t>18(5)-V01</t>
        </is>
      </c>
      <c r="D773" t="n">
        <v>1</v>
      </c>
      <c r="E773" t="inlineStr">
        <is>
          <t>primary</t>
        </is>
      </c>
      <c r="F773" t="n">
        <v>683.3884688090737</v>
      </c>
      <c r="G773">
        <f>2*SQRT(F773/PI())</f>
        <v/>
      </c>
      <c r="H773" t="n">
        <v>104.9258569789969</v>
      </c>
      <c r="I773" t="n">
        <v>346</v>
      </c>
      <c r="J773" t="n">
        <v>285</v>
      </c>
      <c r="K773" t="n">
        <v>669.7206994328923</v>
      </c>
      <c r="L773" t="n">
        <v>697.0562381852552</v>
      </c>
      <c r="M773">
        <f>2*SQRT(K773/PI())</f>
        <v/>
      </c>
      <c r="N773">
        <f>2*SQRT(L773/PI())</f>
        <v/>
      </c>
      <c r="P773" t="inlineStr">
        <is>
          <t>是</t>
        </is>
      </c>
      <c r="Q773" t="inlineStr">
        <is>
          <t>auto_pipeline;review_png_green</t>
        </is>
      </c>
      <c r="R773" t="inlineStr">
        <is>
          <t>样品18</t>
        </is>
      </c>
    </row>
    <row r="774">
      <c r="A774" t="n">
        <v>773</v>
      </c>
      <c r="B774" t="inlineStr">
        <is>
          <t>18 (5).tif</t>
        </is>
      </c>
      <c r="C774" t="inlineStr">
        <is>
          <t>18(5)-V02</t>
        </is>
      </c>
      <c r="D774" t="n">
        <v>2</v>
      </c>
      <c r="E774" t="inlineStr">
        <is>
          <t>primary</t>
        </is>
      </c>
      <c r="F774" t="n">
        <v>669.6124763705104</v>
      </c>
      <c r="G774">
        <f>2*SQRT(F774/PI())</f>
        <v/>
      </c>
      <c r="H774" t="n">
        <v>105.9664650067039</v>
      </c>
      <c r="I774" t="n">
        <v>317</v>
      </c>
      <c r="J774" t="n">
        <v>610</v>
      </c>
      <c r="K774" t="n">
        <v>656.2202268431002</v>
      </c>
      <c r="L774" t="n">
        <v>683.0047258979206</v>
      </c>
      <c r="M774">
        <f>2*SQRT(K774/PI())</f>
        <v/>
      </c>
      <c r="N774">
        <f>2*SQRT(L774/PI())</f>
        <v/>
      </c>
      <c r="P774" t="inlineStr">
        <is>
          <t>是</t>
        </is>
      </c>
      <c r="Q774" t="inlineStr">
        <is>
          <t>auto_pipeline;review_png_green</t>
        </is>
      </c>
      <c r="R774" t="inlineStr">
        <is>
          <t>样品18</t>
        </is>
      </c>
    </row>
    <row r="775">
      <c r="A775" t="n">
        <v>774</v>
      </c>
      <c r="B775" t="inlineStr">
        <is>
          <t>18 (5).tif</t>
        </is>
      </c>
      <c r="C775" t="inlineStr">
        <is>
          <t>18(5)-V03</t>
        </is>
      </c>
      <c r="D775" t="n">
        <v>3</v>
      </c>
      <c r="E775" t="inlineStr">
        <is>
          <t>primary</t>
        </is>
      </c>
      <c r="F775" t="n">
        <v>504.0406427221172</v>
      </c>
      <c r="G775">
        <f>2*SQRT(F775/PI())</f>
        <v/>
      </c>
      <c r="H775" t="n">
        <v>93.03223156410715</v>
      </c>
      <c r="I775" t="n">
        <v>619</v>
      </c>
      <c r="J775" t="n">
        <v>418</v>
      </c>
      <c r="K775" t="n">
        <v>493.9598298676748</v>
      </c>
      <c r="L775" t="n">
        <v>514.1214555765596</v>
      </c>
      <c r="M775">
        <f>2*SQRT(K775/PI())</f>
        <v/>
      </c>
      <c r="N775">
        <f>2*SQRT(L775/PI())</f>
        <v/>
      </c>
      <c r="O775" t="inlineStr">
        <is>
          <t>18(5)-P01</t>
        </is>
      </c>
      <c r="P775" t="inlineStr">
        <is>
          <t>是</t>
        </is>
      </c>
      <c r="Q775" t="inlineStr">
        <is>
          <t>auto_pipeline;review_png_green</t>
        </is>
      </c>
      <c r="R775" t="inlineStr">
        <is>
          <t>样品18</t>
        </is>
      </c>
    </row>
    <row r="776">
      <c r="A776" t="n">
        <v>775</v>
      </c>
      <c r="B776" t="inlineStr">
        <is>
          <t>18 (5).tif</t>
        </is>
      </c>
      <c r="C776" t="inlineStr">
        <is>
          <t>18(5)-V04</t>
        </is>
      </c>
      <c r="D776" t="n">
        <v>4</v>
      </c>
      <c r="E776" t="inlineStr">
        <is>
          <t>primary</t>
        </is>
      </c>
      <c r="F776" t="n">
        <v>394.0217391304348</v>
      </c>
      <c r="G776">
        <f>2*SQRT(F776/PI())</f>
        <v/>
      </c>
      <c r="H776" t="n">
        <v>75.53543129692906</v>
      </c>
      <c r="I776" t="n">
        <v>489</v>
      </c>
      <c r="J776" t="n">
        <v>342</v>
      </c>
      <c r="K776" t="n">
        <v>386.1413043478261</v>
      </c>
      <c r="L776" t="n">
        <v>401.9021739130435</v>
      </c>
      <c r="M776">
        <f>2*SQRT(K776/PI())</f>
        <v/>
      </c>
      <c r="N776">
        <f>2*SQRT(L776/PI())</f>
        <v/>
      </c>
      <c r="O776" t="inlineStr">
        <is>
          <t>18(5)-P01</t>
        </is>
      </c>
      <c r="P776" t="inlineStr">
        <is>
          <t>是</t>
        </is>
      </c>
      <c r="Q776" t="inlineStr">
        <is>
          <t>auto_pipeline;review_png_green</t>
        </is>
      </c>
      <c r="R776" t="inlineStr">
        <is>
          <t>样品18</t>
        </is>
      </c>
    </row>
    <row r="777">
      <c r="A777" t="n">
        <v>776</v>
      </c>
      <c r="B777" t="inlineStr">
        <is>
          <t>18 (5).tif</t>
        </is>
      </c>
      <c r="C777" t="inlineStr">
        <is>
          <t>18(5)-V05</t>
        </is>
      </c>
      <c r="D777" t="n">
        <v>5</v>
      </c>
      <c r="E777" t="inlineStr">
        <is>
          <t>primary</t>
        </is>
      </c>
      <c r="F777" t="n">
        <v>137.3818525519849</v>
      </c>
      <c r="G777">
        <f>2*SQRT(F777/PI())</f>
        <v/>
      </c>
      <c r="H777" t="n">
        <v>47.50210140062415</v>
      </c>
      <c r="I777" t="n">
        <v>131</v>
      </c>
      <c r="J777" t="n">
        <v>232</v>
      </c>
      <c r="K777" t="n">
        <v>134.6342155009452</v>
      </c>
      <c r="L777" t="n">
        <v>140.1294896030246</v>
      </c>
      <c r="M777">
        <f>2*SQRT(K777/PI())</f>
        <v/>
      </c>
      <c r="N777">
        <f>2*SQRT(L777/PI())</f>
        <v/>
      </c>
      <c r="P777" t="inlineStr">
        <is>
          <t>是</t>
        </is>
      </c>
      <c r="Q777" t="inlineStr">
        <is>
          <t>auto_pipeline;review_png_green</t>
        </is>
      </c>
      <c r="R777" t="inlineStr">
        <is>
          <t>样品18</t>
        </is>
      </c>
    </row>
    <row r="778">
      <c r="A778" t="n">
        <v>777</v>
      </c>
      <c r="B778" t="inlineStr">
        <is>
          <t>18 (6).tif</t>
        </is>
      </c>
      <c r="C778" t="inlineStr">
        <is>
          <t>18(6)-V01</t>
        </is>
      </c>
      <c r="D778" t="n">
        <v>1</v>
      </c>
      <c r="E778" t="inlineStr">
        <is>
          <t>primary</t>
        </is>
      </c>
      <c r="F778" t="n">
        <v>417.9584120982987</v>
      </c>
      <c r="G778">
        <f>2*SQRT(F778/PI())</f>
        <v/>
      </c>
      <c r="H778" t="n">
        <v>77.3582086874091</v>
      </c>
      <c r="I778" t="n">
        <v>485</v>
      </c>
      <c r="J778" t="n">
        <v>448</v>
      </c>
      <c r="K778" t="n">
        <v>409.5992438563327</v>
      </c>
      <c r="L778" t="n">
        <v>426.3175803402646</v>
      </c>
      <c r="M778">
        <f>2*SQRT(K778/PI())</f>
        <v/>
      </c>
      <c r="N778">
        <f>2*SQRT(L778/PI())</f>
        <v/>
      </c>
      <c r="O778" t="inlineStr">
        <is>
          <t>18(6)-P01</t>
        </is>
      </c>
      <c r="P778" t="inlineStr">
        <is>
          <t>是</t>
        </is>
      </c>
      <c r="Q778" t="inlineStr">
        <is>
          <t>auto_pipeline;review_png_green</t>
        </is>
      </c>
      <c r="R778" t="inlineStr">
        <is>
          <t>样品18</t>
        </is>
      </c>
    </row>
    <row r="779">
      <c r="A779" t="n">
        <v>778</v>
      </c>
      <c r="B779" t="inlineStr">
        <is>
          <t>18 (6).tif</t>
        </is>
      </c>
      <c r="C779" t="inlineStr">
        <is>
          <t>18(6)-V02</t>
        </is>
      </c>
      <c r="D779" t="n">
        <v>2</v>
      </c>
      <c r="E779" t="inlineStr">
        <is>
          <t>primary</t>
        </is>
      </c>
      <c r="F779" t="n">
        <v>393.9272211720227</v>
      </c>
      <c r="G779">
        <f>2*SQRT(F779/PI())</f>
        <v/>
      </c>
      <c r="H779" t="n">
        <v>75.64092721628106</v>
      </c>
      <c r="I779" t="n">
        <v>466</v>
      </c>
      <c r="J779" t="n">
        <v>319</v>
      </c>
      <c r="K779" t="n">
        <v>386.0486767485822</v>
      </c>
      <c r="L779" t="n">
        <v>401.8057655954632</v>
      </c>
      <c r="M779">
        <f>2*SQRT(K779/PI())</f>
        <v/>
      </c>
      <c r="N779">
        <f>2*SQRT(L779/PI())</f>
        <v/>
      </c>
      <c r="O779" t="inlineStr">
        <is>
          <t>18(6)-P01</t>
        </is>
      </c>
      <c r="P779" t="inlineStr">
        <is>
          <t>是</t>
        </is>
      </c>
      <c r="Q779" t="inlineStr">
        <is>
          <t>auto_pipeline;review_png_green</t>
        </is>
      </c>
      <c r="R779" t="inlineStr">
        <is>
          <t>样品18</t>
        </is>
      </c>
    </row>
    <row r="780">
      <c r="A780" t="n">
        <v>779</v>
      </c>
      <c r="B780" t="inlineStr">
        <is>
          <t>18 (6).tif</t>
        </is>
      </c>
      <c r="C780" t="inlineStr">
        <is>
          <t>18(6)-V03</t>
        </is>
      </c>
      <c r="D780" t="n">
        <v>3</v>
      </c>
      <c r="E780" t="inlineStr">
        <is>
          <t>primary</t>
        </is>
      </c>
      <c r="F780" t="n">
        <v>312.9017013232514</v>
      </c>
      <c r="G780">
        <f>2*SQRT(F780/PI())</f>
        <v/>
      </c>
      <c r="H780" t="n">
        <v>65.99206286927928</v>
      </c>
      <c r="I780" t="n">
        <v>601</v>
      </c>
      <c r="J780" t="n">
        <v>528</v>
      </c>
      <c r="K780" t="n">
        <v>306.6436672967864</v>
      </c>
      <c r="L780" t="n">
        <v>319.1597353497165</v>
      </c>
      <c r="M780">
        <f>2*SQRT(K780/PI())</f>
        <v/>
      </c>
      <c r="N780">
        <f>2*SQRT(L780/PI())</f>
        <v/>
      </c>
      <c r="P780" t="inlineStr">
        <is>
          <t>是</t>
        </is>
      </c>
      <c r="Q780" t="inlineStr">
        <is>
          <t>auto_pipeline;review_png_green</t>
        </is>
      </c>
      <c r="R780" t="inlineStr">
        <is>
          <t>样品18</t>
        </is>
      </c>
    </row>
    <row r="781">
      <c r="A781" t="n">
        <v>780</v>
      </c>
      <c r="B781" t="inlineStr">
        <is>
          <t>18 (7).tif</t>
        </is>
      </c>
      <c r="C781" t="inlineStr">
        <is>
          <t>18(7)-V01</t>
        </is>
      </c>
      <c r="D781" t="n">
        <v>1</v>
      </c>
      <c r="E781" t="inlineStr">
        <is>
          <t>primary</t>
        </is>
      </c>
      <c r="F781" t="n">
        <v>481.9470699432893</v>
      </c>
      <c r="G781">
        <f>2*SQRT(F781/PI())</f>
        <v/>
      </c>
      <c r="H781" t="n">
        <v>82.06622045973073</v>
      </c>
      <c r="I781" t="n">
        <v>461</v>
      </c>
      <c r="J781" t="n">
        <v>415</v>
      </c>
      <c r="K781" t="n">
        <v>472.3081285444235</v>
      </c>
      <c r="L781" t="n">
        <v>491.586011342155</v>
      </c>
      <c r="M781">
        <f>2*SQRT(K781/PI())</f>
        <v/>
      </c>
      <c r="N781">
        <f>2*SQRT(L781/PI())</f>
        <v/>
      </c>
      <c r="O781" t="inlineStr">
        <is>
          <t>18(7)-P01</t>
        </is>
      </c>
      <c r="P781" t="inlineStr">
        <is>
          <t>是</t>
        </is>
      </c>
      <c r="Q781" t="inlineStr">
        <is>
          <t>auto_pipeline;review_png_green</t>
        </is>
      </c>
      <c r="R781" t="inlineStr">
        <is>
          <t>样品18</t>
        </is>
      </c>
    </row>
    <row r="782">
      <c r="A782" t="n">
        <v>781</v>
      </c>
      <c r="B782" t="inlineStr">
        <is>
          <t>18 (7).tif</t>
        </is>
      </c>
      <c r="C782" t="inlineStr">
        <is>
          <t>18(7)-V02</t>
        </is>
      </c>
      <c r="D782" t="n">
        <v>2</v>
      </c>
      <c r="E782" t="inlineStr">
        <is>
          <t>primary</t>
        </is>
      </c>
      <c r="F782" t="n">
        <v>450.8034026465028</v>
      </c>
      <c r="G782">
        <f>2*SQRT(F782/PI())</f>
        <v/>
      </c>
      <c r="H782" t="n">
        <v>80.22159410559613</v>
      </c>
      <c r="I782" t="n">
        <v>101</v>
      </c>
      <c r="J782" t="n">
        <v>189</v>
      </c>
      <c r="K782" t="n">
        <v>441.7873345935728</v>
      </c>
      <c r="L782" t="n">
        <v>459.8194706994329</v>
      </c>
      <c r="M782">
        <f>2*SQRT(K782/PI())</f>
        <v/>
      </c>
      <c r="N782">
        <f>2*SQRT(L782/PI())</f>
        <v/>
      </c>
      <c r="P782" t="inlineStr">
        <is>
          <t>是</t>
        </is>
      </c>
      <c r="Q782" t="inlineStr">
        <is>
          <t>auto_pipeline;review_png_green</t>
        </is>
      </c>
      <c r="R782" t="inlineStr">
        <is>
          <t>样品18</t>
        </is>
      </c>
    </row>
    <row r="783">
      <c r="A783" t="n">
        <v>782</v>
      </c>
      <c r="B783" t="inlineStr">
        <is>
          <t>18 (7).tif</t>
        </is>
      </c>
      <c r="C783" t="inlineStr">
        <is>
          <t>18(7)-V03</t>
        </is>
      </c>
      <c r="D783" t="n">
        <v>3</v>
      </c>
      <c r="E783" t="inlineStr">
        <is>
          <t>primary</t>
        </is>
      </c>
      <c r="F783" t="n">
        <v>389.2249527410208</v>
      </c>
      <c r="G783">
        <f>2*SQRT(F783/PI())</f>
        <v/>
      </c>
      <c r="H783" t="n">
        <v>76.53234139732692</v>
      </c>
      <c r="I783" t="n">
        <v>516</v>
      </c>
      <c r="J783" t="n">
        <v>313</v>
      </c>
      <c r="K783" t="n">
        <v>381.4404536862004</v>
      </c>
      <c r="L783" t="n">
        <v>397.0094517958412</v>
      </c>
      <c r="M783">
        <f>2*SQRT(K783/PI())</f>
        <v/>
      </c>
      <c r="N783">
        <f>2*SQRT(L783/PI())</f>
        <v/>
      </c>
      <c r="O783" t="inlineStr">
        <is>
          <t>18(7)-P01</t>
        </is>
      </c>
      <c r="P783" t="inlineStr">
        <is>
          <t>是</t>
        </is>
      </c>
      <c r="Q783" t="inlineStr">
        <is>
          <t>auto_pipeline;review_png_green</t>
        </is>
      </c>
      <c r="R783" t="inlineStr">
        <is>
          <t>样品18</t>
        </is>
      </c>
    </row>
    <row r="784">
      <c r="A784" t="n">
        <v>783</v>
      </c>
      <c r="B784" t="inlineStr">
        <is>
          <t>18 (7).tif</t>
        </is>
      </c>
      <c r="C784" t="inlineStr">
        <is>
          <t>18(7)-V04</t>
        </is>
      </c>
      <c r="D784" t="n">
        <v>4</v>
      </c>
      <c r="E784" t="inlineStr">
        <is>
          <t>primary</t>
        </is>
      </c>
      <c r="F784" t="n">
        <v>351.6776937618147</v>
      </c>
      <c r="G784">
        <f>2*SQRT(F784/PI())</f>
        <v/>
      </c>
      <c r="H784" t="n">
        <v>74.30568039417267</v>
      </c>
      <c r="I784" t="n">
        <v>583</v>
      </c>
      <c r="J784" t="n">
        <v>214</v>
      </c>
      <c r="K784" t="n">
        <v>344.6441398865784</v>
      </c>
      <c r="L784" t="n">
        <v>358.711247637051</v>
      </c>
      <c r="M784">
        <f>2*SQRT(K784/PI())</f>
        <v/>
      </c>
      <c r="N784">
        <f>2*SQRT(L784/PI())</f>
        <v/>
      </c>
      <c r="P784" t="inlineStr">
        <is>
          <t>是</t>
        </is>
      </c>
      <c r="Q784" t="inlineStr">
        <is>
          <t>auto_pipeline;review_png_green</t>
        </is>
      </c>
      <c r="R784" t="inlineStr">
        <is>
          <t>样品18</t>
        </is>
      </c>
    </row>
    <row r="785">
      <c r="A785" t="n">
        <v>784</v>
      </c>
      <c r="B785" t="inlineStr">
        <is>
          <t>18 (8).tif</t>
        </is>
      </c>
      <c r="C785" t="inlineStr">
        <is>
          <t>18(8)-V01</t>
        </is>
      </c>
      <c r="D785" t="n">
        <v>1</v>
      </c>
      <c r="E785" t="inlineStr">
        <is>
          <t>primary</t>
        </is>
      </c>
      <c r="F785" t="n">
        <v>840.4536862003781</v>
      </c>
      <c r="G785">
        <f>2*SQRT(F785/PI())</f>
        <v/>
      </c>
      <c r="H785" t="n">
        <v>109.2518341022989</v>
      </c>
      <c r="I785" t="n">
        <v>565</v>
      </c>
      <c r="J785" t="n">
        <v>363</v>
      </c>
      <c r="K785" t="n">
        <v>823.6446124763705</v>
      </c>
      <c r="L785" t="n">
        <v>857.2627599243857</v>
      </c>
      <c r="M785">
        <f>2*SQRT(K785/PI())</f>
        <v/>
      </c>
      <c r="N785">
        <f>2*SQRT(L785/PI())</f>
        <v/>
      </c>
      <c r="P785" t="inlineStr">
        <is>
          <t>是</t>
        </is>
      </c>
      <c r="Q785" t="inlineStr">
        <is>
          <t>auto_pipeline;review_png_green</t>
        </is>
      </c>
      <c r="R785" t="inlineStr">
        <is>
          <t>样品18</t>
        </is>
      </c>
    </row>
    <row r="786">
      <c r="A786" t="n">
        <v>785</v>
      </c>
      <c r="B786" t="inlineStr">
        <is>
          <t>18 (8).tif</t>
        </is>
      </c>
      <c r="C786" t="inlineStr">
        <is>
          <t>18(8)-V02</t>
        </is>
      </c>
      <c r="D786" t="n">
        <v>2</v>
      </c>
      <c r="E786" t="inlineStr">
        <is>
          <t>primary</t>
        </is>
      </c>
      <c r="F786" t="n">
        <v>455.2457466918714</v>
      </c>
      <c r="G786">
        <f>2*SQRT(F786/PI())</f>
        <v/>
      </c>
      <c r="H786" t="n">
        <v>80.22159410559613</v>
      </c>
      <c r="I786" t="n">
        <v>421</v>
      </c>
      <c r="J786" t="n">
        <v>309</v>
      </c>
      <c r="K786" t="n">
        <v>446.140831758034</v>
      </c>
      <c r="L786" t="n">
        <v>464.3506616257089</v>
      </c>
      <c r="M786">
        <f>2*SQRT(K786/PI())</f>
        <v/>
      </c>
      <c r="N786">
        <f>2*SQRT(L786/PI())</f>
        <v/>
      </c>
      <c r="P786" t="inlineStr">
        <is>
          <t>是</t>
        </is>
      </c>
      <c r="Q786" t="inlineStr">
        <is>
          <t>auto_pipeline;review_png_green</t>
        </is>
      </c>
      <c r="R786" t="inlineStr">
        <is>
          <t>样品18</t>
        </is>
      </c>
    </row>
    <row r="787">
      <c r="A787" t="n">
        <v>786</v>
      </c>
      <c r="B787" t="inlineStr">
        <is>
          <t>18 (8).tif</t>
        </is>
      </c>
      <c r="C787" t="inlineStr">
        <is>
          <t>18(8)-V03</t>
        </is>
      </c>
      <c r="D787" t="n">
        <v>3</v>
      </c>
      <c r="E787" t="inlineStr">
        <is>
          <t>primary</t>
        </is>
      </c>
      <c r="F787" t="n">
        <v>416.2334593572779</v>
      </c>
      <c r="G787">
        <f>2*SQRT(F787/PI())</f>
        <v/>
      </c>
      <c r="H787" t="n">
        <v>80.70912467396778</v>
      </c>
      <c r="I787" t="n">
        <v>366</v>
      </c>
      <c r="J787" t="n">
        <v>466</v>
      </c>
      <c r="K787" t="n">
        <v>407.9087901701323</v>
      </c>
      <c r="L787" t="n">
        <v>424.5581285444234</v>
      </c>
      <c r="M787">
        <f>2*SQRT(K787/PI())</f>
        <v/>
      </c>
      <c r="N787">
        <f>2*SQRT(L787/PI())</f>
        <v/>
      </c>
      <c r="P787" t="inlineStr">
        <is>
          <t>是</t>
        </is>
      </c>
      <c r="Q787" t="inlineStr">
        <is>
          <t>auto_pipeline;review_png_green</t>
        </is>
      </c>
      <c r="R787" t="inlineStr">
        <is>
          <t>样品18</t>
        </is>
      </c>
    </row>
    <row r="788">
      <c r="A788" t="n">
        <v>787</v>
      </c>
      <c r="B788" t="inlineStr">
        <is>
          <t>18 (8).tif</t>
        </is>
      </c>
      <c r="C788" t="inlineStr">
        <is>
          <t>18(8)-V04</t>
        </is>
      </c>
      <c r="D788" t="n">
        <v>4</v>
      </c>
      <c r="E788" t="inlineStr">
        <is>
          <t>primary</t>
        </is>
      </c>
      <c r="F788" t="n">
        <v>398.7948960302458</v>
      </c>
      <c r="G788">
        <f>2*SQRT(F788/PI())</f>
        <v/>
      </c>
      <c r="H788" t="n">
        <v>88.06953002577242</v>
      </c>
      <c r="I788" t="n">
        <v>760</v>
      </c>
      <c r="J788" t="n">
        <v>208</v>
      </c>
      <c r="K788" t="n">
        <v>390.8189981096408</v>
      </c>
      <c r="L788" t="n">
        <v>406.7707939508507</v>
      </c>
      <c r="M788">
        <f>2*SQRT(K788/PI())</f>
        <v/>
      </c>
      <c r="N788">
        <f>2*SQRT(L788/PI())</f>
        <v/>
      </c>
      <c r="P788" t="inlineStr">
        <is>
          <t>是</t>
        </is>
      </c>
      <c r="Q788" t="inlineStr">
        <is>
          <t>auto_pipeline;review_png_green</t>
        </is>
      </c>
      <c r="R788" t="inlineStr">
        <is>
          <t>样品18</t>
        </is>
      </c>
    </row>
    <row r="789">
      <c r="A789" t="n">
        <v>788</v>
      </c>
      <c r="B789" t="inlineStr">
        <is>
          <t>18 (8).tif</t>
        </is>
      </c>
      <c r="C789" t="inlineStr">
        <is>
          <t>18(8)-V05</t>
        </is>
      </c>
      <c r="D789" t="n">
        <v>5</v>
      </c>
      <c r="E789" t="inlineStr">
        <is>
          <t>primary</t>
        </is>
      </c>
      <c r="F789" t="n">
        <v>115.6899810964083</v>
      </c>
      <c r="G789">
        <f>2*SQRT(F789/PI())</f>
        <v/>
      </c>
      <c r="H789" t="n">
        <v>43.76915076504583</v>
      </c>
      <c r="I789" t="n">
        <v>600</v>
      </c>
      <c r="J789" t="n">
        <v>564</v>
      </c>
      <c r="K789" t="n">
        <v>113.3761814744801</v>
      </c>
      <c r="L789" t="n">
        <v>118.0037807183365</v>
      </c>
      <c r="M789">
        <f>2*SQRT(K789/PI())</f>
        <v/>
      </c>
      <c r="N789">
        <f>2*SQRT(L789/PI())</f>
        <v/>
      </c>
      <c r="P789" t="inlineStr">
        <is>
          <t>是</t>
        </is>
      </c>
      <c r="Q789" t="inlineStr">
        <is>
          <t>auto_pipeline;review_png_green</t>
        </is>
      </c>
      <c r="R789" t="inlineStr">
        <is>
          <t>样品18</t>
        </is>
      </c>
    </row>
    <row r="790">
      <c r="A790" t="n">
        <v>789</v>
      </c>
      <c r="B790" t="inlineStr">
        <is>
          <t>18 (9).tif</t>
        </is>
      </c>
      <c r="C790" t="inlineStr">
        <is>
          <t>18(9)-V01</t>
        </is>
      </c>
      <c r="D790" t="n">
        <v>1</v>
      </c>
      <c r="E790" t="inlineStr">
        <is>
          <t>primary</t>
        </is>
      </c>
      <c r="F790" t="n">
        <v>541.5879017013233</v>
      </c>
      <c r="G790">
        <f>2*SQRT(F790/PI())</f>
        <v/>
      </c>
      <c r="H790" t="n">
        <v>87.13441791741744</v>
      </c>
      <c r="I790" t="n">
        <v>106</v>
      </c>
      <c r="J790" t="n">
        <v>125</v>
      </c>
      <c r="K790" t="n">
        <v>530.7561436672968</v>
      </c>
      <c r="L790" t="n">
        <v>552.4196597353498</v>
      </c>
      <c r="M790">
        <f>2*SQRT(K790/PI())</f>
        <v/>
      </c>
      <c r="N790">
        <f>2*SQRT(L790/PI())</f>
        <v/>
      </c>
      <c r="O790" t="inlineStr">
        <is>
          <t>18(9)-P01</t>
        </is>
      </c>
      <c r="P790" t="inlineStr">
        <is>
          <t>是</t>
        </is>
      </c>
      <c r="Q790" t="inlineStr">
        <is>
          <t>auto_pipeline;review_png_green</t>
        </is>
      </c>
      <c r="R790" t="inlineStr">
        <is>
          <t>样品18</t>
        </is>
      </c>
    </row>
    <row r="791">
      <c r="A791" t="n">
        <v>790</v>
      </c>
      <c r="B791" t="inlineStr">
        <is>
          <t>18 (9).tif</t>
        </is>
      </c>
      <c r="C791" t="inlineStr">
        <is>
          <t>18(9)-V02</t>
        </is>
      </c>
      <c r="D791" t="n">
        <v>2</v>
      </c>
      <c r="E791" t="inlineStr">
        <is>
          <t>primary</t>
        </is>
      </c>
      <c r="F791" t="n">
        <v>406.0964083175804</v>
      </c>
      <c r="G791">
        <f>2*SQRT(F791/PI())</f>
        <v/>
      </c>
      <c r="H791" t="n">
        <v>75.76827209928761</v>
      </c>
      <c r="I791" t="n">
        <v>566</v>
      </c>
      <c r="J791" t="n">
        <v>318</v>
      </c>
      <c r="K791" t="n">
        <v>397.9744801512288</v>
      </c>
      <c r="L791" t="n">
        <v>414.218336483932</v>
      </c>
      <c r="M791">
        <f>2*SQRT(K791/PI())</f>
        <v/>
      </c>
      <c r="N791">
        <f>2*SQRT(L791/PI())</f>
        <v/>
      </c>
      <c r="O791" t="inlineStr">
        <is>
          <t>18(9)-P02</t>
        </is>
      </c>
      <c r="P791" t="inlineStr">
        <is>
          <t>是</t>
        </is>
      </c>
      <c r="Q791" t="inlineStr">
        <is>
          <t>auto_pipeline;review_png_green</t>
        </is>
      </c>
      <c r="R791" t="inlineStr">
        <is>
          <t>样品18</t>
        </is>
      </c>
    </row>
    <row r="792">
      <c r="A792" t="n">
        <v>791</v>
      </c>
      <c r="B792" t="inlineStr">
        <is>
          <t>18 (9).tif</t>
        </is>
      </c>
      <c r="C792" t="inlineStr">
        <is>
          <t>18(9)-V03</t>
        </is>
      </c>
      <c r="D792" t="n">
        <v>3</v>
      </c>
      <c r="E792" t="inlineStr">
        <is>
          <t>primary</t>
        </is>
      </c>
      <c r="F792" t="n">
        <v>373.5586011342155</v>
      </c>
      <c r="G792">
        <f>2*SQRT(F792/PI())</f>
        <v/>
      </c>
      <c r="H792" t="n">
        <v>77.38005765106367</v>
      </c>
      <c r="I792" t="n">
        <v>236</v>
      </c>
      <c r="J792" t="n">
        <v>566</v>
      </c>
      <c r="K792" t="n">
        <v>366.0874291115312</v>
      </c>
      <c r="L792" t="n">
        <v>381.0297731568998</v>
      </c>
      <c r="M792">
        <f>2*SQRT(K792/PI())</f>
        <v/>
      </c>
      <c r="N792">
        <f>2*SQRT(L792/PI())</f>
        <v/>
      </c>
      <c r="P792" t="inlineStr">
        <is>
          <t>是</t>
        </is>
      </c>
      <c r="Q792" t="inlineStr">
        <is>
          <t>auto_pipeline;review_png_green</t>
        </is>
      </c>
      <c r="R792" t="inlineStr">
        <is>
          <t>样品18</t>
        </is>
      </c>
    </row>
    <row r="793">
      <c r="A793" t="n">
        <v>792</v>
      </c>
      <c r="B793" t="inlineStr">
        <is>
          <t>18 (9).tif</t>
        </is>
      </c>
      <c r="C793" t="inlineStr">
        <is>
          <t>18(9)-V04</t>
        </is>
      </c>
      <c r="D793" t="n">
        <v>4</v>
      </c>
      <c r="E793" t="inlineStr">
        <is>
          <t>primary</t>
        </is>
      </c>
      <c r="F793" t="n">
        <v>322.9678638941399</v>
      </c>
      <c r="G793">
        <f>2*SQRT(F793/PI())</f>
        <v/>
      </c>
      <c r="H793" t="n">
        <v>67.98588307007499</v>
      </c>
      <c r="I793" t="n">
        <v>235</v>
      </c>
      <c r="J793" t="n">
        <v>339</v>
      </c>
      <c r="K793" t="n">
        <v>316.5085066162571</v>
      </c>
      <c r="L793" t="n">
        <v>329.4272211720227</v>
      </c>
      <c r="M793">
        <f>2*SQRT(K793/PI())</f>
        <v/>
      </c>
      <c r="N793">
        <f>2*SQRT(L793/PI())</f>
        <v/>
      </c>
      <c r="P793" t="inlineStr">
        <is>
          <t>是</t>
        </is>
      </c>
      <c r="Q793" t="inlineStr">
        <is>
          <t>auto_pipeline;review_png_green</t>
        </is>
      </c>
      <c r="R793" t="inlineStr">
        <is>
          <t>样品18</t>
        </is>
      </c>
    </row>
    <row r="794">
      <c r="A794" t="n">
        <v>793</v>
      </c>
      <c r="B794" t="inlineStr">
        <is>
          <t>18 (9).tif</t>
        </is>
      </c>
      <c r="C794" t="inlineStr">
        <is>
          <t>18(9)-V05</t>
        </is>
      </c>
      <c r="D794" t="n">
        <v>5</v>
      </c>
      <c r="E794" t="inlineStr">
        <is>
          <t>primary</t>
        </is>
      </c>
      <c r="F794" t="n">
        <v>294.5179584120983</v>
      </c>
      <c r="G794">
        <f>2*SQRT(F794/PI())</f>
        <v/>
      </c>
      <c r="H794" t="n">
        <v>70.3398889562358</v>
      </c>
      <c r="I794" t="n">
        <v>202</v>
      </c>
      <c r="J794" t="n">
        <v>63</v>
      </c>
      <c r="K794" t="n">
        <v>288.6275992438564</v>
      </c>
      <c r="L794" t="n">
        <v>300.4083175803403</v>
      </c>
      <c r="M794">
        <f>2*SQRT(K794/PI())</f>
        <v/>
      </c>
      <c r="N794">
        <f>2*SQRT(L794/PI())</f>
        <v/>
      </c>
      <c r="O794" t="inlineStr">
        <is>
          <t>18(9)-P01</t>
        </is>
      </c>
      <c r="P794" t="inlineStr">
        <is>
          <t>是</t>
        </is>
      </c>
      <c r="Q794" t="inlineStr">
        <is>
          <t>auto_pipeline;review_png_green</t>
        </is>
      </c>
      <c r="R794" t="inlineStr">
        <is>
          <t>样品18</t>
        </is>
      </c>
    </row>
    <row r="795">
      <c r="A795" t="n">
        <v>794</v>
      </c>
      <c r="B795" t="inlineStr">
        <is>
          <t>18 (9).tif</t>
        </is>
      </c>
      <c r="C795" t="inlineStr">
        <is>
          <t>18(9)-V06</t>
        </is>
      </c>
      <c r="D795" t="n">
        <v>6</v>
      </c>
      <c r="E795" t="inlineStr">
        <is>
          <t>primary</t>
        </is>
      </c>
      <c r="F795" t="n">
        <v>285.3260869565217</v>
      </c>
      <c r="G795">
        <f>2*SQRT(F795/PI())</f>
        <v/>
      </c>
      <c r="H795" t="n">
        <v>64.52947116416433</v>
      </c>
      <c r="I795" t="n">
        <v>463</v>
      </c>
      <c r="J795" t="n">
        <v>395</v>
      </c>
      <c r="K795" t="n">
        <v>279.6195652173913</v>
      </c>
      <c r="L795" t="n">
        <v>291.0326086956522</v>
      </c>
      <c r="M795">
        <f>2*SQRT(K795/PI())</f>
        <v/>
      </c>
      <c r="N795">
        <f>2*SQRT(L795/PI())</f>
        <v/>
      </c>
      <c r="O795" t="inlineStr">
        <is>
          <t>18(9)-P02</t>
        </is>
      </c>
      <c r="P795" t="inlineStr">
        <is>
          <t>是</t>
        </is>
      </c>
      <c r="Q795" t="inlineStr">
        <is>
          <t>auto_pipeline;review_png_green</t>
        </is>
      </c>
      <c r="R795" t="inlineStr">
        <is>
          <t>样品18</t>
        </is>
      </c>
    </row>
    <row r="796">
      <c r="A796" t="n">
        <v>795</v>
      </c>
      <c r="B796" t="inlineStr">
        <is>
          <t>18 (10).tif</t>
        </is>
      </c>
      <c r="C796" t="inlineStr">
        <is>
          <t>18(10)-V01</t>
        </is>
      </c>
      <c r="D796" t="n">
        <v>1</v>
      </c>
      <c r="E796" t="inlineStr">
        <is>
          <t>primary</t>
        </is>
      </c>
      <c r="F796" t="n">
        <v>634.3336483931947</v>
      </c>
      <c r="G796">
        <f>2*SQRT(F796/PI())</f>
        <v/>
      </c>
      <c r="H796" t="n">
        <v>96.88877818377121</v>
      </c>
      <c r="I796" t="n">
        <v>548</v>
      </c>
      <c r="J796" t="n">
        <v>292</v>
      </c>
      <c r="K796" t="n">
        <v>621.6469754253308</v>
      </c>
      <c r="L796" t="n">
        <v>647.0203213610587</v>
      </c>
      <c r="M796">
        <f>2*SQRT(K796/PI())</f>
        <v/>
      </c>
      <c r="N796">
        <f>2*SQRT(L796/PI())</f>
        <v/>
      </c>
      <c r="O796" t="inlineStr">
        <is>
          <t>18(10)-P01</t>
        </is>
      </c>
      <c r="P796" t="inlineStr">
        <is>
          <t>是</t>
        </is>
      </c>
      <c r="Q796" t="inlineStr">
        <is>
          <t>auto_pipeline;review_png_green</t>
        </is>
      </c>
      <c r="R796" t="inlineStr">
        <is>
          <t>样品18</t>
        </is>
      </c>
    </row>
    <row r="797">
      <c r="A797" t="n">
        <v>796</v>
      </c>
      <c r="B797" t="inlineStr">
        <is>
          <t>18 (10).tif</t>
        </is>
      </c>
      <c r="C797" t="inlineStr">
        <is>
          <t>18(10)-V02</t>
        </is>
      </c>
      <c r="D797" t="n">
        <v>2</v>
      </c>
      <c r="E797" t="inlineStr">
        <is>
          <t>primary</t>
        </is>
      </c>
      <c r="F797" t="n">
        <v>400.7561436672968</v>
      </c>
      <c r="G797">
        <f>2*SQRT(F797/PI())</f>
        <v/>
      </c>
      <c r="H797" t="n">
        <v>75.76827209928761</v>
      </c>
      <c r="I797" t="n">
        <v>435</v>
      </c>
      <c r="J797" t="n">
        <v>414</v>
      </c>
      <c r="K797" t="n">
        <v>392.7410207939508</v>
      </c>
      <c r="L797" t="n">
        <v>408.7712665406427</v>
      </c>
      <c r="M797">
        <f>2*SQRT(K797/PI())</f>
        <v/>
      </c>
      <c r="N797">
        <f>2*SQRT(L797/PI())</f>
        <v/>
      </c>
      <c r="O797" t="inlineStr">
        <is>
          <t>18(10)-P01</t>
        </is>
      </c>
      <c r="P797" t="inlineStr">
        <is>
          <t>是</t>
        </is>
      </c>
      <c r="Q797" t="inlineStr">
        <is>
          <t>auto_pipeline;review_png_green</t>
        </is>
      </c>
      <c r="R797" t="inlineStr">
        <is>
          <t>样品18</t>
        </is>
      </c>
    </row>
    <row r="798">
      <c r="A798" t="n">
        <v>797</v>
      </c>
      <c r="B798" t="inlineStr">
        <is>
          <t>19 (1).tif</t>
        </is>
      </c>
      <c r="C798" t="inlineStr">
        <is>
          <t>19(1)-V01</t>
        </is>
      </c>
      <c r="D798" t="n">
        <v>1</v>
      </c>
      <c r="E798" t="inlineStr">
        <is>
          <t>primary</t>
        </is>
      </c>
      <c r="F798" t="n">
        <v>865.1937618147448</v>
      </c>
      <c r="G798">
        <f>2*SQRT(F798/PI())</f>
        <v/>
      </c>
      <c r="H798" t="n">
        <v>110.5034339687099</v>
      </c>
      <c r="I798" t="n">
        <v>460</v>
      </c>
      <c r="J798" t="n">
        <v>318</v>
      </c>
      <c r="K798" t="n">
        <v>847.8898865784499</v>
      </c>
      <c r="L798" t="n">
        <v>882.4976370510396</v>
      </c>
      <c r="M798">
        <f>2*SQRT(K798/PI())</f>
        <v/>
      </c>
      <c r="N798">
        <f>2*SQRT(L798/PI())</f>
        <v/>
      </c>
      <c r="P798" t="inlineStr">
        <is>
          <t>是</t>
        </is>
      </c>
      <c r="Q798" t="inlineStr">
        <is>
          <t>auto_pipeline;review_png_green</t>
        </is>
      </c>
      <c r="R798" t="inlineStr">
        <is>
          <t>样品19</t>
        </is>
      </c>
    </row>
    <row r="799">
      <c r="A799" t="n">
        <v>798</v>
      </c>
      <c r="B799" t="inlineStr">
        <is>
          <t>19 (1).tif</t>
        </is>
      </c>
      <c r="C799" t="inlineStr">
        <is>
          <t>19(1)-V02</t>
        </is>
      </c>
      <c r="D799" t="n">
        <v>2</v>
      </c>
      <c r="E799" t="inlineStr">
        <is>
          <t>primary</t>
        </is>
      </c>
      <c r="F799" t="n">
        <v>570.179584120983</v>
      </c>
      <c r="G799">
        <f>2*SQRT(F799/PI())</f>
        <v/>
      </c>
      <c r="H799" t="n">
        <v>89.23373403756514</v>
      </c>
      <c r="I799" t="n">
        <v>594</v>
      </c>
      <c r="J799" t="n">
        <v>406</v>
      </c>
      <c r="K799" t="n">
        <v>558.7759924385633</v>
      </c>
      <c r="L799" t="n">
        <v>581.5831758034027</v>
      </c>
      <c r="M799">
        <f>2*SQRT(K799/PI())</f>
        <v/>
      </c>
      <c r="N799">
        <f>2*SQRT(L799/PI())</f>
        <v/>
      </c>
      <c r="P799" t="inlineStr">
        <is>
          <t>是</t>
        </is>
      </c>
      <c r="Q799" t="inlineStr">
        <is>
          <t>auto_pipeline;review_png_green</t>
        </is>
      </c>
      <c r="R799" t="inlineStr">
        <is>
          <t>样品19</t>
        </is>
      </c>
    </row>
    <row r="800">
      <c r="A800" t="n">
        <v>799</v>
      </c>
      <c r="B800" t="inlineStr">
        <is>
          <t>19 (1).tif</t>
        </is>
      </c>
      <c r="C800" t="inlineStr">
        <is>
          <t>19(1)-V03</t>
        </is>
      </c>
      <c r="D800" t="n">
        <v>3</v>
      </c>
      <c r="E800" t="inlineStr">
        <is>
          <t>primary</t>
        </is>
      </c>
      <c r="F800" t="n">
        <v>282.2306238185255</v>
      </c>
      <c r="G800">
        <f>2*SQRT(F800/PI())</f>
        <v/>
      </c>
      <c r="H800" t="n">
        <v>63.89274674913158</v>
      </c>
      <c r="I800" t="n">
        <v>240</v>
      </c>
      <c r="J800" t="n">
        <v>156</v>
      </c>
      <c r="K800" t="n">
        <v>276.586011342155</v>
      </c>
      <c r="L800" t="n">
        <v>287.8752362948961</v>
      </c>
      <c r="M800">
        <f>2*SQRT(K800/PI())</f>
        <v/>
      </c>
      <c r="N800">
        <f>2*SQRT(L800/PI())</f>
        <v/>
      </c>
      <c r="P800" t="inlineStr">
        <is>
          <t>是</t>
        </is>
      </c>
      <c r="Q800" t="inlineStr">
        <is>
          <t>auto_pipeline;review_png_green</t>
        </is>
      </c>
      <c r="R800" t="inlineStr">
        <is>
          <t>样品19</t>
        </is>
      </c>
    </row>
    <row r="801">
      <c r="A801" t="n">
        <v>800</v>
      </c>
      <c r="B801" t="inlineStr">
        <is>
          <t>19 (1).tif</t>
        </is>
      </c>
      <c r="C801" t="inlineStr">
        <is>
          <t>19(1)-V04</t>
        </is>
      </c>
      <c r="D801" t="n">
        <v>4</v>
      </c>
      <c r="E801" t="inlineStr">
        <is>
          <t>primary</t>
        </is>
      </c>
      <c r="F801" t="n">
        <v>269.3525519848772</v>
      </c>
      <c r="G801">
        <f>2*SQRT(F801/PI())</f>
        <v/>
      </c>
      <c r="H801" t="n">
        <v>62.43015504401663</v>
      </c>
      <c r="I801" t="n">
        <v>129</v>
      </c>
      <c r="J801" t="n">
        <v>68</v>
      </c>
      <c r="K801" t="n">
        <v>263.9655009451796</v>
      </c>
      <c r="L801" t="n">
        <v>274.7396030245747</v>
      </c>
      <c r="M801">
        <f>2*SQRT(K801/PI())</f>
        <v/>
      </c>
      <c r="N801">
        <f>2*SQRT(L801/PI())</f>
        <v/>
      </c>
      <c r="P801" t="inlineStr">
        <is>
          <t>是</t>
        </is>
      </c>
      <c r="Q801" t="inlineStr">
        <is>
          <t>auto_pipeline;review_png_green</t>
        </is>
      </c>
      <c r="R801" t="inlineStr">
        <is>
          <t>样品19</t>
        </is>
      </c>
    </row>
    <row r="802">
      <c r="A802" t="n">
        <v>801</v>
      </c>
      <c r="B802" t="inlineStr">
        <is>
          <t>19 (1).tif</t>
        </is>
      </c>
      <c r="C802" t="inlineStr">
        <is>
          <t>19(1)-V05</t>
        </is>
      </c>
      <c r="D802" t="n">
        <v>5</v>
      </c>
      <c r="E802" t="inlineStr">
        <is>
          <t>primary</t>
        </is>
      </c>
      <c r="F802" t="n">
        <v>143.8090737240076</v>
      </c>
      <c r="G802">
        <f>2*SQRT(F802/PI())</f>
        <v/>
      </c>
      <c r="H802" t="n">
        <v>47.96778300534124</v>
      </c>
      <c r="I802" t="n">
        <v>683</v>
      </c>
      <c r="J802" t="n">
        <v>480</v>
      </c>
      <c r="K802" t="n">
        <v>140.9328922495274</v>
      </c>
      <c r="L802" t="n">
        <v>146.6852551984877</v>
      </c>
      <c r="M802">
        <f>2*SQRT(K802/PI())</f>
        <v/>
      </c>
      <c r="N802">
        <f>2*SQRT(L802/PI())</f>
        <v/>
      </c>
      <c r="P802" t="inlineStr">
        <is>
          <t>是</t>
        </is>
      </c>
      <c r="Q802" t="inlineStr">
        <is>
          <t>auto_pipeline;review_png_green</t>
        </is>
      </c>
      <c r="R802" t="inlineStr">
        <is>
          <t>样品19</t>
        </is>
      </c>
    </row>
    <row r="803">
      <c r="A803" t="n">
        <v>802</v>
      </c>
      <c r="B803" t="inlineStr">
        <is>
          <t>19 (1).tif</t>
        </is>
      </c>
      <c r="C803" t="inlineStr">
        <is>
          <t>19(1)-V06</t>
        </is>
      </c>
      <c r="D803" t="n">
        <v>6</v>
      </c>
      <c r="E803" t="inlineStr">
        <is>
          <t>primary</t>
        </is>
      </c>
      <c r="F803" t="n">
        <v>124.8345935727788</v>
      </c>
      <c r="G803">
        <f>2*SQRT(F803/PI())</f>
        <v/>
      </c>
      <c r="H803" t="n">
        <v>44.97705270414767</v>
      </c>
      <c r="I803" t="n">
        <v>826</v>
      </c>
      <c r="J803" t="n">
        <v>591</v>
      </c>
      <c r="K803" t="n">
        <v>122.3379017013232</v>
      </c>
      <c r="L803" t="n">
        <v>127.3312854442344</v>
      </c>
      <c r="M803">
        <f>2*SQRT(K803/PI())</f>
        <v/>
      </c>
      <c r="N803">
        <f>2*SQRT(L803/PI())</f>
        <v/>
      </c>
      <c r="P803" t="inlineStr">
        <is>
          <t>是</t>
        </is>
      </c>
      <c r="Q803" t="inlineStr">
        <is>
          <t>auto_pipeline;review_png_green</t>
        </is>
      </c>
      <c r="R803" t="inlineStr">
        <is>
          <t>样品19</t>
        </is>
      </c>
    </row>
    <row r="804">
      <c r="A804" t="n">
        <v>803</v>
      </c>
      <c r="B804" t="inlineStr">
        <is>
          <t>19 (2).tif</t>
        </is>
      </c>
      <c r="C804" t="inlineStr">
        <is>
          <t>19(2)-V01</t>
        </is>
      </c>
      <c r="D804" t="n">
        <v>1</v>
      </c>
      <c r="E804" t="inlineStr">
        <is>
          <t>primary</t>
        </is>
      </c>
      <c r="F804" t="n">
        <v>644.7542533081286</v>
      </c>
      <c r="G804">
        <f>2*SQRT(F804/PI())</f>
        <v/>
      </c>
      <c r="H804" t="n">
        <v>95.17149671264316</v>
      </c>
      <c r="I804" t="n">
        <v>514</v>
      </c>
      <c r="J804" t="n">
        <v>309</v>
      </c>
      <c r="K804" t="n">
        <v>631.859168241966</v>
      </c>
      <c r="L804" t="n">
        <v>657.6493383742911</v>
      </c>
      <c r="M804">
        <f>2*SQRT(K804/PI())</f>
        <v/>
      </c>
      <c r="N804">
        <f>2*SQRT(L804/PI())</f>
        <v/>
      </c>
      <c r="P804" t="inlineStr">
        <is>
          <t>是</t>
        </is>
      </c>
      <c r="Q804" t="inlineStr">
        <is>
          <t>auto_pipeline;review_png_green</t>
        </is>
      </c>
      <c r="R804" t="inlineStr">
        <is>
          <t>样品19</t>
        </is>
      </c>
    </row>
    <row r="805">
      <c r="A805" t="n">
        <v>804</v>
      </c>
      <c r="B805" t="inlineStr">
        <is>
          <t>19 (2).tif</t>
        </is>
      </c>
      <c r="C805" t="inlineStr">
        <is>
          <t>19(2)-V02</t>
        </is>
      </c>
      <c r="D805" t="n">
        <v>2</v>
      </c>
      <c r="E805" t="inlineStr">
        <is>
          <t>primary</t>
        </is>
      </c>
      <c r="F805" t="n">
        <v>584.1209829867674</v>
      </c>
      <c r="G805">
        <f>2*SQRT(F805/PI())</f>
        <v/>
      </c>
      <c r="H805" t="n">
        <v>91.22755423836085</v>
      </c>
      <c r="I805" t="n">
        <v>858</v>
      </c>
      <c r="J805" t="n">
        <v>247</v>
      </c>
      <c r="K805" t="n">
        <v>572.4385633270321</v>
      </c>
      <c r="L805" t="n">
        <v>595.8034026465028</v>
      </c>
      <c r="M805">
        <f>2*SQRT(K805/PI())</f>
        <v/>
      </c>
      <c r="N805">
        <f>2*SQRT(L805/PI())</f>
        <v/>
      </c>
      <c r="P805" t="inlineStr">
        <is>
          <t>是</t>
        </is>
      </c>
      <c r="Q805" t="inlineStr">
        <is>
          <t>auto_pipeline;review_png_green</t>
        </is>
      </c>
      <c r="R805" t="inlineStr">
        <is>
          <t>样品19</t>
        </is>
      </c>
    </row>
    <row r="806">
      <c r="A806" t="n">
        <v>805</v>
      </c>
      <c r="B806" t="inlineStr">
        <is>
          <t>19 (2).tif</t>
        </is>
      </c>
      <c r="C806" t="inlineStr">
        <is>
          <t>19(2)-V03</t>
        </is>
      </c>
      <c r="D806" t="n">
        <v>3</v>
      </c>
      <c r="E806" t="inlineStr">
        <is>
          <t>primary</t>
        </is>
      </c>
      <c r="F806" t="n">
        <v>537.3818525519849</v>
      </c>
      <c r="G806">
        <f>2*SQRT(F806/PI())</f>
        <v/>
      </c>
      <c r="H806" t="n">
        <v>87.38910768343054</v>
      </c>
      <c r="I806" t="n">
        <v>511</v>
      </c>
      <c r="J806" t="n">
        <v>457</v>
      </c>
      <c r="K806" t="n">
        <v>526.6342155009452</v>
      </c>
      <c r="L806" t="n">
        <v>548.1294896030247</v>
      </c>
      <c r="M806">
        <f>2*SQRT(K806/PI())</f>
        <v/>
      </c>
      <c r="N806">
        <f>2*SQRT(L806/PI())</f>
        <v/>
      </c>
      <c r="P806" t="inlineStr">
        <is>
          <t>是</t>
        </is>
      </c>
      <c r="Q806" t="inlineStr">
        <is>
          <t>auto_pipeline;review_png_green</t>
        </is>
      </c>
      <c r="R806" t="inlineStr">
        <is>
          <t>样品19</t>
        </is>
      </c>
    </row>
    <row r="807">
      <c r="A807" t="n">
        <v>806</v>
      </c>
      <c r="B807" t="inlineStr">
        <is>
          <t>19 (2).tif</t>
        </is>
      </c>
      <c r="C807" t="inlineStr">
        <is>
          <t>19(2)-V04</t>
        </is>
      </c>
      <c r="D807" t="n">
        <v>4</v>
      </c>
      <c r="E807" t="inlineStr">
        <is>
          <t>primary</t>
        </is>
      </c>
      <c r="F807" t="n">
        <v>399.5982986767486</v>
      </c>
      <c r="G807">
        <f>2*SQRT(F807/PI())</f>
        <v/>
      </c>
      <c r="H807" t="n">
        <v>75.02605176490286</v>
      </c>
      <c r="I807" t="n">
        <v>145</v>
      </c>
      <c r="J807" t="n">
        <v>295</v>
      </c>
      <c r="K807" t="n">
        <v>391.6063327032136</v>
      </c>
      <c r="L807" t="n">
        <v>407.5902646502836</v>
      </c>
      <c r="M807">
        <f>2*SQRT(K807/PI())</f>
        <v/>
      </c>
      <c r="N807">
        <f>2*SQRT(L807/PI())</f>
        <v/>
      </c>
      <c r="P807" t="inlineStr">
        <is>
          <t>是</t>
        </is>
      </c>
      <c r="Q807" t="inlineStr">
        <is>
          <t>auto_pipeline;review_png_green</t>
        </is>
      </c>
      <c r="R807" t="inlineStr">
        <is>
          <t>样品19</t>
        </is>
      </c>
    </row>
    <row r="808">
      <c r="A808" t="n">
        <v>807</v>
      </c>
      <c r="B808" t="inlineStr">
        <is>
          <t>19 (2).tif</t>
        </is>
      </c>
      <c r="C808" t="inlineStr">
        <is>
          <t>19(2)-V05</t>
        </is>
      </c>
      <c r="D808" t="n">
        <v>5</v>
      </c>
      <c r="E808" t="inlineStr">
        <is>
          <t>primary</t>
        </is>
      </c>
      <c r="F808" t="n">
        <v>131.0964083175803</v>
      </c>
      <c r="G808">
        <f>2*SQRT(F808/PI())</f>
        <v/>
      </c>
      <c r="H808" t="n">
        <v>50.62017658482427</v>
      </c>
      <c r="I808" t="n">
        <v>376</v>
      </c>
      <c r="J808" t="n">
        <v>592</v>
      </c>
      <c r="K808" t="n">
        <v>128.4744801512287</v>
      </c>
      <c r="L808" t="n">
        <v>133.7183364839319</v>
      </c>
      <c r="M808">
        <f>2*SQRT(K808/PI())</f>
        <v/>
      </c>
      <c r="N808">
        <f>2*SQRT(L808/PI())</f>
        <v/>
      </c>
      <c r="P808" t="inlineStr">
        <is>
          <t>是</t>
        </is>
      </c>
      <c r="Q808" t="inlineStr">
        <is>
          <t>auto_pipeline;review_png_green</t>
        </is>
      </c>
      <c r="R808" t="inlineStr">
        <is>
          <t>样品19</t>
        </is>
      </c>
    </row>
    <row r="809">
      <c r="A809" t="n">
        <v>808</v>
      </c>
      <c r="B809" t="inlineStr">
        <is>
          <t>19 (3).tif</t>
        </is>
      </c>
      <c r="C809" t="inlineStr">
        <is>
          <t>19(3)-V01</t>
        </is>
      </c>
      <c r="D809" t="n">
        <v>1</v>
      </c>
      <c r="E809" t="inlineStr">
        <is>
          <t>primary</t>
        </is>
      </c>
      <c r="F809" t="n">
        <v>504.2769376181474</v>
      </c>
      <c r="G809">
        <f>2*SQRT(F809/PI())</f>
        <v/>
      </c>
      <c r="H809" t="n">
        <v>85.77732213165449</v>
      </c>
      <c r="I809" t="n">
        <v>509</v>
      </c>
      <c r="J809" t="n">
        <v>462</v>
      </c>
      <c r="K809" t="n">
        <v>494.1913988657845</v>
      </c>
      <c r="L809" t="n">
        <v>514.3624763705104</v>
      </c>
      <c r="M809">
        <f>2*SQRT(K809/PI())</f>
        <v/>
      </c>
      <c r="N809">
        <f>2*SQRT(L809/PI())</f>
        <v/>
      </c>
      <c r="O809" t="inlineStr">
        <is>
          <t>19(3)-P01</t>
        </is>
      </c>
      <c r="P809" t="inlineStr">
        <is>
          <t>是</t>
        </is>
      </c>
      <c r="Q809" t="inlineStr">
        <is>
          <t>auto_pipeline;review_png_green</t>
        </is>
      </c>
      <c r="R809" t="inlineStr">
        <is>
          <t>样品19</t>
        </is>
      </c>
    </row>
    <row r="810">
      <c r="A810" t="n">
        <v>809</v>
      </c>
      <c r="B810" t="inlineStr">
        <is>
          <t>19 (3).tif</t>
        </is>
      </c>
      <c r="C810" t="inlineStr">
        <is>
          <t>19(3)-V02</t>
        </is>
      </c>
      <c r="D810" t="n">
        <v>2</v>
      </c>
      <c r="E810" t="inlineStr">
        <is>
          <t>primary</t>
        </is>
      </c>
      <c r="F810" t="n">
        <v>311.578449905482</v>
      </c>
      <c r="G810">
        <f>2*SQRT(F810/PI())</f>
        <v/>
      </c>
      <c r="H810" t="n">
        <v>66.50144240130548</v>
      </c>
      <c r="I810" t="n">
        <v>512</v>
      </c>
      <c r="J810" t="n">
        <v>350</v>
      </c>
      <c r="K810" t="n">
        <v>305.3468809073724</v>
      </c>
      <c r="L810" t="n">
        <v>317.8100189035917</v>
      </c>
      <c r="M810">
        <f>2*SQRT(K810/PI())</f>
        <v/>
      </c>
      <c r="N810">
        <f>2*SQRT(L810/PI())</f>
        <v/>
      </c>
      <c r="O810" t="inlineStr">
        <is>
          <t>19(3)-P01</t>
        </is>
      </c>
      <c r="P810" t="inlineStr">
        <is>
          <t>是</t>
        </is>
      </c>
      <c r="Q810" t="inlineStr">
        <is>
          <t>auto_pipeline;review_png_green</t>
        </is>
      </c>
      <c r="R810" t="inlineStr">
        <is>
          <t>样品19</t>
        </is>
      </c>
    </row>
    <row r="811">
      <c r="A811" t="n">
        <v>810</v>
      </c>
      <c r="B811" t="inlineStr">
        <is>
          <t>19 (3).tif</t>
        </is>
      </c>
      <c r="C811" t="inlineStr">
        <is>
          <t>19(3)-V03</t>
        </is>
      </c>
      <c r="D811" t="n">
        <v>3</v>
      </c>
      <c r="E811" t="inlineStr">
        <is>
          <t>primary</t>
        </is>
      </c>
      <c r="F811" t="n">
        <v>269.4706994328923</v>
      </c>
      <c r="G811">
        <f>2*SQRT(F811/PI())</f>
        <v/>
      </c>
      <c r="H811" t="n">
        <v>62.30281016101008</v>
      </c>
      <c r="I811" t="n">
        <v>932</v>
      </c>
      <c r="J811" t="n">
        <v>82</v>
      </c>
      <c r="K811" t="n">
        <v>264.0812854442344</v>
      </c>
      <c r="L811" t="n">
        <v>274.8601134215501</v>
      </c>
      <c r="M811">
        <f>2*SQRT(K811/PI())</f>
        <v/>
      </c>
      <c r="N811">
        <f>2*SQRT(L811/PI())</f>
        <v/>
      </c>
      <c r="P811" t="inlineStr">
        <is>
          <t>是</t>
        </is>
      </c>
      <c r="Q811" t="inlineStr">
        <is>
          <t>auto_pipeline;review_png_green</t>
        </is>
      </c>
      <c r="R811" t="inlineStr">
        <is>
          <t>样品19</t>
        </is>
      </c>
    </row>
    <row r="812">
      <c r="A812" t="n">
        <v>811</v>
      </c>
      <c r="B812" t="inlineStr">
        <is>
          <t>19 (3).tif</t>
        </is>
      </c>
      <c r="C812" t="inlineStr">
        <is>
          <t>19(3)-V04</t>
        </is>
      </c>
      <c r="D812" t="n">
        <v>4</v>
      </c>
      <c r="E812" t="inlineStr">
        <is>
          <t>primary</t>
        </is>
      </c>
      <c r="F812" t="n">
        <v>119.7069943289225</v>
      </c>
      <c r="G812">
        <f>2*SQRT(F812/PI())</f>
        <v/>
      </c>
      <c r="H812" t="n">
        <v>42.39020601562832</v>
      </c>
      <c r="I812" t="n">
        <v>845</v>
      </c>
      <c r="J812" t="n">
        <v>449</v>
      </c>
      <c r="K812" t="n">
        <v>117.312854442344</v>
      </c>
      <c r="L812" t="n">
        <v>122.1011342155009</v>
      </c>
      <c r="M812">
        <f>2*SQRT(K812/PI())</f>
        <v/>
      </c>
      <c r="N812">
        <f>2*SQRT(L812/PI())</f>
        <v/>
      </c>
      <c r="P812" t="inlineStr">
        <is>
          <t>是</t>
        </is>
      </c>
      <c r="Q812" t="inlineStr">
        <is>
          <t>auto_pipeline;review_png_green</t>
        </is>
      </c>
      <c r="R812" t="inlineStr">
        <is>
          <t>样品19</t>
        </is>
      </c>
    </row>
    <row r="813">
      <c r="A813" t="n">
        <v>812</v>
      </c>
      <c r="B813" t="inlineStr">
        <is>
          <t>19 (3).tif</t>
        </is>
      </c>
      <c r="C813" t="inlineStr">
        <is>
          <t>19(3)-V05</t>
        </is>
      </c>
      <c r="D813" t="n">
        <v>5</v>
      </c>
      <c r="E813" t="inlineStr">
        <is>
          <t>primary</t>
        </is>
      </c>
      <c r="F813" t="n">
        <v>117.6275992438563</v>
      </c>
      <c r="G813">
        <f>2*SQRT(F813/PI())</f>
        <v/>
      </c>
      <c r="H813" t="n">
        <v>42.39020601562832</v>
      </c>
      <c r="I813" t="n">
        <v>933</v>
      </c>
      <c r="J813" t="n">
        <v>172</v>
      </c>
      <c r="K813" t="n">
        <v>115.2750472589792</v>
      </c>
      <c r="L813" t="n">
        <v>119.9801512287335</v>
      </c>
      <c r="M813">
        <f>2*SQRT(K813/PI())</f>
        <v/>
      </c>
      <c r="N813">
        <f>2*SQRT(L813/PI())</f>
        <v/>
      </c>
      <c r="P813" t="inlineStr">
        <is>
          <t>是</t>
        </is>
      </c>
      <c r="Q813" t="inlineStr">
        <is>
          <t>auto_pipeline;review_png_green</t>
        </is>
      </c>
      <c r="R813" t="inlineStr">
        <is>
          <t>样品19</t>
        </is>
      </c>
    </row>
    <row r="814">
      <c r="A814" t="n">
        <v>813</v>
      </c>
      <c r="B814" t="inlineStr">
        <is>
          <t>19 (3).tif</t>
        </is>
      </c>
      <c r="C814" t="inlineStr">
        <is>
          <t>19(3)-V06</t>
        </is>
      </c>
      <c r="D814" t="n">
        <v>6</v>
      </c>
      <c r="E814" t="inlineStr">
        <is>
          <t>primary</t>
        </is>
      </c>
      <c r="F814" t="n">
        <v>104.3478260869565</v>
      </c>
      <c r="G814">
        <f>2*SQRT(F814/PI())</f>
        <v/>
      </c>
      <c r="H814" t="n">
        <v>39.31582875873731</v>
      </c>
      <c r="I814" t="n">
        <v>772</v>
      </c>
      <c r="J814" t="n">
        <v>407</v>
      </c>
      <c r="K814" t="n">
        <v>102.2608695652174</v>
      </c>
      <c r="L814" t="n">
        <v>106.4347826086956</v>
      </c>
      <c r="M814">
        <f>2*SQRT(K814/PI())</f>
        <v/>
      </c>
      <c r="N814">
        <f>2*SQRT(L814/PI())</f>
        <v/>
      </c>
      <c r="P814" t="inlineStr">
        <is>
          <t>是</t>
        </is>
      </c>
      <c r="Q814" t="inlineStr">
        <is>
          <t>auto_pipeline;review_png_green</t>
        </is>
      </c>
      <c r="R814" t="inlineStr">
        <is>
          <t>样品19</t>
        </is>
      </c>
    </row>
    <row r="815">
      <c r="A815" t="n">
        <v>814</v>
      </c>
      <c r="B815" t="inlineStr">
        <is>
          <t>19 (3).tif</t>
        </is>
      </c>
      <c r="C815" t="inlineStr">
        <is>
          <t>19(3)-V07</t>
        </is>
      </c>
      <c r="D815" t="n">
        <v>7</v>
      </c>
      <c r="E815" t="inlineStr">
        <is>
          <t>primary</t>
        </is>
      </c>
      <c r="F815" t="n">
        <v>86.05860113421551</v>
      </c>
      <c r="G815">
        <f>2*SQRT(F815/PI())</f>
        <v/>
      </c>
      <c r="H815" t="n">
        <v>37.6821942433067</v>
      </c>
      <c r="I815" t="n">
        <v>553</v>
      </c>
      <c r="J815" t="n">
        <v>525</v>
      </c>
      <c r="K815" t="n">
        <v>84.33742911153119</v>
      </c>
      <c r="L815" t="n">
        <v>87.77977315689982</v>
      </c>
      <c r="M815">
        <f>2*SQRT(K815/PI())</f>
        <v/>
      </c>
      <c r="N815">
        <f>2*SQRT(L815/PI())</f>
        <v/>
      </c>
      <c r="P815" t="inlineStr">
        <is>
          <t>是</t>
        </is>
      </c>
      <c r="Q815" t="inlineStr">
        <is>
          <t>auto_pipeline;review_png_green</t>
        </is>
      </c>
      <c r="R815" t="inlineStr">
        <is>
          <t>样品19</t>
        </is>
      </c>
    </row>
    <row r="816">
      <c r="A816" t="n">
        <v>815</v>
      </c>
      <c r="B816" t="inlineStr">
        <is>
          <t>19 (4).tif</t>
        </is>
      </c>
      <c r="C816" t="inlineStr">
        <is>
          <t>19(4)-V01</t>
        </is>
      </c>
      <c r="D816" t="n">
        <v>1</v>
      </c>
      <c r="E816" t="inlineStr">
        <is>
          <t>primary</t>
        </is>
      </c>
      <c r="F816" t="n">
        <v>690.1701323251418</v>
      </c>
      <c r="G816">
        <f>2*SQRT(F816/PI())</f>
        <v/>
      </c>
      <c r="H816" t="n">
        <v>98.75525350156038</v>
      </c>
      <c r="I816" t="n">
        <v>111</v>
      </c>
      <c r="J816" t="n">
        <v>442</v>
      </c>
      <c r="K816" t="n">
        <v>676.366729678639</v>
      </c>
      <c r="L816" t="n">
        <v>703.9735349716447</v>
      </c>
      <c r="M816">
        <f>2*SQRT(K816/PI())</f>
        <v/>
      </c>
      <c r="N816">
        <f>2*SQRT(L816/PI())</f>
        <v/>
      </c>
      <c r="O816" t="inlineStr">
        <is>
          <t>19(4)-P01</t>
        </is>
      </c>
      <c r="P816" t="inlineStr">
        <is>
          <t>是</t>
        </is>
      </c>
      <c r="Q816" t="inlineStr">
        <is>
          <t>auto_pipeline;review_png_green</t>
        </is>
      </c>
      <c r="R816" t="inlineStr">
        <is>
          <t>样品19</t>
        </is>
      </c>
    </row>
    <row r="817">
      <c r="A817" t="n">
        <v>816</v>
      </c>
      <c r="B817" t="inlineStr">
        <is>
          <t>19 (4).tif</t>
        </is>
      </c>
      <c r="C817" t="inlineStr">
        <is>
          <t>19(4)-V02</t>
        </is>
      </c>
      <c r="D817" t="n">
        <v>2</v>
      </c>
      <c r="E817" t="inlineStr">
        <is>
          <t>primary</t>
        </is>
      </c>
      <c r="F817" t="n">
        <v>558.6011342155009</v>
      </c>
      <c r="G817">
        <f>2*SQRT(F817/PI())</f>
        <v/>
      </c>
      <c r="H817" t="n">
        <v>88.61885858618695</v>
      </c>
      <c r="I817" t="n">
        <v>455</v>
      </c>
      <c r="J817" t="n">
        <v>441</v>
      </c>
      <c r="K817" t="n">
        <v>547.4291115311909</v>
      </c>
      <c r="L817" t="n">
        <v>569.7731568998109</v>
      </c>
      <c r="M817">
        <f>2*SQRT(K817/PI())</f>
        <v/>
      </c>
      <c r="N817">
        <f>2*SQRT(L817/PI())</f>
        <v/>
      </c>
      <c r="O817" t="inlineStr">
        <is>
          <t>19(4)-P02</t>
        </is>
      </c>
      <c r="P817" t="inlineStr">
        <is>
          <t>是</t>
        </is>
      </c>
      <c r="Q817" t="inlineStr">
        <is>
          <t>auto_pipeline;review_png_green</t>
        </is>
      </c>
      <c r="R817" t="inlineStr">
        <is>
          <t>样品19</t>
        </is>
      </c>
    </row>
    <row r="818">
      <c r="A818" t="n">
        <v>817</v>
      </c>
      <c r="B818" t="inlineStr">
        <is>
          <t>19 (4).tif</t>
        </is>
      </c>
      <c r="C818" t="inlineStr">
        <is>
          <t>19(4)-V03</t>
        </is>
      </c>
      <c r="D818" t="n">
        <v>3</v>
      </c>
      <c r="E818" t="inlineStr">
        <is>
          <t>primary</t>
        </is>
      </c>
      <c r="F818" t="n">
        <v>549.7164461247637</v>
      </c>
      <c r="G818">
        <f>2*SQRT(F818/PI())</f>
        <v/>
      </c>
      <c r="H818" t="n">
        <v>90.25249310161756</v>
      </c>
      <c r="I818" t="n">
        <v>80</v>
      </c>
      <c r="J818" t="n">
        <v>573</v>
      </c>
      <c r="K818" t="n">
        <v>538.7221172022685</v>
      </c>
      <c r="L818" t="n">
        <v>560.7107750472589</v>
      </c>
      <c r="M818">
        <f>2*SQRT(K818/PI())</f>
        <v/>
      </c>
      <c r="N818">
        <f>2*SQRT(L818/PI())</f>
        <v/>
      </c>
      <c r="O818" t="inlineStr">
        <is>
          <t>19(4)-P01</t>
        </is>
      </c>
      <c r="P818" t="inlineStr">
        <is>
          <t>是</t>
        </is>
      </c>
      <c r="Q818" t="inlineStr">
        <is>
          <t>auto_pipeline;review_png_green</t>
        </is>
      </c>
      <c r="R818" t="inlineStr">
        <is>
          <t>样品19</t>
        </is>
      </c>
    </row>
    <row r="819">
      <c r="A819" t="n">
        <v>818</v>
      </c>
      <c r="B819" t="inlineStr">
        <is>
          <t>19 (4).tif</t>
        </is>
      </c>
      <c r="C819" t="inlineStr">
        <is>
          <t>19(4)-V04</t>
        </is>
      </c>
      <c r="D819" t="n">
        <v>4</v>
      </c>
      <c r="E819" t="inlineStr">
        <is>
          <t>primary</t>
        </is>
      </c>
      <c r="F819" t="n">
        <v>525.1890359168242</v>
      </c>
      <c r="G819">
        <f>2*SQRT(F819/PI())</f>
        <v/>
      </c>
      <c r="H819" t="n">
        <v>85.90466701466104</v>
      </c>
      <c r="I819" t="n">
        <v>522</v>
      </c>
      <c r="J819" t="n">
        <v>315</v>
      </c>
      <c r="K819" t="n">
        <v>514.6852551984877</v>
      </c>
      <c r="L819" t="n">
        <v>535.6928166351607</v>
      </c>
      <c r="M819">
        <f>2*SQRT(K819/PI())</f>
        <v/>
      </c>
      <c r="N819">
        <f>2*SQRT(L819/PI())</f>
        <v/>
      </c>
      <c r="O819" t="inlineStr">
        <is>
          <t>19(4)-P02</t>
        </is>
      </c>
      <c r="P819" t="inlineStr">
        <is>
          <t>是</t>
        </is>
      </c>
      <c r="Q819" t="inlineStr">
        <is>
          <t>auto_pipeline;review_png_green</t>
        </is>
      </c>
      <c r="R819" t="inlineStr">
        <is>
          <t>样品19</t>
        </is>
      </c>
    </row>
    <row r="820">
      <c r="A820" t="n">
        <v>819</v>
      </c>
      <c r="B820" t="inlineStr">
        <is>
          <t>19 (4).tif</t>
        </is>
      </c>
      <c r="C820" t="inlineStr">
        <is>
          <t>19(4)-V05</t>
        </is>
      </c>
      <c r="D820" t="n">
        <v>5</v>
      </c>
      <c r="E820" t="inlineStr">
        <is>
          <t>primary</t>
        </is>
      </c>
      <c r="F820" t="n">
        <v>280.9310018903591</v>
      </c>
      <c r="G820">
        <f>2*SQRT(F820/PI())</f>
        <v/>
      </c>
      <c r="H820" t="n">
        <v>62.79034072938173</v>
      </c>
      <c r="I820" t="n">
        <v>843</v>
      </c>
      <c r="J820" t="n">
        <v>282</v>
      </c>
      <c r="K820" t="n">
        <v>275.3123818525519</v>
      </c>
      <c r="L820" t="n">
        <v>286.5496219281663</v>
      </c>
      <c r="M820">
        <f>2*SQRT(K820/PI())</f>
        <v/>
      </c>
      <c r="N820">
        <f>2*SQRT(L820/PI())</f>
        <v/>
      </c>
      <c r="P820" t="inlineStr">
        <is>
          <t>是</t>
        </is>
      </c>
      <c r="Q820" t="inlineStr">
        <is>
          <t>auto_pipeline;review_png_green</t>
        </is>
      </c>
      <c r="R820" t="inlineStr">
        <is>
          <t>样品19</t>
        </is>
      </c>
    </row>
    <row r="821">
      <c r="A821" t="n">
        <v>820</v>
      </c>
      <c r="B821" t="inlineStr">
        <is>
          <t>19 (5).tif</t>
        </is>
      </c>
      <c r="C821" t="inlineStr">
        <is>
          <t>19(5)-V01</t>
        </is>
      </c>
      <c r="D821" t="n">
        <v>1</v>
      </c>
      <c r="E821" t="inlineStr">
        <is>
          <t>primary</t>
        </is>
      </c>
      <c r="F821" t="n">
        <v>770.4158790170133</v>
      </c>
      <c r="G821">
        <f>2*SQRT(F821/PI())</f>
        <v/>
      </c>
      <c r="H821" t="n">
        <v>104.7985120959904</v>
      </c>
      <c r="I821" t="n">
        <v>448</v>
      </c>
      <c r="J821" t="n">
        <v>436</v>
      </c>
      <c r="K821" t="n">
        <v>755.007561436673</v>
      </c>
      <c r="L821" t="n">
        <v>785.8241965973535</v>
      </c>
      <c r="M821">
        <f>2*SQRT(K821/PI())</f>
        <v/>
      </c>
      <c r="N821">
        <f>2*SQRT(L821/PI())</f>
        <v/>
      </c>
      <c r="O821" t="inlineStr">
        <is>
          <t>19(5)-P01</t>
        </is>
      </c>
      <c r="P821" t="inlineStr">
        <is>
          <t>是</t>
        </is>
      </c>
      <c r="Q821" t="inlineStr">
        <is>
          <t>auto_pipeline;review_png_green</t>
        </is>
      </c>
      <c r="R821" t="inlineStr">
        <is>
          <t>样品19</t>
        </is>
      </c>
    </row>
    <row r="822">
      <c r="A822" t="n">
        <v>821</v>
      </c>
      <c r="B822" t="inlineStr">
        <is>
          <t>19 (5).tif</t>
        </is>
      </c>
      <c r="C822" t="inlineStr">
        <is>
          <t>19(5)-V02</t>
        </is>
      </c>
      <c r="D822" t="n">
        <v>2</v>
      </c>
      <c r="E822" t="inlineStr">
        <is>
          <t>primary</t>
        </is>
      </c>
      <c r="F822" t="n">
        <v>472.6843100189036</v>
      </c>
      <c r="G822">
        <f>2*SQRT(F822/PI())</f>
        <v/>
      </c>
      <c r="H822" t="n">
        <v>81.45134500835253</v>
      </c>
      <c r="I822" t="n">
        <v>544</v>
      </c>
      <c r="J822" t="n">
        <v>299</v>
      </c>
      <c r="K822" t="n">
        <v>463.2306238185255</v>
      </c>
      <c r="L822" t="n">
        <v>482.1379962192817</v>
      </c>
      <c r="M822">
        <f>2*SQRT(K822/PI())</f>
        <v/>
      </c>
      <c r="N822">
        <f>2*SQRT(L822/PI())</f>
        <v/>
      </c>
      <c r="O822" t="inlineStr">
        <is>
          <t>19(5)-P01</t>
        </is>
      </c>
      <c r="P822" t="inlineStr">
        <is>
          <t>是</t>
        </is>
      </c>
      <c r="Q822" t="inlineStr">
        <is>
          <t>auto_pipeline;review_png_green</t>
        </is>
      </c>
      <c r="R822" t="inlineStr">
        <is>
          <t>样品19</t>
        </is>
      </c>
    </row>
    <row r="823">
      <c r="A823" t="n">
        <v>822</v>
      </c>
      <c r="B823" t="inlineStr">
        <is>
          <t>19 (5).tif</t>
        </is>
      </c>
      <c r="C823" t="inlineStr">
        <is>
          <t>19(5)-V03</t>
        </is>
      </c>
      <c r="D823" t="n">
        <v>3</v>
      </c>
      <c r="E823" t="inlineStr">
        <is>
          <t>primary</t>
        </is>
      </c>
      <c r="F823" t="n">
        <v>159.0737240075614</v>
      </c>
      <c r="G823">
        <f>2*SQRT(F823/PI())</f>
        <v/>
      </c>
      <c r="H823" t="n">
        <v>47.71309323932813</v>
      </c>
      <c r="I823" t="n">
        <v>610</v>
      </c>
      <c r="J823" t="n">
        <v>215</v>
      </c>
      <c r="K823" t="n">
        <v>155.8922495274102</v>
      </c>
      <c r="L823" t="n">
        <v>162.2551984877126</v>
      </c>
      <c r="M823">
        <f>2*SQRT(K823/PI())</f>
        <v/>
      </c>
      <c r="N823">
        <f>2*SQRT(L823/PI())</f>
        <v/>
      </c>
      <c r="P823" t="inlineStr">
        <is>
          <t>是</t>
        </is>
      </c>
      <c r="Q823" t="inlineStr">
        <is>
          <t>auto_pipeline;review_png_green</t>
        </is>
      </c>
      <c r="R823" t="inlineStr">
        <is>
          <t>样品19</t>
        </is>
      </c>
    </row>
    <row r="824">
      <c r="A824" t="n">
        <v>823</v>
      </c>
      <c r="B824" t="inlineStr">
        <is>
          <t>19 (5).tif</t>
        </is>
      </c>
      <c r="C824" t="inlineStr">
        <is>
          <t>19(5)-V04</t>
        </is>
      </c>
      <c r="D824" t="n">
        <v>4</v>
      </c>
      <c r="E824" t="inlineStr">
        <is>
          <t>primary</t>
        </is>
      </c>
      <c r="F824" t="n">
        <v>127.3156899810964</v>
      </c>
      <c r="G824">
        <f>2*SQRT(F824/PI())</f>
        <v/>
      </c>
      <c r="H824" t="n">
        <v>44.99890166780223</v>
      </c>
      <c r="I824" t="n">
        <v>73</v>
      </c>
      <c r="J824" t="n">
        <v>131</v>
      </c>
      <c r="K824" t="n">
        <v>124.7693761814745</v>
      </c>
      <c r="L824" t="n">
        <v>129.8620037807183</v>
      </c>
      <c r="M824">
        <f>2*SQRT(K824/PI())</f>
        <v/>
      </c>
      <c r="N824">
        <f>2*SQRT(L824/PI())</f>
        <v/>
      </c>
      <c r="P824" t="inlineStr">
        <is>
          <t>是</t>
        </is>
      </c>
      <c r="Q824" t="inlineStr">
        <is>
          <t>auto_pipeline;review_png_green</t>
        </is>
      </c>
      <c r="R824" t="inlineStr">
        <is>
          <t>样品19</t>
        </is>
      </c>
    </row>
    <row r="825">
      <c r="A825" t="n">
        <v>824</v>
      </c>
      <c r="B825" t="inlineStr">
        <is>
          <t>19 (5).tif</t>
        </is>
      </c>
      <c r="C825" t="inlineStr">
        <is>
          <t>19(5)-V05</t>
        </is>
      </c>
      <c r="D825" t="n">
        <v>5</v>
      </c>
      <c r="E825" t="inlineStr">
        <is>
          <t>primary</t>
        </is>
      </c>
      <c r="F825" t="n">
        <v>117.8875236294896</v>
      </c>
      <c r="G825">
        <f>2*SQRT(F825/PI())</f>
        <v/>
      </c>
      <c r="H825" t="n">
        <v>46.92717497763427</v>
      </c>
      <c r="I825" t="n">
        <v>457</v>
      </c>
      <c r="J825" t="n">
        <v>272</v>
      </c>
      <c r="K825" t="n">
        <v>115.5297731568998</v>
      </c>
      <c r="L825" t="n">
        <v>120.2452741020794</v>
      </c>
      <c r="M825">
        <f>2*SQRT(K825/PI())</f>
        <v/>
      </c>
      <c r="N825">
        <f>2*SQRT(L825/PI())</f>
        <v/>
      </c>
      <c r="P825" t="inlineStr">
        <is>
          <t>是</t>
        </is>
      </c>
      <c r="Q825" t="inlineStr">
        <is>
          <t>auto_pipeline;review_png_green</t>
        </is>
      </c>
      <c r="R825" t="inlineStr">
        <is>
          <t>样品19</t>
        </is>
      </c>
    </row>
    <row r="826">
      <c r="A826" t="n">
        <v>825</v>
      </c>
      <c r="B826" t="inlineStr">
        <is>
          <t>19 (5).tif</t>
        </is>
      </c>
      <c r="C826" t="inlineStr">
        <is>
          <t>19(5)-V06</t>
        </is>
      </c>
      <c r="D826" t="n">
        <v>6</v>
      </c>
      <c r="E826" t="inlineStr">
        <is>
          <t>primary</t>
        </is>
      </c>
      <c r="F826" t="n">
        <v>112.523629489603</v>
      </c>
      <c r="G826">
        <f>2*SQRT(F826/PI())</f>
        <v/>
      </c>
      <c r="H826" t="n">
        <v>39.93070421011551</v>
      </c>
      <c r="I826" t="n">
        <v>184</v>
      </c>
      <c r="J826" t="n">
        <v>50</v>
      </c>
      <c r="K826" t="n">
        <v>110.273156899811</v>
      </c>
      <c r="L826" t="n">
        <v>114.7741020793951</v>
      </c>
      <c r="M826">
        <f>2*SQRT(K826/PI())</f>
        <v/>
      </c>
      <c r="N826">
        <f>2*SQRT(L826/PI())</f>
        <v/>
      </c>
      <c r="P826" t="inlineStr">
        <is>
          <t>是</t>
        </is>
      </c>
      <c r="Q826" t="inlineStr">
        <is>
          <t>auto_pipeline;review_png_green</t>
        </is>
      </c>
      <c r="R826" t="inlineStr">
        <is>
          <t>样品19</t>
        </is>
      </c>
    </row>
    <row r="827">
      <c r="A827" t="n">
        <v>826</v>
      </c>
      <c r="B827" t="inlineStr">
        <is>
          <t>19 (5).tif</t>
        </is>
      </c>
      <c r="C827" t="inlineStr">
        <is>
          <t>19(5)-V07</t>
        </is>
      </c>
      <c r="D827" t="n">
        <v>7</v>
      </c>
      <c r="E827" t="inlineStr">
        <is>
          <t>primary</t>
        </is>
      </c>
      <c r="F827" t="n">
        <v>110.3969754253308</v>
      </c>
      <c r="G827">
        <f>2*SQRT(F827/PI())</f>
        <v/>
      </c>
      <c r="H827" t="n">
        <v>40.03620012946751</v>
      </c>
      <c r="I827" t="n">
        <v>71</v>
      </c>
      <c r="J827" t="n">
        <v>571</v>
      </c>
      <c r="K827" t="n">
        <v>108.1890359168242</v>
      </c>
      <c r="L827" t="n">
        <v>112.6049149338374</v>
      </c>
      <c r="M827">
        <f>2*SQRT(K827/PI())</f>
        <v/>
      </c>
      <c r="N827">
        <f>2*SQRT(L827/PI())</f>
        <v/>
      </c>
      <c r="P827" t="inlineStr">
        <is>
          <t>是</t>
        </is>
      </c>
      <c r="Q827" t="inlineStr">
        <is>
          <t>auto_pipeline;review_png_green</t>
        </is>
      </c>
      <c r="R827" t="inlineStr">
        <is>
          <t>样品19</t>
        </is>
      </c>
    </row>
    <row r="828">
      <c r="A828" t="n">
        <v>827</v>
      </c>
      <c r="B828" t="inlineStr">
        <is>
          <t>19 (5).tif</t>
        </is>
      </c>
      <c r="C828" t="inlineStr">
        <is>
          <t>19(5)-V08</t>
        </is>
      </c>
      <c r="D828" t="n">
        <v>8</v>
      </c>
      <c r="E828" t="inlineStr">
        <is>
          <t>primary</t>
        </is>
      </c>
      <c r="F828" t="n">
        <v>108.695652173913</v>
      </c>
      <c r="G828">
        <f>2*SQRT(F828/PI())</f>
        <v/>
      </c>
      <c r="H828" t="n">
        <v>41.16045511287192</v>
      </c>
      <c r="I828" t="n">
        <v>351</v>
      </c>
      <c r="J828" t="n">
        <v>206</v>
      </c>
      <c r="K828" t="n">
        <v>106.5217391304348</v>
      </c>
      <c r="L828" t="n">
        <v>110.8695652173913</v>
      </c>
      <c r="M828">
        <f>2*SQRT(K828/PI())</f>
        <v/>
      </c>
      <c r="N828">
        <f>2*SQRT(L828/PI())</f>
        <v/>
      </c>
      <c r="P828" t="inlineStr">
        <is>
          <t>是</t>
        </is>
      </c>
      <c r="Q828" t="inlineStr">
        <is>
          <t>auto_pipeline;review_png_green</t>
        </is>
      </c>
      <c r="R828" t="inlineStr">
        <is>
          <t>样品19</t>
        </is>
      </c>
    </row>
    <row r="829">
      <c r="A829" t="n">
        <v>828</v>
      </c>
      <c r="B829" t="inlineStr">
        <is>
          <t>19 (6).tif</t>
        </is>
      </c>
      <c r="C829" t="inlineStr">
        <is>
          <t>19(6)-V01</t>
        </is>
      </c>
      <c r="D829" t="n">
        <v>1</v>
      </c>
      <c r="E829" t="inlineStr">
        <is>
          <t>primary</t>
        </is>
      </c>
      <c r="F829" t="n">
        <v>675.3544423440454</v>
      </c>
      <c r="G829">
        <f>2*SQRT(F829/PI())</f>
        <v/>
      </c>
      <c r="H829" t="n">
        <v>97.39815771579742</v>
      </c>
      <c r="I829" t="n">
        <v>180</v>
      </c>
      <c r="J829" t="n">
        <v>597</v>
      </c>
      <c r="K829" t="n">
        <v>661.8473534971645</v>
      </c>
      <c r="L829" t="n">
        <v>688.8615311909264</v>
      </c>
      <c r="M829">
        <f>2*SQRT(K829/PI())</f>
        <v/>
      </c>
      <c r="N829">
        <f>2*SQRT(L829/PI())</f>
        <v/>
      </c>
      <c r="P829" t="inlineStr">
        <is>
          <t>是</t>
        </is>
      </c>
      <c r="Q829" t="inlineStr">
        <is>
          <t>auto_pipeline;review_png_green</t>
        </is>
      </c>
      <c r="R829" t="inlineStr">
        <is>
          <t>样品19</t>
        </is>
      </c>
    </row>
    <row r="830">
      <c r="A830" t="n">
        <v>829</v>
      </c>
      <c r="B830" t="inlineStr">
        <is>
          <t>19 (6).tif</t>
        </is>
      </c>
      <c r="C830" t="inlineStr">
        <is>
          <t>19(6)-V02</t>
        </is>
      </c>
      <c r="D830" t="n">
        <v>2</v>
      </c>
      <c r="E830" t="inlineStr">
        <is>
          <t>primary</t>
        </is>
      </c>
      <c r="F830" t="n">
        <v>588.6105860113422</v>
      </c>
      <c r="G830">
        <f>2*SQRT(F830/PI())</f>
        <v/>
      </c>
      <c r="H830" t="n">
        <v>91.22755423836085</v>
      </c>
      <c r="I830" t="n">
        <v>425</v>
      </c>
      <c r="J830" t="n">
        <v>430</v>
      </c>
      <c r="K830" t="n">
        <v>576.8383742911153</v>
      </c>
      <c r="L830" t="n">
        <v>600.3827977315691</v>
      </c>
      <c r="M830">
        <f>2*SQRT(K830/PI())</f>
        <v/>
      </c>
      <c r="N830">
        <f>2*SQRT(L830/PI())</f>
        <v/>
      </c>
      <c r="O830" t="inlineStr">
        <is>
          <t>19(6)-P01</t>
        </is>
      </c>
      <c r="P830" t="inlineStr">
        <is>
          <t>是</t>
        </is>
      </c>
      <c r="Q830" t="inlineStr">
        <is>
          <t>auto_pipeline;review_png_green</t>
        </is>
      </c>
      <c r="R830" t="inlineStr">
        <is>
          <t>样品19</t>
        </is>
      </c>
    </row>
    <row r="831">
      <c r="A831" t="n">
        <v>830</v>
      </c>
      <c r="B831" t="inlineStr">
        <is>
          <t>19 (6).tif</t>
        </is>
      </c>
      <c r="C831" t="inlineStr">
        <is>
          <t>19(6)-V03</t>
        </is>
      </c>
      <c r="D831" t="n">
        <v>3</v>
      </c>
      <c r="E831" t="inlineStr">
        <is>
          <t>primary</t>
        </is>
      </c>
      <c r="F831" t="n">
        <v>551.5831758034027</v>
      </c>
      <c r="G831">
        <f>2*SQRT(F831/PI())</f>
        <v/>
      </c>
      <c r="H831" t="n">
        <v>88.13132801781529</v>
      </c>
      <c r="I831" t="n">
        <v>522</v>
      </c>
      <c r="J831" t="n">
        <v>321</v>
      </c>
      <c r="K831" t="n">
        <v>540.5515122873346</v>
      </c>
      <c r="L831" t="n">
        <v>562.6148393194708</v>
      </c>
      <c r="M831">
        <f>2*SQRT(K831/PI())</f>
        <v/>
      </c>
      <c r="N831">
        <f>2*SQRT(L831/PI())</f>
        <v/>
      </c>
      <c r="O831" t="inlineStr">
        <is>
          <t>19(6)-P01</t>
        </is>
      </c>
      <c r="P831" t="inlineStr">
        <is>
          <t>是</t>
        </is>
      </c>
      <c r="Q831" t="inlineStr">
        <is>
          <t>auto_pipeline;review_png_green</t>
        </is>
      </c>
      <c r="R831" t="inlineStr">
        <is>
          <t>样品19</t>
        </is>
      </c>
    </row>
    <row r="832">
      <c r="A832" t="n">
        <v>831</v>
      </c>
      <c r="B832" t="inlineStr">
        <is>
          <t>19 (6).tif</t>
        </is>
      </c>
      <c r="C832" t="inlineStr">
        <is>
          <t>19(6)-V04</t>
        </is>
      </c>
      <c r="D832" t="n">
        <v>4</v>
      </c>
      <c r="E832" t="inlineStr">
        <is>
          <t>primary</t>
        </is>
      </c>
      <c r="F832" t="n">
        <v>356.9234404536862</v>
      </c>
      <c r="G832">
        <f>2*SQRT(F832/PI())</f>
        <v/>
      </c>
      <c r="H832" t="n">
        <v>71.44229497598565</v>
      </c>
      <c r="I832" t="n">
        <v>616</v>
      </c>
      <c r="J832" t="n">
        <v>107</v>
      </c>
      <c r="K832" t="n">
        <v>349.7849716446125</v>
      </c>
      <c r="L832" t="n">
        <v>364.06190926276</v>
      </c>
      <c r="M832">
        <f>2*SQRT(K832/PI())</f>
        <v/>
      </c>
      <c r="N832">
        <f>2*SQRT(L832/PI())</f>
        <v/>
      </c>
      <c r="P832" t="inlineStr">
        <is>
          <t>是</t>
        </is>
      </c>
      <c r="Q832" t="inlineStr">
        <is>
          <t>auto_pipeline;review_png_green</t>
        </is>
      </c>
      <c r="R832" t="inlineStr">
        <is>
          <t>样品19</t>
        </is>
      </c>
    </row>
    <row r="833">
      <c r="A833" t="n">
        <v>832</v>
      </c>
      <c r="B833" t="inlineStr">
        <is>
          <t>19 (6).tif</t>
        </is>
      </c>
      <c r="C833" t="inlineStr">
        <is>
          <t>19(6)-V05</t>
        </is>
      </c>
      <c r="D833" t="n">
        <v>5</v>
      </c>
      <c r="E833" t="inlineStr">
        <is>
          <t>primary</t>
        </is>
      </c>
      <c r="F833" t="n">
        <v>155.789224952741</v>
      </c>
      <c r="G833">
        <f>2*SQRT(F833/PI())</f>
        <v/>
      </c>
      <c r="H833" t="n">
        <v>49.43037471045619</v>
      </c>
      <c r="I833" t="n">
        <v>945</v>
      </c>
      <c r="J833" t="n">
        <v>173</v>
      </c>
      <c r="K833" t="n">
        <v>152.6734404536862</v>
      </c>
      <c r="L833" t="n">
        <v>158.9050094517958</v>
      </c>
      <c r="M833">
        <f>2*SQRT(K833/PI())</f>
        <v/>
      </c>
      <c r="N833">
        <f>2*SQRT(L833/PI())</f>
        <v/>
      </c>
      <c r="P833" t="inlineStr">
        <is>
          <t>是</t>
        </is>
      </c>
      <c r="Q833" t="inlineStr">
        <is>
          <t>auto_pipeline;review_png_green</t>
        </is>
      </c>
      <c r="R833" t="inlineStr">
        <is>
          <t>样品19</t>
        </is>
      </c>
    </row>
    <row r="834">
      <c r="A834" t="n">
        <v>833</v>
      </c>
      <c r="B834" t="inlineStr">
        <is>
          <t>19 (6).tif</t>
        </is>
      </c>
      <c r="C834" t="inlineStr">
        <is>
          <t>19(6)-V06</t>
        </is>
      </c>
      <c r="D834" t="n">
        <v>6</v>
      </c>
      <c r="E834" t="inlineStr">
        <is>
          <t>primary</t>
        </is>
      </c>
      <c r="F834" t="n">
        <v>147.4716446124764</v>
      </c>
      <c r="G834">
        <f>2*SQRT(F834/PI())</f>
        <v/>
      </c>
      <c r="H834" t="n">
        <v>50.15074608118638</v>
      </c>
      <c r="I834" t="n">
        <v>371</v>
      </c>
      <c r="J834" t="n">
        <v>609</v>
      </c>
      <c r="K834" t="n">
        <v>144.5222117202269</v>
      </c>
      <c r="L834" t="n">
        <v>150.4210775047259</v>
      </c>
      <c r="M834">
        <f>2*SQRT(K834/PI())</f>
        <v/>
      </c>
      <c r="N834">
        <f>2*SQRT(L834/PI())</f>
        <v/>
      </c>
      <c r="P834" t="inlineStr">
        <is>
          <t>是</t>
        </is>
      </c>
      <c r="Q834" t="inlineStr">
        <is>
          <t>auto_pipeline;review_png_green</t>
        </is>
      </c>
      <c r="R834" t="inlineStr">
        <is>
          <t>样品19</t>
        </is>
      </c>
    </row>
    <row r="835">
      <c r="A835" t="n">
        <v>834</v>
      </c>
      <c r="B835" t="inlineStr">
        <is>
          <t>19 (6).tif</t>
        </is>
      </c>
      <c r="C835" t="inlineStr">
        <is>
          <t>19(6)-V07</t>
        </is>
      </c>
      <c r="D835" t="n">
        <v>7</v>
      </c>
      <c r="E835" t="inlineStr">
        <is>
          <t>primary</t>
        </is>
      </c>
      <c r="F835" t="n">
        <v>146.8336483931947</v>
      </c>
      <c r="G835">
        <f>2*SQRT(F835/PI())</f>
        <v/>
      </c>
      <c r="H835" t="n">
        <v>54.07283959181412</v>
      </c>
      <c r="I835" t="n">
        <v>884</v>
      </c>
      <c r="J835" t="n">
        <v>262</v>
      </c>
      <c r="K835" t="n">
        <v>143.8969754253308</v>
      </c>
      <c r="L835" t="n">
        <v>149.7703213610586</v>
      </c>
      <c r="M835">
        <f>2*SQRT(K835/PI())</f>
        <v/>
      </c>
      <c r="N835">
        <f>2*SQRT(L835/PI())</f>
        <v/>
      </c>
      <c r="P835" t="inlineStr">
        <is>
          <t>是</t>
        </is>
      </c>
      <c r="Q835" t="inlineStr">
        <is>
          <t>auto_pipeline;review_png_green</t>
        </is>
      </c>
      <c r="R835" t="inlineStr">
        <is>
          <t>样品19</t>
        </is>
      </c>
    </row>
    <row r="836">
      <c r="A836" t="n">
        <v>835</v>
      </c>
      <c r="B836" t="inlineStr">
        <is>
          <t>19 (6).tif</t>
        </is>
      </c>
      <c r="C836" t="inlineStr">
        <is>
          <t>19(6)-V08</t>
        </is>
      </c>
      <c r="D836" t="n">
        <v>8</v>
      </c>
      <c r="E836" t="inlineStr">
        <is>
          <t>primary</t>
        </is>
      </c>
      <c r="F836" t="n">
        <v>121.7391304347826</v>
      </c>
      <c r="G836">
        <f>2*SQRT(F836/PI())</f>
        <v/>
      </c>
      <c r="H836" t="n">
        <v>44.59501805512802</v>
      </c>
      <c r="I836" t="n">
        <v>438</v>
      </c>
      <c r="J836" t="n">
        <v>543</v>
      </c>
      <c r="K836" t="n">
        <v>119.304347826087</v>
      </c>
      <c r="L836" t="n">
        <v>124.1739130434783</v>
      </c>
      <c r="M836">
        <f>2*SQRT(K836/PI())</f>
        <v/>
      </c>
      <c r="N836">
        <f>2*SQRT(L836/PI())</f>
        <v/>
      </c>
      <c r="P836" t="inlineStr">
        <is>
          <t>是</t>
        </is>
      </c>
      <c r="Q836" t="inlineStr">
        <is>
          <t>auto_pipeline;review_png_green</t>
        </is>
      </c>
      <c r="R836" t="inlineStr">
        <is>
          <t>样品19</t>
        </is>
      </c>
    </row>
    <row r="837">
      <c r="A837" t="n">
        <v>836</v>
      </c>
      <c r="B837" t="inlineStr">
        <is>
          <t>19 (7).tif</t>
        </is>
      </c>
      <c r="C837" t="inlineStr">
        <is>
          <t>19(7)-V01</t>
        </is>
      </c>
      <c r="D837" t="n">
        <v>1</v>
      </c>
      <c r="E837" t="inlineStr">
        <is>
          <t>primary</t>
        </is>
      </c>
      <c r="F837" t="n">
        <v>625.1417769376181</v>
      </c>
      <c r="G837">
        <f>2*SQRT(F837/PI())</f>
        <v/>
      </c>
      <c r="H837" t="n">
        <v>93.94174580988677</v>
      </c>
      <c r="I837" t="n">
        <v>373</v>
      </c>
      <c r="J837" t="n">
        <v>385</v>
      </c>
      <c r="K837" t="n">
        <v>612.6389413988658</v>
      </c>
      <c r="L837" t="n">
        <v>637.6446124763705</v>
      </c>
      <c r="M837">
        <f>2*SQRT(K837/PI())</f>
        <v/>
      </c>
      <c r="N837">
        <f>2*SQRT(L837/PI())</f>
        <v/>
      </c>
      <c r="O837" t="inlineStr">
        <is>
          <t>19(7)-P01</t>
        </is>
      </c>
      <c r="P837" t="inlineStr">
        <is>
          <t>是</t>
        </is>
      </c>
      <c r="Q837" t="inlineStr">
        <is>
          <t>auto_pipeline;review_png_green</t>
        </is>
      </c>
      <c r="R837" t="inlineStr">
        <is>
          <t>样品19</t>
        </is>
      </c>
    </row>
    <row r="838">
      <c r="A838" t="n">
        <v>837</v>
      </c>
      <c r="B838" t="inlineStr">
        <is>
          <t>19 (7).tif</t>
        </is>
      </c>
      <c r="C838" t="inlineStr">
        <is>
          <t>19(7)-V02</t>
        </is>
      </c>
      <c r="D838" t="n">
        <v>2</v>
      </c>
      <c r="E838" t="inlineStr">
        <is>
          <t>primary</t>
        </is>
      </c>
      <c r="F838" t="n">
        <v>579.3241965973535</v>
      </c>
      <c r="G838">
        <f>2*SQRT(F838/PI())</f>
        <v/>
      </c>
      <c r="H838" t="n">
        <v>90.230644137963</v>
      </c>
      <c r="I838" t="n">
        <v>599</v>
      </c>
      <c r="J838" t="n">
        <v>199</v>
      </c>
      <c r="K838" t="n">
        <v>567.7377126654064</v>
      </c>
      <c r="L838" t="n">
        <v>590.9106805293006</v>
      </c>
      <c r="M838">
        <f>2*SQRT(K838/PI())</f>
        <v/>
      </c>
      <c r="N838">
        <f>2*SQRT(L838/PI())</f>
        <v/>
      </c>
      <c r="P838" t="inlineStr">
        <is>
          <t>是</t>
        </is>
      </c>
      <c r="Q838" t="inlineStr">
        <is>
          <t>auto_pipeline;review_png_green</t>
        </is>
      </c>
      <c r="R838" t="inlineStr">
        <is>
          <t>样品19</t>
        </is>
      </c>
    </row>
    <row r="839">
      <c r="A839" t="n">
        <v>838</v>
      </c>
      <c r="B839" t="inlineStr">
        <is>
          <t>19 (7).tif</t>
        </is>
      </c>
      <c r="C839" t="inlineStr">
        <is>
          <t>19(7)-V03</t>
        </is>
      </c>
      <c r="D839" t="n">
        <v>3</v>
      </c>
      <c r="E839" t="inlineStr">
        <is>
          <t>primary</t>
        </is>
      </c>
      <c r="F839" t="n">
        <v>472.3534971644613</v>
      </c>
      <c r="G839">
        <f>2*SQRT(F839/PI())</f>
        <v/>
      </c>
      <c r="H839" t="n">
        <v>81.70603477436563</v>
      </c>
      <c r="I839" t="n">
        <v>496</v>
      </c>
      <c r="J839" t="n">
        <v>365</v>
      </c>
      <c r="K839" t="n">
        <v>462.906427221172</v>
      </c>
      <c r="L839" t="n">
        <v>481.8005671077505</v>
      </c>
      <c r="M839">
        <f>2*SQRT(K839/PI())</f>
        <v/>
      </c>
      <c r="N839">
        <f>2*SQRT(L839/PI())</f>
        <v/>
      </c>
      <c r="O839" t="inlineStr">
        <is>
          <t>19(7)-P01</t>
        </is>
      </c>
      <c r="P839" t="inlineStr">
        <is>
          <t>是</t>
        </is>
      </c>
      <c r="Q839" t="inlineStr">
        <is>
          <t>auto_pipeline;review_png_green</t>
        </is>
      </c>
      <c r="R839" t="inlineStr">
        <is>
          <t>样品19</t>
        </is>
      </c>
    </row>
    <row r="840">
      <c r="A840" t="n">
        <v>839</v>
      </c>
      <c r="B840" t="inlineStr">
        <is>
          <t>19 (7).tif</t>
        </is>
      </c>
      <c r="C840" t="inlineStr">
        <is>
          <t>19(7)-V04</t>
        </is>
      </c>
      <c r="D840" t="n">
        <v>4</v>
      </c>
      <c r="E840" t="inlineStr">
        <is>
          <t>primary</t>
        </is>
      </c>
      <c r="F840" t="n">
        <v>449.054820415879</v>
      </c>
      <c r="G840">
        <f>2*SQRT(F840/PI())</f>
        <v/>
      </c>
      <c r="H840" t="n">
        <v>79.35202888820483</v>
      </c>
      <c r="I840" t="n">
        <v>899</v>
      </c>
      <c r="J840" t="n">
        <v>541</v>
      </c>
      <c r="K840" t="n">
        <v>440.0737240075615</v>
      </c>
      <c r="L840" t="n">
        <v>458.0359168241966</v>
      </c>
      <c r="M840">
        <f>2*SQRT(K840/PI())</f>
        <v/>
      </c>
      <c r="N840">
        <f>2*SQRT(L840/PI())</f>
        <v/>
      </c>
      <c r="P840" t="inlineStr">
        <is>
          <t>是</t>
        </is>
      </c>
      <c r="Q840" t="inlineStr">
        <is>
          <t>auto_pipeline;review_png_green</t>
        </is>
      </c>
      <c r="R840" t="inlineStr">
        <is>
          <t>样品19</t>
        </is>
      </c>
    </row>
    <row r="841">
      <c r="A841" t="n">
        <v>840</v>
      </c>
      <c r="B841" t="inlineStr">
        <is>
          <t>19 (7).tif</t>
        </is>
      </c>
      <c r="C841" t="inlineStr">
        <is>
          <t>19(7)-V05</t>
        </is>
      </c>
      <c r="D841" t="n">
        <v>5</v>
      </c>
      <c r="E841" t="inlineStr">
        <is>
          <t>primary</t>
        </is>
      </c>
      <c r="F841" t="n">
        <v>149.8582230623819</v>
      </c>
      <c r="G841">
        <f>2*SQRT(F841/PI())</f>
        <v/>
      </c>
      <c r="H841" t="n">
        <v>49.45222367411074</v>
      </c>
      <c r="I841" t="n">
        <v>114</v>
      </c>
      <c r="J841" t="n">
        <v>328</v>
      </c>
      <c r="K841" t="n">
        <v>146.8610586011342</v>
      </c>
      <c r="L841" t="n">
        <v>152.8553875236295</v>
      </c>
      <c r="M841">
        <f>2*SQRT(K841/PI())</f>
        <v/>
      </c>
      <c r="N841">
        <f>2*SQRT(L841/PI())</f>
        <v/>
      </c>
      <c r="P841" t="inlineStr">
        <is>
          <t>是</t>
        </is>
      </c>
      <c r="Q841" t="inlineStr">
        <is>
          <t>auto_pipeline;review_png_green</t>
        </is>
      </c>
      <c r="R841" t="inlineStr">
        <is>
          <t>样品19</t>
        </is>
      </c>
    </row>
    <row r="842">
      <c r="A842" t="n">
        <v>841</v>
      </c>
      <c r="B842" t="inlineStr">
        <is>
          <t>19 (7).tif</t>
        </is>
      </c>
      <c r="C842" t="inlineStr">
        <is>
          <t>19(7)-V06</t>
        </is>
      </c>
      <c r="D842" t="n">
        <v>6</v>
      </c>
      <c r="E842" t="inlineStr">
        <is>
          <t>primary</t>
        </is>
      </c>
      <c r="F842" t="n">
        <v>140.8317580340265</v>
      </c>
      <c r="G842">
        <f>2*SQRT(F842/PI())</f>
        <v/>
      </c>
      <c r="H842" t="n">
        <v>49.30302982744963</v>
      </c>
      <c r="I842" t="n">
        <v>201</v>
      </c>
      <c r="J842" t="n">
        <v>157</v>
      </c>
      <c r="K842" t="n">
        <v>138.0151228733459</v>
      </c>
      <c r="L842" t="n">
        <v>143.648393194707</v>
      </c>
      <c r="M842">
        <f>2*SQRT(K842/PI())</f>
        <v/>
      </c>
      <c r="N842">
        <f>2*SQRT(L842/PI())</f>
        <v/>
      </c>
      <c r="P842" t="inlineStr">
        <is>
          <t>是</t>
        </is>
      </c>
      <c r="Q842" t="inlineStr">
        <is>
          <t>auto_pipeline;review_png_green</t>
        </is>
      </c>
      <c r="R842" t="inlineStr">
        <is>
          <t>样品19</t>
        </is>
      </c>
    </row>
    <row r="843">
      <c r="A843" t="n">
        <v>842</v>
      </c>
      <c r="B843" t="inlineStr">
        <is>
          <t>19 (7).tif</t>
        </is>
      </c>
      <c r="C843" t="inlineStr">
        <is>
          <t>19(7)-V07</t>
        </is>
      </c>
      <c r="D843" t="n">
        <v>7</v>
      </c>
      <c r="E843" t="inlineStr">
        <is>
          <t>primary</t>
        </is>
      </c>
      <c r="F843" t="n">
        <v>137.523629489603</v>
      </c>
      <c r="G843">
        <f>2*SQRT(F843/PI())</f>
        <v/>
      </c>
      <c r="H843" t="n">
        <v>47.71309323932813</v>
      </c>
      <c r="I843" t="n">
        <v>442</v>
      </c>
      <c r="J843" t="n">
        <v>199</v>
      </c>
      <c r="K843" t="n">
        <v>134.773156899811</v>
      </c>
      <c r="L843" t="n">
        <v>140.2741020793951</v>
      </c>
      <c r="M843">
        <f>2*SQRT(K843/PI())</f>
        <v/>
      </c>
      <c r="N843">
        <f>2*SQRT(L843/PI())</f>
        <v/>
      </c>
      <c r="P843" t="inlineStr">
        <is>
          <t>是</t>
        </is>
      </c>
      <c r="Q843" t="inlineStr">
        <is>
          <t>auto_pipeline;review_png_green</t>
        </is>
      </c>
      <c r="R843" t="inlineStr">
        <is>
          <t>样品19</t>
        </is>
      </c>
    </row>
    <row r="844">
      <c r="A844" t="n">
        <v>843</v>
      </c>
      <c r="B844" t="inlineStr">
        <is>
          <t>19 (7).tif</t>
        </is>
      </c>
      <c r="C844" t="inlineStr">
        <is>
          <t>19(7)-V08</t>
        </is>
      </c>
      <c r="D844" t="n">
        <v>8</v>
      </c>
      <c r="E844" t="inlineStr">
        <is>
          <t>primary</t>
        </is>
      </c>
      <c r="F844" t="n">
        <v>120.5576559546314</v>
      </c>
      <c r="G844">
        <f>2*SQRT(F844/PI())</f>
        <v/>
      </c>
      <c r="H844" t="n">
        <v>41.16045511287192</v>
      </c>
      <c r="I844" t="n">
        <v>74</v>
      </c>
      <c r="J844" t="n">
        <v>408</v>
      </c>
      <c r="K844" t="n">
        <v>118.1465028355388</v>
      </c>
      <c r="L844" t="n">
        <v>122.968809073724</v>
      </c>
      <c r="M844">
        <f>2*SQRT(K844/PI())</f>
        <v/>
      </c>
      <c r="N844">
        <f>2*SQRT(L844/PI())</f>
        <v/>
      </c>
      <c r="P844" t="inlineStr">
        <is>
          <t>是</t>
        </is>
      </c>
      <c r="Q844" t="inlineStr">
        <is>
          <t>auto_pipeline;review_png_green</t>
        </is>
      </c>
      <c r="R844" t="inlineStr">
        <is>
          <t>样品19</t>
        </is>
      </c>
    </row>
    <row r="845">
      <c r="A845" t="n">
        <v>844</v>
      </c>
      <c r="B845" t="inlineStr">
        <is>
          <t>19 (8).tif</t>
        </is>
      </c>
      <c r="C845" t="inlineStr">
        <is>
          <t>19(8)-V01</t>
        </is>
      </c>
      <c r="D845" t="n">
        <v>1</v>
      </c>
      <c r="E845" t="inlineStr">
        <is>
          <t>primary</t>
        </is>
      </c>
      <c r="F845" t="n">
        <v>1599.2202268431</v>
      </c>
      <c r="G845">
        <f>2*SQRT(F845/PI())</f>
        <v/>
      </c>
      <c r="H845" t="n">
        <v>159.6135720221893</v>
      </c>
      <c r="I845" t="n">
        <v>523</v>
      </c>
      <c r="J845" t="n">
        <v>387</v>
      </c>
      <c r="K845" t="n">
        <v>1567.235822306238</v>
      </c>
      <c r="L845" t="n">
        <v>1631.204631379962</v>
      </c>
      <c r="M845">
        <f>2*SQRT(K845/PI())</f>
        <v/>
      </c>
      <c r="N845">
        <f>2*SQRT(L845/PI())</f>
        <v/>
      </c>
      <c r="P845" t="inlineStr">
        <is>
          <t>是</t>
        </is>
      </c>
      <c r="Q845" t="inlineStr">
        <is>
          <t>auto_pipeline;review_png_green</t>
        </is>
      </c>
      <c r="R845" t="inlineStr">
        <is>
          <t>样品19</t>
        </is>
      </c>
    </row>
    <row r="846">
      <c r="A846" t="n">
        <v>845</v>
      </c>
      <c r="B846" t="inlineStr">
        <is>
          <t>19 (8).tif</t>
        </is>
      </c>
      <c r="C846" t="inlineStr">
        <is>
          <t>19(8)-V02</t>
        </is>
      </c>
      <c r="D846" t="n">
        <v>2</v>
      </c>
      <c r="E846" t="inlineStr">
        <is>
          <t>primary</t>
        </is>
      </c>
      <c r="F846" t="n">
        <v>519.5415879017013</v>
      </c>
      <c r="G846">
        <f>2*SQRT(F846/PI())</f>
        <v/>
      </c>
      <c r="H846" t="n">
        <v>102.7466428020726</v>
      </c>
      <c r="I846" t="n">
        <v>120</v>
      </c>
      <c r="J846" t="n">
        <v>604</v>
      </c>
      <c r="K846" t="n">
        <v>509.1507561436673</v>
      </c>
      <c r="L846" t="n">
        <v>529.9324196597353</v>
      </c>
      <c r="M846">
        <f>2*SQRT(K846/PI())</f>
        <v/>
      </c>
      <c r="N846">
        <f>2*SQRT(L846/PI())</f>
        <v/>
      </c>
      <c r="P846" t="inlineStr">
        <is>
          <t>是</t>
        </is>
      </c>
      <c r="Q846" t="inlineStr">
        <is>
          <t>auto_pipeline;review_png_green</t>
        </is>
      </c>
      <c r="R846" t="inlineStr">
        <is>
          <t>样品19</t>
        </is>
      </c>
    </row>
    <row r="847">
      <c r="A847" t="n">
        <v>846</v>
      </c>
      <c r="B847" t="inlineStr">
        <is>
          <t>19 (8).tif</t>
        </is>
      </c>
      <c r="C847" t="inlineStr">
        <is>
          <t>19(8)-V03</t>
        </is>
      </c>
      <c r="D847" t="n">
        <v>3</v>
      </c>
      <c r="E847" t="inlineStr">
        <is>
          <t>primary</t>
        </is>
      </c>
      <c r="F847" t="n">
        <v>495.7939508506616</v>
      </c>
      <c r="G847">
        <f>2*SQRT(F847/PI())</f>
        <v/>
      </c>
      <c r="H847" t="n">
        <v>83.80535089451334</v>
      </c>
      <c r="I847" t="n">
        <v>683</v>
      </c>
      <c r="J847" t="n">
        <v>95</v>
      </c>
      <c r="K847" t="n">
        <v>485.8780718336484</v>
      </c>
      <c r="L847" t="n">
        <v>505.7098298676749</v>
      </c>
      <c r="M847">
        <f>2*SQRT(K847/PI())</f>
        <v/>
      </c>
      <c r="N847">
        <f>2*SQRT(L847/PI())</f>
        <v/>
      </c>
      <c r="P847" t="inlineStr">
        <is>
          <t>是</t>
        </is>
      </c>
      <c r="Q847" t="inlineStr">
        <is>
          <t>auto_pipeline;review_png_green</t>
        </is>
      </c>
      <c r="R847" t="inlineStr">
        <is>
          <t>样品19</t>
        </is>
      </c>
    </row>
    <row r="848">
      <c r="A848" t="n">
        <v>847</v>
      </c>
      <c r="B848" t="inlineStr">
        <is>
          <t>19 (8).tif</t>
        </is>
      </c>
      <c r="C848" t="inlineStr">
        <is>
          <t>19(8)-V04</t>
        </is>
      </c>
      <c r="D848" t="n">
        <v>4</v>
      </c>
      <c r="E848" t="inlineStr">
        <is>
          <t>primary</t>
        </is>
      </c>
      <c r="F848" t="n">
        <v>374.3856332703214</v>
      </c>
      <c r="G848">
        <f>2*SQRT(F848/PI())</f>
        <v/>
      </c>
      <c r="H848" t="n">
        <v>105.4208853452102</v>
      </c>
      <c r="I848" t="n">
        <v>403</v>
      </c>
      <c r="J848" t="n">
        <v>510</v>
      </c>
      <c r="K848" t="n">
        <v>366.8979206049149</v>
      </c>
      <c r="L848" t="n">
        <v>381.8733459357278</v>
      </c>
      <c r="M848">
        <f>2*SQRT(K848/PI())</f>
        <v/>
      </c>
      <c r="N848">
        <f>2*SQRT(L848/PI())</f>
        <v/>
      </c>
      <c r="P848" t="inlineStr">
        <is>
          <t>是</t>
        </is>
      </c>
      <c r="Q848" t="inlineStr">
        <is>
          <t>auto_pipeline;review_png_green</t>
        </is>
      </c>
      <c r="R848" t="inlineStr">
        <is>
          <t>样品19</t>
        </is>
      </c>
    </row>
    <row r="849">
      <c r="A849" t="n">
        <v>848</v>
      </c>
      <c r="B849" t="inlineStr">
        <is>
          <t>19 (9).tif</t>
        </is>
      </c>
      <c r="C849" t="inlineStr">
        <is>
          <t>19(9)-V01</t>
        </is>
      </c>
      <c r="D849" t="n">
        <v>1</v>
      </c>
      <c r="E849" t="inlineStr">
        <is>
          <t>primary</t>
        </is>
      </c>
      <c r="F849" t="n">
        <v>1318.950850661626</v>
      </c>
      <c r="G849">
        <f>2*SQRT(F849/PI())</f>
        <v/>
      </c>
      <c r="H849" t="n">
        <v>136.6921375108802</v>
      </c>
      <c r="I849" t="n">
        <v>581</v>
      </c>
      <c r="J849" t="n">
        <v>359</v>
      </c>
      <c r="K849" t="n">
        <v>1292.571833648393</v>
      </c>
      <c r="L849" t="n">
        <v>1345.329867674858</v>
      </c>
      <c r="M849">
        <f>2*SQRT(K849/PI())</f>
        <v/>
      </c>
      <c r="N849">
        <f>2*SQRT(L849/PI())</f>
        <v/>
      </c>
      <c r="O849" t="inlineStr">
        <is>
          <t>19(9)-P01</t>
        </is>
      </c>
      <c r="P849" t="inlineStr">
        <is>
          <t>是</t>
        </is>
      </c>
      <c r="Q849" t="inlineStr">
        <is>
          <t>auto_pipeline;review_png_green</t>
        </is>
      </c>
      <c r="R849" t="inlineStr">
        <is>
          <t>样品19</t>
        </is>
      </c>
    </row>
    <row r="850">
      <c r="A850" t="n">
        <v>849</v>
      </c>
      <c r="B850" t="inlineStr">
        <is>
          <t>19 (9).tif</t>
        </is>
      </c>
      <c r="C850" t="inlineStr">
        <is>
          <t>19(9)-V02</t>
        </is>
      </c>
      <c r="D850" t="n">
        <v>2</v>
      </c>
      <c r="E850" t="inlineStr">
        <is>
          <t>primary</t>
        </is>
      </c>
      <c r="F850" t="n">
        <v>1084.499054820416</v>
      </c>
      <c r="G850">
        <f>2*SQRT(F850/PI())</f>
        <v/>
      </c>
      <c r="H850" t="n">
        <v>123.2266755726026</v>
      </c>
      <c r="I850" t="n">
        <v>405</v>
      </c>
      <c r="J850" t="n">
        <v>315</v>
      </c>
      <c r="K850" t="n">
        <v>1062.809073724008</v>
      </c>
      <c r="L850" t="n">
        <v>1106.189035916824</v>
      </c>
      <c r="M850">
        <f>2*SQRT(K850/PI())</f>
        <v/>
      </c>
      <c r="N850">
        <f>2*SQRT(L850/PI())</f>
        <v/>
      </c>
      <c r="O850" t="inlineStr">
        <is>
          <t>19(9)-P01</t>
        </is>
      </c>
      <c r="P850" t="inlineStr">
        <is>
          <t>是</t>
        </is>
      </c>
      <c r="Q850" t="inlineStr">
        <is>
          <t>auto_pipeline;review_png_green</t>
        </is>
      </c>
      <c r="R850" t="inlineStr">
        <is>
          <t>样品19</t>
        </is>
      </c>
    </row>
    <row r="851">
      <c r="A851" t="n">
        <v>850</v>
      </c>
      <c r="B851" t="inlineStr">
        <is>
          <t>19 (9).tif</t>
        </is>
      </c>
      <c r="C851" t="inlineStr">
        <is>
          <t>19(9)-V03</t>
        </is>
      </c>
      <c r="D851" t="n">
        <v>3</v>
      </c>
      <c r="E851" t="inlineStr">
        <is>
          <t>primary</t>
        </is>
      </c>
      <c r="F851" t="n">
        <v>514.6030245746692</v>
      </c>
      <c r="G851">
        <f>2*SQRT(F851/PI())</f>
        <v/>
      </c>
      <c r="H851" t="n">
        <v>89.38292788422626</v>
      </c>
      <c r="I851" t="n">
        <v>324</v>
      </c>
      <c r="J851" t="n">
        <v>54</v>
      </c>
      <c r="K851" t="n">
        <v>504.3109640831759</v>
      </c>
      <c r="L851" t="n">
        <v>524.8950850661627</v>
      </c>
      <c r="M851">
        <f>2*SQRT(K851/PI())</f>
        <v/>
      </c>
      <c r="N851">
        <f>2*SQRT(L851/PI())</f>
        <v/>
      </c>
      <c r="P851" t="inlineStr">
        <is>
          <t>是</t>
        </is>
      </c>
      <c r="Q851" t="inlineStr">
        <is>
          <t>auto_pipeline;review_png_green</t>
        </is>
      </c>
      <c r="R851" t="inlineStr">
        <is>
          <t>样品19</t>
        </is>
      </c>
    </row>
    <row r="852">
      <c r="A852" t="n">
        <v>851</v>
      </c>
      <c r="B852" t="inlineStr">
        <is>
          <t>19 (10).tif</t>
        </is>
      </c>
      <c r="C852" t="inlineStr">
        <is>
          <t>19(10)-V01</t>
        </is>
      </c>
      <c r="D852" t="n">
        <v>1</v>
      </c>
      <c r="E852" t="inlineStr">
        <is>
          <t>primary</t>
        </is>
      </c>
      <c r="F852" t="n">
        <v>656.0018903591682</v>
      </c>
      <c r="G852">
        <f>2*SQRT(F852/PI())</f>
        <v/>
      </c>
      <c r="H852" t="n">
        <v>96.91062714742577</v>
      </c>
      <c r="I852" t="n">
        <v>284</v>
      </c>
      <c r="J852" t="n">
        <v>464</v>
      </c>
      <c r="K852" t="n">
        <v>642.8818525519848</v>
      </c>
      <c r="L852" t="n">
        <v>669.1219281663516</v>
      </c>
      <c r="M852">
        <f>2*SQRT(K852/PI())</f>
        <v/>
      </c>
      <c r="N852">
        <f>2*SQRT(L852/PI())</f>
        <v/>
      </c>
      <c r="P852" t="inlineStr">
        <is>
          <t>是</t>
        </is>
      </c>
      <c r="Q852" t="inlineStr">
        <is>
          <t>auto_pipeline;review_png_green</t>
        </is>
      </c>
      <c r="R852" t="inlineStr">
        <is>
          <t>样品19</t>
        </is>
      </c>
    </row>
    <row r="853">
      <c r="A853" t="n">
        <v>852</v>
      </c>
      <c r="B853" t="inlineStr">
        <is>
          <t>19 (10).tif</t>
        </is>
      </c>
      <c r="C853" t="inlineStr">
        <is>
          <t>19(10)-V02</t>
        </is>
      </c>
      <c r="D853" t="n">
        <v>2</v>
      </c>
      <c r="E853" t="inlineStr">
        <is>
          <t>primary</t>
        </is>
      </c>
      <c r="F853" t="n">
        <v>569.6597353497165</v>
      </c>
      <c r="G853">
        <f>2*SQRT(F853/PI())</f>
        <v/>
      </c>
      <c r="H853" t="n">
        <v>89.23373403756514</v>
      </c>
      <c r="I853" t="n">
        <v>416</v>
      </c>
      <c r="J853" t="n">
        <v>324</v>
      </c>
      <c r="K853" t="n">
        <v>558.2665406427221</v>
      </c>
      <c r="L853" t="n">
        <v>581.0529300567108</v>
      </c>
      <c r="M853">
        <f>2*SQRT(K853/PI())</f>
        <v/>
      </c>
      <c r="N853">
        <f>2*SQRT(L853/PI())</f>
        <v/>
      </c>
      <c r="P853" t="inlineStr">
        <is>
          <t>是</t>
        </is>
      </c>
      <c r="Q853" t="inlineStr">
        <is>
          <t>auto_pipeline;review_png_green</t>
        </is>
      </c>
      <c r="R853" t="inlineStr">
        <is>
          <t>样品19</t>
        </is>
      </c>
    </row>
    <row r="854">
      <c r="A854" t="n">
        <v>853</v>
      </c>
      <c r="B854" t="inlineStr">
        <is>
          <t>19 (10).tif</t>
        </is>
      </c>
      <c r="C854" t="inlineStr">
        <is>
          <t>19(10)-V03</t>
        </is>
      </c>
      <c r="D854" t="n">
        <v>3</v>
      </c>
      <c r="E854" t="inlineStr">
        <is>
          <t>primary</t>
        </is>
      </c>
      <c r="F854" t="n">
        <v>417.34404536862</v>
      </c>
      <c r="G854">
        <f>2*SQRT(F854/PI())</f>
        <v/>
      </c>
      <c r="H854" t="n">
        <v>79.45752480755681</v>
      </c>
      <c r="I854" t="n">
        <v>699</v>
      </c>
      <c r="J854" t="n">
        <v>539</v>
      </c>
      <c r="K854" t="n">
        <v>408.9971644612476</v>
      </c>
      <c r="L854" t="n">
        <v>425.6909262759924</v>
      </c>
      <c r="M854">
        <f>2*SQRT(K854/PI())</f>
        <v/>
      </c>
      <c r="N854">
        <f>2*SQRT(L854/PI())</f>
        <v/>
      </c>
      <c r="P854" t="inlineStr">
        <is>
          <t>是</t>
        </is>
      </c>
      <c r="Q854" t="inlineStr">
        <is>
          <t>auto_pipeline;review_png_green</t>
        </is>
      </c>
      <c r="R854" t="inlineStr">
        <is>
          <t>样品19</t>
        </is>
      </c>
    </row>
    <row r="855">
      <c r="A855" t="n">
        <v>854</v>
      </c>
      <c r="B855" t="inlineStr">
        <is>
          <t>19 (10).tif</t>
        </is>
      </c>
      <c r="C855" t="inlineStr">
        <is>
          <t>19(10)-V04</t>
        </is>
      </c>
      <c r="D855" t="n">
        <v>4</v>
      </c>
      <c r="E855" t="inlineStr">
        <is>
          <t>primary</t>
        </is>
      </c>
      <c r="F855" t="n">
        <v>397.9206049149338</v>
      </c>
      <c r="G855">
        <f>2*SQRT(F855/PI())</f>
        <v/>
      </c>
      <c r="H855" t="n">
        <v>75.40808641392252</v>
      </c>
      <c r="I855" t="n">
        <v>818</v>
      </c>
      <c r="J855" t="n">
        <v>385</v>
      </c>
      <c r="K855" t="n">
        <v>389.9621928166351</v>
      </c>
      <c r="L855" t="n">
        <v>405.8790170132326</v>
      </c>
      <c r="M855">
        <f>2*SQRT(K855/PI())</f>
        <v/>
      </c>
      <c r="N855">
        <f>2*SQRT(L855/PI())</f>
        <v/>
      </c>
      <c r="P855" t="inlineStr">
        <is>
          <t>是</t>
        </is>
      </c>
      <c r="Q855" t="inlineStr">
        <is>
          <t>auto_pipeline;review_png_green</t>
        </is>
      </c>
      <c r="R855" t="inlineStr">
        <is>
          <t>样品19</t>
        </is>
      </c>
    </row>
    <row r="856">
      <c r="A856" t="n">
        <v>855</v>
      </c>
      <c r="B856" t="inlineStr">
        <is>
          <t>19 (10).tif</t>
        </is>
      </c>
      <c r="C856" t="inlineStr">
        <is>
          <t>19(10)-V05</t>
        </is>
      </c>
      <c r="D856" t="n">
        <v>5</v>
      </c>
      <c r="E856" t="inlineStr">
        <is>
          <t>primary</t>
        </is>
      </c>
      <c r="F856" t="n">
        <v>262.476370510397</v>
      </c>
      <c r="G856">
        <f>2*SQRT(F856/PI())</f>
        <v/>
      </c>
      <c r="H856" t="n">
        <v>62.55749992702318</v>
      </c>
      <c r="I856" t="n">
        <v>913</v>
      </c>
      <c r="J856" t="n">
        <v>485</v>
      </c>
      <c r="K856" t="n">
        <v>257.2268431001891</v>
      </c>
      <c r="L856" t="n">
        <v>267.7258979206049</v>
      </c>
      <c r="M856">
        <f>2*SQRT(K856/PI())</f>
        <v/>
      </c>
      <c r="N856">
        <f>2*SQRT(L856/PI())</f>
        <v/>
      </c>
      <c r="P856" t="inlineStr">
        <is>
          <t>是</t>
        </is>
      </c>
      <c r="Q856" t="inlineStr">
        <is>
          <t>auto_pipeline;review_png_green</t>
        </is>
      </c>
      <c r="R856" t="inlineStr">
        <is>
          <t>样品19</t>
        </is>
      </c>
    </row>
    <row r="857">
      <c r="A857" t="n">
        <v>856</v>
      </c>
      <c r="B857" t="inlineStr">
        <is>
          <t>19 (10).tif</t>
        </is>
      </c>
      <c r="C857" t="inlineStr">
        <is>
          <t>19(10)-V06</t>
        </is>
      </c>
      <c r="D857" t="n">
        <v>6</v>
      </c>
      <c r="E857" t="inlineStr">
        <is>
          <t>primary</t>
        </is>
      </c>
      <c r="F857" t="n">
        <v>244.234404536862</v>
      </c>
      <c r="G857">
        <f>2*SQRT(F857/PI())</f>
        <v/>
      </c>
      <c r="H857" t="n">
        <v>61.79343062898387</v>
      </c>
      <c r="I857" t="n">
        <v>922</v>
      </c>
      <c r="J857" t="n">
        <v>336</v>
      </c>
      <c r="K857" t="n">
        <v>239.3497164461247</v>
      </c>
      <c r="L857" t="n">
        <v>249.1190926275993</v>
      </c>
      <c r="M857">
        <f>2*SQRT(K857/PI())</f>
        <v/>
      </c>
      <c r="N857">
        <f>2*SQRT(L857/PI())</f>
        <v/>
      </c>
      <c r="P857" t="inlineStr">
        <is>
          <t>是</t>
        </is>
      </c>
      <c r="Q857" t="inlineStr">
        <is>
          <t>auto_pipeline;review_png_green</t>
        </is>
      </c>
      <c r="R857" t="inlineStr">
        <is>
          <t>样品19</t>
        </is>
      </c>
    </row>
    <row r="858">
      <c r="A858" t="n">
        <v>857</v>
      </c>
      <c r="B858" t="inlineStr">
        <is>
          <t>19 (11).tif</t>
        </is>
      </c>
      <c r="C858" t="inlineStr">
        <is>
          <t>19(11)-V01</t>
        </is>
      </c>
      <c r="D858" t="n">
        <v>1</v>
      </c>
      <c r="E858" t="inlineStr">
        <is>
          <t>primary</t>
        </is>
      </c>
      <c r="F858" t="n">
        <v>1031.332703213611</v>
      </c>
      <c r="G858">
        <f>2*SQRT(F858/PI())</f>
        <v/>
      </c>
      <c r="H858" t="n">
        <v>122.6118001212244</v>
      </c>
      <c r="I858" t="n">
        <v>361</v>
      </c>
      <c r="J858" t="n">
        <v>299</v>
      </c>
      <c r="K858" t="n">
        <v>1010.706049149338</v>
      </c>
      <c r="L858" t="n">
        <v>1051.959357277883</v>
      </c>
      <c r="M858">
        <f>2*SQRT(K858/PI())</f>
        <v/>
      </c>
      <c r="N858">
        <f>2*SQRT(L858/PI())</f>
        <v/>
      </c>
      <c r="O858" t="inlineStr">
        <is>
          <t>19(11)-P01</t>
        </is>
      </c>
      <c r="P858" t="inlineStr">
        <is>
          <t>是</t>
        </is>
      </c>
      <c r="Q858" t="inlineStr">
        <is>
          <t>auto_pipeline;review_png_green</t>
        </is>
      </c>
      <c r="R858" t="inlineStr">
        <is>
          <t>样品19</t>
        </is>
      </c>
    </row>
    <row r="859">
      <c r="A859" t="n">
        <v>858</v>
      </c>
      <c r="B859" t="inlineStr">
        <is>
          <t>19 (11).tif</t>
        </is>
      </c>
      <c r="C859" t="inlineStr">
        <is>
          <t>19(11)-V02</t>
        </is>
      </c>
      <c r="D859" t="n">
        <v>2</v>
      </c>
      <c r="E859" t="inlineStr">
        <is>
          <t>primary</t>
        </is>
      </c>
      <c r="F859" t="n">
        <v>614.366729678639</v>
      </c>
      <c r="G859">
        <f>2*SQRT(F859/PI())</f>
        <v/>
      </c>
      <c r="H859" t="n">
        <v>92.81749082648236</v>
      </c>
      <c r="I859" t="n">
        <v>610</v>
      </c>
      <c r="J859" t="n">
        <v>385</v>
      </c>
      <c r="K859" t="n">
        <v>602.0793950850662</v>
      </c>
      <c r="L859" t="n">
        <v>626.6540642722118</v>
      </c>
      <c r="M859">
        <f>2*SQRT(K859/PI())</f>
        <v/>
      </c>
      <c r="N859">
        <f>2*SQRT(L859/PI())</f>
        <v/>
      </c>
      <c r="P859" t="inlineStr">
        <is>
          <t>是</t>
        </is>
      </c>
      <c r="Q859" t="inlineStr">
        <is>
          <t>auto_pipeline;review_png_green</t>
        </is>
      </c>
      <c r="R859" t="inlineStr">
        <is>
          <t>样品19</t>
        </is>
      </c>
    </row>
    <row r="860">
      <c r="A860" t="n">
        <v>859</v>
      </c>
      <c r="B860" t="inlineStr">
        <is>
          <t>19 (11).tif</t>
        </is>
      </c>
      <c r="C860" t="inlineStr">
        <is>
          <t>19(11)-V03</t>
        </is>
      </c>
      <c r="D860" t="n">
        <v>3</v>
      </c>
      <c r="E860" t="inlineStr">
        <is>
          <t>primary</t>
        </is>
      </c>
      <c r="F860" t="n">
        <v>390.8553875236295</v>
      </c>
      <c r="G860">
        <f>2*SQRT(F860/PI())</f>
        <v/>
      </c>
      <c r="H860" t="n">
        <v>74.66586607953776</v>
      </c>
      <c r="I860" t="n">
        <v>478</v>
      </c>
      <c r="J860" t="n">
        <v>365</v>
      </c>
      <c r="K860" t="n">
        <v>383.0382797731569</v>
      </c>
      <c r="L860" t="n">
        <v>398.6724952741021</v>
      </c>
      <c r="M860">
        <f>2*SQRT(K860/PI())</f>
        <v/>
      </c>
      <c r="N860">
        <f>2*SQRT(L860/PI())</f>
        <v/>
      </c>
      <c r="O860" t="inlineStr">
        <is>
          <t>19(11)-P01</t>
        </is>
      </c>
      <c r="P860" t="inlineStr">
        <is>
          <t>是</t>
        </is>
      </c>
      <c r="Q860" t="inlineStr">
        <is>
          <t>auto_pipeline;review_png_green</t>
        </is>
      </c>
      <c r="R860" t="inlineStr">
        <is>
          <t>样品19</t>
        </is>
      </c>
    </row>
    <row r="861">
      <c r="A861" t="n">
        <v>860</v>
      </c>
      <c r="B861" t="inlineStr">
        <is>
          <t>19 (11).tif</t>
        </is>
      </c>
      <c r="C861" t="inlineStr">
        <is>
          <t>19(11)-V04</t>
        </is>
      </c>
      <c r="D861" t="n">
        <v>4</v>
      </c>
      <c r="E861" t="inlineStr">
        <is>
          <t>primary</t>
        </is>
      </c>
      <c r="F861" t="n">
        <v>117.34404536862</v>
      </c>
      <c r="G861">
        <f>2*SQRT(F861/PI())</f>
        <v/>
      </c>
      <c r="H861" t="n">
        <v>42.75039170099341</v>
      </c>
      <c r="I861" t="n">
        <v>517</v>
      </c>
      <c r="J861" t="n">
        <v>277</v>
      </c>
      <c r="K861" t="n">
        <v>114.9971644612476</v>
      </c>
      <c r="L861" t="n">
        <v>119.6909262759925</v>
      </c>
      <c r="M861">
        <f>2*SQRT(K861/PI())</f>
        <v/>
      </c>
      <c r="N861">
        <f>2*SQRT(L861/PI())</f>
        <v/>
      </c>
      <c r="P861" t="inlineStr">
        <is>
          <t>是</t>
        </is>
      </c>
      <c r="Q861" t="inlineStr">
        <is>
          <t>auto_pipeline;review_png_green</t>
        </is>
      </c>
      <c r="R861" t="inlineStr">
        <is>
          <t>样品19</t>
        </is>
      </c>
    </row>
    <row r="862">
      <c r="A862" t="n">
        <v>861</v>
      </c>
      <c r="B862" t="inlineStr">
        <is>
          <t>19 (11).tif</t>
        </is>
      </c>
      <c r="C862" t="inlineStr">
        <is>
          <t>19(11)-V05</t>
        </is>
      </c>
      <c r="D862" t="n">
        <v>5</v>
      </c>
      <c r="E862" t="inlineStr">
        <is>
          <t>primary</t>
        </is>
      </c>
      <c r="F862" t="n">
        <v>113.8468809073724</v>
      </c>
      <c r="G862">
        <f>2*SQRT(F862/PI())</f>
        <v/>
      </c>
      <c r="H862" t="n">
        <v>40.54557966149371</v>
      </c>
      <c r="I862" t="n">
        <v>958</v>
      </c>
      <c r="J862" t="n">
        <v>278</v>
      </c>
      <c r="K862" t="n">
        <v>111.5699432892249</v>
      </c>
      <c r="L862" t="n">
        <v>116.1238185255199</v>
      </c>
      <c r="M862">
        <f>2*SQRT(K862/PI())</f>
        <v/>
      </c>
      <c r="N862">
        <f>2*SQRT(L862/PI())</f>
        <v/>
      </c>
      <c r="P862" t="inlineStr">
        <is>
          <t>是</t>
        </is>
      </c>
      <c r="Q862" t="inlineStr">
        <is>
          <t>auto_pipeline;review_png_green</t>
        </is>
      </c>
      <c r="R862" t="inlineStr">
        <is>
          <t>样品19</t>
        </is>
      </c>
    </row>
    <row r="863">
      <c r="A863" t="n">
        <v>862</v>
      </c>
      <c r="B863" t="inlineStr">
        <is>
          <t>19 (12).tif</t>
        </is>
      </c>
      <c r="C863" t="inlineStr">
        <is>
          <t>19(12)-V01</t>
        </is>
      </c>
      <c r="D863" t="n">
        <v>1</v>
      </c>
      <c r="E863" t="inlineStr">
        <is>
          <t>primary</t>
        </is>
      </c>
      <c r="F863" t="n">
        <v>839.2722117202269</v>
      </c>
      <c r="G863">
        <f>2*SQRT(F863/PI())</f>
        <v/>
      </c>
      <c r="H863" t="n">
        <v>108.8916484169338</v>
      </c>
      <c r="I863" t="n">
        <v>572</v>
      </c>
      <c r="J863" t="n">
        <v>418</v>
      </c>
      <c r="K863" t="n">
        <v>822.4867674858224</v>
      </c>
      <c r="L863" t="n">
        <v>856.0576559546314</v>
      </c>
      <c r="M863">
        <f>2*SQRT(K863/PI())</f>
        <v/>
      </c>
      <c r="N863">
        <f>2*SQRT(L863/PI())</f>
        <v/>
      </c>
      <c r="P863" t="inlineStr">
        <is>
          <t>是</t>
        </is>
      </c>
      <c r="Q863" t="inlineStr">
        <is>
          <t>auto_pipeline;review_png_green</t>
        </is>
      </c>
      <c r="R863" t="inlineStr">
        <is>
          <t>样品19</t>
        </is>
      </c>
    </row>
    <row r="864">
      <c r="A864" t="n">
        <v>863</v>
      </c>
      <c r="B864" t="inlineStr">
        <is>
          <t>19 (12).tif</t>
        </is>
      </c>
      <c r="C864" t="inlineStr">
        <is>
          <t>19(12)-V02</t>
        </is>
      </c>
      <c r="D864" t="n">
        <v>2</v>
      </c>
      <c r="E864" t="inlineStr">
        <is>
          <t>primary</t>
        </is>
      </c>
      <c r="F864" t="n">
        <v>641.3988657844991</v>
      </c>
      <c r="G864">
        <f>2*SQRT(F864/PI())</f>
        <v/>
      </c>
      <c r="H864" t="n">
        <v>97.42000667945199</v>
      </c>
      <c r="I864" t="n">
        <v>421</v>
      </c>
      <c r="J864" t="n">
        <v>332</v>
      </c>
      <c r="K864" t="n">
        <v>628.5708884688091</v>
      </c>
      <c r="L864" t="n">
        <v>654.2268431001891</v>
      </c>
      <c r="M864">
        <f>2*SQRT(K864/PI())</f>
        <v/>
      </c>
      <c r="N864">
        <f>2*SQRT(L864/PI())</f>
        <v/>
      </c>
      <c r="P864" t="inlineStr">
        <is>
          <t>是</t>
        </is>
      </c>
      <c r="Q864" t="inlineStr">
        <is>
          <t>auto_pipeline;review_png_green</t>
        </is>
      </c>
      <c r="R864" t="inlineStr">
        <is>
          <t>样品19</t>
        </is>
      </c>
    </row>
    <row r="865">
      <c r="A865" t="n">
        <v>864</v>
      </c>
      <c r="B865" t="inlineStr">
        <is>
          <t>19 (12).tif</t>
        </is>
      </c>
      <c r="C865" t="inlineStr">
        <is>
          <t>19(12)-V03</t>
        </is>
      </c>
      <c r="D865" t="n">
        <v>3</v>
      </c>
      <c r="E865" t="inlineStr">
        <is>
          <t>primary</t>
        </is>
      </c>
      <c r="F865" t="n">
        <v>137.1928166351607</v>
      </c>
      <c r="G865">
        <f>2*SQRT(F865/PI())</f>
        <v/>
      </c>
      <c r="H865" t="n">
        <v>47.45840347331503</v>
      </c>
      <c r="I865" t="n">
        <v>669</v>
      </c>
      <c r="J865" t="n">
        <v>166</v>
      </c>
      <c r="K865" t="n">
        <v>134.4489603024575</v>
      </c>
      <c r="L865" t="n">
        <v>139.9366729678639</v>
      </c>
      <c r="M865">
        <f>2*SQRT(K865/PI())</f>
        <v/>
      </c>
      <c r="N865">
        <f>2*SQRT(L865/PI())</f>
        <v/>
      </c>
      <c r="P865" t="inlineStr">
        <is>
          <t>是</t>
        </is>
      </c>
      <c r="Q865" t="inlineStr">
        <is>
          <t>auto_pipeline;review_png_green</t>
        </is>
      </c>
      <c r="R865" t="inlineStr">
        <is>
          <t>样品19</t>
        </is>
      </c>
    </row>
    <row r="866">
      <c r="A866" t="n">
        <v>865</v>
      </c>
      <c r="B866" t="inlineStr">
        <is>
          <t>19 (12).tif</t>
        </is>
      </c>
      <c r="C866" t="inlineStr">
        <is>
          <t>19(12)-V04</t>
        </is>
      </c>
      <c r="D866" t="n">
        <v>4</v>
      </c>
      <c r="E866" t="inlineStr">
        <is>
          <t>primary</t>
        </is>
      </c>
      <c r="F866" t="n">
        <v>117.320415879017</v>
      </c>
      <c r="G866">
        <f>2*SQRT(F866/PI())</f>
        <v/>
      </c>
      <c r="H866" t="n">
        <v>42.41205497928288</v>
      </c>
      <c r="I866" t="n">
        <v>144</v>
      </c>
      <c r="J866" t="n">
        <v>442</v>
      </c>
      <c r="K866" t="n">
        <v>114.9740075614367</v>
      </c>
      <c r="L866" t="n">
        <v>119.6668241965974</v>
      </c>
      <c r="M866">
        <f>2*SQRT(K866/PI())</f>
        <v/>
      </c>
      <c r="N866">
        <f>2*SQRT(L866/PI())</f>
        <v/>
      </c>
      <c r="P866" t="inlineStr">
        <is>
          <t>是</t>
        </is>
      </c>
      <c r="Q866" t="inlineStr">
        <is>
          <t>auto_pipeline;review_png_green</t>
        </is>
      </c>
      <c r="R866" t="inlineStr">
        <is>
          <t>样品19</t>
        </is>
      </c>
    </row>
    <row r="867">
      <c r="A867" t="n">
        <v>866</v>
      </c>
      <c r="B867" t="inlineStr">
        <is>
          <t>19 (12).tif</t>
        </is>
      </c>
      <c r="C867" t="inlineStr">
        <is>
          <t>19(12)-V05</t>
        </is>
      </c>
      <c r="D867" t="n">
        <v>5</v>
      </c>
      <c r="E867" t="inlineStr">
        <is>
          <t>primary</t>
        </is>
      </c>
      <c r="F867" t="n">
        <v>107.1361058601134</v>
      </c>
      <c r="G867">
        <f>2*SQRT(F867/PI())</f>
        <v/>
      </c>
      <c r="H867" t="n">
        <v>41.52064079823701</v>
      </c>
      <c r="I867" t="n">
        <v>592</v>
      </c>
      <c r="J867" t="n">
        <v>127</v>
      </c>
      <c r="K867" t="n">
        <v>104.9933837429111</v>
      </c>
      <c r="L867" t="n">
        <v>109.2788279773157</v>
      </c>
      <c r="M867">
        <f>2*SQRT(K867/PI())</f>
        <v/>
      </c>
      <c r="N867">
        <f>2*SQRT(L867/PI())</f>
        <v/>
      </c>
      <c r="P867" t="inlineStr">
        <is>
          <t>是</t>
        </is>
      </c>
      <c r="Q867" t="inlineStr">
        <is>
          <t>auto_pipeline;review_png_green</t>
        </is>
      </c>
      <c r="R867" t="inlineStr">
        <is>
          <t>样品19</t>
        </is>
      </c>
    </row>
    <row r="868">
      <c r="A868" t="n">
        <v>867</v>
      </c>
      <c r="B868" t="inlineStr">
        <is>
          <t>19 (12).tif</t>
        </is>
      </c>
      <c r="C868" t="inlineStr">
        <is>
          <t>19(12)-V06</t>
        </is>
      </c>
      <c r="D868" t="n">
        <v>6</v>
      </c>
      <c r="E868" t="inlineStr">
        <is>
          <t>primary</t>
        </is>
      </c>
      <c r="F868" t="n">
        <v>106.0727788279773</v>
      </c>
      <c r="G868">
        <f>2*SQRT(F868/PI())</f>
        <v/>
      </c>
      <c r="H868" t="n">
        <v>44.82785885748656</v>
      </c>
      <c r="I868" t="n">
        <v>766</v>
      </c>
      <c r="J868" t="n">
        <v>214</v>
      </c>
      <c r="K868" t="n">
        <v>103.9513232514178</v>
      </c>
      <c r="L868" t="n">
        <v>108.1942344045369</v>
      </c>
      <c r="M868">
        <f>2*SQRT(K868/PI())</f>
        <v/>
      </c>
      <c r="N868">
        <f>2*SQRT(L868/PI())</f>
        <v/>
      </c>
      <c r="P868" t="inlineStr">
        <is>
          <t>是</t>
        </is>
      </c>
      <c r="Q868" t="inlineStr">
        <is>
          <t>auto_pipeline;review_png_green</t>
        </is>
      </c>
      <c r="R868" t="inlineStr">
        <is>
          <t>样品19</t>
        </is>
      </c>
    </row>
    <row r="869">
      <c r="A869" t="n">
        <v>868</v>
      </c>
      <c r="B869" t="inlineStr">
        <is>
          <t>19 (13).tif</t>
        </is>
      </c>
      <c r="C869" t="inlineStr">
        <is>
          <t>19(13)-V01</t>
        </is>
      </c>
      <c r="D869" t="n">
        <v>1</v>
      </c>
      <c r="E869" t="inlineStr">
        <is>
          <t>primary</t>
        </is>
      </c>
      <c r="F869" t="n">
        <v>784.8771266540642</v>
      </c>
      <c r="G869">
        <f>2*SQRT(F869/PI())</f>
        <v/>
      </c>
      <c r="H869" t="n">
        <v>106.432146611421</v>
      </c>
      <c r="I869" t="n">
        <v>94</v>
      </c>
      <c r="J869" t="n">
        <v>472</v>
      </c>
      <c r="K869" t="n">
        <v>769.1795841209829</v>
      </c>
      <c r="L869" t="n">
        <v>800.5746691871456</v>
      </c>
      <c r="M869">
        <f>2*SQRT(K869/PI())</f>
        <v/>
      </c>
      <c r="N869">
        <f>2*SQRT(L869/PI())</f>
        <v/>
      </c>
      <c r="P869" t="inlineStr">
        <is>
          <t>是</t>
        </is>
      </c>
      <c r="Q869" t="inlineStr">
        <is>
          <t>auto_pipeline;review_png_green</t>
        </is>
      </c>
      <c r="R869" t="inlineStr">
        <is>
          <t>样品19</t>
        </is>
      </c>
    </row>
    <row r="870">
      <c r="A870" t="n">
        <v>869</v>
      </c>
      <c r="B870" t="inlineStr">
        <is>
          <t>19 (13).tif</t>
        </is>
      </c>
      <c r="C870" t="inlineStr">
        <is>
          <t>19(13)-V02</t>
        </is>
      </c>
      <c r="D870" t="n">
        <v>2</v>
      </c>
      <c r="E870" t="inlineStr">
        <is>
          <t>primary</t>
        </is>
      </c>
      <c r="F870" t="n">
        <v>514.9574669187145</v>
      </c>
      <c r="G870">
        <f>2*SQRT(F870/PI())</f>
        <v/>
      </c>
      <c r="H870" t="n">
        <v>86.39219758303268</v>
      </c>
      <c r="I870" t="n">
        <v>925</v>
      </c>
      <c r="J870" t="n">
        <v>596</v>
      </c>
      <c r="K870" t="n">
        <v>504.6583175803402</v>
      </c>
      <c r="L870" t="n">
        <v>525.2566162570888</v>
      </c>
      <c r="M870">
        <f>2*SQRT(K870/PI())</f>
        <v/>
      </c>
      <c r="N870">
        <f>2*SQRT(L870/PI())</f>
        <v/>
      </c>
      <c r="P870" t="inlineStr">
        <is>
          <t>是</t>
        </is>
      </c>
      <c r="Q870" t="inlineStr">
        <is>
          <t>auto_pipeline;review_png_green</t>
        </is>
      </c>
      <c r="R870" t="inlineStr">
        <is>
          <t>样品19</t>
        </is>
      </c>
    </row>
    <row r="871">
      <c r="A871" t="n">
        <v>870</v>
      </c>
      <c r="B871" t="inlineStr">
        <is>
          <t>19 (13).tif</t>
        </is>
      </c>
      <c r="C871" t="inlineStr">
        <is>
          <t>19(13)-V03</t>
        </is>
      </c>
      <c r="D871" t="n">
        <v>3</v>
      </c>
      <c r="E871" t="inlineStr">
        <is>
          <t>primary</t>
        </is>
      </c>
      <c r="F871" t="n">
        <v>128.9933837429112</v>
      </c>
      <c r="G871">
        <f>2*SQRT(F871/PI())</f>
        <v/>
      </c>
      <c r="H871" t="n">
        <v>60.96381443998088</v>
      </c>
      <c r="I871" t="n">
        <v>636</v>
      </c>
      <c r="J871" t="n">
        <v>88</v>
      </c>
      <c r="K871" t="n">
        <v>126.4135160680529</v>
      </c>
      <c r="L871" t="n">
        <v>131.5732514177694</v>
      </c>
      <c r="M871">
        <f>2*SQRT(K871/PI())</f>
        <v/>
      </c>
      <c r="N871">
        <f>2*SQRT(L871/PI())</f>
        <v/>
      </c>
      <c r="P871" t="inlineStr">
        <is>
          <t>是</t>
        </is>
      </c>
      <c r="Q871" t="inlineStr">
        <is>
          <t>auto_pipeline;review_png_green</t>
        </is>
      </c>
      <c r="R871" t="inlineStr">
        <is>
          <t>样品19</t>
        </is>
      </c>
    </row>
    <row r="872">
      <c r="A872" t="n">
        <v>871</v>
      </c>
      <c r="B872" t="inlineStr">
        <is>
          <t>19 (13).tif</t>
        </is>
      </c>
      <c r="C872" t="inlineStr">
        <is>
          <t>19(13)-V04</t>
        </is>
      </c>
      <c r="D872" t="n">
        <v>4</v>
      </c>
      <c r="E872" t="inlineStr">
        <is>
          <t>primary</t>
        </is>
      </c>
      <c r="F872" t="n">
        <v>104.5132325141777</v>
      </c>
      <c r="G872">
        <f>2*SQRT(F872/PI())</f>
        <v/>
      </c>
      <c r="H872" t="n">
        <v>45.69742407487787</v>
      </c>
      <c r="I872" t="n">
        <v>813</v>
      </c>
      <c r="J872" t="n">
        <v>189</v>
      </c>
      <c r="K872" t="n">
        <v>102.4229678638941</v>
      </c>
      <c r="L872" t="n">
        <v>106.6034971644612</v>
      </c>
      <c r="M872">
        <f>2*SQRT(K872/PI())</f>
        <v/>
      </c>
      <c r="N872">
        <f>2*SQRT(L872/PI())</f>
        <v/>
      </c>
      <c r="P872" t="inlineStr">
        <is>
          <t>是</t>
        </is>
      </c>
      <c r="Q872" t="inlineStr">
        <is>
          <t>auto_pipeline;review_png_green</t>
        </is>
      </c>
      <c r="R872" t="inlineStr">
        <is>
          <t>样品19</t>
        </is>
      </c>
    </row>
    <row r="873">
      <c r="A873" t="n">
        <v>872</v>
      </c>
      <c r="B873" t="inlineStr">
        <is>
          <t>19 (14).tif</t>
        </is>
      </c>
      <c r="C873" t="inlineStr">
        <is>
          <t>19(14)-V01</t>
        </is>
      </c>
      <c r="D873" t="n">
        <v>1</v>
      </c>
      <c r="E873" t="inlineStr">
        <is>
          <t>primary</t>
        </is>
      </c>
      <c r="F873" t="n">
        <v>869.5888468809073</v>
      </c>
      <c r="G873">
        <f>2*SQRT(F873/PI())</f>
        <v/>
      </c>
      <c r="H873" t="n">
        <v>111.22380533944</v>
      </c>
      <c r="I873" t="n">
        <v>415</v>
      </c>
      <c r="J873" t="n">
        <v>346</v>
      </c>
      <c r="K873" t="n">
        <v>852.1970699432892</v>
      </c>
      <c r="L873" t="n">
        <v>886.9806238185255</v>
      </c>
      <c r="M873">
        <f>2*SQRT(K873/PI())</f>
        <v/>
      </c>
      <c r="N873">
        <f>2*SQRT(L873/PI())</f>
        <v/>
      </c>
      <c r="O873" t="inlineStr">
        <is>
          <t>19(14)-P01</t>
        </is>
      </c>
      <c r="P873" t="inlineStr">
        <is>
          <t>是</t>
        </is>
      </c>
      <c r="Q873" t="inlineStr">
        <is>
          <t>auto_pipeline;review_png_green</t>
        </is>
      </c>
      <c r="R873" t="inlineStr">
        <is>
          <t>样品19</t>
        </is>
      </c>
    </row>
    <row r="874">
      <c r="A874" t="n">
        <v>873</v>
      </c>
      <c r="B874" t="inlineStr">
        <is>
          <t>19 (14).tif</t>
        </is>
      </c>
      <c r="C874" t="inlineStr">
        <is>
          <t>19(14)-V02</t>
        </is>
      </c>
      <c r="D874" t="n">
        <v>2</v>
      </c>
      <c r="E874" t="inlineStr">
        <is>
          <t>primary</t>
        </is>
      </c>
      <c r="F874" t="n">
        <v>754.9149338374291</v>
      </c>
      <c r="G874">
        <f>2*SQRT(F874/PI())</f>
        <v/>
      </c>
      <c r="H874" t="n">
        <v>103.3140714272209</v>
      </c>
      <c r="I874" t="n">
        <v>575</v>
      </c>
      <c r="J874" t="n">
        <v>459</v>
      </c>
      <c r="K874" t="n">
        <v>739.8166351606804</v>
      </c>
      <c r="L874" t="n">
        <v>770.0132325141777</v>
      </c>
      <c r="M874">
        <f>2*SQRT(K874/PI())</f>
        <v/>
      </c>
      <c r="N874">
        <f>2*SQRT(L874/PI())</f>
        <v/>
      </c>
      <c r="O874" t="inlineStr">
        <is>
          <t>19(14)-P01</t>
        </is>
      </c>
      <c r="P874" t="inlineStr">
        <is>
          <t>是</t>
        </is>
      </c>
      <c r="Q874" t="inlineStr">
        <is>
          <t>auto_pipeline;review_png_green</t>
        </is>
      </c>
      <c r="R874" t="inlineStr">
        <is>
          <t>样品19</t>
        </is>
      </c>
    </row>
    <row r="875">
      <c r="A875" t="n">
        <v>874</v>
      </c>
      <c r="B875" t="inlineStr">
        <is>
          <t>19 (14).tif</t>
        </is>
      </c>
      <c r="C875" t="inlineStr">
        <is>
          <t>19(14)-V03</t>
        </is>
      </c>
      <c r="D875" t="n">
        <v>3</v>
      </c>
      <c r="E875" t="inlineStr">
        <is>
          <t>primary</t>
        </is>
      </c>
      <c r="F875" t="n">
        <v>603.9933837429112</v>
      </c>
      <c r="G875">
        <f>2*SQRT(F875/PI())</f>
        <v/>
      </c>
      <c r="H875" t="n">
        <v>92.3299602581107</v>
      </c>
      <c r="I875" t="n">
        <v>92</v>
      </c>
      <c r="J875" t="n">
        <v>140</v>
      </c>
      <c r="K875" t="n">
        <v>591.913516068053</v>
      </c>
      <c r="L875" t="n">
        <v>616.0732514177694</v>
      </c>
      <c r="M875">
        <f>2*SQRT(K875/PI())</f>
        <v/>
      </c>
      <c r="N875">
        <f>2*SQRT(L875/PI())</f>
        <v/>
      </c>
      <c r="P875" t="inlineStr">
        <is>
          <t>是</t>
        </is>
      </c>
      <c r="Q875" t="inlineStr">
        <is>
          <t>auto_pipeline;review_png_green</t>
        </is>
      </c>
      <c r="R875" t="inlineStr">
        <is>
          <t>样品19</t>
        </is>
      </c>
    </row>
    <row r="876">
      <c r="A876" t="n">
        <v>875</v>
      </c>
      <c r="B876" t="inlineStr">
        <is>
          <t>19 (14).tif</t>
        </is>
      </c>
      <c r="C876" t="inlineStr">
        <is>
          <t>19(14)-V04</t>
        </is>
      </c>
      <c r="D876" t="n">
        <v>4</v>
      </c>
      <c r="E876" t="inlineStr">
        <is>
          <t>primary</t>
        </is>
      </c>
      <c r="F876" t="n">
        <v>191.1625708884688</v>
      </c>
      <c r="G876">
        <f>2*SQRT(F876/PI())</f>
        <v/>
      </c>
      <c r="H876" t="n">
        <v>52.42110501164975</v>
      </c>
      <c r="I876" t="n">
        <v>911</v>
      </c>
      <c r="J876" t="n">
        <v>505</v>
      </c>
      <c r="K876" t="n">
        <v>187.3393194706995</v>
      </c>
      <c r="L876" t="n">
        <v>194.9858223062382</v>
      </c>
      <c r="M876">
        <f>2*SQRT(K876/PI())</f>
        <v/>
      </c>
      <c r="N876">
        <f>2*SQRT(L876/PI())</f>
        <v/>
      </c>
      <c r="P876" t="inlineStr">
        <is>
          <t>是</t>
        </is>
      </c>
      <c r="Q876" t="inlineStr">
        <is>
          <t>auto_pipeline;review_png_green</t>
        </is>
      </c>
      <c r="R876" t="inlineStr">
        <is>
          <t>样品19</t>
        </is>
      </c>
    </row>
    <row r="877">
      <c r="A877" t="n">
        <v>876</v>
      </c>
      <c r="B877" t="inlineStr">
        <is>
          <t>19 (14).tif</t>
        </is>
      </c>
      <c r="C877" t="inlineStr">
        <is>
          <t>19(14)-V05</t>
        </is>
      </c>
      <c r="D877" t="n">
        <v>5</v>
      </c>
      <c r="E877" t="inlineStr">
        <is>
          <t>primary</t>
        </is>
      </c>
      <c r="F877" t="n">
        <v>174.6691871455577</v>
      </c>
      <c r="G877">
        <f>2*SQRT(F877/PI())</f>
        <v/>
      </c>
      <c r="H877" t="n">
        <v>54.11653751912324</v>
      </c>
      <c r="I877" t="n">
        <v>515</v>
      </c>
      <c r="J877" t="n">
        <v>62</v>
      </c>
      <c r="K877" t="n">
        <v>171.1758034026465</v>
      </c>
      <c r="L877" t="n">
        <v>178.1625708884688</v>
      </c>
      <c r="M877">
        <f>2*SQRT(K877/PI())</f>
        <v/>
      </c>
      <c r="N877">
        <f>2*SQRT(L877/PI())</f>
        <v/>
      </c>
      <c r="P877" t="inlineStr">
        <is>
          <t>是</t>
        </is>
      </c>
      <c r="Q877" t="inlineStr">
        <is>
          <t>auto_pipeline;review_png_green</t>
        </is>
      </c>
      <c r="R877" t="inlineStr">
        <is>
          <t>样品19</t>
        </is>
      </c>
    </row>
    <row r="878">
      <c r="A878" t="n">
        <v>877</v>
      </c>
      <c r="B878" t="inlineStr">
        <is>
          <t>19 (14).tif</t>
        </is>
      </c>
      <c r="C878" t="inlineStr">
        <is>
          <t>19(14)-V06</t>
        </is>
      </c>
      <c r="D878" t="n">
        <v>6</v>
      </c>
      <c r="E878" t="inlineStr">
        <is>
          <t>primary</t>
        </is>
      </c>
      <c r="F878" t="n">
        <v>124.8109640831758</v>
      </c>
      <c r="G878">
        <f>2*SQRT(F878/PI())</f>
        <v/>
      </c>
      <c r="H878" t="n">
        <v>43.25977123301962</v>
      </c>
      <c r="I878" t="n">
        <v>224</v>
      </c>
      <c r="J878" t="n">
        <v>238</v>
      </c>
      <c r="K878" t="n">
        <v>122.3147448015123</v>
      </c>
      <c r="L878" t="n">
        <v>127.3071833648393</v>
      </c>
      <c r="M878">
        <f>2*SQRT(K878/PI())</f>
        <v/>
      </c>
      <c r="N878">
        <f>2*SQRT(L878/PI())</f>
        <v/>
      </c>
      <c r="P878" t="inlineStr">
        <is>
          <t>是</t>
        </is>
      </c>
      <c r="Q878" t="inlineStr">
        <is>
          <t>auto_pipeline;review_png_green</t>
        </is>
      </c>
      <c r="R878" t="inlineStr">
        <is>
          <t>样品19</t>
        </is>
      </c>
    </row>
    <row r="879">
      <c r="A879" t="n">
        <v>878</v>
      </c>
      <c r="B879" t="inlineStr">
        <is>
          <t>19 (14).tif</t>
        </is>
      </c>
      <c r="C879" t="inlineStr">
        <is>
          <t>19(14)-V07</t>
        </is>
      </c>
      <c r="D879" t="n">
        <v>7</v>
      </c>
      <c r="E879" t="inlineStr">
        <is>
          <t>primary</t>
        </is>
      </c>
      <c r="F879" t="n">
        <v>122.6843100189036</v>
      </c>
      <c r="G879">
        <f>2*SQRT(F879/PI())</f>
        <v/>
      </c>
      <c r="H879" t="n">
        <v>57.76209230008332</v>
      </c>
      <c r="I879" t="n">
        <v>367</v>
      </c>
      <c r="J879" t="n">
        <v>555</v>
      </c>
      <c r="K879" t="n">
        <v>120.2306238185255</v>
      </c>
      <c r="L879" t="n">
        <v>125.1379962192817</v>
      </c>
      <c r="M879">
        <f>2*SQRT(K879/PI())</f>
        <v/>
      </c>
      <c r="N879">
        <f>2*SQRT(L879/PI())</f>
        <v/>
      </c>
      <c r="P879" t="inlineStr">
        <is>
          <t>是</t>
        </is>
      </c>
      <c r="Q879" t="inlineStr">
        <is>
          <t>auto_pipeline;review_png_green</t>
        </is>
      </c>
      <c r="R879" t="inlineStr">
        <is>
          <t>样品19</t>
        </is>
      </c>
    </row>
    <row r="880">
      <c r="A880" t="n">
        <v>879</v>
      </c>
      <c r="B880" t="inlineStr">
        <is>
          <t>19 (14).tif</t>
        </is>
      </c>
      <c r="C880" t="inlineStr">
        <is>
          <t>19(14)-V08</t>
        </is>
      </c>
      <c r="D880" t="n">
        <v>8</v>
      </c>
      <c r="E880" t="inlineStr">
        <is>
          <t>primary</t>
        </is>
      </c>
      <c r="F880" t="n">
        <v>107.2306238185255</v>
      </c>
      <c r="G880">
        <f>2*SQRT(F880/PI())</f>
        <v/>
      </c>
      <c r="H880" t="n">
        <v>46.43964440926261</v>
      </c>
      <c r="I880" t="n">
        <v>543</v>
      </c>
      <c r="J880" t="n">
        <v>654</v>
      </c>
      <c r="K880" t="n">
        <v>105.086011342155</v>
      </c>
      <c r="L880" t="n">
        <v>109.375236294896</v>
      </c>
      <c r="M880">
        <f>2*SQRT(K880/PI())</f>
        <v/>
      </c>
      <c r="N880">
        <f>2*SQRT(L880/PI())</f>
        <v/>
      </c>
      <c r="P880" t="inlineStr">
        <is>
          <t>是</t>
        </is>
      </c>
      <c r="Q880" t="inlineStr">
        <is>
          <t>auto_pipeline;review_png_green</t>
        </is>
      </c>
      <c r="R880" t="inlineStr">
        <is>
          <t>样品19</t>
        </is>
      </c>
    </row>
    <row r="881">
      <c r="A881" t="n">
        <v>880</v>
      </c>
      <c r="B881" t="inlineStr">
        <is>
          <t>19 (15).tif</t>
        </is>
      </c>
      <c r="C881" t="inlineStr">
        <is>
          <t>19(15)-V01</t>
        </is>
      </c>
      <c r="D881" t="n">
        <v>1</v>
      </c>
      <c r="E881" t="inlineStr">
        <is>
          <t>primary</t>
        </is>
      </c>
      <c r="F881" t="n">
        <v>1649.054820415879</v>
      </c>
      <c r="G881">
        <f>2*SQRT(F881/PI())</f>
        <v/>
      </c>
      <c r="H881" t="n">
        <v>158.4493680103965</v>
      </c>
      <c r="I881" t="n">
        <v>431</v>
      </c>
      <c r="J881" t="n">
        <v>339</v>
      </c>
      <c r="K881" t="n">
        <v>1616.073724007561</v>
      </c>
      <c r="L881" t="n">
        <v>1682.035916824197</v>
      </c>
      <c r="M881">
        <f>2*SQRT(K881/PI())</f>
        <v/>
      </c>
      <c r="N881">
        <f>2*SQRT(L881/PI())</f>
        <v/>
      </c>
      <c r="P881" t="inlineStr">
        <is>
          <t>是</t>
        </is>
      </c>
      <c r="Q881" t="inlineStr">
        <is>
          <t>auto_pipeline;review_png_green</t>
        </is>
      </c>
      <c r="R881" t="inlineStr">
        <is>
          <t>样品19</t>
        </is>
      </c>
    </row>
    <row r="882">
      <c r="A882" t="n">
        <v>881</v>
      </c>
      <c r="B882" t="inlineStr">
        <is>
          <t>19 (16).tif</t>
        </is>
      </c>
      <c r="C882" t="inlineStr">
        <is>
          <t>19(16)-V01</t>
        </is>
      </c>
      <c r="D882" t="n">
        <v>1</v>
      </c>
      <c r="E882" t="inlineStr">
        <is>
          <t>primary</t>
        </is>
      </c>
      <c r="F882" t="n">
        <v>1108.199432892249</v>
      </c>
      <c r="G882">
        <f>2*SQRT(F882/PI())</f>
        <v/>
      </c>
      <c r="H882" t="n">
        <v>124.8384611243787</v>
      </c>
      <c r="I882" t="n">
        <v>543</v>
      </c>
      <c r="J882" t="n">
        <v>459</v>
      </c>
      <c r="K882" t="n">
        <v>1086.035444234404</v>
      </c>
      <c r="L882" t="n">
        <v>1130.363421550094</v>
      </c>
      <c r="M882">
        <f>2*SQRT(K882/PI())</f>
        <v/>
      </c>
      <c r="N882">
        <f>2*SQRT(L882/PI())</f>
        <v/>
      </c>
      <c r="O882" t="inlineStr">
        <is>
          <t>19(16)-P01</t>
        </is>
      </c>
      <c r="P882" t="inlineStr">
        <is>
          <t>是</t>
        </is>
      </c>
      <c r="Q882" t="inlineStr">
        <is>
          <t>auto_pipeline;review_png_green</t>
        </is>
      </c>
      <c r="R882" t="inlineStr">
        <is>
          <t>样品19</t>
        </is>
      </c>
    </row>
    <row r="883">
      <c r="A883" t="n">
        <v>882</v>
      </c>
      <c r="B883" t="inlineStr">
        <is>
          <t>19 (16).tif</t>
        </is>
      </c>
      <c r="C883" t="inlineStr">
        <is>
          <t>19(16)-V02</t>
        </is>
      </c>
      <c r="D883" t="n">
        <v>2</v>
      </c>
      <c r="E883" t="inlineStr">
        <is>
          <t>primary</t>
        </is>
      </c>
      <c r="F883" t="n">
        <v>920.9357277882798</v>
      </c>
      <c r="G883">
        <f>2*SQRT(F883/PI())</f>
        <v/>
      </c>
      <c r="H883" t="n">
        <v>114.3200315599856</v>
      </c>
      <c r="I883" t="n">
        <v>488</v>
      </c>
      <c r="J883" t="n">
        <v>286</v>
      </c>
      <c r="K883" t="n">
        <v>902.5170132325142</v>
      </c>
      <c r="L883" t="n">
        <v>939.3544423440454</v>
      </c>
      <c r="M883">
        <f>2*SQRT(K883/PI())</f>
        <v/>
      </c>
      <c r="N883">
        <f>2*SQRT(L883/PI())</f>
        <v/>
      </c>
      <c r="O883" t="inlineStr">
        <is>
          <t>19(16)-P01</t>
        </is>
      </c>
      <c r="P883" t="inlineStr">
        <is>
          <t>是</t>
        </is>
      </c>
      <c r="Q883" t="inlineStr">
        <is>
          <t>auto_pipeline;review_png_green</t>
        </is>
      </c>
      <c r="R883" t="inlineStr">
        <is>
          <t>样品19</t>
        </is>
      </c>
    </row>
    <row r="884">
      <c r="A884" t="n">
        <v>883</v>
      </c>
      <c r="B884" t="inlineStr">
        <is>
          <t>19 (16).tif</t>
        </is>
      </c>
      <c r="C884" t="inlineStr">
        <is>
          <t>19(16)-V03</t>
        </is>
      </c>
      <c r="D884" t="n">
        <v>3</v>
      </c>
      <c r="E884" t="inlineStr">
        <is>
          <t>primary</t>
        </is>
      </c>
      <c r="F884" t="n">
        <v>417.5803402646503</v>
      </c>
      <c r="G884">
        <f>2*SQRT(F884/PI())</f>
        <v/>
      </c>
      <c r="H884" t="n">
        <v>85.35158955532572</v>
      </c>
      <c r="I884" t="n">
        <v>942</v>
      </c>
      <c r="J884" t="n">
        <v>154</v>
      </c>
      <c r="K884" t="n">
        <v>409.2287334593573</v>
      </c>
      <c r="L884" t="n">
        <v>425.9319470699432</v>
      </c>
      <c r="M884">
        <f>2*SQRT(K884/PI())</f>
        <v/>
      </c>
      <c r="N884">
        <f>2*SQRT(L884/PI())</f>
        <v/>
      </c>
      <c r="P884" t="inlineStr">
        <is>
          <t>是</t>
        </is>
      </c>
      <c r="Q884" t="inlineStr">
        <is>
          <t>auto_pipeline;review_png_green</t>
        </is>
      </c>
      <c r="R884" t="inlineStr">
        <is>
          <t>样品19</t>
        </is>
      </c>
    </row>
    <row r="885">
      <c r="A885" t="n">
        <v>884</v>
      </c>
      <c r="B885" t="inlineStr">
        <is>
          <t>19 (17).tif</t>
        </is>
      </c>
      <c r="C885" t="inlineStr">
        <is>
          <t>19(17)-V01</t>
        </is>
      </c>
      <c r="D885" t="n">
        <v>1</v>
      </c>
      <c r="E885" t="inlineStr">
        <is>
          <t>primary</t>
        </is>
      </c>
      <c r="F885" t="n">
        <v>985.0189035916824</v>
      </c>
      <c r="G885">
        <f>2*SQRT(F885/PI())</f>
        <v/>
      </c>
      <c r="H885" t="n">
        <v>118.413167880929</v>
      </c>
      <c r="I885" t="n">
        <v>465</v>
      </c>
      <c r="J885" t="n">
        <v>314</v>
      </c>
      <c r="K885" t="n">
        <v>965.3185255198487</v>
      </c>
      <c r="L885" t="n">
        <v>1004.719281663516</v>
      </c>
      <c r="M885">
        <f>2*SQRT(K885/PI())</f>
        <v/>
      </c>
      <c r="N885">
        <f>2*SQRT(L885/PI())</f>
        <v/>
      </c>
      <c r="O885" t="inlineStr">
        <is>
          <t>19(17)-P01</t>
        </is>
      </c>
      <c r="P885" t="inlineStr">
        <is>
          <t>是</t>
        </is>
      </c>
      <c r="Q885" t="inlineStr">
        <is>
          <t>auto_pipeline;review_png_green</t>
        </is>
      </c>
      <c r="R885" t="inlineStr">
        <is>
          <t>样品19</t>
        </is>
      </c>
    </row>
    <row r="886">
      <c r="A886" t="n">
        <v>885</v>
      </c>
      <c r="B886" t="inlineStr">
        <is>
          <t>19 (17).tif</t>
        </is>
      </c>
      <c r="C886" t="inlineStr">
        <is>
          <t>19(17)-V02</t>
        </is>
      </c>
      <c r="D886" t="n">
        <v>2</v>
      </c>
      <c r="E886" t="inlineStr">
        <is>
          <t>primary</t>
        </is>
      </c>
      <c r="F886" t="n">
        <v>959.0500945179584</v>
      </c>
      <c r="G886">
        <f>2*SQRT(F886/PI())</f>
        <v/>
      </c>
      <c r="H886" t="n">
        <v>116.1865068777748</v>
      </c>
      <c r="I886" t="n">
        <v>532</v>
      </c>
      <c r="J886" t="n">
        <v>472</v>
      </c>
      <c r="K886" t="n">
        <v>939.8690926275992</v>
      </c>
      <c r="L886" t="n">
        <v>978.2310964083176</v>
      </c>
      <c r="M886">
        <f>2*SQRT(K886/PI())</f>
        <v/>
      </c>
      <c r="N886">
        <f>2*SQRT(L886/PI())</f>
        <v/>
      </c>
      <c r="O886" t="inlineStr">
        <is>
          <t>19(17)-P01</t>
        </is>
      </c>
      <c r="P886" t="inlineStr">
        <is>
          <t>是</t>
        </is>
      </c>
      <c r="Q886" t="inlineStr">
        <is>
          <t>auto_pipeline;review_png_green</t>
        </is>
      </c>
      <c r="R886" t="inlineStr">
        <is>
          <t>样品19</t>
        </is>
      </c>
    </row>
    <row r="887">
      <c r="A887" t="n">
        <v>886</v>
      </c>
      <c r="B887" t="inlineStr">
        <is>
          <t>19 (17).tif</t>
        </is>
      </c>
      <c r="C887" t="inlineStr">
        <is>
          <t>19(17)-V03</t>
        </is>
      </c>
      <c r="D887" t="n">
        <v>3</v>
      </c>
      <c r="E887" t="inlineStr">
        <is>
          <t>primary</t>
        </is>
      </c>
      <c r="F887" t="n">
        <v>808.0340264650283</v>
      </c>
      <c r="G887">
        <f>2*SQRT(F887/PI())</f>
        <v/>
      </c>
      <c r="H887" t="n">
        <v>107.0470220627992</v>
      </c>
      <c r="I887" t="n">
        <v>121</v>
      </c>
      <c r="J887" t="n">
        <v>245</v>
      </c>
      <c r="K887" t="n">
        <v>791.8733459357277</v>
      </c>
      <c r="L887" t="n">
        <v>824.194706994329</v>
      </c>
      <c r="M887">
        <f>2*SQRT(K887/PI())</f>
        <v/>
      </c>
      <c r="N887">
        <f>2*SQRT(L887/PI())</f>
        <v/>
      </c>
      <c r="P887" t="inlineStr">
        <is>
          <t>是</t>
        </is>
      </c>
      <c r="Q887" t="inlineStr">
        <is>
          <t>auto_pipeline;review_png_green</t>
        </is>
      </c>
      <c r="R887" t="inlineStr">
        <is>
          <t>样品19</t>
        </is>
      </c>
    </row>
    <row r="888">
      <c r="A888" t="n">
        <v>887</v>
      </c>
      <c r="B888" t="inlineStr">
        <is>
          <t>19 (17).tif</t>
        </is>
      </c>
      <c r="C888" t="inlineStr">
        <is>
          <t>19(17)-V04</t>
        </is>
      </c>
      <c r="D888" t="n">
        <v>4</v>
      </c>
      <c r="E888" t="inlineStr">
        <is>
          <t>primary</t>
        </is>
      </c>
      <c r="F888" t="n">
        <v>706.1909262759924</v>
      </c>
      <c r="G888">
        <f>2*SQRT(F888/PI())</f>
        <v/>
      </c>
      <c r="H888" t="n">
        <v>100.599879855695</v>
      </c>
      <c r="I888" t="n">
        <v>851</v>
      </c>
      <c r="J888" t="n">
        <v>219</v>
      </c>
      <c r="K888" t="n">
        <v>692.0671077504726</v>
      </c>
      <c r="L888" t="n">
        <v>720.3147448015122</v>
      </c>
      <c r="M888">
        <f>2*SQRT(K888/PI())</f>
        <v/>
      </c>
      <c r="N888">
        <f>2*SQRT(L888/PI())</f>
        <v/>
      </c>
      <c r="P888" t="inlineStr">
        <is>
          <t>是</t>
        </is>
      </c>
      <c r="Q888" t="inlineStr">
        <is>
          <t>auto_pipeline;review_png_green</t>
        </is>
      </c>
      <c r="R888" t="inlineStr">
        <is>
          <t>样品19</t>
        </is>
      </c>
    </row>
    <row r="889">
      <c r="A889" t="n">
        <v>888</v>
      </c>
      <c r="B889" t="inlineStr">
        <is>
          <t>19 (17).tif</t>
        </is>
      </c>
      <c r="C889" t="inlineStr">
        <is>
          <t>19(17)-V05</t>
        </is>
      </c>
      <c r="D889" t="n">
        <v>5</v>
      </c>
      <c r="E889" t="inlineStr">
        <is>
          <t>primary</t>
        </is>
      </c>
      <c r="F889" t="n">
        <v>258.0340264650284</v>
      </c>
      <c r="G889">
        <f>2*SQRT(F889/PI())</f>
        <v/>
      </c>
      <c r="H889" t="n">
        <v>60.66917564557946</v>
      </c>
      <c r="I889" t="n">
        <v>439</v>
      </c>
      <c r="J889" t="n">
        <v>619</v>
      </c>
      <c r="K889" t="n">
        <v>252.8733459357278</v>
      </c>
      <c r="L889" t="n">
        <v>263.194706994329</v>
      </c>
      <c r="M889">
        <f>2*SQRT(K889/PI())</f>
        <v/>
      </c>
      <c r="N889">
        <f>2*SQRT(L889/PI())</f>
        <v/>
      </c>
      <c r="P889" t="inlineStr">
        <is>
          <t>是</t>
        </is>
      </c>
      <c r="Q889" t="inlineStr">
        <is>
          <t>auto_pipeline;review_png_green</t>
        </is>
      </c>
      <c r="R889" t="inlineStr">
        <is>
          <t>样品19</t>
        </is>
      </c>
    </row>
    <row r="890">
      <c r="A890" t="n">
        <v>889</v>
      </c>
      <c r="B890" t="inlineStr">
        <is>
          <t>19 (17).tif</t>
        </is>
      </c>
      <c r="C890" t="inlineStr">
        <is>
          <t>19(17)-V06</t>
        </is>
      </c>
      <c r="D890" t="n">
        <v>6</v>
      </c>
      <c r="E890" t="inlineStr">
        <is>
          <t>primary</t>
        </is>
      </c>
      <c r="F890" t="n">
        <v>210.6332703213611</v>
      </c>
      <c r="G890">
        <f>2*SQRT(F890/PI())</f>
        <v/>
      </c>
      <c r="H890" t="n">
        <v>55.13529658317566</v>
      </c>
      <c r="I890" t="n">
        <v>689</v>
      </c>
      <c r="J890" t="n">
        <v>364</v>
      </c>
      <c r="K890" t="n">
        <v>206.4206049149338</v>
      </c>
      <c r="L890" t="n">
        <v>214.8459357277883</v>
      </c>
      <c r="M890">
        <f>2*SQRT(K890/PI())</f>
        <v/>
      </c>
      <c r="N890">
        <f>2*SQRT(L890/PI())</f>
        <v/>
      </c>
      <c r="P890" t="inlineStr">
        <is>
          <t>是</t>
        </is>
      </c>
      <c r="Q890" t="inlineStr">
        <is>
          <t>auto_pipeline;review_png_green</t>
        </is>
      </c>
      <c r="R890" t="inlineStr">
        <is>
          <t>样品19</t>
        </is>
      </c>
    </row>
    <row r="891">
      <c r="A891" t="n">
        <v>890</v>
      </c>
      <c r="B891" t="inlineStr">
        <is>
          <t>19 (17).tif</t>
        </is>
      </c>
      <c r="C891" t="inlineStr">
        <is>
          <t>19(17)-V07</t>
        </is>
      </c>
      <c r="D891" t="n">
        <v>7</v>
      </c>
      <c r="E891" t="inlineStr">
        <is>
          <t>primary</t>
        </is>
      </c>
      <c r="F891" t="n">
        <v>128.3553875236295</v>
      </c>
      <c r="G891">
        <f>2*SQRT(F891/PI())</f>
        <v/>
      </c>
      <c r="H891" t="n">
        <v>42.39020601562832</v>
      </c>
      <c r="I891" t="n">
        <v>825</v>
      </c>
      <c r="J891" t="n">
        <v>335</v>
      </c>
      <c r="K891" t="n">
        <v>125.7882797731569</v>
      </c>
      <c r="L891" t="n">
        <v>130.9224952741021</v>
      </c>
      <c r="M891">
        <f>2*SQRT(K891/PI())</f>
        <v/>
      </c>
      <c r="N891">
        <f>2*SQRT(L891/PI())</f>
        <v/>
      </c>
      <c r="P891" t="inlineStr">
        <is>
          <t>是</t>
        </is>
      </c>
      <c r="Q891" t="inlineStr">
        <is>
          <t>auto_pipeline;review_png_green</t>
        </is>
      </c>
      <c r="R891" t="inlineStr">
        <is>
          <t>样品19</t>
        </is>
      </c>
    </row>
    <row r="892">
      <c r="A892" t="n">
        <v>891</v>
      </c>
      <c r="B892" t="inlineStr">
        <is>
          <t>19 (17).tif</t>
        </is>
      </c>
      <c r="C892" t="inlineStr">
        <is>
          <t>19(17)-V08</t>
        </is>
      </c>
      <c r="D892" t="n">
        <v>8</v>
      </c>
      <c r="E892" t="inlineStr">
        <is>
          <t>primary</t>
        </is>
      </c>
      <c r="F892" t="n">
        <v>121.4555765595463</v>
      </c>
      <c r="G892">
        <f>2*SQRT(F892/PI())</f>
        <v/>
      </c>
      <c r="H892" t="n">
        <v>45.61377711918043</v>
      </c>
      <c r="I892" t="n">
        <v>291</v>
      </c>
      <c r="J892" t="n">
        <v>607</v>
      </c>
      <c r="K892" t="n">
        <v>119.0264650283554</v>
      </c>
      <c r="L892" t="n">
        <v>123.8846880907372</v>
      </c>
      <c r="M892">
        <f>2*SQRT(K892/PI())</f>
        <v/>
      </c>
      <c r="N892">
        <f>2*SQRT(L892/PI())</f>
        <v/>
      </c>
      <c r="P892" t="inlineStr">
        <is>
          <t>是</t>
        </is>
      </c>
      <c r="Q892" t="inlineStr">
        <is>
          <t>auto_pipeline;review_png_green</t>
        </is>
      </c>
      <c r="R892" t="inlineStr">
        <is>
          <t>样品19</t>
        </is>
      </c>
    </row>
    <row r="893">
      <c r="A893" t="n">
        <v>892</v>
      </c>
      <c r="B893" t="inlineStr">
        <is>
          <t>20 (1).tif</t>
        </is>
      </c>
      <c r="C893" t="inlineStr">
        <is>
          <t>20(1)-V01</t>
        </is>
      </c>
      <c r="D893" t="n">
        <v>1</v>
      </c>
      <c r="E893" t="inlineStr">
        <is>
          <t>primary</t>
        </is>
      </c>
      <c r="F893" t="n">
        <v>625.1417769376181</v>
      </c>
      <c r="G893">
        <f>2*SQRT(F893/PI())</f>
        <v/>
      </c>
      <c r="H893" t="n">
        <v>93.68705604387365</v>
      </c>
      <c r="I893" t="n">
        <v>612</v>
      </c>
      <c r="J893" t="n">
        <v>364</v>
      </c>
      <c r="K893" t="n">
        <v>612.6389413988658</v>
      </c>
      <c r="L893" t="n">
        <v>637.6446124763705</v>
      </c>
      <c r="M893">
        <f>2*SQRT(K893/PI())</f>
        <v/>
      </c>
      <c r="N893">
        <f>2*SQRT(L893/PI())</f>
        <v/>
      </c>
      <c r="P893" t="inlineStr">
        <is>
          <t>是</t>
        </is>
      </c>
      <c r="Q893" t="inlineStr">
        <is>
          <t>auto_pipeline;review_png_green</t>
        </is>
      </c>
      <c r="R893" t="inlineStr">
        <is>
          <t>样品20</t>
        </is>
      </c>
    </row>
    <row r="894">
      <c r="A894" t="n">
        <v>893</v>
      </c>
      <c r="B894" t="inlineStr">
        <is>
          <t>20 (1).tif</t>
        </is>
      </c>
      <c r="C894" t="inlineStr">
        <is>
          <t>20(1)-V02</t>
        </is>
      </c>
      <c r="D894" t="n">
        <v>2</v>
      </c>
      <c r="E894" t="inlineStr">
        <is>
          <t>primary</t>
        </is>
      </c>
      <c r="F894" t="n">
        <v>548.8657844990548</v>
      </c>
      <c r="G894">
        <f>2*SQRT(F894/PI())</f>
        <v/>
      </c>
      <c r="H894" t="n">
        <v>88.25867290082185</v>
      </c>
      <c r="I894" t="n">
        <v>385</v>
      </c>
      <c r="J894" t="n">
        <v>356</v>
      </c>
      <c r="K894" t="n">
        <v>537.8884688090737</v>
      </c>
      <c r="L894" t="n">
        <v>559.8431001890359</v>
      </c>
      <c r="M894">
        <f>2*SQRT(K894/PI())</f>
        <v/>
      </c>
      <c r="N894">
        <f>2*SQRT(L894/PI())</f>
        <v/>
      </c>
      <c r="P894" t="inlineStr">
        <is>
          <t>是</t>
        </is>
      </c>
      <c r="Q894" t="inlineStr">
        <is>
          <t>auto_pipeline;review_png_green</t>
        </is>
      </c>
      <c r="R894" t="inlineStr">
        <is>
          <t>样品20</t>
        </is>
      </c>
    </row>
    <row r="895">
      <c r="A895" t="n">
        <v>894</v>
      </c>
      <c r="B895" t="inlineStr">
        <is>
          <t>20 (1).tif</t>
        </is>
      </c>
      <c r="C895" t="inlineStr">
        <is>
          <t>20(1)-V03</t>
        </is>
      </c>
      <c r="D895" t="n">
        <v>3</v>
      </c>
      <c r="E895" t="inlineStr">
        <is>
          <t>primary</t>
        </is>
      </c>
      <c r="F895" t="n">
        <v>177.7882797731569</v>
      </c>
      <c r="G895">
        <f>2*SQRT(F895/PI())</f>
        <v/>
      </c>
      <c r="H895" t="n">
        <v>56.04855972787608</v>
      </c>
      <c r="I895" t="n">
        <v>213</v>
      </c>
      <c r="J895" t="n">
        <v>268</v>
      </c>
      <c r="K895" t="n">
        <v>174.2325141776938</v>
      </c>
      <c r="L895" t="n">
        <v>181.34404536862</v>
      </c>
      <c r="M895">
        <f>2*SQRT(K895/PI())</f>
        <v/>
      </c>
      <c r="N895">
        <f>2*SQRT(L895/PI())</f>
        <v/>
      </c>
      <c r="P895" t="inlineStr">
        <is>
          <t>是</t>
        </is>
      </c>
      <c r="Q895" t="inlineStr">
        <is>
          <t>auto_pipeline;review_png_green</t>
        </is>
      </c>
      <c r="R895" t="inlineStr">
        <is>
          <t>样品20</t>
        </is>
      </c>
    </row>
    <row r="896">
      <c r="A896" t="n">
        <v>895</v>
      </c>
      <c r="B896" t="inlineStr">
        <is>
          <t>20 (1).tif</t>
        </is>
      </c>
      <c r="C896" t="inlineStr">
        <is>
          <t>20(1)-V04</t>
        </is>
      </c>
      <c r="D896" t="n">
        <v>4</v>
      </c>
      <c r="E896" t="inlineStr">
        <is>
          <t>primary</t>
        </is>
      </c>
      <c r="F896" t="n">
        <v>116.1389413988658</v>
      </c>
      <c r="G896">
        <f>2*SQRT(F896/PI())</f>
        <v/>
      </c>
      <c r="H896" t="n">
        <v>43.89649564805238</v>
      </c>
      <c r="I896" t="n">
        <v>143</v>
      </c>
      <c r="J896" t="n">
        <v>506</v>
      </c>
      <c r="K896" t="n">
        <v>113.8161625708885</v>
      </c>
      <c r="L896" t="n">
        <v>118.4617202268431</v>
      </c>
      <c r="M896">
        <f>2*SQRT(K896/PI())</f>
        <v/>
      </c>
      <c r="N896">
        <f>2*SQRT(L896/PI())</f>
        <v/>
      </c>
      <c r="P896" t="inlineStr">
        <is>
          <t>是</t>
        </is>
      </c>
      <c r="Q896" t="inlineStr">
        <is>
          <t>auto_pipeline;review_png_green</t>
        </is>
      </c>
      <c r="R896" t="inlineStr">
        <is>
          <t>样品20</t>
        </is>
      </c>
    </row>
    <row r="897">
      <c r="A897" t="n">
        <v>896</v>
      </c>
      <c r="B897" t="inlineStr">
        <is>
          <t>20 (1).tif</t>
        </is>
      </c>
      <c r="C897" t="inlineStr">
        <is>
          <t>20(1)-V05</t>
        </is>
      </c>
      <c r="D897" t="n">
        <v>5</v>
      </c>
      <c r="E897" t="inlineStr">
        <is>
          <t>primary</t>
        </is>
      </c>
      <c r="F897" t="n">
        <v>109.664461247637</v>
      </c>
      <c r="G897">
        <f>2*SQRT(F897/PI())</f>
        <v/>
      </c>
      <c r="H897" t="n">
        <v>42.05186929391778</v>
      </c>
      <c r="I897" t="n">
        <v>784</v>
      </c>
      <c r="J897" t="n">
        <v>222</v>
      </c>
      <c r="K897" t="n">
        <v>107.4711720226843</v>
      </c>
      <c r="L897" t="n">
        <v>111.8577504725898</v>
      </c>
      <c r="M897">
        <f>2*SQRT(K897/PI())</f>
        <v/>
      </c>
      <c r="N897">
        <f>2*SQRT(L897/PI())</f>
        <v/>
      </c>
      <c r="P897" t="inlineStr">
        <is>
          <t>是</t>
        </is>
      </c>
      <c r="Q897" t="inlineStr">
        <is>
          <t>auto_pipeline;review_png_green</t>
        </is>
      </c>
      <c r="R897" t="inlineStr">
        <is>
          <t>样品20</t>
        </is>
      </c>
    </row>
    <row r="898">
      <c r="A898" t="n">
        <v>897</v>
      </c>
      <c r="B898" t="inlineStr">
        <is>
          <t>20 (2).tif</t>
        </is>
      </c>
      <c r="C898" t="inlineStr">
        <is>
          <t>20(2)-V01</t>
        </is>
      </c>
      <c r="D898" t="n">
        <v>1</v>
      </c>
      <c r="E898" t="inlineStr">
        <is>
          <t>primary</t>
        </is>
      </c>
      <c r="F898" t="n">
        <v>550</v>
      </c>
      <c r="G898">
        <f>2*SQRT(F898/PI())</f>
        <v/>
      </c>
      <c r="H898" t="n">
        <v>88.25867290082185</v>
      </c>
      <c r="I898" t="n">
        <v>542</v>
      </c>
      <c r="J898" t="n">
        <v>439</v>
      </c>
      <c r="K898" t="n">
        <v>539</v>
      </c>
      <c r="L898" t="n">
        <v>561</v>
      </c>
      <c r="M898">
        <f>2*SQRT(K898/PI())</f>
        <v/>
      </c>
      <c r="N898">
        <f>2*SQRT(L898/PI())</f>
        <v/>
      </c>
      <c r="P898" t="inlineStr">
        <is>
          <t>是</t>
        </is>
      </c>
      <c r="Q898" t="inlineStr">
        <is>
          <t>auto_pipeline;review_png_green</t>
        </is>
      </c>
      <c r="R898" t="inlineStr">
        <is>
          <t>样品20</t>
        </is>
      </c>
    </row>
    <row r="899">
      <c r="A899" t="n">
        <v>898</v>
      </c>
      <c r="B899" t="inlineStr">
        <is>
          <t>20 (2).tif</t>
        </is>
      </c>
      <c r="C899" t="inlineStr">
        <is>
          <t>20(2)-V02</t>
        </is>
      </c>
      <c r="D899" t="n">
        <v>2</v>
      </c>
      <c r="E899" t="inlineStr">
        <is>
          <t>primary</t>
        </is>
      </c>
      <c r="F899" t="n">
        <v>344.7778827977316</v>
      </c>
      <c r="G899">
        <f>2*SQRT(F899/PI())</f>
        <v/>
      </c>
      <c r="H899" t="n">
        <v>70.21254407322925</v>
      </c>
      <c r="I899" t="n">
        <v>461</v>
      </c>
      <c r="J899" t="n">
        <v>330</v>
      </c>
      <c r="K899" t="n">
        <v>337.882325141777</v>
      </c>
      <c r="L899" t="n">
        <v>351.6734404536862</v>
      </c>
      <c r="M899">
        <f>2*SQRT(K899/PI())</f>
        <v/>
      </c>
      <c r="N899">
        <f>2*SQRT(L899/PI())</f>
        <v/>
      </c>
      <c r="P899" t="inlineStr">
        <is>
          <t>是</t>
        </is>
      </c>
      <c r="Q899" t="inlineStr">
        <is>
          <t>auto_pipeline;review_png_green</t>
        </is>
      </c>
      <c r="R899" t="inlineStr">
        <is>
          <t>样品20</t>
        </is>
      </c>
    </row>
    <row r="900">
      <c r="A900" t="n">
        <v>899</v>
      </c>
      <c r="B900" t="inlineStr">
        <is>
          <t>20 (2).tif</t>
        </is>
      </c>
      <c r="C900" t="inlineStr">
        <is>
          <t>20(2)-V03</t>
        </is>
      </c>
      <c r="D900" t="n">
        <v>3</v>
      </c>
      <c r="E900" t="inlineStr">
        <is>
          <t>primary</t>
        </is>
      </c>
      <c r="F900" t="n">
        <v>254.6786389413989</v>
      </c>
      <c r="G900">
        <f>2*SQRT(F900/PI())</f>
        <v/>
      </c>
      <c r="H900" t="n">
        <v>62.19731424165808</v>
      </c>
      <c r="I900" t="n">
        <v>525</v>
      </c>
      <c r="J900" t="n">
        <v>172</v>
      </c>
      <c r="K900" t="n">
        <v>249.5850661625709</v>
      </c>
      <c r="L900" t="n">
        <v>259.7722117202268</v>
      </c>
      <c r="M900">
        <f>2*SQRT(K900/PI())</f>
        <v/>
      </c>
      <c r="N900">
        <f>2*SQRT(L900/PI())</f>
        <v/>
      </c>
      <c r="P900" t="inlineStr">
        <is>
          <t>是</t>
        </is>
      </c>
      <c r="Q900" t="inlineStr">
        <is>
          <t>auto_pipeline;review_png_green</t>
        </is>
      </c>
      <c r="R900" t="inlineStr">
        <is>
          <t>样品20</t>
        </is>
      </c>
    </row>
    <row r="901">
      <c r="A901" t="n">
        <v>900</v>
      </c>
      <c r="B901" t="inlineStr">
        <is>
          <t>20 (3).tif</t>
        </is>
      </c>
      <c r="C901" t="inlineStr">
        <is>
          <t>20(3)-V01</t>
        </is>
      </c>
      <c r="D901" t="n">
        <v>1</v>
      </c>
      <c r="E901" t="inlineStr">
        <is>
          <t>primary</t>
        </is>
      </c>
      <c r="F901" t="n">
        <v>342.7693761814745</v>
      </c>
      <c r="G901">
        <f>2*SQRT(F901/PI())</f>
        <v/>
      </c>
      <c r="H901" t="n">
        <v>70.0851991902227</v>
      </c>
      <c r="I901" t="n">
        <v>470</v>
      </c>
      <c r="J901" t="n">
        <v>415</v>
      </c>
      <c r="K901" t="n">
        <v>335.913988657845</v>
      </c>
      <c r="L901" t="n">
        <v>349.6247637051039</v>
      </c>
      <c r="M901">
        <f>2*SQRT(K901/PI())</f>
        <v/>
      </c>
      <c r="N901">
        <f>2*SQRT(L901/PI())</f>
        <v/>
      </c>
      <c r="P901" t="inlineStr">
        <is>
          <t>是</t>
        </is>
      </c>
      <c r="Q901" t="inlineStr">
        <is>
          <t>auto_pipeline;review_png_green</t>
        </is>
      </c>
      <c r="R901" t="inlineStr">
        <is>
          <t>样品20</t>
        </is>
      </c>
    </row>
    <row r="902">
      <c r="A902" t="n">
        <v>901</v>
      </c>
      <c r="B902" t="inlineStr">
        <is>
          <t>20 (3).tif</t>
        </is>
      </c>
      <c r="C902" t="inlineStr">
        <is>
          <t>20(3)-V02</t>
        </is>
      </c>
      <c r="D902" t="n">
        <v>2</v>
      </c>
      <c r="E902" t="inlineStr">
        <is>
          <t>primary</t>
        </is>
      </c>
      <c r="F902" t="n">
        <v>231.8525519848771</v>
      </c>
      <c r="G902">
        <f>2*SQRT(F902/PI())</f>
        <v/>
      </c>
      <c r="H902" t="n">
        <v>57.48930246933647</v>
      </c>
      <c r="I902" t="n">
        <v>555</v>
      </c>
      <c r="J902" t="n">
        <v>317</v>
      </c>
      <c r="K902" t="n">
        <v>227.2155009451796</v>
      </c>
      <c r="L902" t="n">
        <v>236.4896030245747</v>
      </c>
      <c r="M902">
        <f>2*SQRT(K902/PI())</f>
        <v/>
      </c>
      <c r="N902">
        <f>2*SQRT(L902/PI())</f>
        <v/>
      </c>
      <c r="P902" t="inlineStr">
        <is>
          <t>是</t>
        </is>
      </c>
      <c r="Q902" t="inlineStr">
        <is>
          <t>auto_pipeline;review_png_green</t>
        </is>
      </c>
      <c r="R902" t="inlineStr">
        <is>
          <t>样品20</t>
        </is>
      </c>
    </row>
    <row r="903">
      <c r="A903" t="n">
        <v>902</v>
      </c>
      <c r="B903" t="inlineStr">
        <is>
          <t>20 (3).tif</t>
        </is>
      </c>
      <c r="C903" t="inlineStr">
        <is>
          <t>20(3)-V03</t>
        </is>
      </c>
      <c r="D903" t="n">
        <v>3</v>
      </c>
      <c r="E903" t="inlineStr">
        <is>
          <t>primary</t>
        </is>
      </c>
      <c r="F903" t="n">
        <v>200.2835538752363</v>
      </c>
      <c r="G903">
        <f>2*SQRT(F903/PI())</f>
        <v/>
      </c>
      <c r="H903" t="n">
        <v>54.62591705114945</v>
      </c>
      <c r="I903" t="n">
        <v>837</v>
      </c>
      <c r="J903" t="n">
        <v>258</v>
      </c>
      <c r="K903" t="n">
        <v>196.2778827977316</v>
      </c>
      <c r="L903" t="n">
        <v>204.289224952741</v>
      </c>
      <c r="M903">
        <f>2*SQRT(K903/PI())</f>
        <v/>
      </c>
      <c r="N903">
        <f>2*SQRT(L903/PI())</f>
        <v/>
      </c>
      <c r="P903" t="inlineStr">
        <is>
          <t>是</t>
        </is>
      </c>
      <c r="Q903" t="inlineStr">
        <is>
          <t>auto_pipeline;review_png_green</t>
        </is>
      </c>
      <c r="R903" t="inlineStr">
        <is>
          <t>样品20</t>
        </is>
      </c>
    </row>
    <row r="904">
      <c r="A904" t="n">
        <v>903</v>
      </c>
      <c r="B904" t="inlineStr">
        <is>
          <t>20 (4).tif</t>
        </is>
      </c>
      <c r="C904" t="inlineStr">
        <is>
          <t>20(4)-V01</t>
        </is>
      </c>
      <c r="D904" t="n">
        <v>1</v>
      </c>
      <c r="E904" t="inlineStr">
        <is>
          <t>primary</t>
        </is>
      </c>
      <c r="F904" t="n">
        <v>876.866729678639</v>
      </c>
      <c r="G904">
        <f>2*SQRT(F904/PI())</f>
        <v/>
      </c>
      <c r="H904" t="n">
        <v>111.9878746374794</v>
      </c>
      <c r="I904" t="n">
        <v>600</v>
      </c>
      <c r="J904" t="n">
        <v>283</v>
      </c>
      <c r="K904" t="n">
        <v>859.3293950850662</v>
      </c>
      <c r="L904" t="n">
        <v>894.4040642722118</v>
      </c>
      <c r="M904">
        <f>2*SQRT(K904/PI())</f>
        <v/>
      </c>
      <c r="N904">
        <f>2*SQRT(L904/PI())</f>
        <v/>
      </c>
      <c r="O904" t="inlineStr">
        <is>
          <t>20(4)-P01</t>
        </is>
      </c>
      <c r="P904" t="inlineStr">
        <is>
          <t>是</t>
        </is>
      </c>
      <c r="Q904" t="inlineStr">
        <is>
          <t>auto_pipeline;review_png_green</t>
        </is>
      </c>
      <c r="R904" t="inlineStr">
        <is>
          <t>样品20</t>
        </is>
      </c>
    </row>
    <row r="905">
      <c r="A905" t="n">
        <v>904</v>
      </c>
      <c r="B905" t="inlineStr">
        <is>
          <t>20 (4).tif</t>
        </is>
      </c>
      <c r="C905" t="inlineStr">
        <is>
          <t>20(4)-V02</t>
        </is>
      </c>
      <c r="D905" t="n">
        <v>2</v>
      </c>
      <c r="E905" t="inlineStr">
        <is>
          <t>primary</t>
        </is>
      </c>
      <c r="F905" t="n">
        <v>480.6474480151228</v>
      </c>
      <c r="G905">
        <f>2*SQRT(F905/PI())</f>
        <v/>
      </c>
      <c r="H905" t="n">
        <v>83.57251009215479</v>
      </c>
      <c r="I905" t="n">
        <v>512</v>
      </c>
      <c r="J905" t="n">
        <v>409</v>
      </c>
      <c r="K905" t="n">
        <v>471.0344990548204</v>
      </c>
      <c r="L905" t="n">
        <v>490.2603969754253</v>
      </c>
      <c r="M905">
        <f>2*SQRT(K905/PI())</f>
        <v/>
      </c>
      <c r="N905">
        <f>2*SQRT(L905/PI())</f>
        <v/>
      </c>
      <c r="O905" t="inlineStr">
        <is>
          <t>20(4)-P01</t>
        </is>
      </c>
      <c r="P905" t="inlineStr">
        <is>
          <t>是</t>
        </is>
      </c>
      <c r="Q905" t="inlineStr">
        <is>
          <t>auto_pipeline;review_png_green</t>
        </is>
      </c>
      <c r="R905" t="inlineStr">
        <is>
          <t>样品20</t>
        </is>
      </c>
    </row>
    <row r="906">
      <c r="A906" t="n">
        <v>905</v>
      </c>
      <c r="B906" t="inlineStr">
        <is>
          <t>20 (4).tif</t>
        </is>
      </c>
      <c r="C906" t="inlineStr">
        <is>
          <t>20(4)-V03</t>
        </is>
      </c>
      <c r="D906" t="n">
        <v>3</v>
      </c>
      <c r="E906" t="inlineStr">
        <is>
          <t>primary</t>
        </is>
      </c>
      <c r="F906" t="n">
        <v>193.6672967863894</v>
      </c>
      <c r="G906">
        <f>2*SQRT(F906/PI())</f>
        <v/>
      </c>
      <c r="H906" t="n">
        <v>52.78129069701485</v>
      </c>
      <c r="I906" t="n">
        <v>452</v>
      </c>
      <c r="J906" t="n">
        <v>264</v>
      </c>
      <c r="K906" t="n">
        <v>189.7939508506616</v>
      </c>
      <c r="L906" t="n">
        <v>197.5406427221172</v>
      </c>
      <c r="M906">
        <f>2*SQRT(K906/PI())</f>
        <v/>
      </c>
      <c r="N906">
        <f>2*SQRT(L906/PI())</f>
        <v/>
      </c>
      <c r="P906" t="inlineStr">
        <is>
          <t>是</t>
        </is>
      </c>
      <c r="Q906" t="inlineStr">
        <is>
          <t>auto_pipeline;review_png_green</t>
        </is>
      </c>
      <c r="R906" t="inlineStr">
        <is>
          <t>样品20</t>
        </is>
      </c>
    </row>
    <row r="907">
      <c r="A907" t="n">
        <v>906</v>
      </c>
      <c r="B907" t="inlineStr">
        <is>
          <t>20 (5).tif</t>
        </is>
      </c>
      <c r="C907" t="inlineStr">
        <is>
          <t>20(5)-V01</t>
        </is>
      </c>
      <c r="D907" t="n">
        <v>1</v>
      </c>
      <c r="E907" t="inlineStr">
        <is>
          <t>primary</t>
        </is>
      </c>
      <c r="F907" t="n">
        <v>980.4584120982987</v>
      </c>
      <c r="G907">
        <f>2*SQRT(F907/PI())</f>
        <v/>
      </c>
      <c r="H907" t="n">
        <v>119.1553882153138</v>
      </c>
      <c r="I907" t="n">
        <v>192</v>
      </c>
      <c r="J907" t="n">
        <v>127</v>
      </c>
      <c r="K907" t="n">
        <v>960.8492438563327</v>
      </c>
      <c r="L907" t="n">
        <v>1000.067580340265</v>
      </c>
      <c r="M907">
        <f>2*SQRT(K907/PI())</f>
        <v/>
      </c>
      <c r="N907">
        <f>2*SQRT(L907/PI())</f>
        <v/>
      </c>
      <c r="P907" t="inlineStr">
        <is>
          <t>是</t>
        </is>
      </c>
      <c r="Q907" t="inlineStr">
        <is>
          <t>auto_pipeline;review_png_green</t>
        </is>
      </c>
      <c r="R907" t="inlineStr">
        <is>
          <t>样品20</t>
        </is>
      </c>
    </row>
    <row r="908">
      <c r="A908" t="n">
        <v>907</v>
      </c>
      <c r="B908" t="inlineStr">
        <is>
          <t>20 (5).tif</t>
        </is>
      </c>
      <c r="C908" t="inlineStr">
        <is>
          <t>20(5)-V02</t>
        </is>
      </c>
      <c r="D908" t="n">
        <v>2</v>
      </c>
      <c r="E908" t="inlineStr">
        <is>
          <t>primary</t>
        </is>
      </c>
      <c r="F908" t="n">
        <v>646.4319470699432</v>
      </c>
      <c r="G908">
        <f>2*SQRT(F908/PI())</f>
        <v/>
      </c>
      <c r="H908" t="n">
        <v>96.52859249840611</v>
      </c>
      <c r="I908" t="n">
        <v>420</v>
      </c>
      <c r="J908" t="n">
        <v>388</v>
      </c>
      <c r="K908" t="n">
        <v>633.5033081285444</v>
      </c>
      <c r="L908" t="n">
        <v>659.3605860113421</v>
      </c>
      <c r="M908">
        <f>2*SQRT(K908/PI())</f>
        <v/>
      </c>
      <c r="N908">
        <f>2*SQRT(L908/PI())</f>
        <v/>
      </c>
      <c r="P908" t="inlineStr">
        <is>
          <t>是</t>
        </is>
      </c>
      <c r="Q908" t="inlineStr">
        <is>
          <t>auto_pipeline;review_png_green</t>
        </is>
      </c>
      <c r="R908" t="inlineStr">
        <is>
          <t>样品20</t>
        </is>
      </c>
    </row>
    <row r="909">
      <c r="A909" t="n">
        <v>908</v>
      </c>
      <c r="B909" t="inlineStr">
        <is>
          <t>20 (5).tif</t>
        </is>
      </c>
      <c r="C909" t="inlineStr">
        <is>
          <t>20(5)-V03</t>
        </is>
      </c>
      <c r="D909" t="n">
        <v>3</v>
      </c>
      <c r="E909" t="inlineStr">
        <is>
          <t>primary</t>
        </is>
      </c>
      <c r="F909" t="n">
        <v>481.8289224952741</v>
      </c>
      <c r="G909">
        <f>2*SQRT(F909/PI())</f>
        <v/>
      </c>
      <c r="H909" t="n">
        <v>82.44825510875039</v>
      </c>
      <c r="I909" t="n">
        <v>552</v>
      </c>
      <c r="J909" t="n">
        <v>331</v>
      </c>
      <c r="K909" t="n">
        <v>472.1923440453687</v>
      </c>
      <c r="L909" t="n">
        <v>491.4655009451796</v>
      </c>
      <c r="M909">
        <f>2*SQRT(K909/PI())</f>
        <v/>
      </c>
      <c r="N909">
        <f>2*SQRT(L909/PI())</f>
        <v/>
      </c>
      <c r="P909" t="inlineStr">
        <is>
          <t>是</t>
        </is>
      </c>
      <c r="Q909" t="inlineStr">
        <is>
          <t>auto_pipeline;review_png_green</t>
        </is>
      </c>
      <c r="R909" t="inlineStr">
        <is>
          <t>样品20</t>
        </is>
      </c>
    </row>
    <row r="910">
      <c r="A910" t="n">
        <v>909</v>
      </c>
      <c r="B910" t="inlineStr">
        <is>
          <t>20 (5).tif</t>
        </is>
      </c>
      <c r="C910" t="inlineStr">
        <is>
          <t>20(5)-V04</t>
        </is>
      </c>
      <c r="D910" t="n">
        <v>4</v>
      </c>
      <c r="E910" t="inlineStr">
        <is>
          <t>primary</t>
        </is>
      </c>
      <c r="F910" t="n">
        <v>323.6767485822306</v>
      </c>
      <c r="G910">
        <f>2*SQRT(F910/PI())</f>
        <v/>
      </c>
      <c r="H910" t="n">
        <v>69.9797032708707</v>
      </c>
      <c r="I910" t="n">
        <v>169</v>
      </c>
      <c r="J910" t="n">
        <v>373</v>
      </c>
      <c r="K910" t="n">
        <v>317.203213610586</v>
      </c>
      <c r="L910" t="n">
        <v>330.1502835538752</v>
      </c>
      <c r="M910">
        <f>2*SQRT(K910/PI())</f>
        <v/>
      </c>
      <c r="N910">
        <f>2*SQRT(L910/PI())</f>
        <v/>
      </c>
      <c r="P910" t="inlineStr">
        <is>
          <t>是</t>
        </is>
      </c>
      <c r="Q910" t="inlineStr">
        <is>
          <t>auto_pipeline;review_png_green</t>
        </is>
      </c>
      <c r="R910" t="inlineStr">
        <is>
          <t>样品20</t>
        </is>
      </c>
    </row>
    <row r="911">
      <c r="A911" t="n">
        <v>910</v>
      </c>
      <c r="B911" t="inlineStr">
        <is>
          <t>20 (5).tif</t>
        </is>
      </c>
      <c r="C911" t="inlineStr">
        <is>
          <t>20(5)-V05</t>
        </is>
      </c>
      <c r="D911" t="n">
        <v>5</v>
      </c>
      <c r="E911" t="inlineStr">
        <is>
          <t>primary</t>
        </is>
      </c>
      <c r="F911" t="n">
        <v>298.9366729678639</v>
      </c>
      <c r="G911">
        <f>2*SQRT(F911/PI())</f>
        <v/>
      </c>
      <c r="H911" t="n">
        <v>66.26860159894694</v>
      </c>
      <c r="I911" t="n">
        <v>585</v>
      </c>
      <c r="J911" t="n">
        <v>96</v>
      </c>
      <c r="K911" t="n">
        <v>292.9579395085066</v>
      </c>
      <c r="L911" t="n">
        <v>304.9154064272212</v>
      </c>
      <c r="M911">
        <f>2*SQRT(K911/PI())</f>
        <v/>
      </c>
      <c r="N911">
        <f>2*SQRT(L911/PI())</f>
        <v/>
      </c>
      <c r="P911" t="inlineStr">
        <is>
          <t>是</t>
        </is>
      </c>
      <c r="Q911" t="inlineStr">
        <is>
          <t>auto_pipeline;review_png_green</t>
        </is>
      </c>
      <c r="R911" t="inlineStr">
        <is>
          <t>样品20</t>
        </is>
      </c>
    </row>
    <row r="912">
      <c r="A912" t="n">
        <v>911</v>
      </c>
      <c r="B912" t="inlineStr">
        <is>
          <t>20 (5).tif</t>
        </is>
      </c>
      <c r="C912" t="inlineStr">
        <is>
          <t>20(5)-V06</t>
        </is>
      </c>
      <c r="D912" t="n">
        <v>6</v>
      </c>
      <c r="E912" t="inlineStr">
        <is>
          <t>primary</t>
        </is>
      </c>
      <c r="F912" t="n">
        <v>170.179584120983</v>
      </c>
      <c r="G912">
        <f>2*SQRT(F912/PI())</f>
        <v/>
      </c>
      <c r="H912" t="n">
        <v>51.40234594759734</v>
      </c>
      <c r="I912" t="n">
        <v>697</v>
      </c>
      <c r="J912" t="n">
        <v>591</v>
      </c>
      <c r="K912" t="n">
        <v>166.7759924385633</v>
      </c>
      <c r="L912" t="n">
        <v>173.5831758034026</v>
      </c>
      <c r="M912">
        <f>2*SQRT(K912/PI())</f>
        <v/>
      </c>
      <c r="N912">
        <f>2*SQRT(L912/PI())</f>
        <v/>
      </c>
      <c r="P912" t="inlineStr">
        <is>
          <t>是</t>
        </is>
      </c>
      <c r="Q912" t="inlineStr">
        <is>
          <t>auto_pipeline;review_png_green</t>
        </is>
      </c>
      <c r="R912" t="inlineStr">
        <is>
          <t>样品20</t>
        </is>
      </c>
    </row>
    <row r="913">
      <c r="A913" t="n">
        <v>912</v>
      </c>
      <c r="B913" t="inlineStr">
        <is>
          <t>20 (6).tif</t>
        </is>
      </c>
      <c r="C913" t="inlineStr">
        <is>
          <t>20(6)-V01</t>
        </is>
      </c>
      <c r="D913" t="n">
        <v>1</v>
      </c>
      <c r="E913" t="inlineStr">
        <is>
          <t>primary</t>
        </is>
      </c>
      <c r="F913" t="n">
        <v>530.9310018903592</v>
      </c>
      <c r="G913">
        <f>2*SQRT(F913/PI())</f>
        <v/>
      </c>
      <c r="H913" t="n">
        <v>86.6468873490458</v>
      </c>
      <c r="I913" t="n">
        <v>441</v>
      </c>
      <c r="J913" t="n">
        <v>357</v>
      </c>
      <c r="K913" t="n">
        <v>520.312381852552</v>
      </c>
      <c r="L913" t="n">
        <v>541.5496219281664</v>
      </c>
      <c r="M913">
        <f>2*SQRT(K913/PI())</f>
        <v/>
      </c>
      <c r="N913">
        <f>2*SQRT(L913/PI())</f>
        <v/>
      </c>
      <c r="P913" t="inlineStr">
        <is>
          <t>是</t>
        </is>
      </c>
      <c r="Q913" t="inlineStr">
        <is>
          <t>auto_pipeline;review_png_green</t>
        </is>
      </c>
      <c r="R913" t="inlineStr">
        <is>
          <t>样品20</t>
        </is>
      </c>
    </row>
    <row r="914">
      <c r="A914" t="n">
        <v>913</v>
      </c>
      <c r="B914" t="inlineStr">
        <is>
          <t>20 (6).tif</t>
        </is>
      </c>
      <c r="C914" t="inlineStr">
        <is>
          <t>20(6)-V02</t>
        </is>
      </c>
      <c r="D914" t="n">
        <v>2</v>
      </c>
      <c r="E914" t="inlineStr">
        <is>
          <t>primary</t>
        </is>
      </c>
      <c r="F914" t="n">
        <v>434.6880907372401</v>
      </c>
      <c r="G914">
        <f>2*SQRT(F914/PI())</f>
        <v/>
      </c>
      <c r="H914" t="n">
        <v>79.09733912219171</v>
      </c>
      <c r="I914" t="n">
        <v>602</v>
      </c>
      <c r="J914" t="n">
        <v>347</v>
      </c>
      <c r="K914" t="n">
        <v>425.9943289224953</v>
      </c>
      <c r="L914" t="n">
        <v>443.3818525519849</v>
      </c>
      <c r="M914">
        <f>2*SQRT(K914/PI())</f>
        <v/>
      </c>
      <c r="N914">
        <f>2*SQRT(L914/PI())</f>
        <v/>
      </c>
      <c r="P914" t="inlineStr">
        <is>
          <t>是</t>
        </is>
      </c>
      <c r="Q914" t="inlineStr">
        <is>
          <t>auto_pipeline;review_png_green</t>
        </is>
      </c>
      <c r="R914" t="inlineStr">
        <is>
          <t>样品20</t>
        </is>
      </c>
    </row>
    <row r="915">
      <c r="A915" t="n">
        <v>914</v>
      </c>
      <c r="B915" t="inlineStr">
        <is>
          <t>20 (6).tif</t>
        </is>
      </c>
      <c r="C915" t="inlineStr">
        <is>
          <t>20(6)-V03</t>
        </is>
      </c>
      <c r="D915" t="n">
        <v>3</v>
      </c>
      <c r="E915" t="inlineStr">
        <is>
          <t>primary</t>
        </is>
      </c>
      <c r="F915" t="n">
        <v>389.8393194706994</v>
      </c>
      <c r="G915">
        <f>2*SQRT(F915/PI())</f>
        <v/>
      </c>
      <c r="H915" t="n">
        <v>74.79321096254432</v>
      </c>
      <c r="I915" t="n">
        <v>778</v>
      </c>
      <c r="J915" t="n">
        <v>333</v>
      </c>
      <c r="K915" t="n">
        <v>382.0425330812854</v>
      </c>
      <c r="L915" t="n">
        <v>397.6361058601134</v>
      </c>
      <c r="M915">
        <f>2*SQRT(K915/PI())</f>
        <v/>
      </c>
      <c r="N915">
        <f>2*SQRT(L915/PI())</f>
        <v/>
      </c>
      <c r="P915" t="inlineStr">
        <is>
          <t>是</t>
        </is>
      </c>
      <c r="Q915" t="inlineStr">
        <is>
          <t>auto_pipeline;review_png_green</t>
        </is>
      </c>
      <c r="R915" t="inlineStr">
        <is>
          <t>样品20</t>
        </is>
      </c>
    </row>
    <row r="916">
      <c r="A916" t="n">
        <v>915</v>
      </c>
      <c r="B916" t="inlineStr">
        <is>
          <t>20 (6).tif</t>
        </is>
      </c>
      <c r="C916" t="inlineStr">
        <is>
          <t>20(6)-V04</t>
        </is>
      </c>
      <c r="D916" t="n">
        <v>4</v>
      </c>
      <c r="E916" t="inlineStr">
        <is>
          <t>primary</t>
        </is>
      </c>
      <c r="F916" t="n">
        <v>288.9413988657845</v>
      </c>
      <c r="G916">
        <f>2*SQRT(F916/PI())</f>
        <v/>
      </c>
      <c r="H916" t="n">
        <v>72.22821323767953</v>
      </c>
      <c r="I916" t="n">
        <v>603</v>
      </c>
      <c r="J916" t="n">
        <v>44</v>
      </c>
      <c r="K916" t="n">
        <v>283.1625708884688</v>
      </c>
      <c r="L916" t="n">
        <v>294.7202268431002</v>
      </c>
      <c r="M916">
        <f>2*SQRT(K916/PI())</f>
        <v/>
      </c>
      <c r="N916">
        <f>2*SQRT(L916/PI())</f>
        <v/>
      </c>
      <c r="P916" t="inlineStr">
        <is>
          <t>是</t>
        </is>
      </c>
      <c r="Q916" t="inlineStr">
        <is>
          <t>auto_pipeline;review_png_green</t>
        </is>
      </c>
      <c r="R916" t="inlineStr">
        <is>
          <t>样品20</t>
        </is>
      </c>
    </row>
    <row r="917">
      <c r="A917" t="n">
        <v>916</v>
      </c>
      <c r="B917" t="inlineStr">
        <is>
          <t>20 (6).tif</t>
        </is>
      </c>
      <c r="C917" t="inlineStr">
        <is>
          <t>20(6)-V05</t>
        </is>
      </c>
      <c r="D917" t="n">
        <v>5</v>
      </c>
      <c r="E917" t="inlineStr">
        <is>
          <t>primary</t>
        </is>
      </c>
      <c r="F917" t="n">
        <v>116.3988657844991</v>
      </c>
      <c r="G917">
        <f>2*SQRT(F917/PI())</f>
        <v/>
      </c>
      <c r="H917" t="n">
        <v>50.00530113344607</v>
      </c>
      <c r="I917" t="n">
        <v>207</v>
      </c>
      <c r="J917" t="n">
        <v>425</v>
      </c>
      <c r="K917" t="n">
        <v>114.0708884688091</v>
      </c>
      <c r="L917" t="n">
        <v>118.726843100189</v>
      </c>
      <c r="M917">
        <f>2*SQRT(K917/PI())</f>
        <v/>
      </c>
      <c r="N917">
        <f>2*SQRT(L917/PI())</f>
        <v/>
      </c>
      <c r="P917" t="inlineStr">
        <is>
          <t>是</t>
        </is>
      </c>
      <c r="Q917" t="inlineStr">
        <is>
          <t>auto_pipeline;review_png_green</t>
        </is>
      </c>
      <c r="R917" t="inlineStr">
        <is>
          <t>样品20</t>
        </is>
      </c>
    </row>
    <row r="918">
      <c r="A918" t="n">
        <v>917</v>
      </c>
      <c r="B918" t="inlineStr">
        <is>
          <t>20 (7).tif</t>
        </is>
      </c>
      <c r="C918" t="inlineStr">
        <is>
          <t>20(7)-V01</t>
        </is>
      </c>
      <c r="D918" t="n">
        <v>1</v>
      </c>
      <c r="E918" t="inlineStr">
        <is>
          <t>primary</t>
        </is>
      </c>
      <c r="F918" t="n">
        <v>606.5217391304348</v>
      </c>
      <c r="G918">
        <f>2*SQRT(F918/PI())</f>
        <v/>
      </c>
      <c r="H918" t="n">
        <v>92.20261537510416</v>
      </c>
      <c r="I918" t="n">
        <v>616</v>
      </c>
      <c r="J918" t="n">
        <v>380</v>
      </c>
      <c r="K918" t="n">
        <v>594.391304347826</v>
      </c>
      <c r="L918" t="n">
        <v>618.6521739130435</v>
      </c>
      <c r="M918">
        <f>2*SQRT(K918/PI())</f>
        <v/>
      </c>
      <c r="N918">
        <f>2*SQRT(L918/PI())</f>
        <v/>
      </c>
      <c r="O918" t="inlineStr">
        <is>
          <t>20(7)-P01</t>
        </is>
      </c>
      <c r="P918" t="inlineStr">
        <is>
          <t>是</t>
        </is>
      </c>
      <c r="Q918" t="inlineStr">
        <is>
          <t>auto_pipeline;review_png_green</t>
        </is>
      </c>
      <c r="R918" t="inlineStr">
        <is>
          <t>样品20</t>
        </is>
      </c>
    </row>
    <row r="919">
      <c r="A919" t="n">
        <v>918</v>
      </c>
      <c r="B919" t="inlineStr">
        <is>
          <t>20 (7).tif</t>
        </is>
      </c>
      <c r="C919" t="inlineStr">
        <is>
          <t>20(7)-V02</t>
        </is>
      </c>
      <c r="D919" t="n">
        <v>2</v>
      </c>
      <c r="E919" t="inlineStr">
        <is>
          <t>primary</t>
        </is>
      </c>
      <c r="F919" t="n">
        <v>523.7476370510396</v>
      </c>
      <c r="G919">
        <f>2*SQRT(F919/PI())</f>
        <v/>
      </c>
      <c r="H919" t="n">
        <v>85.77732213165449</v>
      </c>
      <c r="I919" t="n">
        <v>473</v>
      </c>
      <c r="J919" t="n">
        <v>333</v>
      </c>
      <c r="K919" t="n">
        <v>513.2726843100188</v>
      </c>
      <c r="L919" t="n">
        <v>534.2225897920605</v>
      </c>
      <c r="M919">
        <f>2*SQRT(K919/PI())</f>
        <v/>
      </c>
      <c r="N919">
        <f>2*SQRT(L919/PI())</f>
        <v/>
      </c>
      <c r="O919" t="inlineStr">
        <is>
          <t>20(7)-P01</t>
        </is>
      </c>
      <c r="P919" t="inlineStr">
        <is>
          <t>是</t>
        </is>
      </c>
      <c r="Q919" t="inlineStr">
        <is>
          <t>auto_pipeline;review_png_green</t>
        </is>
      </c>
      <c r="R919" t="inlineStr">
        <is>
          <t>样品20</t>
        </is>
      </c>
    </row>
    <row r="920">
      <c r="A920" t="n">
        <v>919</v>
      </c>
      <c r="B920" t="inlineStr">
        <is>
          <t>20 (7).tif</t>
        </is>
      </c>
      <c r="C920" t="inlineStr">
        <is>
          <t>20(7)-V03</t>
        </is>
      </c>
      <c r="D920" t="n">
        <v>3</v>
      </c>
      <c r="E920" t="inlineStr">
        <is>
          <t>primary</t>
        </is>
      </c>
      <c r="F920" t="n">
        <v>479.7731568998109</v>
      </c>
      <c r="G920">
        <f>2*SQRT(F920/PI())</f>
        <v/>
      </c>
      <c r="H920" t="n">
        <v>82.32091022574383</v>
      </c>
      <c r="I920" t="n">
        <v>842</v>
      </c>
      <c r="J920" t="n">
        <v>395</v>
      </c>
      <c r="K920" t="n">
        <v>470.1776937618147</v>
      </c>
      <c r="L920" t="n">
        <v>489.3686200378071</v>
      </c>
      <c r="M920">
        <f>2*SQRT(K920/PI())</f>
        <v/>
      </c>
      <c r="N920">
        <f>2*SQRT(L920/PI())</f>
        <v/>
      </c>
      <c r="P920" t="inlineStr">
        <is>
          <t>是</t>
        </is>
      </c>
      <c r="Q920" t="inlineStr">
        <is>
          <t>auto_pipeline;review_png_green</t>
        </is>
      </c>
      <c r="R920" t="inlineStr">
        <is>
          <t>样品20</t>
        </is>
      </c>
    </row>
    <row r="921">
      <c r="A921" t="n">
        <v>920</v>
      </c>
      <c r="B921" t="inlineStr">
        <is>
          <t>20 (7).tif</t>
        </is>
      </c>
      <c r="C921" t="inlineStr">
        <is>
          <t>20(7)-V04</t>
        </is>
      </c>
      <c r="D921" t="n">
        <v>4</v>
      </c>
      <c r="E921" t="inlineStr">
        <is>
          <t>primary</t>
        </is>
      </c>
      <c r="F921" t="n">
        <v>401.5122873345936</v>
      </c>
      <c r="G921">
        <f>2*SQRT(F921/PI())</f>
        <v/>
      </c>
      <c r="H921" t="n">
        <v>86.66873631270035</v>
      </c>
      <c r="I921" t="n">
        <v>368</v>
      </c>
      <c r="J921" t="n">
        <v>576</v>
      </c>
      <c r="K921" t="n">
        <v>393.4820415879017</v>
      </c>
      <c r="L921" t="n">
        <v>409.5425330812855</v>
      </c>
      <c r="M921">
        <f>2*SQRT(K921/PI())</f>
        <v/>
      </c>
      <c r="N921">
        <f>2*SQRT(L921/PI())</f>
        <v/>
      </c>
      <c r="P921" t="inlineStr">
        <is>
          <t>是</t>
        </is>
      </c>
      <c r="Q921" t="inlineStr">
        <is>
          <t>auto_pipeline;review_png_green</t>
        </is>
      </c>
      <c r="R921" t="inlineStr">
        <is>
          <t>样品20</t>
        </is>
      </c>
    </row>
    <row r="922">
      <c r="A922" t="n">
        <v>921</v>
      </c>
      <c r="B922" t="inlineStr">
        <is>
          <t>20 (7).tif</t>
        </is>
      </c>
      <c r="C922" t="inlineStr">
        <is>
          <t>20(7)-V05</t>
        </is>
      </c>
      <c r="D922" t="n">
        <v>5</v>
      </c>
      <c r="E922" t="inlineStr">
        <is>
          <t>primary</t>
        </is>
      </c>
      <c r="F922" t="n">
        <v>346.2192816635161</v>
      </c>
      <c r="G922">
        <f>2*SQRT(F922/PI())</f>
        <v/>
      </c>
      <c r="H922" t="n">
        <v>73.51976213247879</v>
      </c>
      <c r="I922" t="n">
        <v>795</v>
      </c>
      <c r="J922" t="n">
        <v>181</v>
      </c>
      <c r="K922" t="n">
        <v>339.2948960302458</v>
      </c>
      <c r="L922" t="n">
        <v>353.1436672967864</v>
      </c>
      <c r="M922">
        <f>2*SQRT(K922/PI())</f>
        <v/>
      </c>
      <c r="N922">
        <f>2*SQRT(L922/PI())</f>
        <v/>
      </c>
      <c r="P922" t="inlineStr">
        <is>
          <t>是</t>
        </is>
      </c>
      <c r="Q922" t="inlineStr">
        <is>
          <t>auto_pipeline;review_png_green</t>
        </is>
      </c>
      <c r="R922" t="inlineStr">
        <is>
          <t>样品20</t>
        </is>
      </c>
    </row>
    <row r="923">
      <c r="A923" t="n">
        <v>922</v>
      </c>
      <c r="B923" t="inlineStr">
        <is>
          <t>20 (7).tif</t>
        </is>
      </c>
      <c r="C923" t="inlineStr">
        <is>
          <t>20(7)-V06</t>
        </is>
      </c>
      <c r="D923" t="n">
        <v>6</v>
      </c>
      <c r="E923" t="inlineStr">
        <is>
          <t>primary</t>
        </is>
      </c>
      <c r="F923" t="n">
        <v>200.6143667296786</v>
      </c>
      <c r="G923">
        <f>2*SQRT(F923/PI())</f>
        <v/>
      </c>
      <c r="H923" t="n">
        <v>54.88060681716255</v>
      </c>
      <c r="I923" t="n">
        <v>968</v>
      </c>
      <c r="J923" t="n">
        <v>570</v>
      </c>
      <c r="K923" t="n">
        <v>196.6020793950851</v>
      </c>
      <c r="L923" t="n">
        <v>204.6266540642722</v>
      </c>
      <c r="M923">
        <f>2*SQRT(K923/PI())</f>
        <v/>
      </c>
      <c r="N923">
        <f>2*SQRT(L923/PI())</f>
        <v/>
      </c>
      <c r="P923" t="inlineStr">
        <is>
          <t>是</t>
        </is>
      </c>
      <c r="Q923" t="inlineStr">
        <is>
          <t>auto_pipeline;review_png_green</t>
        </is>
      </c>
      <c r="R923" t="inlineStr">
        <is>
          <t>样品20</t>
        </is>
      </c>
    </row>
    <row r="924">
      <c r="A924" t="n">
        <v>923</v>
      </c>
      <c r="B924" t="inlineStr">
        <is>
          <t>20 (7).tif</t>
        </is>
      </c>
      <c r="C924" t="inlineStr">
        <is>
          <t>20(7)-V07</t>
        </is>
      </c>
      <c r="D924" t="n">
        <v>7</v>
      </c>
      <c r="E924" t="inlineStr">
        <is>
          <t>primary</t>
        </is>
      </c>
      <c r="F924" t="n">
        <v>154.796786389414</v>
      </c>
      <c r="G924">
        <f>2*SQRT(F924/PI())</f>
        <v/>
      </c>
      <c r="H924" t="n">
        <v>48.09512788834779</v>
      </c>
      <c r="I924" t="n">
        <v>880</v>
      </c>
      <c r="J924" t="n">
        <v>540</v>
      </c>
      <c r="K924" t="n">
        <v>151.7008506616257</v>
      </c>
      <c r="L924" t="n">
        <v>157.8927221172023</v>
      </c>
      <c r="M924">
        <f>2*SQRT(K924/PI())</f>
        <v/>
      </c>
      <c r="N924">
        <f>2*SQRT(L924/PI())</f>
        <v/>
      </c>
      <c r="P924" t="inlineStr">
        <is>
          <t>是</t>
        </is>
      </c>
      <c r="Q924" t="inlineStr">
        <is>
          <t>auto_pipeline;review_png_green</t>
        </is>
      </c>
      <c r="R924" t="inlineStr">
        <is>
          <t>样品20</t>
        </is>
      </c>
    </row>
    <row r="925">
      <c r="A925" t="n">
        <v>924</v>
      </c>
      <c r="B925" t="inlineStr">
        <is>
          <t>20 (8).tif</t>
        </is>
      </c>
      <c r="C925" t="inlineStr">
        <is>
          <t>20(8)-V01</t>
        </is>
      </c>
      <c r="D925" t="n">
        <v>1</v>
      </c>
      <c r="E925" t="inlineStr">
        <is>
          <t>primary</t>
        </is>
      </c>
      <c r="F925" t="n">
        <v>402.8119092627599</v>
      </c>
      <c r="G925">
        <f>2*SQRT(F925/PI())</f>
        <v/>
      </c>
      <c r="H925" t="n">
        <v>75.89561698229416</v>
      </c>
      <c r="I925" t="n">
        <v>457</v>
      </c>
      <c r="J925" t="n">
        <v>312</v>
      </c>
      <c r="K925" t="n">
        <v>394.7556710775047</v>
      </c>
      <c r="L925" t="n">
        <v>410.8681474480151</v>
      </c>
      <c r="M925">
        <f>2*SQRT(K925/PI())</f>
        <v/>
      </c>
      <c r="N925">
        <f>2*SQRT(L925/PI())</f>
        <v/>
      </c>
      <c r="P925" t="inlineStr">
        <is>
          <t>是</t>
        </is>
      </c>
      <c r="Q925" t="inlineStr">
        <is>
          <t>auto_pipeline;review_png_green</t>
        </is>
      </c>
      <c r="R925" t="inlineStr">
        <is>
          <t>样品20</t>
        </is>
      </c>
    </row>
    <row r="926">
      <c r="A926" t="n">
        <v>925</v>
      </c>
      <c r="B926" t="inlineStr">
        <is>
          <t>20 (8).tif</t>
        </is>
      </c>
      <c r="C926" t="inlineStr">
        <is>
          <t>20(8)-V02</t>
        </is>
      </c>
      <c r="D926" t="n">
        <v>2</v>
      </c>
      <c r="E926" t="inlineStr">
        <is>
          <t>primary</t>
        </is>
      </c>
      <c r="F926" t="n">
        <v>382.4432892249528</v>
      </c>
      <c r="G926">
        <f>2*SQRT(F926/PI())</f>
        <v/>
      </c>
      <c r="H926" t="n">
        <v>73.79630086214645</v>
      </c>
      <c r="I926" t="n">
        <v>563</v>
      </c>
      <c r="J926" t="n">
        <v>410</v>
      </c>
      <c r="K926" t="n">
        <v>374.7944234404537</v>
      </c>
      <c r="L926" t="n">
        <v>390.0921550094518</v>
      </c>
      <c r="M926">
        <f>2*SQRT(K926/PI())</f>
        <v/>
      </c>
      <c r="N926">
        <f>2*SQRT(L926/PI())</f>
        <v/>
      </c>
      <c r="P926" t="inlineStr">
        <is>
          <t>是</t>
        </is>
      </c>
      <c r="Q926" t="inlineStr">
        <is>
          <t>auto_pipeline;review_png_green</t>
        </is>
      </c>
      <c r="R926" t="inlineStr">
        <is>
          <t>样品20</t>
        </is>
      </c>
    </row>
    <row r="927">
      <c r="A927" t="n">
        <v>926</v>
      </c>
      <c r="B927" t="inlineStr">
        <is>
          <t>20 (8).tif</t>
        </is>
      </c>
      <c r="C927" t="inlineStr">
        <is>
          <t>20(8)-V03</t>
        </is>
      </c>
      <c r="D927" t="n">
        <v>3</v>
      </c>
      <c r="E927" t="inlineStr">
        <is>
          <t>primary</t>
        </is>
      </c>
      <c r="F927" t="n">
        <v>224.2911153119093</v>
      </c>
      <c r="G927">
        <f>2*SQRT(F927/PI())</f>
        <v/>
      </c>
      <c r="H927" t="n">
        <v>62.61929791906606</v>
      </c>
      <c r="I927" t="n">
        <v>754</v>
      </c>
      <c r="J927" t="n">
        <v>506</v>
      </c>
      <c r="K927" t="n">
        <v>219.8052930056711</v>
      </c>
      <c r="L927" t="n">
        <v>228.7769376181475</v>
      </c>
      <c r="M927">
        <f>2*SQRT(K927/PI())</f>
        <v/>
      </c>
      <c r="N927">
        <f>2*SQRT(L927/PI())</f>
        <v/>
      </c>
      <c r="P927" t="inlineStr">
        <is>
          <t>是</t>
        </is>
      </c>
      <c r="Q927" t="inlineStr">
        <is>
          <t>auto_pipeline;review_png_green</t>
        </is>
      </c>
      <c r="R927" t="inlineStr">
        <is>
          <t>样品20</t>
        </is>
      </c>
    </row>
    <row r="928">
      <c r="A928" t="n">
        <v>927</v>
      </c>
      <c r="B928" t="inlineStr">
        <is>
          <t>20 (8).tif</t>
        </is>
      </c>
      <c r="C928" t="inlineStr">
        <is>
          <t>20(8)-V04</t>
        </is>
      </c>
      <c r="D928" t="n">
        <v>4</v>
      </c>
      <c r="E928" t="inlineStr">
        <is>
          <t>primary</t>
        </is>
      </c>
      <c r="F928" t="n">
        <v>180.6947069943289</v>
      </c>
      <c r="G928">
        <f>2*SQRT(F928/PI())</f>
        <v/>
      </c>
      <c r="H928" t="n">
        <v>51.78438059661699</v>
      </c>
      <c r="I928" t="n">
        <v>181</v>
      </c>
      <c r="J928" t="n">
        <v>583</v>
      </c>
      <c r="K928" t="n">
        <v>177.0808128544423</v>
      </c>
      <c r="L928" t="n">
        <v>184.3086011342155</v>
      </c>
      <c r="M928">
        <f>2*SQRT(K928/PI())</f>
        <v/>
      </c>
      <c r="N928">
        <f>2*SQRT(L928/PI())</f>
        <v/>
      </c>
      <c r="P928" t="inlineStr">
        <is>
          <t>是</t>
        </is>
      </c>
      <c r="Q928" t="inlineStr">
        <is>
          <t>auto_pipeline;review_png_green</t>
        </is>
      </c>
      <c r="R928" t="inlineStr">
        <is>
          <t>样品20</t>
        </is>
      </c>
    </row>
    <row r="929">
      <c r="A929" t="n">
        <v>928</v>
      </c>
      <c r="B929" t="inlineStr">
        <is>
          <t>20 (8).tif</t>
        </is>
      </c>
      <c r="C929" t="inlineStr">
        <is>
          <t>20(8)-V05</t>
        </is>
      </c>
      <c r="D929" t="n">
        <v>5</v>
      </c>
      <c r="E929" t="inlineStr">
        <is>
          <t>primary</t>
        </is>
      </c>
      <c r="F929" t="n">
        <v>135.8223062381853</v>
      </c>
      <c r="G929">
        <f>2*SQRT(F929/PI())</f>
        <v/>
      </c>
      <c r="H929" t="n">
        <v>45.10439758715422</v>
      </c>
      <c r="I929" t="n">
        <v>537</v>
      </c>
      <c r="J929" t="n">
        <v>273</v>
      </c>
      <c r="K929" t="n">
        <v>133.1058601134216</v>
      </c>
      <c r="L929" t="n">
        <v>138.538752362949</v>
      </c>
      <c r="M929">
        <f>2*SQRT(K929/PI())</f>
        <v/>
      </c>
      <c r="N929">
        <f>2*SQRT(L929/PI())</f>
        <v/>
      </c>
      <c r="P929" t="inlineStr">
        <is>
          <t>是</t>
        </is>
      </c>
      <c r="Q929" t="inlineStr">
        <is>
          <t>auto_pipeline;review_png_green</t>
        </is>
      </c>
      <c r="R929" t="inlineStr">
        <is>
          <t>样品20</t>
        </is>
      </c>
    </row>
    <row r="930">
      <c r="A930" t="n">
        <v>929</v>
      </c>
      <c r="B930" t="inlineStr">
        <is>
          <t>20 (8).tif</t>
        </is>
      </c>
      <c r="C930" t="inlineStr">
        <is>
          <t>20(8)-V06</t>
        </is>
      </c>
      <c r="D930" t="n">
        <v>6</v>
      </c>
      <c r="E930" t="inlineStr">
        <is>
          <t>primary</t>
        </is>
      </c>
      <c r="F930" t="n">
        <v>116.9187145557656</v>
      </c>
      <c r="G930">
        <f>2*SQRT(F930/PI())</f>
        <v/>
      </c>
      <c r="H930" t="n">
        <v>55.30259049457052</v>
      </c>
      <c r="I930" t="n">
        <v>725</v>
      </c>
      <c r="J930" t="n">
        <v>349</v>
      </c>
      <c r="K930" t="n">
        <v>114.5803402646503</v>
      </c>
      <c r="L930" t="n">
        <v>119.2570888468809</v>
      </c>
      <c r="M930">
        <f>2*SQRT(K930/PI())</f>
        <v/>
      </c>
      <c r="N930">
        <f>2*SQRT(L930/PI())</f>
        <v/>
      </c>
      <c r="P930" t="inlineStr">
        <is>
          <t>是</t>
        </is>
      </c>
      <c r="Q930" t="inlineStr">
        <is>
          <t>auto_pipeline;review_png_green</t>
        </is>
      </c>
      <c r="R930" t="inlineStr">
        <is>
          <t>样品20</t>
        </is>
      </c>
    </row>
    <row r="931">
      <c r="A931" t="n">
        <v>930</v>
      </c>
      <c r="B931" t="inlineStr">
        <is>
          <t>21 (1).tif</t>
        </is>
      </c>
      <c r="C931" t="inlineStr">
        <is>
          <t>21(1)-V01</t>
        </is>
      </c>
      <c r="D931" t="n">
        <v>1</v>
      </c>
      <c r="E931" t="inlineStr">
        <is>
          <t>primary</t>
        </is>
      </c>
      <c r="F931" t="n">
        <v>652.6701323251418</v>
      </c>
      <c r="G931">
        <f>2*SQRT(F931/PI())</f>
        <v/>
      </c>
      <c r="H931" t="n">
        <v>95.91371704702792</v>
      </c>
      <c r="I931" t="n">
        <v>593</v>
      </c>
      <c r="J931" t="n">
        <v>394</v>
      </c>
      <c r="K931" t="n">
        <v>639.616729678639</v>
      </c>
      <c r="L931" t="n">
        <v>665.7235349716447</v>
      </c>
      <c r="M931">
        <f>2*SQRT(K931/PI())</f>
        <v/>
      </c>
      <c r="N931">
        <f>2*SQRT(L931/PI())</f>
        <v/>
      </c>
      <c r="O931" t="inlineStr">
        <is>
          <t>21(1)-P01</t>
        </is>
      </c>
      <c r="P931" t="inlineStr">
        <is>
          <t>是</t>
        </is>
      </c>
      <c r="Q931" t="inlineStr">
        <is>
          <t>auto_pipeline;review_png_green</t>
        </is>
      </c>
      <c r="R931" t="inlineStr">
        <is>
          <t>样品21</t>
        </is>
      </c>
    </row>
    <row r="932">
      <c r="A932" t="n">
        <v>931</v>
      </c>
      <c r="B932" t="inlineStr">
        <is>
          <t>21 (1).tif</t>
        </is>
      </c>
      <c r="C932" t="inlineStr">
        <is>
          <t>21(1)-V02</t>
        </is>
      </c>
      <c r="D932" t="n">
        <v>2</v>
      </c>
      <c r="E932" t="inlineStr">
        <is>
          <t>primary</t>
        </is>
      </c>
      <c r="F932" t="n">
        <v>525.6852551984878</v>
      </c>
      <c r="G932">
        <f>2*SQRT(F932/PI())</f>
        <v/>
      </c>
      <c r="H932" t="n">
        <v>87.00707303441089</v>
      </c>
      <c r="I932" t="n">
        <v>459</v>
      </c>
      <c r="J932" t="n">
        <v>333</v>
      </c>
      <c r="K932" t="n">
        <v>515.171550094518</v>
      </c>
      <c r="L932" t="n">
        <v>536.1989603024575</v>
      </c>
      <c r="M932">
        <f>2*SQRT(K932/PI())</f>
        <v/>
      </c>
      <c r="N932">
        <f>2*SQRT(L932/PI())</f>
        <v/>
      </c>
      <c r="O932" t="inlineStr">
        <is>
          <t>21(1)-P01</t>
        </is>
      </c>
      <c r="P932" t="inlineStr">
        <is>
          <t>是</t>
        </is>
      </c>
      <c r="Q932" t="inlineStr">
        <is>
          <t>auto_pipeline;review_png_green</t>
        </is>
      </c>
      <c r="R932" t="inlineStr">
        <is>
          <t>样品21</t>
        </is>
      </c>
    </row>
    <row r="933">
      <c r="A933" t="n">
        <v>932</v>
      </c>
      <c r="B933" t="inlineStr">
        <is>
          <t>21 (1).tif</t>
        </is>
      </c>
      <c r="C933" t="inlineStr">
        <is>
          <t>21(1)-V03</t>
        </is>
      </c>
      <c r="D933" t="n">
        <v>3</v>
      </c>
      <c r="E933" t="inlineStr">
        <is>
          <t>primary</t>
        </is>
      </c>
      <c r="F933" t="n">
        <v>371.9754253308129</v>
      </c>
      <c r="G933">
        <f>2*SQRT(F933/PI())</f>
        <v/>
      </c>
      <c r="H933" t="n">
        <v>73.30877029377481</v>
      </c>
      <c r="I933" t="n">
        <v>511</v>
      </c>
      <c r="J933" t="n">
        <v>143</v>
      </c>
      <c r="K933" t="n">
        <v>364.5359168241966</v>
      </c>
      <c r="L933" t="n">
        <v>379.4149338374291</v>
      </c>
      <c r="M933">
        <f>2*SQRT(K933/PI())</f>
        <v/>
      </c>
      <c r="N933">
        <f>2*SQRT(L933/PI())</f>
        <v/>
      </c>
      <c r="P933" t="inlineStr">
        <is>
          <t>是</t>
        </is>
      </c>
      <c r="Q933" t="inlineStr">
        <is>
          <t>auto_pipeline;review_png_green</t>
        </is>
      </c>
      <c r="R933" t="inlineStr">
        <is>
          <t>样品21</t>
        </is>
      </c>
    </row>
    <row r="934">
      <c r="A934" t="n">
        <v>933</v>
      </c>
      <c r="B934" t="inlineStr">
        <is>
          <t>21 (1).tif</t>
        </is>
      </c>
      <c r="C934" t="inlineStr">
        <is>
          <t>21(1)-V04</t>
        </is>
      </c>
      <c r="D934" t="n">
        <v>4</v>
      </c>
      <c r="E934" t="inlineStr">
        <is>
          <t>primary</t>
        </is>
      </c>
      <c r="F934" t="n">
        <v>149.7164461247637</v>
      </c>
      <c r="G934">
        <f>2*SQRT(F934/PI())</f>
        <v/>
      </c>
      <c r="H934" t="n">
        <v>48.43346461005833</v>
      </c>
      <c r="I934" t="n">
        <v>76</v>
      </c>
      <c r="J934" t="n">
        <v>567</v>
      </c>
      <c r="K934" t="n">
        <v>146.7221172022684</v>
      </c>
      <c r="L934" t="n">
        <v>152.710775047259</v>
      </c>
      <c r="M934">
        <f>2*SQRT(K934/PI())</f>
        <v/>
      </c>
      <c r="N934">
        <f>2*SQRT(L934/PI())</f>
        <v/>
      </c>
      <c r="P934" t="inlineStr">
        <is>
          <t>是</t>
        </is>
      </c>
      <c r="Q934" t="inlineStr">
        <is>
          <t>auto_pipeline;review_png_green</t>
        </is>
      </c>
      <c r="R934" t="inlineStr">
        <is>
          <t>样品21</t>
        </is>
      </c>
    </row>
    <row r="935">
      <c r="A935" t="n">
        <v>934</v>
      </c>
      <c r="B935" t="inlineStr">
        <is>
          <t>21 (2).tif</t>
        </is>
      </c>
      <c r="C935" t="inlineStr">
        <is>
          <t>21(2)-V01</t>
        </is>
      </c>
      <c r="D935" t="n">
        <v>1</v>
      </c>
      <c r="E935" t="inlineStr">
        <is>
          <t>primary</t>
        </is>
      </c>
      <c r="F935" t="n">
        <v>492.0132325141777</v>
      </c>
      <c r="G935">
        <f>2*SQRT(F935/PI())</f>
        <v/>
      </c>
      <c r="H935" t="n">
        <v>84.06004066052644</v>
      </c>
      <c r="I935" t="n">
        <v>576</v>
      </c>
      <c r="J935" t="n">
        <v>351</v>
      </c>
      <c r="K935" t="n">
        <v>482.1729678638941</v>
      </c>
      <c r="L935" t="n">
        <v>501.8534971644613</v>
      </c>
      <c r="M935">
        <f>2*SQRT(K935/PI())</f>
        <v/>
      </c>
      <c r="N935">
        <f>2*SQRT(L935/PI())</f>
        <v/>
      </c>
      <c r="O935" t="inlineStr">
        <is>
          <t>21(2)-P01</t>
        </is>
      </c>
      <c r="P935" t="inlineStr">
        <is>
          <t>是</t>
        </is>
      </c>
      <c r="Q935" t="inlineStr">
        <is>
          <t>auto_pipeline;review_png_green</t>
        </is>
      </c>
      <c r="R935" t="inlineStr">
        <is>
          <t>样品21</t>
        </is>
      </c>
    </row>
    <row r="936">
      <c r="A936" t="n">
        <v>935</v>
      </c>
      <c r="B936" t="inlineStr">
        <is>
          <t>21 (2).tif</t>
        </is>
      </c>
      <c r="C936" t="inlineStr">
        <is>
          <t>21(2)-V02</t>
        </is>
      </c>
      <c r="D936" t="n">
        <v>2</v>
      </c>
      <c r="E936" t="inlineStr">
        <is>
          <t>primary</t>
        </is>
      </c>
      <c r="F936" t="n">
        <v>479.7258979206049</v>
      </c>
      <c r="G936">
        <f>2*SQRT(F936/PI())</f>
        <v/>
      </c>
      <c r="H936" t="n">
        <v>83.44516520914824</v>
      </c>
      <c r="I936" t="n">
        <v>448</v>
      </c>
      <c r="J936" t="n">
        <v>384</v>
      </c>
      <c r="K936" t="n">
        <v>470.1313799621928</v>
      </c>
      <c r="L936" t="n">
        <v>489.320415879017</v>
      </c>
      <c r="M936">
        <f>2*SQRT(K936/PI())</f>
        <v/>
      </c>
      <c r="N936">
        <f>2*SQRT(L936/PI())</f>
        <v/>
      </c>
      <c r="O936" t="inlineStr">
        <is>
          <t>21(2)-P01</t>
        </is>
      </c>
      <c r="P936" t="inlineStr">
        <is>
          <t>是</t>
        </is>
      </c>
      <c r="Q936" t="inlineStr">
        <is>
          <t>auto_pipeline;review_png_green</t>
        </is>
      </c>
      <c r="R936" t="inlineStr">
        <is>
          <t>样品21</t>
        </is>
      </c>
    </row>
    <row r="937">
      <c r="A937" t="n">
        <v>936</v>
      </c>
      <c r="B937" t="inlineStr">
        <is>
          <t>21 (2).tif</t>
        </is>
      </c>
      <c r="C937" t="inlineStr">
        <is>
          <t>21(2)-V03</t>
        </is>
      </c>
      <c r="D937" t="n">
        <v>3</v>
      </c>
      <c r="E937" t="inlineStr">
        <is>
          <t>primary</t>
        </is>
      </c>
      <c r="F937" t="n">
        <v>430.3638941398866</v>
      </c>
      <c r="G937">
        <f>2*SQRT(F937/PI())</f>
        <v/>
      </c>
      <c r="H937" t="n">
        <v>79.11918808584628</v>
      </c>
      <c r="I937" t="n">
        <v>830</v>
      </c>
      <c r="J937" t="n">
        <v>548</v>
      </c>
      <c r="K937" t="n">
        <v>421.7566162570888</v>
      </c>
      <c r="L937" t="n">
        <v>438.9711720226843</v>
      </c>
      <c r="M937">
        <f>2*SQRT(K937/PI())</f>
        <v/>
      </c>
      <c r="N937">
        <f>2*SQRT(L937/PI())</f>
        <v/>
      </c>
      <c r="P937" t="inlineStr">
        <is>
          <t>是</t>
        </is>
      </c>
      <c r="Q937" t="inlineStr">
        <is>
          <t>auto_pipeline;review_png_green</t>
        </is>
      </c>
      <c r="R937" t="inlineStr">
        <is>
          <t>样品21</t>
        </is>
      </c>
    </row>
    <row r="938">
      <c r="A938" t="n">
        <v>937</v>
      </c>
      <c r="B938" t="inlineStr">
        <is>
          <t>21 (2).tif</t>
        </is>
      </c>
      <c r="C938" t="inlineStr">
        <is>
          <t>21(2)-V04</t>
        </is>
      </c>
      <c r="D938" t="n">
        <v>4</v>
      </c>
      <c r="E938" t="inlineStr">
        <is>
          <t>primary</t>
        </is>
      </c>
      <c r="F938" t="n">
        <v>411.6965973534972</v>
      </c>
      <c r="G938">
        <f>2*SQRT(F938/PI())</f>
        <v/>
      </c>
      <c r="H938" t="n">
        <v>76.51049243367237</v>
      </c>
      <c r="I938" t="n">
        <v>806</v>
      </c>
      <c r="J938" t="n">
        <v>275</v>
      </c>
      <c r="K938" t="n">
        <v>403.4626654064272</v>
      </c>
      <c r="L938" t="n">
        <v>419.9305293005671</v>
      </c>
      <c r="M938">
        <f>2*SQRT(K938/PI())</f>
        <v/>
      </c>
      <c r="N938">
        <f>2*SQRT(L938/PI())</f>
        <v/>
      </c>
      <c r="P938" t="inlineStr">
        <is>
          <t>是</t>
        </is>
      </c>
      <c r="Q938" t="inlineStr">
        <is>
          <t>auto_pipeline;review_png_green</t>
        </is>
      </c>
      <c r="R938" t="inlineStr">
        <is>
          <t>样品21</t>
        </is>
      </c>
    </row>
    <row r="939">
      <c r="A939" t="n">
        <v>938</v>
      </c>
      <c r="B939" t="inlineStr">
        <is>
          <t>21 (2).tif</t>
        </is>
      </c>
      <c r="C939" t="inlineStr">
        <is>
          <t>21(2)-V05</t>
        </is>
      </c>
      <c r="D939" t="n">
        <v>5</v>
      </c>
      <c r="E939" t="inlineStr">
        <is>
          <t>primary</t>
        </is>
      </c>
      <c r="F939" t="n">
        <v>218.265595463138</v>
      </c>
      <c r="G939">
        <f>2*SQRT(F939/PI())</f>
        <v/>
      </c>
      <c r="H939" t="n">
        <v>56.23770260292551</v>
      </c>
      <c r="I939" t="n">
        <v>169</v>
      </c>
      <c r="J939" t="n">
        <v>599</v>
      </c>
      <c r="K939" t="n">
        <v>213.9002835538752</v>
      </c>
      <c r="L939" t="n">
        <v>222.6309073724008</v>
      </c>
      <c r="M939">
        <f>2*SQRT(K939/PI())</f>
        <v/>
      </c>
      <c r="N939">
        <f>2*SQRT(L939/PI())</f>
        <v/>
      </c>
      <c r="P939" t="inlineStr">
        <is>
          <t>是</t>
        </is>
      </c>
      <c r="Q939" t="inlineStr">
        <is>
          <t>auto_pipeline;review_png_green</t>
        </is>
      </c>
      <c r="R939" t="inlineStr">
        <is>
          <t>样品21</t>
        </is>
      </c>
    </row>
    <row r="940">
      <c r="A940" t="n">
        <v>939</v>
      </c>
      <c r="B940" t="inlineStr">
        <is>
          <t>21 (2).tif</t>
        </is>
      </c>
      <c r="C940" t="inlineStr">
        <is>
          <t>21(2)-V06</t>
        </is>
      </c>
      <c r="D940" t="n">
        <v>6</v>
      </c>
      <c r="E940" t="inlineStr">
        <is>
          <t>primary</t>
        </is>
      </c>
      <c r="F940" t="n">
        <v>120.3449905482042</v>
      </c>
      <c r="G940">
        <f>2*SQRT(F940/PI())</f>
        <v/>
      </c>
      <c r="H940" t="n">
        <v>41.28779999587847</v>
      </c>
      <c r="I940" t="n">
        <v>906</v>
      </c>
      <c r="J940" t="n">
        <v>447</v>
      </c>
      <c r="K940" t="n">
        <v>117.9380907372401</v>
      </c>
      <c r="L940" t="n">
        <v>122.7518903591683</v>
      </c>
      <c r="M940">
        <f>2*SQRT(K940/PI())</f>
        <v/>
      </c>
      <c r="N940">
        <f>2*SQRT(L940/PI())</f>
        <v/>
      </c>
      <c r="P940" t="inlineStr">
        <is>
          <t>是</t>
        </is>
      </c>
      <c r="Q940" t="inlineStr">
        <is>
          <t>auto_pipeline;review_png_green</t>
        </is>
      </c>
      <c r="R940" t="inlineStr">
        <is>
          <t>样品21</t>
        </is>
      </c>
    </row>
    <row r="941">
      <c r="A941" t="n">
        <v>940</v>
      </c>
      <c r="B941" t="inlineStr">
        <is>
          <t>21 (3).tif</t>
        </is>
      </c>
      <c r="C941" t="inlineStr">
        <is>
          <t>21(3)-V01</t>
        </is>
      </c>
      <c r="D941" t="n">
        <v>1</v>
      </c>
      <c r="E941" t="inlineStr">
        <is>
          <t>primary</t>
        </is>
      </c>
      <c r="F941" t="n">
        <v>414.8865784499055</v>
      </c>
      <c r="G941">
        <f>2*SQRT(F941/PI())</f>
        <v/>
      </c>
      <c r="H941" t="n">
        <v>76.38314755066581</v>
      </c>
      <c r="I941" t="n">
        <v>480</v>
      </c>
      <c r="J941" t="n">
        <v>295</v>
      </c>
      <c r="K941" t="n">
        <v>406.5888468809073</v>
      </c>
      <c r="L941" t="n">
        <v>423.1843100189036</v>
      </c>
      <c r="M941">
        <f>2*SQRT(K941/PI())</f>
        <v/>
      </c>
      <c r="N941">
        <f>2*SQRT(L941/PI())</f>
        <v/>
      </c>
      <c r="O941" t="inlineStr">
        <is>
          <t>21(3)-P01</t>
        </is>
      </c>
      <c r="P941" t="inlineStr">
        <is>
          <t>是</t>
        </is>
      </c>
      <c r="Q941" t="inlineStr">
        <is>
          <t>auto_pipeline;review_png_green</t>
        </is>
      </c>
      <c r="R941" t="inlineStr">
        <is>
          <t>样品21</t>
        </is>
      </c>
    </row>
    <row r="942">
      <c r="A942" t="n">
        <v>941</v>
      </c>
      <c r="B942" t="inlineStr">
        <is>
          <t>21 (3).tif</t>
        </is>
      </c>
      <c r="C942" t="inlineStr">
        <is>
          <t>21(3)-V02</t>
        </is>
      </c>
      <c r="D942" t="n">
        <v>2</v>
      </c>
      <c r="E942" t="inlineStr">
        <is>
          <t>primary</t>
        </is>
      </c>
      <c r="F942" t="n">
        <v>411.8620037807183</v>
      </c>
      <c r="G942">
        <f>2*SQRT(F942/PI())</f>
        <v/>
      </c>
      <c r="H942" t="n">
        <v>76.63783731667891</v>
      </c>
      <c r="I942" t="n">
        <v>627</v>
      </c>
      <c r="J942" t="n">
        <v>256</v>
      </c>
      <c r="K942" t="n">
        <v>403.624763705104</v>
      </c>
      <c r="L942" t="n">
        <v>420.0992438563327</v>
      </c>
      <c r="M942">
        <f>2*SQRT(K942/PI())</f>
        <v/>
      </c>
      <c r="N942">
        <f>2*SQRT(L942/PI())</f>
        <v/>
      </c>
      <c r="P942" t="inlineStr">
        <is>
          <t>是</t>
        </is>
      </c>
      <c r="Q942" t="inlineStr">
        <is>
          <t>auto_pipeline;review_png_green</t>
        </is>
      </c>
      <c r="R942" t="inlineStr">
        <is>
          <t>样品21</t>
        </is>
      </c>
    </row>
    <row r="943">
      <c r="A943" t="n">
        <v>942</v>
      </c>
      <c r="B943" t="inlineStr">
        <is>
          <t>21 (3).tif</t>
        </is>
      </c>
      <c r="C943" t="inlineStr">
        <is>
          <t>21(3)-V03</t>
        </is>
      </c>
      <c r="D943" t="n">
        <v>3</v>
      </c>
      <c r="E943" t="inlineStr">
        <is>
          <t>primary</t>
        </is>
      </c>
      <c r="F943" t="n">
        <v>374.5274102079395</v>
      </c>
      <c r="G943">
        <f>2*SQRT(F943/PI())</f>
        <v/>
      </c>
      <c r="H943" t="n">
        <v>77.55110046137933</v>
      </c>
      <c r="I943" t="n">
        <v>768</v>
      </c>
      <c r="J943" t="n">
        <v>156</v>
      </c>
      <c r="K943" t="n">
        <v>367.0368620037807</v>
      </c>
      <c r="L943" t="n">
        <v>382.0179584120983</v>
      </c>
      <c r="M943">
        <f>2*SQRT(K943/PI())</f>
        <v/>
      </c>
      <c r="N943">
        <f>2*SQRT(L943/PI())</f>
        <v/>
      </c>
      <c r="P943" t="inlineStr">
        <is>
          <t>是</t>
        </is>
      </c>
      <c r="Q943" t="inlineStr">
        <is>
          <t>auto_pipeline;review_png_green</t>
        </is>
      </c>
      <c r="R943" t="inlineStr">
        <is>
          <t>样品21</t>
        </is>
      </c>
    </row>
    <row r="944">
      <c r="A944" t="n">
        <v>943</v>
      </c>
      <c r="B944" t="inlineStr">
        <is>
          <t>21 (3).tif</t>
        </is>
      </c>
      <c r="C944" t="inlineStr">
        <is>
          <t>21(3)-V04</t>
        </is>
      </c>
      <c r="D944" t="n">
        <v>4</v>
      </c>
      <c r="E944" t="inlineStr">
        <is>
          <t>primary</t>
        </is>
      </c>
      <c r="F944" t="n">
        <v>317.8875236294896</v>
      </c>
      <c r="G944">
        <f>2*SQRT(F944/PI())</f>
        <v/>
      </c>
      <c r="H944" t="n">
        <v>67.60384842105533</v>
      </c>
      <c r="I944" t="n">
        <v>476</v>
      </c>
      <c r="J944" t="n">
        <v>429</v>
      </c>
      <c r="K944" t="n">
        <v>311.5297731568998</v>
      </c>
      <c r="L944" t="n">
        <v>324.2452741020793</v>
      </c>
      <c r="M944">
        <f>2*SQRT(K944/PI())</f>
        <v/>
      </c>
      <c r="N944">
        <f>2*SQRT(L944/PI())</f>
        <v/>
      </c>
      <c r="O944" t="inlineStr">
        <is>
          <t>21(3)-P01</t>
        </is>
      </c>
      <c r="P944" t="inlineStr">
        <is>
          <t>是</t>
        </is>
      </c>
      <c r="Q944" t="inlineStr">
        <is>
          <t>auto_pipeline;review_png_green</t>
        </is>
      </c>
      <c r="R944" t="inlineStr">
        <is>
          <t>样品21</t>
        </is>
      </c>
    </row>
    <row r="945">
      <c r="A945" t="n">
        <v>944</v>
      </c>
      <c r="B945" t="inlineStr">
        <is>
          <t>21 (3).tif</t>
        </is>
      </c>
      <c r="C945" t="inlineStr">
        <is>
          <t>21(3)-V05</t>
        </is>
      </c>
      <c r="D945" t="n">
        <v>5</v>
      </c>
      <c r="E945" t="inlineStr">
        <is>
          <t>primary</t>
        </is>
      </c>
      <c r="F945" t="n">
        <v>276.0396975425331</v>
      </c>
      <c r="G945">
        <f>2*SQRT(F945/PI())</f>
        <v/>
      </c>
      <c r="H945" t="n">
        <v>62.91768561238828</v>
      </c>
      <c r="I945" t="n">
        <v>253</v>
      </c>
      <c r="J945" t="n">
        <v>606</v>
      </c>
      <c r="K945" t="n">
        <v>270.5189035916824</v>
      </c>
      <c r="L945" t="n">
        <v>281.5604914933837</v>
      </c>
      <c r="M945">
        <f>2*SQRT(K945/PI())</f>
        <v/>
      </c>
      <c r="N945">
        <f>2*SQRT(L945/PI())</f>
        <v/>
      </c>
      <c r="P945" t="inlineStr">
        <is>
          <t>是</t>
        </is>
      </c>
      <c r="Q945" t="inlineStr">
        <is>
          <t>auto_pipeline;review_png_green</t>
        </is>
      </c>
      <c r="R945" t="inlineStr">
        <is>
          <t>样品21</t>
        </is>
      </c>
    </row>
    <row r="946">
      <c r="A946" t="n">
        <v>945</v>
      </c>
      <c r="B946" t="inlineStr">
        <is>
          <t>21 (3).tif</t>
        </is>
      </c>
      <c r="C946" t="inlineStr">
        <is>
          <t>21(3)-V06</t>
        </is>
      </c>
      <c r="D946" t="n">
        <v>6</v>
      </c>
      <c r="E946" t="inlineStr">
        <is>
          <t>primary</t>
        </is>
      </c>
      <c r="F946" t="n">
        <v>127.6465028355388</v>
      </c>
      <c r="G946">
        <f>2*SQRT(F946/PI())</f>
        <v/>
      </c>
      <c r="H946" t="n">
        <v>44.74421190178912</v>
      </c>
      <c r="I946" t="n">
        <v>384</v>
      </c>
      <c r="J946" t="n">
        <v>275</v>
      </c>
      <c r="K946" t="n">
        <v>125.093572778828</v>
      </c>
      <c r="L946" t="n">
        <v>130.1994328922495</v>
      </c>
      <c r="M946">
        <f>2*SQRT(K946/PI())</f>
        <v/>
      </c>
      <c r="N946">
        <f>2*SQRT(L946/PI())</f>
        <v/>
      </c>
      <c r="P946" t="inlineStr">
        <is>
          <t>是</t>
        </is>
      </c>
      <c r="Q946" t="inlineStr">
        <is>
          <t>auto_pipeline;review_png_green</t>
        </is>
      </c>
      <c r="R946" t="inlineStr">
        <is>
          <t>样品21</t>
        </is>
      </c>
    </row>
    <row r="947">
      <c r="A947" t="n">
        <v>946</v>
      </c>
      <c r="B947" t="inlineStr">
        <is>
          <t>21 (4).tif</t>
        </is>
      </c>
      <c r="C947" t="inlineStr">
        <is>
          <t>21(4)-V01</t>
        </is>
      </c>
      <c r="D947" t="n">
        <v>1</v>
      </c>
      <c r="E947" t="inlineStr">
        <is>
          <t>primary</t>
        </is>
      </c>
      <c r="F947" t="n">
        <v>682.3015122873346</v>
      </c>
      <c r="G947">
        <f>2*SQRT(F947/PI())</f>
        <v/>
      </c>
      <c r="H947" t="n">
        <v>98.01303316717562</v>
      </c>
      <c r="I947" t="n">
        <v>558</v>
      </c>
      <c r="J947" t="n">
        <v>288</v>
      </c>
      <c r="K947" t="n">
        <v>668.6554820415879</v>
      </c>
      <c r="L947" t="n">
        <v>695.9475425330813</v>
      </c>
      <c r="M947">
        <f>2*SQRT(K947/PI())</f>
        <v/>
      </c>
      <c r="N947">
        <f>2*SQRT(L947/PI())</f>
        <v/>
      </c>
      <c r="P947" t="inlineStr">
        <is>
          <t>是</t>
        </is>
      </c>
      <c r="Q947" t="inlineStr">
        <is>
          <t>auto_pipeline;review_png_green</t>
        </is>
      </c>
      <c r="R947" t="inlineStr">
        <is>
          <t>样品21</t>
        </is>
      </c>
    </row>
    <row r="948">
      <c r="A948" t="n">
        <v>947</v>
      </c>
      <c r="B948" t="inlineStr">
        <is>
          <t>21 (4).tif</t>
        </is>
      </c>
      <c r="C948" t="inlineStr">
        <is>
          <t>21(4)-V02</t>
        </is>
      </c>
      <c r="D948" t="n">
        <v>2</v>
      </c>
      <c r="E948" t="inlineStr">
        <is>
          <t>primary</t>
        </is>
      </c>
      <c r="F948" t="n">
        <v>365.0519848771266</v>
      </c>
      <c r="G948">
        <f>2*SQRT(F948/PI())</f>
        <v/>
      </c>
      <c r="H948" t="n">
        <v>72.05717042736384</v>
      </c>
      <c r="I948" t="n">
        <v>479</v>
      </c>
      <c r="J948" t="n">
        <v>427</v>
      </c>
      <c r="K948" t="n">
        <v>357.7509451795841</v>
      </c>
      <c r="L948" t="n">
        <v>372.3530245746692</v>
      </c>
      <c r="M948">
        <f>2*SQRT(K948/PI())</f>
        <v/>
      </c>
      <c r="N948">
        <f>2*SQRT(L948/PI())</f>
        <v/>
      </c>
      <c r="P948" t="inlineStr">
        <is>
          <t>是</t>
        </is>
      </c>
      <c r="Q948" t="inlineStr">
        <is>
          <t>auto_pipeline;review_png_green</t>
        </is>
      </c>
      <c r="R948" t="inlineStr">
        <is>
          <t>样品21</t>
        </is>
      </c>
    </row>
    <row r="949">
      <c r="A949" t="n">
        <v>948</v>
      </c>
      <c r="B949" t="inlineStr">
        <is>
          <t>21 (4).tif</t>
        </is>
      </c>
      <c r="C949" t="inlineStr">
        <is>
          <t>21(4)-V03</t>
        </is>
      </c>
      <c r="D949" t="n">
        <v>3</v>
      </c>
      <c r="E949" t="inlineStr">
        <is>
          <t>primary</t>
        </is>
      </c>
      <c r="F949" t="n">
        <v>286.6257088846881</v>
      </c>
      <c r="G949">
        <f>2*SQRT(F949/PI())</f>
        <v/>
      </c>
      <c r="H949" t="n">
        <v>63.53256106376648</v>
      </c>
      <c r="I949" t="n">
        <v>915</v>
      </c>
      <c r="J949" t="n">
        <v>326</v>
      </c>
      <c r="K949" t="n">
        <v>280.8931947069943</v>
      </c>
      <c r="L949" t="n">
        <v>292.3582230623819</v>
      </c>
      <c r="M949">
        <f>2*SQRT(K949/PI())</f>
        <v/>
      </c>
      <c r="N949">
        <f>2*SQRT(L949/PI())</f>
        <v/>
      </c>
      <c r="P949" t="inlineStr">
        <is>
          <t>是</t>
        </is>
      </c>
      <c r="Q949" t="inlineStr">
        <is>
          <t>auto_pipeline;review_png_green</t>
        </is>
      </c>
      <c r="R949" t="inlineStr">
        <is>
          <t>样品21</t>
        </is>
      </c>
    </row>
    <row r="950">
      <c r="A950" t="n">
        <v>949</v>
      </c>
      <c r="B950" t="inlineStr">
        <is>
          <t>21 (4).tif</t>
        </is>
      </c>
      <c r="C950" t="inlineStr">
        <is>
          <t>21(4)-V04</t>
        </is>
      </c>
      <c r="D950" t="n">
        <v>4</v>
      </c>
      <c r="E950" t="inlineStr">
        <is>
          <t>primary</t>
        </is>
      </c>
      <c r="F950" t="n">
        <v>275.6616257088847</v>
      </c>
      <c r="G950">
        <f>2*SQRT(F950/PI())</f>
        <v/>
      </c>
      <c r="H950" t="n">
        <v>62.91768561238828</v>
      </c>
      <c r="I950" t="n">
        <v>94</v>
      </c>
      <c r="J950" t="n">
        <v>336</v>
      </c>
      <c r="K950" t="n">
        <v>270.148393194707</v>
      </c>
      <c r="L950" t="n">
        <v>281.1748582230624</v>
      </c>
      <c r="M950">
        <f>2*SQRT(K950/PI())</f>
        <v/>
      </c>
      <c r="N950">
        <f>2*SQRT(L950/PI())</f>
        <v/>
      </c>
      <c r="P950" t="inlineStr">
        <is>
          <t>是</t>
        </is>
      </c>
      <c r="Q950" t="inlineStr">
        <is>
          <t>auto_pipeline;review_png_green</t>
        </is>
      </c>
      <c r="R950" t="inlineStr">
        <is>
          <t>样品21</t>
        </is>
      </c>
    </row>
    <row r="951">
      <c r="A951" t="n">
        <v>950</v>
      </c>
      <c r="B951" t="inlineStr">
        <is>
          <t>21 (4).tif</t>
        </is>
      </c>
      <c r="C951" t="inlineStr">
        <is>
          <t>21(4)-V05</t>
        </is>
      </c>
      <c r="D951" t="n">
        <v>5</v>
      </c>
      <c r="E951" t="inlineStr">
        <is>
          <t>primary</t>
        </is>
      </c>
      <c r="F951" t="n">
        <v>253.804347826087</v>
      </c>
      <c r="G951">
        <f>2*SQRT(F951/PI())</f>
        <v/>
      </c>
      <c r="H951" t="n">
        <v>63.51071210011192</v>
      </c>
      <c r="I951" t="n">
        <v>199</v>
      </c>
      <c r="J951" t="n">
        <v>114</v>
      </c>
      <c r="K951" t="n">
        <v>248.7282608695652</v>
      </c>
      <c r="L951" t="n">
        <v>258.8804347826087</v>
      </c>
      <c r="M951">
        <f>2*SQRT(K951/PI())</f>
        <v/>
      </c>
      <c r="N951">
        <f>2*SQRT(L951/PI())</f>
        <v/>
      </c>
      <c r="P951" t="inlineStr">
        <is>
          <t>是</t>
        </is>
      </c>
      <c r="Q951" t="inlineStr">
        <is>
          <t>auto_pipeline;review_png_green</t>
        </is>
      </c>
      <c r="R951" t="inlineStr">
        <is>
          <t>样品21</t>
        </is>
      </c>
    </row>
    <row r="952">
      <c r="A952" t="n">
        <v>951</v>
      </c>
      <c r="B952" t="inlineStr">
        <is>
          <t>21 (4).tif</t>
        </is>
      </c>
      <c r="C952" t="inlineStr">
        <is>
          <t>21(4)-V06</t>
        </is>
      </c>
      <c r="D952" t="n">
        <v>6</v>
      </c>
      <c r="E952" t="inlineStr">
        <is>
          <t>primary</t>
        </is>
      </c>
      <c r="F952" t="n">
        <v>133.3884688090737</v>
      </c>
      <c r="G952">
        <f>2*SQRT(F952/PI())</f>
        <v/>
      </c>
      <c r="H952" t="n">
        <v>48.77180133176886</v>
      </c>
      <c r="I952" t="n">
        <v>377</v>
      </c>
      <c r="J952" t="n">
        <v>238</v>
      </c>
      <c r="K952" t="n">
        <v>130.7206994328922</v>
      </c>
      <c r="L952" t="n">
        <v>136.0562381852552</v>
      </c>
      <c r="M952">
        <f>2*SQRT(K952/PI())</f>
        <v/>
      </c>
      <c r="N952">
        <f>2*SQRT(L952/PI())</f>
        <v/>
      </c>
      <c r="P952" t="inlineStr">
        <is>
          <t>是</t>
        </is>
      </c>
      <c r="Q952" t="inlineStr">
        <is>
          <t>auto_pipeline;review_png_green</t>
        </is>
      </c>
      <c r="R952" t="inlineStr">
        <is>
          <t>样品21</t>
        </is>
      </c>
    </row>
    <row r="953">
      <c r="A953" t="n">
        <v>952</v>
      </c>
      <c r="B953" t="inlineStr">
        <is>
          <t>21 (5).tif</t>
        </is>
      </c>
      <c r="C953" t="inlineStr">
        <is>
          <t>21(5)-V01</t>
        </is>
      </c>
      <c r="D953" t="n">
        <v>1</v>
      </c>
      <c r="E953" t="inlineStr">
        <is>
          <t>primary</t>
        </is>
      </c>
      <c r="F953" t="n">
        <v>746.0775047258979</v>
      </c>
      <c r="G953">
        <f>2*SQRT(F953/PI())</f>
        <v/>
      </c>
      <c r="H953" t="n">
        <v>102.3390102904776</v>
      </c>
      <c r="I953" t="n">
        <v>418</v>
      </c>
      <c r="J953" t="n">
        <v>278</v>
      </c>
      <c r="K953" t="n">
        <v>731.1559546313799</v>
      </c>
      <c r="L953" t="n">
        <v>760.9990548204159</v>
      </c>
      <c r="M953">
        <f>2*SQRT(K953/PI())</f>
        <v/>
      </c>
      <c r="N953">
        <f>2*SQRT(L953/PI())</f>
        <v/>
      </c>
      <c r="P953" t="inlineStr">
        <is>
          <t>是</t>
        </is>
      </c>
      <c r="Q953" t="inlineStr">
        <is>
          <t>auto_pipeline;review_png_green</t>
        </is>
      </c>
      <c r="R953" t="inlineStr">
        <is>
          <t>样品21</t>
        </is>
      </c>
    </row>
    <row r="954">
      <c r="A954" t="n">
        <v>953</v>
      </c>
      <c r="B954" t="inlineStr">
        <is>
          <t>21 (5).tif</t>
        </is>
      </c>
      <c r="C954" t="inlineStr">
        <is>
          <t>21(5)-V02</t>
        </is>
      </c>
      <c r="D954" t="n">
        <v>2</v>
      </c>
      <c r="E954" t="inlineStr">
        <is>
          <t>primary</t>
        </is>
      </c>
      <c r="F954" t="n">
        <v>739.7211720226843</v>
      </c>
      <c r="G954">
        <f>2*SQRT(F954/PI())</f>
        <v/>
      </c>
      <c r="H954" t="n">
        <v>105.9446160430494</v>
      </c>
      <c r="I954" t="n">
        <v>283</v>
      </c>
      <c r="J954" t="n">
        <v>587</v>
      </c>
      <c r="K954" t="n">
        <v>724.9267485822306</v>
      </c>
      <c r="L954" t="n">
        <v>754.515595463138</v>
      </c>
      <c r="M954">
        <f>2*SQRT(K954/PI())</f>
        <v/>
      </c>
      <c r="N954">
        <f>2*SQRT(L954/PI())</f>
        <v/>
      </c>
      <c r="P954" t="inlineStr">
        <is>
          <t>是</t>
        </is>
      </c>
      <c r="Q954" t="inlineStr">
        <is>
          <t>auto_pipeline;review_png_green</t>
        </is>
      </c>
      <c r="R954" t="inlineStr">
        <is>
          <t>样品21</t>
        </is>
      </c>
    </row>
    <row r="955">
      <c r="A955" t="n">
        <v>954</v>
      </c>
      <c r="B955" t="inlineStr">
        <is>
          <t>21 (5).tif</t>
        </is>
      </c>
      <c r="C955" t="inlineStr">
        <is>
          <t>21(5)-V03</t>
        </is>
      </c>
      <c r="D955" t="n">
        <v>3</v>
      </c>
      <c r="E955" t="inlineStr">
        <is>
          <t>primary</t>
        </is>
      </c>
      <c r="F955" t="n">
        <v>642.4385633270322</v>
      </c>
      <c r="G955">
        <f>2*SQRT(F955/PI())</f>
        <v/>
      </c>
      <c r="H955" t="n">
        <v>95.53168239800826</v>
      </c>
      <c r="I955" t="n">
        <v>557</v>
      </c>
      <c r="J955" t="n">
        <v>135</v>
      </c>
      <c r="K955" t="n">
        <v>629.5897920604915</v>
      </c>
      <c r="L955" t="n">
        <v>655.2873345935728</v>
      </c>
      <c r="M955">
        <f>2*SQRT(K955/PI())</f>
        <v/>
      </c>
      <c r="N955">
        <f>2*SQRT(L955/PI())</f>
        <v/>
      </c>
      <c r="P955" t="inlineStr">
        <is>
          <t>是</t>
        </is>
      </c>
      <c r="Q955" t="inlineStr">
        <is>
          <t>auto_pipeline;review_png_green</t>
        </is>
      </c>
      <c r="R955" t="inlineStr">
        <is>
          <t>样品21</t>
        </is>
      </c>
    </row>
    <row r="956">
      <c r="A956" t="n">
        <v>955</v>
      </c>
      <c r="B956" t="inlineStr">
        <is>
          <t>21 (5).tif</t>
        </is>
      </c>
      <c r="C956" t="inlineStr">
        <is>
          <t>21(5)-V04</t>
        </is>
      </c>
      <c r="D956" t="n">
        <v>4</v>
      </c>
      <c r="E956" t="inlineStr">
        <is>
          <t>primary</t>
        </is>
      </c>
      <c r="F956" t="n">
        <v>523.3931947069943</v>
      </c>
      <c r="G956">
        <f>2*SQRT(F956/PI())</f>
        <v/>
      </c>
      <c r="H956" t="n">
        <v>86.15935678067414</v>
      </c>
      <c r="I956" t="n">
        <v>583</v>
      </c>
      <c r="J956" t="n">
        <v>332</v>
      </c>
      <c r="K956" t="n">
        <v>512.9253308128544</v>
      </c>
      <c r="L956" t="n">
        <v>533.8610586011342</v>
      </c>
      <c r="M956">
        <f>2*SQRT(K956/PI())</f>
        <v/>
      </c>
      <c r="N956">
        <f>2*SQRT(L956/PI())</f>
        <v/>
      </c>
      <c r="P956" t="inlineStr">
        <is>
          <t>是</t>
        </is>
      </c>
      <c r="Q956" t="inlineStr">
        <is>
          <t>auto_pipeline;review_png_green</t>
        </is>
      </c>
      <c r="R956" t="inlineStr">
        <is>
          <t>样品21</t>
        </is>
      </c>
    </row>
    <row r="957">
      <c r="A957" t="n">
        <v>956</v>
      </c>
      <c r="B957" t="inlineStr">
        <is>
          <t>21 (5).tif</t>
        </is>
      </c>
      <c r="C957" t="inlineStr">
        <is>
          <t>21(5)-V05</t>
        </is>
      </c>
      <c r="D957" t="n">
        <v>5</v>
      </c>
      <c r="E957" t="inlineStr">
        <is>
          <t>primary</t>
        </is>
      </c>
      <c r="F957" t="n">
        <v>402.4574669187145</v>
      </c>
      <c r="G957">
        <f>2*SQRT(F957/PI())</f>
        <v/>
      </c>
      <c r="H957" t="n">
        <v>76.02296186530072</v>
      </c>
      <c r="I957" t="n">
        <v>485</v>
      </c>
      <c r="J957" t="n">
        <v>430</v>
      </c>
      <c r="K957" t="n">
        <v>394.4083175803402</v>
      </c>
      <c r="L957" t="n">
        <v>410.5066162570889</v>
      </c>
      <c r="M957">
        <f>2*SQRT(K957/PI())</f>
        <v/>
      </c>
      <c r="N957">
        <f>2*SQRT(L957/PI())</f>
        <v/>
      </c>
      <c r="P957" t="inlineStr">
        <is>
          <t>是</t>
        </is>
      </c>
      <c r="Q957" t="inlineStr">
        <is>
          <t>auto_pipeline;review_png_green</t>
        </is>
      </c>
      <c r="R957" t="inlineStr">
        <is>
          <t>样品21</t>
        </is>
      </c>
    </row>
    <row r="958">
      <c r="A958" t="n">
        <v>957</v>
      </c>
      <c r="B958" t="inlineStr">
        <is>
          <t>21 (6).tif</t>
        </is>
      </c>
      <c r="C958" t="inlineStr">
        <is>
          <t>21(6)-V01</t>
        </is>
      </c>
      <c r="D958" t="n">
        <v>1</v>
      </c>
      <c r="E958" t="inlineStr">
        <is>
          <t>primary</t>
        </is>
      </c>
      <c r="F958" t="n">
        <v>651.913988657845</v>
      </c>
      <c r="G958">
        <f>2*SQRT(F958/PI())</f>
        <v/>
      </c>
      <c r="H958" t="n">
        <v>96.52859249840611</v>
      </c>
      <c r="I958" t="n">
        <v>573</v>
      </c>
      <c r="J958" t="n">
        <v>327</v>
      </c>
      <c r="K958" t="n">
        <v>638.8757088846882</v>
      </c>
      <c r="L958" t="n">
        <v>664.9522684310019</v>
      </c>
      <c r="M958">
        <f>2*SQRT(K958/PI())</f>
        <v/>
      </c>
      <c r="N958">
        <f>2*SQRT(L958/PI())</f>
        <v/>
      </c>
      <c r="P958" t="inlineStr">
        <is>
          <t>是</t>
        </is>
      </c>
      <c r="Q958" t="inlineStr">
        <is>
          <t>auto_pipeline;review_png_green</t>
        </is>
      </c>
      <c r="R958" t="inlineStr">
        <is>
          <t>样品21</t>
        </is>
      </c>
    </row>
    <row r="959">
      <c r="A959" t="n">
        <v>958</v>
      </c>
      <c r="B959" t="inlineStr">
        <is>
          <t>21 (6).tif</t>
        </is>
      </c>
      <c r="C959" t="inlineStr">
        <is>
          <t>21(6)-V02</t>
        </is>
      </c>
      <c r="D959" t="n">
        <v>2</v>
      </c>
      <c r="E959" t="inlineStr">
        <is>
          <t>primary</t>
        </is>
      </c>
      <c r="F959" t="n">
        <v>617.8166351606806</v>
      </c>
      <c r="G959">
        <f>2*SQRT(F959/PI())</f>
        <v/>
      </c>
      <c r="H959" t="n">
        <v>105.5806814587635</v>
      </c>
      <c r="I959" t="n">
        <v>131</v>
      </c>
      <c r="J959" t="n">
        <v>252</v>
      </c>
      <c r="K959" t="n">
        <v>605.4603024574669</v>
      </c>
      <c r="L959" t="n">
        <v>630.1729678638942</v>
      </c>
      <c r="M959">
        <f>2*SQRT(K959/PI())</f>
        <v/>
      </c>
      <c r="N959">
        <f>2*SQRT(L959/PI())</f>
        <v/>
      </c>
      <c r="P959" t="inlineStr">
        <is>
          <t>是</t>
        </is>
      </c>
      <c r="Q959" t="inlineStr">
        <is>
          <t>auto_pipeline;review_png_green</t>
        </is>
      </c>
      <c r="R959" t="inlineStr">
        <is>
          <t>样品21</t>
        </is>
      </c>
    </row>
    <row r="960">
      <c r="A960" t="n">
        <v>959</v>
      </c>
      <c r="B960" t="inlineStr">
        <is>
          <t>21 (6).tif</t>
        </is>
      </c>
      <c r="C960" t="inlineStr">
        <is>
          <t>21(6)-V03</t>
        </is>
      </c>
      <c r="D960" t="n">
        <v>3</v>
      </c>
      <c r="E960" t="inlineStr">
        <is>
          <t>primary</t>
        </is>
      </c>
      <c r="F960" t="n">
        <v>153.9224952741021</v>
      </c>
      <c r="G960">
        <f>2*SQRT(F960/PI())</f>
        <v/>
      </c>
      <c r="H960" t="n">
        <v>54.66961497845857</v>
      </c>
      <c r="I960" t="n">
        <v>391</v>
      </c>
      <c r="J960" t="n">
        <v>53</v>
      </c>
      <c r="K960" t="n">
        <v>150.84404536862</v>
      </c>
      <c r="L960" t="n">
        <v>157.0009451795841</v>
      </c>
      <c r="M960">
        <f>2*SQRT(K960/PI())</f>
        <v/>
      </c>
      <c r="N960">
        <f>2*SQRT(L960/PI())</f>
        <v/>
      </c>
      <c r="P960" t="inlineStr">
        <is>
          <t>是</t>
        </is>
      </c>
      <c r="Q960" t="inlineStr">
        <is>
          <t>auto_pipeline;review_png_green</t>
        </is>
      </c>
      <c r="R960" t="inlineStr">
        <is>
          <t>样品21</t>
        </is>
      </c>
    </row>
    <row r="961">
      <c r="A961" t="n">
        <v>960</v>
      </c>
      <c r="B961" t="inlineStr">
        <is>
          <t>21 (6).tif</t>
        </is>
      </c>
      <c r="C961" t="inlineStr">
        <is>
          <t>21(6)-V04</t>
        </is>
      </c>
      <c r="D961" t="n">
        <v>4</v>
      </c>
      <c r="E961" t="inlineStr">
        <is>
          <t>primary</t>
        </is>
      </c>
      <c r="F961" t="n">
        <v>146.9281663516068</v>
      </c>
      <c r="G961">
        <f>2*SQRT(F961/PI())</f>
        <v/>
      </c>
      <c r="H961" t="n">
        <v>50.83116842352825</v>
      </c>
      <c r="I961" t="n">
        <v>212</v>
      </c>
      <c r="J961" t="n">
        <v>48</v>
      </c>
      <c r="K961" t="n">
        <v>143.9896030245747</v>
      </c>
      <c r="L961" t="n">
        <v>149.866729678639</v>
      </c>
      <c r="M961">
        <f>2*SQRT(K961/PI())</f>
        <v/>
      </c>
      <c r="N961">
        <f>2*SQRT(L961/PI())</f>
        <v/>
      </c>
      <c r="P961" t="inlineStr">
        <is>
          <t>是</t>
        </is>
      </c>
      <c r="Q961" t="inlineStr">
        <is>
          <t>auto_pipeline;review_png_green</t>
        </is>
      </c>
      <c r="R961" t="inlineStr">
        <is>
          <t>样品21</t>
        </is>
      </c>
    </row>
    <row r="962">
      <c r="A962" t="n">
        <v>961</v>
      </c>
      <c r="B962" t="inlineStr">
        <is>
          <t>21 (6).tif</t>
        </is>
      </c>
      <c r="C962" t="inlineStr">
        <is>
          <t>21(6)-V05</t>
        </is>
      </c>
      <c r="D962" t="n">
        <v>5</v>
      </c>
      <c r="E962" t="inlineStr">
        <is>
          <t>primary</t>
        </is>
      </c>
      <c r="F962" t="n">
        <v>133.5302457466919</v>
      </c>
      <c r="G962">
        <f>2*SQRT(F962/PI())</f>
        <v/>
      </c>
      <c r="H962" t="n">
        <v>48.71000333972599</v>
      </c>
      <c r="I962" t="n">
        <v>938</v>
      </c>
      <c r="J962" t="n">
        <v>68</v>
      </c>
      <c r="K962" t="n">
        <v>130.859640831758</v>
      </c>
      <c r="L962" t="n">
        <v>136.2008506616257</v>
      </c>
      <c r="M962">
        <f>2*SQRT(K962/PI())</f>
        <v/>
      </c>
      <c r="N962">
        <f>2*SQRT(L962/PI())</f>
        <v/>
      </c>
      <c r="P962" t="inlineStr">
        <is>
          <t>是</t>
        </is>
      </c>
      <c r="Q962" t="inlineStr">
        <is>
          <t>auto_pipeline;review_png_green</t>
        </is>
      </c>
      <c r="R962" t="inlineStr">
        <is>
          <t>样品21</t>
        </is>
      </c>
    </row>
    <row r="963">
      <c r="A963" t="n">
        <v>962</v>
      </c>
      <c r="B963" t="inlineStr">
        <is>
          <t>21 (7).tif</t>
        </is>
      </c>
      <c r="C963" t="inlineStr">
        <is>
          <t>21(7)-V01</t>
        </is>
      </c>
      <c r="D963" t="n">
        <v>1</v>
      </c>
      <c r="E963" t="inlineStr">
        <is>
          <t>primary</t>
        </is>
      </c>
      <c r="F963" t="n">
        <v>453.4026465028355</v>
      </c>
      <c r="G963">
        <f>2*SQRT(F963/PI())</f>
        <v/>
      </c>
      <c r="H963" t="n">
        <v>83.55066112850024</v>
      </c>
      <c r="I963" t="n">
        <v>831</v>
      </c>
      <c r="J963" t="n">
        <v>78</v>
      </c>
      <c r="K963" t="n">
        <v>444.3345935727788</v>
      </c>
      <c r="L963" t="n">
        <v>462.4706994328922</v>
      </c>
      <c r="M963">
        <f>2*SQRT(K963/PI())</f>
        <v/>
      </c>
      <c r="N963">
        <f>2*SQRT(L963/PI())</f>
        <v/>
      </c>
      <c r="P963" t="inlineStr">
        <is>
          <t>是</t>
        </is>
      </c>
      <c r="Q963" t="inlineStr">
        <is>
          <t>auto_pipeline;review_png_green</t>
        </is>
      </c>
      <c r="R963" t="inlineStr">
        <is>
          <t>样品21</t>
        </is>
      </c>
    </row>
    <row r="964">
      <c r="A964" t="n">
        <v>963</v>
      </c>
      <c r="B964" t="inlineStr">
        <is>
          <t>21 (7).tif</t>
        </is>
      </c>
      <c r="C964" t="inlineStr">
        <is>
          <t>21(7)-V02</t>
        </is>
      </c>
      <c r="D964" t="n">
        <v>2</v>
      </c>
      <c r="E964" t="inlineStr">
        <is>
          <t>primary</t>
        </is>
      </c>
      <c r="F964" t="n">
        <v>437.0510396975425</v>
      </c>
      <c r="G964">
        <f>2*SQRT(F964/PI())</f>
        <v/>
      </c>
      <c r="H964" t="n">
        <v>78.99184320283972</v>
      </c>
      <c r="I964" t="n">
        <v>561</v>
      </c>
      <c r="J964" t="n">
        <v>423</v>
      </c>
      <c r="K964" t="n">
        <v>428.3100189035917</v>
      </c>
      <c r="L964" t="n">
        <v>445.7920604914934</v>
      </c>
      <c r="M964">
        <f>2*SQRT(K964/PI())</f>
        <v/>
      </c>
      <c r="N964">
        <f>2*SQRT(L964/PI())</f>
        <v/>
      </c>
      <c r="O964" t="inlineStr">
        <is>
          <t>21(7)-P01</t>
        </is>
      </c>
      <c r="P964" t="inlineStr">
        <is>
          <t>是</t>
        </is>
      </c>
      <c r="Q964" t="inlineStr">
        <is>
          <t>auto_pipeline;review_png_green</t>
        </is>
      </c>
      <c r="R964" t="inlineStr">
        <is>
          <t>样品21</t>
        </is>
      </c>
    </row>
    <row r="965">
      <c r="A965" t="n">
        <v>964</v>
      </c>
      <c r="B965" t="inlineStr">
        <is>
          <t>21 (7).tif</t>
        </is>
      </c>
      <c r="C965" t="inlineStr">
        <is>
          <t>21(7)-V03</t>
        </is>
      </c>
      <c r="D965" t="n">
        <v>3</v>
      </c>
      <c r="E965" t="inlineStr">
        <is>
          <t>primary</t>
        </is>
      </c>
      <c r="F965" t="n">
        <v>424.1020793950851</v>
      </c>
      <c r="G965">
        <f>2*SQRT(F965/PI())</f>
        <v/>
      </c>
      <c r="H965" t="n">
        <v>80.62547771827035</v>
      </c>
      <c r="I965" t="n">
        <v>473</v>
      </c>
      <c r="J965" t="n">
        <v>332</v>
      </c>
      <c r="K965" t="n">
        <v>415.6200378071833</v>
      </c>
      <c r="L965" t="n">
        <v>432.5841209829868</v>
      </c>
      <c r="M965">
        <f>2*SQRT(K965/PI())</f>
        <v/>
      </c>
      <c r="N965">
        <f>2*SQRT(L965/PI())</f>
        <v/>
      </c>
      <c r="O965" t="inlineStr">
        <is>
          <t>21(7)-P01</t>
        </is>
      </c>
      <c r="P965" t="inlineStr">
        <is>
          <t>是</t>
        </is>
      </c>
      <c r="Q965" t="inlineStr">
        <is>
          <t>auto_pipeline;review_png_green</t>
        </is>
      </c>
      <c r="R965" t="inlineStr">
        <is>
          <t>样品21</t>
        </is>
      </c>
    </row>
    <row r="966">
      <c r="A966" t="n">
        <v>965</v>
      </c>
      <c r="B966" t="inlineStr">
        <is>
          <t>21 (7).tif</t>
        </is>
      </c>
      <c r="C966" t="inlineStr">
        <is>
          <t>21(7)-V04</t>
        </is>
      </c>
      <c r="D966" t="n">
        <v>4</v>
      </c>
      <c r="E966" t="inlineStr">
        <is>
          <t>primary</t>
        </is>
      </c>
      <c r="F966" t="n">
        <v>270.1086956521739</v>
      </c>
      <c r="G966">
        <f>2*SQRT(F966/PI())</f>
        <v/>
      </c>
      <c r="H966" t="n">
        <v>62.17546527800352</v>
      </c>
      <c r="I966" t="n">
        <v>733</v>
      </c>
      <c r="J966" t="n">
        <v>591</v>
      </c>
      <c r="K966" t="n">
        <v>264.7065217391304</v>
      </c>
      <c r="L966" t="n">
        <v>275.5108695652174</v>
      </c>
      <c r="M966">
        <f>2*SQRT(K966/PI())</f>
        <v/>
      </c>
      <c r="N966">
        <f>2*SQRT(L966/PI())</f>
        <v/>
      </c>
      <c r="P966" t="inlineStr">
        <is>
          <t>是</t>
        </is>
      </c>
      <c r="Q966" t="inlineStr">
        <is>
          <t>auto_pipeline;review_png_green</t>
        </is>
      </c>
      <c r="R966" t="inlineStr">
        <is>
          <t>样品21</t>
        </is>
      </c>
    </row>
    <row r="967">
      <c r="A967" t="n">
        <v>966</v>
      </c>
      <c r="B967" t="inlineStr">
        <is>
          <t>21 (7).tif</t>
        </is>
      </c>
      <c r="C967" t="inlineStr">
        <is>
          <t>21(7)-V05</t>
        </is>
      </c>
      <c r="D967" t="n">
        <v>5</v>
      </c>
      <c r="E967" t="inlineStr">
        <is>
          <t>primary</t>
        </is>
      </c>
      <c r="F967" t="n">
        <v>124.9054820415879</v>
      </c>
      <c r="G967">
        <f>2*SQRT(F967/PI())</f>
        <v/>
      </c>
      <c r="H967" t="n">
        <v>42.03002033026322</v>
      </c>
      <c r="I967" t="n">
        <v>630</v>
      </c>
      <c r="J967" t="n">
        <v>498</v>
      </c>
      <c r="K967" t="n">
        <v>122.4073724007561</v>
      </c>
      <c r="L967" t="n">
        <v>127.4035916824197</v>
      </c>
      <c r="M967">
        <f>2*SQRT(K967/PI())</f>
        <v/>
      </c>
      <c r="N967">
        <f>2*SQRT(L967/PI())</f>
        <v/>
      </c>
      <c r="P967" t="inlineStr">
        <is>
          <t>是</t>
        </is>
      </c>
      <c r="Q967" t="inlineStr">
        <is>
          <t>auto_pipeline;review_png_green</t>
        </is>
      </c>
      <c r="R967" t="inlineStr">
        <is>
          <t>样品21</t>
        </is>
      </c>
    </row>
    <row r="968">
      <c r="A968" t="n">
        <v>967</v>
      </c>
      <c r="B968" t="inlineStr">
        <is>
          <t>21 (8).tif</t>
        </is>
      </c>
      <c r="C968" t="inlineStr">
        <is>
          <t>21(8)-V01</t>
        </is>
      </c>
      <c r="D968" t="n">
        <v>1</v>
      </c>
      <c r="E968" t="inlineStr">
        <is>
          <t>primary</t>
        </is>
      </c>
      <c r="F968" t="n">
        <v>833.0103969754254</v>
      </c>
      <c r="G968">
        <f>2*SQRT(F968/PI())</f>
        <v/>
      </c>
      <c r="H968" t="n">
        <v>108.1494280825491</v>
      </c>
      <c r="I968" t="n">
        <v>546</v>
      </c>
      <c r="J968" t="n">
        <v>313</v>
      </c>
      <c r="K968" t="n">
        <v>816.3501890359169</v>
      </c>
      <c r="L968" t="n">
        <v>849.6706049149338</v>
      </c>
      <c r="M968">
        <f>2*SQRT(K968/PI())</f>
        <v/>
      </c>
      <c r="N968">
        <f>2*SQRT(L968/PI())</f>
        <v/>
      </c>
      <c r="P968" t="inlineStr">
        <is>
          <t>是</t>
        </is>
      </c>
      <c r="Q968" t="inlineStr">
        <is>
          <t>auto_pipeline;review_png_green</t>
        </is>
      </c>
      <c r="R968" t="inlineStr">
        <is>
          <t>样品21</t>
        </is>
      </c>
    </row>
    <row r="969">
      <c r="A969" t="n">
        <v>968</v>
      </c>
      <c r="B969" t="inlineStr">
        <is>
          <t>21 (8).tif</t>
        </is>
      </c>
      <c r="C969" t="inlineStr">
        <is>
          <t>21(8)-V02</t>
        </is>
      </c>
      <c r="D969" t="n">
        <v>2</v>
      </c>
      <c r="E969" t="inlineStr">
        <is>
          <t>primary</t>
        </is>
      </c>
      <c r="F969" t="n">
        <v>717.5330812854443</v>
      </c>
      <c r="G969">
        <f>2*SQRT(F969/PI())</f>
        <v/>
      </c>
      <c r="H969" t="n">
        <v>100.8545696217081</v>
      </c>
      <c r="I969" t="n">
        <v>463</v>
      </c>
      <c r="J969" t="n">
        <v>442</v>
      </c>
      <c r="K969" t="n">
        <v>703.1824196597354</v>
      </c>
      <c r="L969" t="n">
        <v>731.8837429111531</v>
      </c>
      <c r="M969">
        <f>2*SQRT(K969/PI())</f>
        <v/>
      </c>
      <c r="N969">
        <f>2*SQRT(L969/PI())</f>
        <v/>
      </c>
      <c r="P969" t="inlineStr">
        <is>
          <t>是</t>
        </is>
      </c>
      <c r="Q969" t="inlineStr">
        <is>
          <t>auto_pipeline;review_png_green</t>
        </is>
      </c>
      <c r="R969" t="inlineStr">
        <is>
          <t>样品21</t>
        </is>
      </c>
    </row>
    <row r="970">
      <c r="A970" t="n">
        <v>969</v>
      </c>
      <c r="B970" t="inlineStr">
        <is>
          <t>21 (8).tif</t>
        </is>
      </c>
      <c r="C970" t="inlineStr">
        <is>
          <t>21(8)-V03</t>
        </is>
      </c>
      <c r="D970" t="n">
        <v>3</v>
      </c>
      <c r="E970" t="inlineStr">
        <is>
          <t>primary</t>
        </is>
      </c>
      <c r="F970" t="n">
        <v>225.3071833648393</v>
      </c>
      <c r="G970">
        <f>2*SQRT(F970/PI())</f>
        <v/>
      </c>
      <c r="H970" t="n">
        <v>72.6901459434758</v>
      </c>
      <c r="I970" t="n">
        <v>592</v>
      </c>
      <c r="J970" t="n">
        <v>453</v>
      </c>
      <c r="K970" t="n">
        <v>220.8010396975425</v>
      </c>
      <c r="L970" t="n">
        <v>229.8133270321361</v>
      </c>
      <c r="M970">
        <f>2*SQRT(K970/PI())</f>
        <v/>
      </c>
      <c r="N970">
        <f>2*SQRT(L970/PI())</f>
        <v/>
      </c>
      <c r="P970" t="inlineStr">
        <is>
          <t>是</t>
        </is>
      </c>
      <c r="Q970" t="inlineStr">
        <is>
          <t>auto_pipeline;review_png_green</t>
        </is>
      </c>
      <c r="R970" t="inlineStr">
        <is>
          <t>样品21</t>
        </is>
      </c>
    </row>
    <row r="971">
      <c r="A971" t="n">
        <v>970</v>
      </c>
      <c r="B971" t="inlineStr">
        <is>
          <t>21 (8).tif</t>
        </is>
      </c>
      <c r="C971" t="inlineStr">
        <is>
          <t>21(8)-V04</t>
        </is>
      </c>
      <c r="D971" t="n">
        <v>4</v>
      </c>
      <c r="E971" t="inlineStr">
        <is>
          <t>primary</t>
        </is>
      </c>
      <c r="F971" t="n">
        <v>200.6143667296786</v>
      </c>
      <c r="G971">
        <f>2*SQRT(F971/PI())</f>
        <v/>
      </c>
      <c r="H971" t="n">
        <v>56.83072909064915</v>
      </c>
      <c r="I971" t="n">
        <v>40</v>
      </c>
      <c r="J971" t="n">
        <v>365</v>
      </c>
      <c r="K971" t="n">
        <v>196.6020793950851</v>
      </c>
      <c r="L971" t="n">
        <v>204.6266540642722</v>
      </c>
      <c r="M971">
        <f>2*SQRT(K971/PI())</f>
        <v/>
      </c>
      <c r="N971">
        <f>2*SQRT(L971/PI())</f>
        <v/>
      </c>
      <c r="P971" t="inlineStr">
        <is>
          <t>是</t>
        </is>
      </c>
      <c r="Q971" t="inlineStr">
        <is>
          <t>auto_pipeline;review_png_green</t>
        </is>
      </c>
      <c r="R971" t="inlineStr">
        <is>
          <t>样品21</t>
        </is>
      </c>
    </row>
    <row r="972">
      <c r="A972" t="n">
        <v>971</v>
      </c>
      <c r="B972" t="inlineStr">
        <is>
          <t>21 (8).tif</t>
        </is>
      </c>
      <c r="C972" t="inlineStr">
        <is>
          <t>21(8)-V05</t>
        </is>
      </c>
      <c r="D972" t="n">
        <v>5</v>
      </c>
      <c r="E972" t="inlineStr">
        <is>
          <t>primary</t>
        </is>
      </c>
      <c r="F972" t="n">
        <v>115.4536862003781</v>
      </c>
      <c r="G972">
        <f>2*SQRT(F972/PI())</f>
        <v/>
      </c>
      <c r="H972" t="n">
        <v>43.76915076504583</v>
      </c>
      <c r="I972" t="n">
        <v>951</v>
      </c>
      <c r="J972" t="n">
        <v>152</v>
      </c>
      <c r="K972" t="n">
        <v>113.1446124763705</v>
      </c>
      <c r="L972" t="n">
        <v>117.7627599243856</v>
      </c>
      <c r="M972">
        <f>2*SQRT(K972/PI())</f>
        <v/>
      </c>
      <c r="N972">
        <f>2*SQRT(L972/PI())</f>
        <v/>
      </c>
      <c r="P972" t="inlineStr">
        <is>
          <t>是</t>
        </is>
      </c>
      <c r="Q972" t="inlineStr">
        <is>
          <t>auto_pipeline;review_png_green</t>
        </is>
      </c>
      <c r="R972" t="inlineStr">
        <is>
          <t>样品21</t>
        </is>
      </c>
    </row>
    <row r="973">
      <c r="A973" t="n">
        <v>972</v>
      </c>
      <c r="B973" t="inlineStr">
        <is>
          <t>22 (1).tif</t>
        </is>
      </c>
      <c r="C973" t="inlineStr">
        <is>
          <t>22(1)-V01</t>
        </is>
      </c>
      <c r="D973" t="n">
        <v>1</v>
      </c>
      <c r="E973" t="inlineStr">
        <is>
          <t>primary</t>
        </is>
      </c>
      <c r="F973" t="n">
        <v>832.1597353497165</v>
      </c>
      <c r="G973">
        <f>2*SQRT(F973/PI())</f>
        <v/>
      </c>
      <c r="H973" t="n">
        <v>108.1494280825491</v>
      </c>
      <c r="I973" t="n">
        <v>433</v>
      </c>
      <c r="J973" t="n">
        <v>410</v>
      </c>
      <c r="K973" t="n">
        <v>815.5165406427221</v>
      </c>
      <c r="L973" t="n">
        <v>848.8029300567108</v>
      </c>
      <c r="M973">
        <f>2*SQRT(K973/PI())</f>
        <v/>
      </c>
      <c r="N973">
        <f>2*SQRT(L973/PI())</f>
        <v/>
      </c>
      <c r="P973" t="inlineStr">
        <is>
          <t>是</t>
        </is>
      </c>
      <c r="Q973" t="inlineStr">
        <is>
          <t>auto_pipeline;review_png_green</t>
        </is>
      </c>
      <c r="R973" t="inlineStr">
        <is>
          <t>样品22</t>
        </is>
      </c>
    </row>
    <row r="974">
      <c r="A974" t="n">
        <v>973</v>
      </c>
      <c r="B974" t="inlineStr">
        <is>
          <t>22 (1).tif</t>
        </is>
      </c>
      <c r="C974" t="inlineStr">
        <is>
          <t>22(1)-V02</t>
        </is>
      </c>
      <c r="D974" t="n">
        <v>2</v>
      </c>
      <c r="E974" t="inlineStr">
        <is>
          <t>primary</t>
        </is>
      </c>
      <c r="F974" t="n">
        <v>463.3034026465028</v>
      </c>
      <c r="G974">
        <f>2*SQRT(F974/PI())</f>
        <v/>
      </c>
      <c r="H974" t="n">
        <v>84.187385543533</v>
      </c>
      <c r="I974" t="n">
        <v>558</v>
      </c>
      <c r="J974" t="n">
        <v>330</v>
      </c>
      <c r="K974" t="n">
        <v>454.0373345935728</v>
      </c>
      <c r="L974" t="n">
        <v>472.5694706994329</v>
      </c>
      <c r="M974">
        <f>2*SQRT(K974/PI())</f>
        <v/>
      </c>
      <c r="N974">
        <f>2*SQRT(L974/PI())</f>
        <v/>
      </c>
      <c r="P974" t="inlineStr">
        <is>
          <t>是</t>
        </is>
      </c>
      <c r="Q974" t="inlineStr">
        <is>
          <t>auto_pipeline;review_png_green</t>
        </is>
      </c>
      <c r="R974" t="inlineStr">
        <is>
          <t>样品22</t>
        </is>
      </c>
    </row>
    <row r="975">
      <c r="A975" t="n">
        <v>974</v>
      </c>
      <c r="B975" t="inlineStr">
        <is>
          <t>22 (1).tif</t>
        </is>
      </c>
      <c r="C975" t="inlineStr">
        <is>
          <t>22(1)-V03</t>
        </is>
      </c>
      <c r="D975" t="n">
        <v>3</v>
      </c>
      <c r="E975" t="inlineStr">
        <is>
          <t>primary</t>
        </is>
      </c>
      <c r="F975" t="n">
        <v>191.6824196597354</v>
      </c>
      <c r="G975">
        <f>2*SQRT(F975/PI())</f>
        <v/>
      </c>
      <c r="H975" t="n">
        <v>53.03598046302795</v>
      </c>
      <c r="I975" t="n">
        <v>171</v>
      </c>
      <c r="J975" t="n">
        <v>371</v>
      </c>
      <c r="K975" t="n">
        <v>187.8487712665406</v>
      </c>
      <c r="L975" t="n">
        <v>195.5160680529301</v>
      </c>
      <c r="M975">
        <f>2*SQRT(K975/PI())</f>
        <v/>
      </c>
      <c r="N975">
        <f>2*SQRT(L975/PI())</f>
        <v/>
      </c>
      <c r="P975" t="inlineStr">
        <is>
          <t>是</t>
        </is>
      </c>
      <c r="Q975" t="inlineStr">
        <is>
          <t>auto_pipeline;review_png_green</t>
        </is>
      </c>
      <c r="R975" t="inlineStr">
        <is>
          <t>样品22</t>
        </is>
      </c>
    </row>
    <row r="976">
      <c r="A976" t="n">
        <v>975</v>
      </c>
      <c r="B976" t="inlineStr">
        <is>
          <t>22 (1).tif</t>
        </is>
      </c>
      <c r="C976" t="inlineStr">
        <is>
          <t>22(1)-V04</t>
        </is>
      </c>
      <c r="D976" t="n">
        <v>4</v>
      </c>
      <c r="E976" t="inlineStr">
        <is>
          <t>primary</t>
        </is>
      </c>
      <c r="F976" t="n">
        <v>178.1899810964083</v>
      </c>
      <c r="G976">
        <f>2*SQRT(F976/PI())</f>
        <v/>
      </c>
      <c r="H976" t="n">
        <v>54.79695986146512</v>
      </c>
      <c r="I976" t="n">
        <v>267</v>
      </c>
      <c r="J976" t="n">
        <v>297</v>
      </c>
      <c r="K976" t="n">
        <v>174.6261814744801</v>
      </c>
      <c r="L976" t="n">
        <v>181.7537807183365</v>
      </c>
      <c r="M976">
        <f>2*SQRT(K976/PI())</f>
        <v/>
      </c>
      <c r="N976">
        <f>2*SQRT(L976/PI())</f>
        <v/>
      </c>
      <c r="P976" t="inlineStr">
        <is>
          <t>是</t>
        </is>
      </c>
      <c r="Q976" t="inlineStr">
        <is>
          <t>auto_pipeline;review_png_green</t>
        </is>
      </c>
      <c r="R976" t="inlineStr">
        <is>
          <t>样品22</t>
        </is>
      </c>
    </row>
    <row r="977">
      <c r="A977" t="n">
        <v>976</v>
      </c>
      <c r="B977" t="inlineStr">
        <is>
          <t>22 (2).tif</t>
        </is>
      </c>
      <c r="C977" t="inlineStr">
        <is>
          <t>22(2)-V01</t>
        </is>
      </c>
      <c r="D977" t="n">
        <v>1</v>
      </c>
      <c r="E977" t="inlineStr">
        <is>
          <t>primary</t>
        </is>
      </c>
      <c r="F977" t="n">
        <v>605.3875236294896</v>
      </c>
      <c r="G977">
        <f>2*SQRT(F977/PI())</f>
        <v/>
      </c>
      <c r="H977" t="n">
        <v>92.20261537510416</v>
      </c>
      <c r="I977" t="n">
        <v>431</v>
      </c>
      <c r="J977" t="n">
        <v>407</v>
      </c>
      <c r="K977" t="n">
        <v>593.2797731568998</v>
      </c>
      <c r="L977" t="n">
        <v>617.4952741020794</v>
      </c>
      <c r="M977">
        <f>2*SQRT(K977/PI())</f>
        <v/>
      </c>
      <c r="N977">
        <f>2*SQRT(L977/PI())</f>
        <v/>
      </c>
      <c r="P977" t="inlineStr">
        <is>
          <t>是</t>
        </is>
      </c>
      <c r="Q977" t="inlineStr">
        <is>
          <t>auto_pipeline;review_png_green</t>
        </is>
      </c>
      <c r="R977" t="inlineStr">
        <is>
          <t>样品22</t>
        </is>
      </c>
    </row>
    <row r="978">
      <c r="A978" t="n">
        <v>977</v>
      </c>
      <c r="B978" t="inlineStr">
        <is>
          <t>22 (2).tif</t>
        </is>
      </c>
      <c r="C978" t="inlineStr">
        <is>
          <t>22(2)-V02</t>
        </is>
      </c>
      <c r="D978" t="n">
        <v>2</v>
      </c>
      <c r="E978" t="inlineStr">
        <is>
          <t>primary</t>
        </is>
      </c>
      <c r="F978" t="n">
        <v>356.1672967863894</v>
      </c>
      <c r="G978">
        <f>2*SQRT(F978/PI())</f>
        <v/>
      </c>
      <c r="H978" t="n">
        <v>75.17524561156397</v>
      </c>
      <c r="I978" t="n">
        <v>138</v>
      </c>
      <c r="J978" t="n">
        <v>497</v>
      </c>
      <c r="K978" t="n">
        <v>349.0439508506616</v>
      </c>
      <c r="L978" t="n">
        <v>363.2906427221172</v>
      </c>
      <c r="M978">
        <f>2*SQRT(K978/PI())</f>
        <v/>
      </c>
      <c r="N978">
        <f>2*SQRT(L978/PI())</f>
        <v/>
      </c>
      <c r="P978" t="inlineStr">
        <is>
          <t>是</t>
        </is>
      </c>
      <c r="Q978" t="inlineStr">
        <is>
          <t>auto_pipeline;review_png_green</t>
        </is>
      </c>
      <c r="R978" t="inlineStr">
        <is>
          <t>样品22</t>
        </is>
      </c>
    </row>
    <row r="979">
      <c r="A979" t="n">
        <v>978</v>
      </c>
      <c r="B979" t="inlineStr">
        <is>
          <t>22 (2).tif</t>
        </is>
      </c>
      <c r="C979" t="inlineStr">
        <is>
          <t>22(2)-V03</t>
        </is>
      </c>
      <c r="D979" t="n">
        <v>3</v>
      </c>
      <c r="E979" t="inlineStr">
        <is>
          <t>primary</t>
        </is>
      </c>
      <c r="F979" t="n">
        <v>323.6058601134216</v>
      </c>
      <c r="G979">
        <f>2*SQRT(F979/PI())</f>
        <v/>
      </c>
      <c r="H979" t="n">
        <v>70.10704815387726</v>
      </c>
      <c r="I979" t="n">
        <v>539</v>
      </c>
      <c r="J979" t="n">
        <v>344</v>
      </c>
      <c r="K979" t="n">
        <v>317.1337429111531</v>
      </c>
      <c r="L979" t="n">
        <v>330.07797731569</v>
      </c>
      <c r="M979">
        <f>2*SQRT(K979/PI())</f>
        <v/>
      </c>
      <c r="N979">
        <f>2*SQRT(L979/PI())</f>
        <v/>
      </c>
      <c r="P979" t="inlineStr">
        <is>
          <t>是</t>
        </is>
      </c>
      <c r="Q979" t="inlineStr">
        <is>
          <t>auto_pipeline;review_png_green</t>
        </is>
      </c>
      <c r="R979" t="inlineStr">
        <is>
          <t>样品22</t>
        </is>
      </c>
    </row>
    <row r="980">
      <c r="A980" t="n">
        <v>979</v>
      </c>
      <c r="B980" t="inlineStr">
        <is>
          <t>22 (2).tif</t>
        </is>
      </c>
      <c r="C980" t="inlineStr">
        <is>
          <t>22(2)-V04</t>
        </is>
      </c>
      <c r="D980" t="n">
        <v>4</v>
      </c>
      <c r="E980" t="inlineStr">
        <is>
          <t>primary</t>
        </is>
      </c>
      <c r="F980" t="n">
        <v>216.2334593572779</v>
      </c>
      <c r="G980">
        <f>2*SQRT(F980/PI())</f>
        <v/>
      </c>
      <c r="H980" t="n">
        <v>57.00177190096482</v>
      </c>
      <c r="I980" t="n">
        <v>617</v>
      </c>
      <c r="J980" t="n">
        <v>310</v>
      </c>
      <c r="K980" t="n">
        <v>211.9087901701323</v>
      </c>
      <c r="L980" t="n">
        <v>220.5581285444235</v>
      </c>
      <c r="M980">
        <f>2*SQRT(K980/PI())</f>
        <v/>
      </c>
      <c r="N980">
        <f>2*SQRT(L980/PI())</f>
        <v/>
      </c>
      <c r="P980" t="inlineStr">
        <is>
          <t>是</t>
        </is>
      </c>
      <c r="Q980" t="inlineStr">
        <is>
          <t>auto_pipeline;review_png_green</t>
        </is>
      </c>
      <c r="R980" t="inlineStr">
        <is>
          <t>样品22</t>
        </is>
      </c>
    </row>
    <row r="981">
      <c r="A981" t="n">
        <v>980</v>
      </c>
      <c r="B981" t="inlineStr">
        <is>
          <t>22 (2).tif</t>
        </is>
      </c>
      <c r="C981" t="inlineStr">
        <is>
          <t>22(2)-V05</t>
        </is>
      </c>
      <c r="D981" t="n">
        <v>5</v>
      </c>
      <c r="E981" t="inlineStr">
        <is>
          <t>primary</t>
        </is>
      </c>
      <c r="F981" t="n">
        <v>207.8449905482042</v>
      </c>
      <c r="G981">
        <f>2*SQRT(F981/PI())</f>
        <v/>
      </c>
      <c r="H981" t="n">
        <v>57.34010862267535</v>
      </c>
      <c r="I981" t="n">
        <v>79</v>
      </c>
      <c r="J981" t="n">
        <v>416</v>
      </c>
      <c r="K981" t="n">
        <v>203.6880907372401</v>
      </c>
      <c r="L981" t="n">
        <v>212.0018903591682</v>
      </c>
      <c r="M981">
        <f>2*SQRT(K981/PI())</f>
        <v/>
      </c>
      <c r="N981">
        <f>2*SQRT(L981/PI())</f>
        <v/>
      </c>
      <c r="P981" t="inlineStr">
        <is>
          <t>是</t>
        </is>
      </c>
      <c r="Q981" t="inlineStr">
        <is>
          <t>auto_pipeline;review_png_green</t>
        </is>
      </c>
      <c r="R981" t="inlineStr">
        <is>
          <t>样品22</t>
        </is>
      </c>
    </row>
    <row r="982">
      <c r="A982" t="n">
        <v>981</v>
      </c>
      <c r="B982" t="inlineStr">
        <is>
          <t>22 (2).tif</t>
        </is>
      </c>
      <c r="C982" t="inlineStr">
        <is>
          <t>22(2)-V06</t>
        </is>
      </c>
      <c r="D982" t="n">
        <v>6</v>
      </c>
      <c r="E982" t="inlineStr">
        <is>
          <t>primary</t>
        </is>
      </c>
      <c r="F982" t="n">
        <v>119.7306238185255</v>
      </c>
      <c r="G982">
        <f>2*SQRT(F982/PI())</f>
        <v/>
      </c>
      <c r="H982" t="n">
        <v>41.03311022986536</v>
      </c>
      <c r="I982" t="n">
        <v>640</v>
      </c>
      <c r="J982" t="n">
        <v>409</v>
      </c>
      <c r="K982" t="n">
        <v>117.336011342155</v>
      </c>
      <c r="L982" t="n">
        <v>122.125236294896</v>
      </c>
      <c r="M982">
        <f>2*SQRT(K982/PI())</f>
        <v/>
      </c>
      <c r="N982">
        <f>2*SQRT(L982/PI())</f>
        <v/>
      </c>
      <c r="P982" t="inlineStr">
        <is>
          <t>是</t>
        </is>
      </c>
      <c r="Q982" t="inlineStr">
        <is>
          <t>auto_pipeline;review_png_green</t>
        </is>
      </c>
      <c r="R982" t="inlineStr">
        <is>
          <t>样品22</t>
        </is>
      </c>
    </row>
    <row r="983">
      <c r="A983" t="n">
        <v>982</v>
      </c>
      <c r="B983" t="inlineStr">
        <is>
          <t>22 (3).tif</t>
        </is>
      </c>
      <c r="C983" t="inlineStr">
        <is>
          <t>22(3)-V01</t>
        </is>
      </c>
      <c r="D983" t="n">
        <v>1</v>
      </c>
      <c r="E983" t="inlineStr">
        <is>
          <t>primary</t>
        </is>
      </c>
      <c r="F983" t="n">
        <v>1164.012287334594</v>
      </c>
      <c r="G983">
        <f>2*SQRT(F983/PI())</f>
        <v/>
      </c>
      <c r="H983" t="n">
        <v>128.782403598661</v>
      </c>
      <c r="I983" t="n">
        <v>597</v>
      </c>
      <c r="J983" t="n">
        <v>390</v>
      </c>
      <c r="K983" t="n">
        <v>1140.732041587902</v>
      </c>
      <c r="L983" t="n">
        <v>1187.292533081285</v>
      </c>
      <c r="M983">
        <f>2*SQRT(K983/PI())</f>
        <v/>
      </c>
      <c r="N983">
        <f>2*SQRT(L983/PI())</f>
        <v/>
      </c>
      <c r="P983" t="inlineStr">
        <is>
          <t>是</t>
        </is>
      </c>
      <c r="Q983" t="inlineStr">
        <is>
          <t>auto_pipeline;review_png_green</t>
        </is>
      </c>
      <c r="R983" t="inlineStr">
        <is>
          <t>样品22</t>
        </is>
      </c>
    </row>
    <row r="984">
      <c r="A984" t="n">
        <v>983</v>
      </c>
      <c r="B984" t="inlineStr">
        <is>
          <t>22 (3).tif</t>
        </is>
      </c>
      <c r="C984" t="inlineStr">
        <is>
          <t>22(3)-V02</t>
        </is>
      </c>
      <c r="D984" t="n">
        <v>2</v>
      </c>
      <c r="E984" t="inlineStr">
        <is>
          <t>primary</t>
        </is>
      </c>
      <c r="F984" t="n">
        <v>809.7826086956521</v>
      </c>
      <c r="G984">
        <f>2*SQRT(F984/PI())</f>
        <v/>
      </c>
      <c r="H984" t="n">
        <v>106.7923322967861</v>
      </c>
      <c r="I984" t="n">
        <v>398</v>
      </c>
      <c r="J984" t="n">
        <v>341</v>
      </c>
      <c r="K984" t="n">
        <v>793.5869565217391</v>
      </c>
      <c r="L984" t="n">
        <v>825.9782608695651</v>
      </c>
      <c r="M984">
        <f>2*SQRT(K984/PI())</f>
        <v/>
      </c>
      <c r="N984">
        <f>2*SQRT(L984/PI())</f>
        <v/>
      </c>
      <c r="P984" t="inlineStr">
        <is>
          <t>是</t>
        </is>
      </c>
      <c r="Q984" t="inlineStr">
        <is>
          <t>auto_pipeline;review_png_green</t>
        </is>
      </c>
      <c r="R984" t="inlineStr">
        <is>
          <t>样品22</t>
        </is>
      </c>
    </row>
    <row r="985">
      <c r="A985" t="n">
        <v>984</v>
      </c>
      <c r="B985" t="inlineStr">
        <is>
          <t>22 (3).tif</t>
        </is>
      </c>
      <c r="C985" t="inlineStr">
        <is>
          <t>22(3)-V03</t>
        </is>
      </c>
      <c r="D985" t="n">
        <v>3</v>
      </c>
      <c r="E985" t="inlineStr">
        <is>
          <t>primary</t>
        </is>
      </c>
      <c r="F985" t="n">
        <v>622.3298676748582</v>
      </c>
      <c r="G985">
        <f>2*SQRT(F985/PI())</f>
        <v/>
      </c>
      <c r="H985" t="n">
        <v>94.06909069289331</v>
      </c>
      <c r="I985" t="n">
        <v>815</v>
      </c>
      <c r="J985" t="n">
        <v>507</v>
      </c>
      <c r="K985" t="n">
        <v>609.883270321361</v>
      </c>
      <c r="L985" t="n">
        <v>634.7764650283553</v>
      </c>
      <c r="M985">
        <f>2*SQRT(K985/PI())</f>
        <v/>
      </c>
      <c r="N985">
        <f>2*SQRT(L985/PI())</f>
        <v/>
      </c>
      <c r="P985" t="inlineStr">
        <is>
          <t>是</t>
        </is>
      </c>
      <c r="Q985" t="inlineStr">
        <is>
          <t>auto_pipeline;review_png_green</t>
        </is>
      </c>
      <c r="R985" t="inlineStr">
        <is>
          <t>样品22</t>
        </is>
      </c>
    </row>
    <row r="986">
      <c r="A986" t="n">
        <v>985</v>
      </c>
      <c r="B986" t="inlineStr">
        <is>
          <t>22 (3).tif</t>
        </is>
      </c>
      <c r="C986" t="inlineStr">
        <is>
          <t>22(3)-V04</t>
        </is>
      </c>
      <c r="D986" t="n">
        <v>4</v>
      </c>
      <c r="E986" t="inlineStr">
        <is>
          <t>primary</t>
        </is>
      </c>
      <c r="F986" t="n">
        <v>179.1587901701323</v>
      </c>
      <c r="G986">
        <f>2*SQRT(F986/PI())</f>
        <v/>
      </c>
      <c r="H986" t="n">
        <v>50.42728481085404</v>
      </c>
      <c r="I986" t="n">
        <v>953</v>
      </c>
      <c r="J986" t="n">
        <v>544</v>
      </c>
      <c r="K986" t="n">
        <v>175.5756143667297</v>
      </c>
      <c r="L986" t="n">
        <v>182.741965973535</v>
      </c>
      <c r="M986">
        <f>2*SQRT(K986/PI())</f>
        <v/>
      </c>
      <c r="N986">
        <f>2*SQRT(L986/PI())</f>
        <v/>
      </c>
      <c r="P986" t="inlineStr">
        <is>
          <t>是</t>
        </is>
      </c>
      <c r="Q986" t="inlineStr">
        <is>
          <t>auto_pipeline;review_png_green</t>
        </is>
      </c>
      <c r="R986" t="inlineStr">
        <is>
          <t>样品22</t>
        </is>
      </c>
    </row>
    <row r="987">
      <c r="A987" t="n">
        <v>986</v>
      </c>
      <c r="B987" t="inlineStr">
        <is>
          <t>22 (3).tif</t>
        </is>
      </c>
      <c r="C987" t="inlineStr">
        <is>
          <t>22(3)-V05</t>
        </is>
      </c>
      <c r="D987" t="n">
        <v>5</v>
      </c>
      <c r="E987" t="inlineStr">
        <is>
          <t>primary</t>
        </is>
      </c>
      <c r="F987" t="n">
        <v>156.4035916824197</v>
      </c>
      <c r="G987">
        <f>2*SQRT(F987/PI())</f>
        <v/>
      </c>
      <c r="H987" t="n">
        <v>48.20062380769978</v>
      </c>
      <c r="I987" t="n">
        <v>226</v>
      </c>
      <c r="J987" t="n">
        <v>326</v>
      </c>
      <c r="K987" t="n">
        <v>153.2755198487713</v>
      </c>
      <c r="L987" t="n">
        <v>159.5316635160681</v>
      </c>
      <c r="M987">
        <f>2*SQRT(K987/PI())</f>
        <v/>
      </c>
      <c r="N987">
        <f>2*SQRT(L987/PI())</f>
        <v/>
      </c>
      <c r="P987" t="inlineStr">
        <is>
          <t>是</t>
        </is>
      </c>
      <c r="Q987" t="inlineStr">
        <is>
          <t>auto_pipeline;review_png_green</t>
        </is>
      </c>
      <c r="R987" t="inlineStr">
        <is>
          <t>样品22</t>
        </is>
      </c>
    </row>
    <row r="988">
      <c r="A988" t="n">
        <v>987</v>
      </c>
      <c r="B988" t="inlineStr">
        <is>
          <t>22 (3).tif</t>
        </is>
      </c>
      <c r="C988" t="inlineStr">
        <is>
          <t>22(3)-V06</t>
        </is>
      </c>
      <c r="D988" t="n">
        <v>6</v>
      </c>
      <c r="E988" t="inlineStr">
        <is>
          <t>primary</t>
        </is>
      </c>
      <c r="F988" t="n">
        <v>121.0302457466919</v>
      </c>
      <c r="G988">
        <f>2*SQRT(F988/PI())</f>
        <v/>
      </c>
      <c r="H988" t="n">
        <v>43.61995691838472</v>
      </c>
      <c r="I988" t="n">
        <v>876</v>
      </c>
      <c r="J988" t="n">
        <v>421</v>
      </c>
      <c r="K988" t="n">
        <v>118.609640831758</v>
      </c>
      <c r="L988" t="n">
        <v>123.4508506616257</v>
      </c>
      <c r="M988">
        <f>2*SQRT(K988/PI())</f>
        <v/>
      </c>
      <c r="N988">
        <f>2*SQRT(L988/PI())</f>
        <v/>
      </c>
      <c r="P988" t="inlineStr">
        <is>
          <t>是</t>
        </is>
      </c>
      <c r="Q988" t="inlineStr">
        <is>
          <t>auto_pipeline;review_png_green</t>
        </is>
      </c>
      <c r="R988" t="inlineStr">
        <is>
          <t>样品22</t>
        </is>
      </c>
    </row>
    <row r="989">
      <c r="A989" t="n">
        <v>988</v>
      </c>
      <c r="B989" t="inlineStr">
        <is>
          <t>22 (4).tif</t>
        </is>
      </c>
      <c r="C989" t="inlineStr">
        <is>
          <t>22(4)-V01</t>
        </is>
      </c>
      <c r="D989" t="n">
        <v>1</v>
      </c>
      <c r="E989" t="inlineStr">
        <is>
          <t>primary</t>
        </is>
      </c>
      <c r="F989" t="n">
        <v>480.3638941398866</v>
      </c>
      <c r="G989">
        <f>2*SQRT(F989/PI())</f>
        <v/>
      </c>
      <c r="H989" t="n">
        <v>82.19356534273727</v>
      </c>
      <c r="I989" t="n">
        <v>453</v>
      </c>
      <c r="J989" t="n">
        <v>280</v>
      </c>
      <c r="K989" t="n">
        <v>470.7566162570888</v>
      </c>
      <c r="L989" t="n">
        <v>489.9711720226843</v>
      </c>
      <c r="M989">
        <f>2*SQRT(K989/PI())</f>
        <v/>
      </c>
      <c r="N989">
        <f>2*SQRT(L989/PI())</f>
        <v/>
      </c>
      <c r="P989" t="inlineStr">
        <is>
          <t>是</t>
        </is>
      </c>
      <c r="Q989" t="inlineStr">
        <is>
          <t>auto_pipeline;review_png_green</t>
        </is>
      </c>
      <c r="R989" t="inlineStr">
        <is>
          <t>样品22</t>
        </is>
      </c>
    </row>
    <row r="990">
      <c r="A990" t="n">
        <v>989</v>
      </c>
      <c r="B990" t="inlineStr">
        <is>
          <t>22 (4).tif</t>
        </is>
      </c>
      <c r="C990" t="inlineStr">
        <is>
          <t>22(4)-V02</t>
        </is>
      </c>
      <c r="D990" t="n">
        <v>2</v>
      </c>
      <c r="E990" t="inlineStr">
        <is>
          <t>primary</t>
        </is>
      </c>
      <c r="F990" t="n">
        <v>432.1361058601134</v>
      </c>
      <c r="G990">
        <f>2*SQRT(F990/PI())</f>
        <v/>
      </c>
      <c r="H990" t="n">
        <v>77.86758821943532</v>
      </c>
      <c r="I990" t="n">
        <v>546</v>
      </c>
      <c r="J990" t="n">
        <v>414</v>
      </c>
      <c r="K990" t="n">
        <v>423.4933837429112</v>
      </c>
      <c r="L990" t="n">
        <v>440.7788279773157</v>
      </c>
      <c r="M990">
        <f>2*SQRT(K990/PI())</f>
        <v/>
      </c>
      <c r="N990">
        <f>2*SQRT(L990/PI())</f>
        <v/>
      </c>
      <c r="P990" t="inlineStr">
        <is>
          <t>是</t>
        </is>
      </c>
      <c r="Q990" t="inlineStr">
        <is>
          <t>auto_pipeline;review_png_green</t>
        </is>
      </c>
      <c r="R990" t="inlineStr">
        <is>
          <t>样品22</t>
        </is>
      </c>
    </row>
    <row r="991">
      <c r="A991" t="n">
        <v>990</v>
      </c>
      <c r="B991" t="inlineStr">
        <is>
          <t>22 (4).tif</t>
        </is>
      </c>
      <c r="C991" t="inlineStr">
        <is>
          <t>22(4)-V03</t>
        </is>
      </c>
      <c r="D991" t="n">
        <v>3</v>
      </c>
      <c r="E991" t="inlineStr">
        <is>
          <t>primary</t>
        </is>
      </c>
      <c r="F991" t="n">
        <v>143.1001890359168</v>
      </c>
      <c r="G991">
        <f>2*SQRT(F991/PI())</f>
        <v/>
      </c>
      <c r="H991" t="n">
        <v>45.97396280454553</v>
      </c>
      <c r="I991" t="n">
        <v>344</v>
      </c>
      <c r="J991" t="n">
        <v>246</v>
      </c>
      <c r="K991" t="n">
        <v>140.2381852551985</v>
      </c>
      <c r="L991" t="n">
        <v>145.9621928166352</v>
      </c>
      <c r="M991">
        <f>2*SQRT(K991/PI())</f>
        <v/>
      </c>
      <c r="N991">
        <f>2*SQRT(L991/PI())</f>
        <v/>
      </c>
      <c r="P991" t="inlineStr">
        <is>
          <t>是</t>
        </is>
      </c>
      <c r="Q991" t="inlineStr">
        <is>
          <t>auto_pipeline;review_png_green</t>
        </is>
      </c>
      <c r="R991" t="inlineStr">
        <is>
          <t>样品22</t>
        </is>
      </c>
    </row>
    <row r="992">
      <c r="A992" t="n">
        <v>991</v>
      </c>
      <c r="B992" t="inlineStr">
        <is>
          <t>22 (4).tif</t>
        </is>
      </c>
      <c r="C992" t="inlineStr">
        <is>
          <t>22(4)-V04</t>
        </is>
      </c>
      <c r="D992" t="n">
        <v>4</v>
      </c>
      <c r="E992" t="inlineStr">
        <is>
          <t>primary</t>
        </is>
      </c>
      <c r="F992" t="n">
        <v>137.476370510397</v>
      </c>
      <c r="G992">
        <f>2*SQRT(F992/PI())</f>
        <v/>
      </c>
      <c r="H992" t="n">
        <v>44.12933645041092</v>
      </c>
      <c r="I992" t="n">
        <v>949</v>
      </c>
      <c r="J992" t="n">
        <v>416</v>
      </c>
      <c r="K992" t="n">
        <v>134.726843100189</v>
      </c>
      <c r="L992" t="n">
        <v>140.2258979206049</v>
      </c>
      <c r="M992">
        <f>2*SQRT(K992/PI())</f>
        <v/>
      </c>
      <c r="N992">
        <f>2*SQRT(L992/PI())</f>
        <v/>
      </c>
      <c r="P992" t="inlineStr">
        <is>
          <t>是</t>
        </is>
      </c>
      <c r="Q992" t="inlineStr">
        <is>
          <t>auto_pipeline;review_png_green</t>
        </is>
      </c>
      <c r="R992" t="inlineStr">
        <is>
          <t>样品22</t>
        </is>
      </c>
    </row>
    <row r="993">
      <c r="A993" t="n">
        <v>992</v>
      </c>
      <c r="B993" t="inlineStr">
        <is>
          <t>22 (4).tif</t>
        </is>
      </c>
      <c r="C993" t="inlineStr">
        <is>
          <t>22(4)-V05</t>
        </is>
      </c>
      <c r="D993" t="n">
        <v>5</v>
      </c>
      <c r="E993" t="inlineStr">
        <is>
          <t>primary</t>
        </is>
      </c>
      <c r="F993" t="n">
        <v>118.6200378071834</v>
      </c>
      <c r="G993">
        <f>2*SQRT(F993/PI())</f>
        <v/>
      </c>
      <c r="H993" t="n">
        <v>45.97396280454553</v>
      </c>
      <c r="I993" t="n">
        <v>588</v>
      </c>
      <c r="J993" t="n">
        <v>336</v>
      </c>
      <c r="K993" t="n">
        <v>116.2476370510397</v>
      </c>
      <c r="L993" t="n">
        <v>120.992438563327</v>
      </c>
      <c r="M993">
        <f>2*SQRT(K993/PI())</f>
        <v/>
      </c>
      <c r="N993">
        <f>2*SQRT(L993/PI())</f>
        <v/>
      </c>
      <c r="P993" t="inlineStr">
        <is>
          <t>是</t>
        </is>
      </c>
      <c r="Q993" t="inlineStr">
        <is>
          <t>auto_pipeline;review_png_green</t>
        </is>
      </c>
      <c r="R993" t="inlineStr">
        <is>
          <t>样品22</t>
        </is>
      </c>
    </row>
    <row r="994">
      <c r="A994" t="n">
        <v>993</v>
      </c>
      <c r="B994" t="inlineStr">
        <is>
          <t>22 (4).tif</t>
        </is>
      </c>
      <c r="C994" t="inlineStr">
        <is>
          <t>22(4)-V06</t>
        </is>
      </c>
      <c r="D994" t="n">
        <v>6</v>
      </c>
      <c r="E994" t="inlineStr">
        <is>
          <t>primary</t>
        </is>
      </c>
      <c r="F994" t="n">
        <v>108.1049149338374</v>
      </c>
      <c r="G994">
        <f>2*SQRT(F994/PI())</f>
        <v/>
      </c>
      <c r="H994" t="n">
        <v>39.18848387573076</v>
      </c>
      <c r="I994" t="n">
        <v>909</v>
      </c>
      <c r="J994" t="n">
        <v>510</v>
      </c>
      <c r="K994" t="n">
        <v>105.9428166351607</v>
      </c>
      <c r="L994" t="n">
        <v>110.2670132325142</v>
      </c>
      <c r="M994">
        <f>2*SQRT(K994/PI())</f>
        <v/>
      </c>
      <c r="N994">
        <f>2*SQRT(L994/PI())</f>
        <v/>
      </c>
      <c r="P994" t="inlineStr">
        <is>
          <t>是</t>
        </is>
      </c>
      <c r="Q994" t="inlineStr">
        <is>
          <t>auto_pipeline;review_png_green</t>
        </is>
      </c>
      <c r="R994" t="inlineStr">
        <is>
          <t>样品22</t>
        </is>
      </c>
    </row>
    <row r="995">
      <c r="A995" t="n">
        <v>994</v>
      </c>
      <c r="B995" t="inlineStr">
        <is>
          <t>22 (5).tif</t>
        </is>
      </c>
      <c r="C995" t="inlineStr">
        <is>
          <t>22(5)-V01</t>
        </is>
      </c>
      <c r="D995" t="n">
        <v>1</v>
      </c>
      <c r="E995" t="inlineStr">
        <is>
          <t>primary</t>
        </is>
      </c>
      <c r="F995" t="n">
        <v>699.6691871455577</v>
      </c>
      <c r="G995">
        <f>2*SQRT(F995/PI())</f>
        <v/>
      </c>
      <c r="H995" t="n">
        <v>99.73031463830367</v>
      </c>
      <c r="I995" t="n">
        <v>441</v>
      </c>
      <c r="J995" t="n">
        <v>425</v>
      </c>
      <c r="K995" t="n">
        <v>685.6758034026465</v>
      </c>
      <c r="L995" t="n">
        <v>713.6625708884688</v>
      </c>
      <c r="M995">
        <f>2*SQRT(K995/PI())</f>
        <v/>
      </c>
      <c r="N995">
        <f>2*SQRT(L995/PI())</f>
        <v/>
      </c>
      <c r="P995" t="inlineStr">
        <is>
          <t>是</t>
        </is>
      </c>
      <c r="Q995" t="inlineStr">
        <is>
          <t>auto_pipeline;review_png_green</t>
        </is>
      </c>
      <c r="R995" t="inlineStr">
        <is>
          <t>样品22</t>
        </is>
      </c>
    </row>
    <row r="996">
      <c r="A996" t="n">
        <v>995</v>
      </c>
      <c r="B996" t="inlineStr">
        <is>
          <t>22 (5).tif</t>
        </is>
      </c>
      <c r="C996" t="inlineStr">
        <is>
          <t>22(5)-V02</t>
        </is>
      </c>
      <c r="D996" t="n">
        <v>2</v>
      </c>
      <c r="E996" t="inlineStr">
        <is>
          <t>primary</t>
        </is>
      </c>
      <c r="F996" t="n">
        <v>653.0954631379963</v>
      </c>
      <c r="G996">
        <f>2*SQRT(F996/PI())</f>
        <v/>
      </c>
      <c r="H996" t="n">
        <v>98.26772293318872</v>
      </c>
      <c r="I996" t="n">
        <v>943</v>
      </c>
      <c r="J996" t="n">
        <v>240</v>
      </c>
      <c r="K996" t="n">
        <v>640.0335538752363</v>
      </c>
      <c r="L996" t="n">
        <v>666.1573724007562</v>
      </c>
      <c r="M996">
        <f>2*SQRT(K996/PI())</f>
        <v/>
      </c>
      <c r="N996">
        <f>2*SQRT(L996/PI())</f>
        <v/>
      </c>
      <c r="O996" t="inlineStr">
        <is>
          <t>22(5)-P01</t>
        </is>
      </c>
      <c r="P996" t="inlineStr">
        <is>
          <t>是</t>
        </is>
      </c>
      <c r="Q996" t="inlineStr">
        <is>
          <t>auto_pipeline;review_png_green</t>
        </is>
      </c>
      <c r="R996" t="inlineStr">
        <is>
          <t>样品22</t>
        </is>
      </c>
    </row>
    <row r="997">
      <c r="A997" t="n">
        <v>996</v>
      </c>
      <c r="B997" t="inlineStr">
        <is>
          <t>22 (5).tif</t>
        </is>
      </c>
      <c r="C997" t="inlineStr">
        <is>
          <t>22(5)-V03</t>
        </is>
      </c>
      <c r="D997" t="n">
        <v>3</v>
      </c>
      <c r="E997" t="inlineStr">
        <is>
          <t>primary</t>
        </is>
      </c>
      <c r="F997" t="n">
        <v>296.6918714555766</v>
      </c>
      <c r="G997">
        <f>2*SQRT(F997/PI())</f>
        <v/>
      </c>
      <c r="H997" t="n">
        <v>67.2655116993448</v>
      </c>
      <c r="I997" t="n">
        <v>150</v>
      </c>
      <c r="J997" t="n">
        <v>575</v>
      </c>
      <c r="K997" t="n">
        <v>290.7580340264651</v>
      </c>
      <c r="L997" t="n">
        <v>302.6257088846881</v>
      </c>
      <c r="M997">
        <f>2*SQRT(K997/PI())</f>
        <v/>
      </c>
      <c r="N997">
        <f>2*SQRT(L997/PI())</f>
        <v/>
      </c>
      <c r="P997" t="inlineStr">
        <is>
          <t>是</t>
        </is>
      </c>
      <c r="Q997" t="inlineStr">
        <is>
          <t>auto_pipeline;review_png_green</t>
        </is>
      </c>
      <c r="R997" t="inlineStr">
        <is>
          <t>样品22</t>
        </is>
      </c>
    </row>
    <row r="998">
      <c r="A998" t="n">
        <v>997</v>
      </c>
      <c r="B998" t="inlineStr">
        <is>
          <t>22 (5).tif</t>
        </is>
      </c>
      <c r="C998" t="inlineStr">
        <is>
          <t>22(5)-V04</t>
        </is>
      </c>
      <c r="D998" t="n">
        <v>4</v>
      </c>
      <c r="E998" t="inlineStr">
        <is>
          <t>primary</t>
        </is>
      </c>
      <c r="F998" t="n">
        <v>217.0604914933838</v>
      </c>
      <c r="G998">
        <f>2*SQRT(F998/PI())</f>
        <v/>
      </c>
      <c r="H998" t="n">
        <v>55.85566795390585</v>
      </c>
      <c r="I998" t="n">
        <v>885</v>
      </c>
      <c r="J998" t="n">
        <v>384</v>
      </c>
      <c r="K998" t="n">
        <v>212.7192816635161</v>
      </c>
      <c r="L998" t="n">
        <v>221.4017013232514</v>
      </c>
      <c r="M998">
        <f>2*SQRT(K998/PI())</f>
        <v/>
      </c>
      <c r="N998">
        <f>2*SQRT(L998/PI())</f>
        <v/>
      </c>
      <c r="O998" t="inlineStr">
        <is>
          <t>22(5)-P01</t>
        </is>
      </c>
      <c r="P998" t="inlineStr">
        <is>
          <t>是</t>
        </is>
      </c>
      <c r="Q998" t="inlineStr">
        <is>
          <t>auto_pipeline;review_png_green</t>
        </is>
      </c>
      <c r="R998" t="inlineStr">
        <is>
          <t>样品22</t>
        </is>
      </c>
    </row>
    <row r="999">
      <c r="A999" t="n">
        <v>998</v>
      </c>
      <c r="B999" t="inlineStr">
        <is>
          <t>22 (5).tif</t>
        </is>
      </c>
      <c r="C999" t="inlineStr">
        <is>
          <t>22(5)-V05</t>
        </is>
      </c>
      <c r="D999" t="n">
        <v>5</v>
      </c>
      <c r="E999" t="inlineStr">
        <is>
          <t>primary</t>
        </is>
      </c>
      <c r="F999" t="n">
        <v>187.547258979206</v>
      </c>
      <c r="G999">
        <f>2*SQRT(F999/PI())</f>
        <v/>
      </c>
      <c r="H999" t="n">
        <v>52.6539458140083</v>
      </c>
      <c r="I999" t="n">
        <v>96</v>
      </c>
      <c r="J999" t="n">
        <v>365</v>
      </c>
      <c r="K999" t="n">
        <v>183.7963137996219</v>
      </c>
      <c r="L999" t="n">
        <v>191.2982041587902</v>
      </c>
      <c r="M999">
        <f>2*SQRT(K999/PI())</f>
        <v/>
      </c>
      <c r="N999">
        <f>2*SQRT(L999/PI())</f>
        <v/>
      </c>
      <c r="P999" t="inlineStr">
        <is>
          <t>是</t>
        </is>
      </c>
      <c r="Q999" t="inlineStr">
        <is>
          <t>auto_pipeline;review_png_green</t>
        </is>
      </c>
      <c r="R999" t="inlineStr">
        <is>
          <t>样品22</t>
        </is>
      </c>
    </row>
    <row r="1000">
      <c r="A1000" t="n">
        <v>999</v>
      </c>
      <c r="B1000" t="inlineStr">
        <is>
          <t>22 (5).tif</t>
        </is>
      </c>
      <c r="C1000" t="inlineStr">
        <is>
          <t>22(5)-V06</t>
        </is>
      </c>
      <c r="D1000" t="n">
        <v>6</v>
      </c>
      <c r="E1000" t="inlineStr">
        <is>
          <t>primary</t>
        </is>
      </c>
      <c r="F1000" t="n">
        <v>177.6937618147448</v>
      </c>
      <c r="G1000">
        <f>2*SQRT(F1000/PI())</f>
        <v/>
      </c>
      <c r="H1000" t="n">
        <v>82.1280184517736</v>
      </c>
      <c r="I1000" t="n">
        <v>427</v>
      </c>
      <c r="J1000" t="n">
        <v>87</v>
      </c>
      <c r="K1000" t="n">
        <v>174.1398865784499</v>
      </c>
      <c r="L1000" t="n">
        <v>181.2476370510397</v>
      </c>
      <c r="M1000">
        <f>2*SQRT(K1000/PI())</f>
        <v/>
      </c>
      <c r="N1000">
        <f>2*SQRT(L1000/PI())</f>
        <v/>
      </c>
      <c r="P1000" t="inlineStr">
        <is>
          <t>是</t>
        </is>
      </c>
      <c r="Q1000" t="inlineStr">
        <is>
          <t>auto_pipeline;review_png_green</t>
        </is>
      </c>
      <c r="R1000" t="inlineStr">
        <is>
          <t>样品22</t>
        </is>
      </c>
    </row>
    <row r="1001">
      <c r="A1001" t="n">
        <v>1000</v>
      </c>
      <c r="B1001" t="inlineStr">
        <is>
          <t>22 (5).tif</t>
        </is>
      </c>
      <c r="C1001" t="inlineStr">
        <is>
          <t>22(5)-V07</t>
        </is>
      </c>
      <c r="D1001" t="n">
        <v>7</v>
      </c>
      <c r="E1001" t="inlineStr">
        <is>
          <t>primary</t>
        </is>
      </c>
      <c r="F1001" t="n">
        <v>167.9111531190926</v>
      </c>
      <c r="G1001">
        <f>2*SQRT(F1001/PI())</f>
        <v/>
      </c>
      <c r="H1001" t="n">
        <v>89.69941564228223</v>
      </c>
      <c r="I1001" t="n">
        <v>701</v>
      </c>
      <c r="J1001" t="n">
        <v>523</v>
      </c>
      <c r="K1001" t="n">
        <v>164.5529300567108</v>
      </c>
      <c r="L1001" t="n">
        <v>171.2693761814745</v>
      </c>
      <c r="M1001">
        <f>2*SQRT(K1001/PI())</f>
        <v/>
      </c>
      <c r="N1001">
        <f>2*SQRT(L1001/PI())</f>
        <v/>
      </c>
      <c r="P1001" t="inlineStr">
        <is>
          <t>是</t>
        </is>
      </c>
      <c r="Q1001" t="inlineStr">
        <is>
          <t>auto_pipeline;review_png_green</t>
        </is>
      </c>
      <c r="R1001" t="inlineStr">
        <is>
          <t>样品22</t>
        </is>
      </c>
    </row>
    <row r="1002">
      <c r="A1002" t="n">
        <v>1001</v>
      </c>
      <c r="B1002" t="inlineStr">
        <is>
          <t>22 (5).tif</t>
        </is>
      </c>
      <c r="C1002" t="inlineStr">
        <is>
          <t>22(5)-V08</t>
        </is>
      </c>
      <c r="D1002" t="n">
        <v>8</v>
      </c>
      <c r="E1002" t="inlineStr">
        <is>
          <t>primary</t>
        </is>
      </c>
      <c r="F1002" t="n">
        <v>127.9773156899811</v>
      </c>
      <c r="G1002">
        <f>2*SQRT(F1002/PI())</f>
        <v/>
      </c>
      <c r="H1002" t="n">
        <v>45.86846688519353</v>
      </c>
      <c r="I1002" t="n">
        <v>801</v>
      </c>
      <c r="J1002" t="n">
        <v>290</v>
      </c>
      <c r="K1002" t="n">
        <v>125.4177693761815</v>
      </c>
      <c r="L1002" t="n">
        <v>130.5368620037807</v>
      </c>
      <c r="M1002">
        <f>2*SQRT(K1002/PI())</f>
        <v/>
      </c>
      <c r="N1002">
        <f>2*SQRT(L1002/PI())</f>
        <v/>
      </c>
      <c r="P1002" t="inlineStr">
        <is>
          <t>是</t>
        </is>
      </c>
      <c r="Q1002" t="inlineStr">
        <is>
          <t>auto_pipeline;review_png_green</t>
        </is>
      </c>
      <c r="R1002" t="inlineStr">
        <is>
          <t>样品22</t>
        </is>
      </c>
    </row>
    <row r="1003">
      <c r="A1003" t="n">
        <v>1002</v>
      </c>
      <c r="B1003" t="inlineStr">
        <is>
          <t>22 (6).tif</t>
        </is>
      </c>
      <c r="C1003" t="inlineStr">
        <is>
          <t>22(6)-V01</t>
        </is>
      </c>
      <c r="D1003" t="n">
        <v>1</v>
      </c>
      <c r="E1003" t="inlineStr">
        <is>
          <t>primary</t>
        </is>
      </c>
      <c r="F1003" t="n">
        <v>452.6228733459357</v>
      </c>
      <c r="G1003">
        <f>2*SQRT(F1003/PI())</f>
        <v/>
      </c>
      <c r="H1003" t="n">
        <v>80.45443490795466</v>
      </c>
      <c r="I1003" t="n">
        <v>458</v>
      </c>
      <c r="J1003" t="n">
        <v>450</v>
      </c>
      <c r="K1003" t="n">
        <v>443.570415879017</v>
      </c>
      <c r="L1003" t="n">
        <v>461.6753308128544</v>
      </c>
      <c r="M1003">
        <f>2*SQRT(K1003/PI())</f>
        <v/>
      </c>
      <c r="N1003">
        <f>2*SQRT(L1003/PI())</f>
        <v/>
      </c>
      <c r="P1003" t="inlineStr">
        <is>
          <t>是</t>
        </is>
      </c>
      <c r="Q1003" t="inlineStr">
        <is>
          <t>auto_pipeline;review_png_green</t>
        </is>
      </c>
      <c r="R1003" t="inlineStr">
        <is>
          <t>样品22</t>
        </is>
      </c>
    </row>
    <row r="1004">
      <c r="A1004" t="n">
        <v>1003</v>
      </c>
      <c r="B1004" t="inlineStr">
        <is>
          <t>22 (6).tif</t>
        </is>
      </c>
      <c r="C1004" t="inlineStr">
        <is>
          <t>22(6)-V02</t>
        </is>
      </c>
      <c r="D1004" t="n">
        <v>2</v>
      </c>
      <c r="E1004" t="inlineStr">
        <is>
          <t>primary</t>
        </is>
      </c>
      <c r="F1004" t="n">
        <v>423.4404536862004</v>
      </c>
      <c r="G1004">
        <f>2*SQRT(F1004/PI())</f>
        <v/>
      </c>
      <c r="H1004" t="n">
        <v>77.61289845342222</v>
      </c>
      <c r="I1004" t="n">
        <v>539</v>
      </c>
      <c r="J1004" t="n">
        <v>333</v>
      </c>
      <c r="K1004" t="n">
        <v>414.9716446124764</v>
      </c>
      <c r="L1004" t="n">
        <v>431.9092627599244</v>
      </c>
      <c r="M1004">
        <f>2*SQRT(K1004/PI())</f>
        <v/>
      </c>
      <c r="N1004">
        <f>2*SQRT(L1004/PI())</f>
        <v/>
      </c>
      <c r="P1004" t="inlineStr">
        <is>
          <t>是</t>
        </is>
      </c>
      <c r="Q1004" t="inlineStr">
        <is>
          <t>auto_pipeline;review_png_green</t>
        </is>
      </c>
      <c r="R1004" t="inlineStr">
        <is>
          <t>样品22</t>
        </is>
      </c>
    </row>
    <row r="1005">
      <c r="A1005" t="n">
        <v>1004</v>
      </c>
      <c r="B1005" t="inlineStr">
        <is>
          <t>22 (6).tif</t>
        </is>
      </c>
      <c r="C1005" t="inlineStr">
        <is>
          <t>22(6)-V03</t>
        </is>
      </c>
      <c r="D1005" t="n">
        <v>3</v>
      </c>
      <c r="E1005" t="inlineStr">
        <is>
          <t>primary</t>
        </is>
      </c>
      <c r="F1005" t="n">
        <v>220.3449905482042</v>
      </c>
      <c r="G1005">
        <f>2*SQRT(F1005/PI())</f>
        <v/>
      </c>
      <c r="H1005" t="n">
        <v>61.2622021333031</v>
      </c>
      <c r="I1005" t="n">
        <v>731</v>
      </c>
      <c r="J1005" t="n">
        <v>392</v>
      </c>
      <c r="K1005" t="n">
        <v>215.9380907372401</v>
      </c>
      <c r="L1005" t="n">
        <v>224.7518903591682</v>
      </c>
      <c r="M1005">
        <f>2*SQRT(K1005/PI())</f>
        <v/>
      </c>
      <c r="N1005">
        <f>2*SQRT(L1005/PI())</f>
        <v/>
      </c>
      <c r="P1005" t="inlineStr">
        <is>
          <t>是</t>
        </is>
      </c>
      <c r="Q1005" t="inlineStr">
        <is>
          <t>auto_pipeline;review_png_green</t>
        </is>
      </c>
      <c r="R1005" t="inlineStr">
        <is>
          <t>样品22</t>
        </is>
      </c>
    </row>
    <row r="1006">
      <c r="A1006" t="n">
        <v>1005</v>
      </c>
      <c r="B1006" t="inlineStr">
        <is>
          <t>22 (6).tif</t>
        </is>
      </c>
      <c r="C1006" t="inlineStr">
        <is>
          <t>22(6)-V04</t>
        </is>
      </c>
      <c r="D1006" t="n">
        <v>4</v>
      </c>
      <c r="E1006" t="inlineStr">
        <is>
          <t>primary</t>
        </is>
      </c>
      <c r="F1006" t="n">
        <v>149.4328922495274</v>
      </c>
      <c r="G1006">
        <f>2*SQRT(F1006/PI())</f>
        <v/>
      </c>
      <c r="H1006" t="n">
        <v>48.43346461005833</v>
      </c>
      <c r="I1006" t="n">
        <v>827</v>
      </c>
      <c r="J1006" t="n">
        <v>577</v>
      </c>
      <c r="K1006" t="n">
        <v>146.4442344045369</v>
      </c>
      <c r="L1006" t="n">
        <v>152.421550094518</v>
      </c>
      <c r="M1006">
        <f>2*SQRT(K1006/PI())</f>
        <v/>
      </c>
      <c r="N1006">
        <f>2*SQRT(L1006/PI())</f>
        <v/>
      </c>
      <c r="P1006" t="inlineStr">
        <is>
          <t>是</t>
        </is>
      </c>
      <c r="Q1006" t="inlineStr">
        <is>
          <t>auto_pipeline;review_png_green</t>
        </is>
      </c>
      <c r="R1006" t="inlineStr">
        <is>
          <t>样品22</t>
        </is>
      </c>
    </row>
    <row r="1007">
      <c r="A1007" t="n">
        <v>1006</v>
      </c>
      <c r="B1007" t="inlineStr">
        <is>
          <t>22 (6).tif</t>
        </is>
      </c>
      <c r="C1007" t="inlineStr">
        <is>
          <t>22(6)-V05</t>
        </is>
      </c>
      <c r="D1007" t="n">
        <v>5</v>
      </c>
      <c r="E1007" t="inlineStr">
        <is>
          <t>primary</t>
        </is>
      </c>
      <c r="F1007" t="n">
        <v>119.7542533081285</v>
      </c>
      <c r="G1007">
        <f>2*SQRT(F1007/PI())</f>
        <v/>
      </c>
      <c r="H1007" t="n">
        <v>41.41514487888502</v>
      </c>
      <c r="I1007" t="n">
        <v>916</v>
      </c>
      <c r="J1007" t="n">
        <v>421</v>
      </c>
      <c r="K1007" t="n">
        <v>117.359168241966</v>
      </c>
      <c r="L1007" t="n">
        <v>122.1493383742911</v>
      </c>
      <c r="M1007">
        <f>2*SQRT(K1007/PI())</f>
        <v/>
      </c>
      <c r="N1007">
        <f>2*SQRT(L1007/PI())</f>
        <v/>
      </c>
      <c r="P1007" t="inlineStr">
        <is>
          <t>是</t>
        </is>
      </c>
      <c r="Q1007" t="inlineStr">
        <is>
          <t>auto_pipeline;review_png_green</t>
        </is>
      </c>
      <c r="R1007" t="inlineStr">
        <is>
          <t>样品22</t>
        </is>
      </c>
    </row>
    <row r="1008">
      <c r="A1008" t="n">
        <v>1007</v>
      </c>
      <c r="B1008" t="inlineStr">
        <is>
          <t>22 (7).tif</t>
        </is>
      </c>
      <c r="C1008" t="inlineStr">
        <is>
          <t>22(7)-V01</t>
        </is>
      </c>
      <c r="D1008" t="n">
        <v>1</v>
      </c>
      <c r="E1008" t="inlineStr">
        <is>
          <t>primary</t>
        </is>
      </c>
      <c r="F1008" t="n">
        <v>478.7807183364839</v>
      </c>
      <c r="G1008">
        <f>2*SQRT(F1008/PI())</f>
        <v/>
      </c>
      <c r="H1008" t="n">
        <v>82.57559999175693</v>
      </c>
      <c r="I1008" t="n">
        <v>545</v>
      </c>
      <c r="J1008" t="n">
        <v>368</v>
      </c>
      <c r="K1008" t="n">
        <v>469.2051039697542</v>
      </c>
      <c r="L1008" t="n">
        <v>488.3563327032136</v>
      </c>
      <c r="M1008">
        <f>2*SQRT(K1008/PI())</f>
        <v/>
      </c>
      <c r="N1008">
        <f>2*SQRT(L1008/PI())</f>
        <v/>
      </c>
      <c r="O1008" t="inlineStr">
        <is>
          <t>22(7)-P01</t>
        </is>
      </c>
      <c r="P1008" t="inlineStr">
        <is>
          <t>是</t>
        </is>
      </c>
      <c r="Q1008" t="inlineStr">
        <is>
          <t>auto_pipeline;review_png_green</t>
        </is>
      </c>
      <c r="R1008" t="inlineStr">
        <is>
          <t>样品22</t>
        </is>
      </c>
    </row>
    <row r="1009">
      <c r="A1009" t="n">
        <v>1008</v>
      </c>
      <c r="B1009" t="inlineStr">
        <is>
          <t>22 (7).tif</t>
        </is>
      </c>
      <c r="C1009" t="inlineStr">
        <is>
          <t>22(7)-V02</t>
        </is>
      </c>
      <c r="D1009" t="n">
        <v>2</v>
      </c>
      <c r="E1009" t="inlineStr">
        <is>
          <t>primary</t>
        </is>
      </c>
      <c r="F1009" t="n">
        <v>404.6313799621928</v>
      </c>
      <c r="G1009">
        <f>2*SQRT(F1009/PI())</f>
        <v/>
      </c>
      <c r="H1009" t="n">
        <v>75.76827209928761</v>
      </c>
      <c r="I1009" t="n">
        <v>451</v>
      </c>
      <c r="J1009" t="n">
        <v>282</v>
      </c>
      <c r="K1009" t="n">
        <v>396.5387523629489</v>
      </c>
      <c r="L1009" t="n">
        <v>412.7240075614367</v>
      </c>
      <c r="M1009">
        <f>2*SQRT(K1009/PI())</f>
        <v/>
      </c>
      <c r="N1009">
        <f>2*SQRT(L1009/PI())</f>
        <v/>
      </c>
      <c r="O1009" t="inlineStr">
        <is>
          <t>22(7)-P01</t>
        </is>
      </c>
      <c r="P1009" t="inlineStr">
        <is>
          <t>是</t>
        </is>
      </c>
      <c r="Q1009" t="inlineStr">
        <is>
          <t>auto_pipeline;review_png_green</t>
        </is>
      </c>
      <c r="R1009" t="inlineStr">
        <is>
          <t>样品22</t>
        </is>
      </c>
    </row>
    <row r="1010">
      <c r="A1010" t="n">
        <v>1009</v>
      </c>
      <c r="B1010" t="inlineStr">
        <is>
          <t>22 (7).tif</t>
        </is>
      </c>
      <c r="C1010" t="inlineStr">
        <is>
          <t>22(7)-V03</t>
        </is>
      </c>
      <c r="D1010" t="n">
        <v>3</v>
      </c>
      <c r="E1010" t="inlineStr">
        <is>
          <t>primary</t>
        </is>
      </c>
      <c r="F1010" t="n">
        <v>313.7996219281663</v>
      </c>
      <c r="G1010">
        <f>2*SQRT(F1010/PI())</f>
        <v/>
      </c>
      <c r="H1010" t="n">
        <v>71.78063169769618</v>
      </c>
      <c r="I1010" t="n">
        <v>780</v>
      </c>
      <c r="J1010" t="n">
        <v>228</v>
      </c>
      <c r="K1010" t="n">
        <v>307.523629489603</v>
      </c>
      <c r="L1010" t="n">
        <v>320.0756143667297</v>
      </c>
      <c r="M1010">
        <f>2*SQRT(K1010/PI())</f>
        <v/>
      </c>
      <c r="N1010">
        <f>2*SQRT(L1010/PI())</f>
        <v/>
      </c>
      <c r="P1010" t="inlineStr">
        <is>
          <t>是</t>
        </is>
      </c>
      <c r="Q1010" t="inlineStr">
        <is>
          <t>auto_pipeline;review_png_green</t>
        </is>
      </c>
      <c r="R1010" t="inlineStr">
        <is>
          <t>样品22</t>
        </is>
      </c>
    </row>
    <row r="1011">
      <c r="A1011" t="n">
        <v>1010</v>
      </c>
      <c r="B1011" t="inlineStr">
        <is>
          <t>22 (7).tif</t>
        </is>
      </c>
      <c r="C1011" t="inlineStr">
        <is>
          <t>22(7)-V04</t>
        </is>
      </c>
      <c r="D1011" t="n">
        <v>4</v>
      </c>
      <c r="E1011" t="inlineStr">
        <is>
          <t>primary</t>
        </is>
      </c>
      <c r="F1011" t="n">
        <v>299.3620037807183</v>
      </c>
      <c r="G1011">
        <f>2*SQRT(F1011/PI())</f>
        <v/>
      </c>
      <c r="H1011" t="n">
        <v>65.14434661554253</v>
      </c>
      <c r="I1011" t="n">
        <v>180</v>
      </c>
      <c r="J1011" t="n">
        <v>73</v>
      </c>
      <c r="K1011" t="n">
        <v>293.374763705104</v>
      </c>
      <c r="L1011" t="n">
        <v>305.3492438563327</v>
      </c>
      <c r="M1011">
        <f>2*SQRT(K1011/PI())</f>
        <v/>
      </c>
      <c r="N1011">
        <f>2*SQRT(L1011/PI())</f>
        <v/>
      </c>
      <c r="P1011" t="inlineStr">
        <is>
          <t>是</t>
        </is>
      </c>
      <c r="Q1011" t="inlineStr">
        <is>
          <t>auto_pipeline;review_png_green</t>
        </is>
      </c>
      <c r="R1011" t="inlineStr">
        <is>
          <t>样品22</t>
        </is>
      </c>
    </row>
    <row r="1012">
      <c r="A1012" t="n">
        <v>1011</v>
      </c>
      <c r="B1012" t="inlineStr">
        <is>
          <t>22 (7).tif</t>
        </is>
      </c>
      <c r="C1012" t="inlineStr">
        <is>
          <t>22(7)-V05</t>
        </is>
      </c>
      <c r="D1012" t="n">
        <v>5</v>
      </c>
      <c r="E1012" t="inlineStr">
        <is>
          <t>primary</t>
        </is>
      </c>
      <c r="F1012" t="n">
        <v>169.7069943289225</v>
      </c>
      <c r="G1012">
        <f>2*SQRT(F1012/PI())</f>
        <v/>
      </c>
      <c r="H1012" t="n">
        <v>51.40234594759734</v>
      </c>
      <c r="I1012" t="n">
        <v>921</v>
      </c>
      <c r="J1012" t="n">
        <v>337</v>
      </c>
      <c r="K1012" t="n">
        <v>166.312854442344</v>
      </c>
      <c r="L1012" t="n">
        <v>173.1011342155009</v>
      </c>
      <c r="M1012">
        <f>2*SQRT(K1012/PI())</f>
        <v/>
      </c>
      <c r="N1012">
        <f>2*SQRT(L1012/PI())</f>
        <v/>
      </c>
      <c r="P1012" t="inlineStr">
        <is>
          <t>是</t>
        </is>
      </c>
      <c r="Q1012" t="inlineStr">
        <is>
          <t>auto_pipeline;review_png_green</t>
        </is>
      </c>
      <c r="R1012" t="inlineStr">
        <is>
          <t>样品22</t>
        </is>
      </c>
    </row>
    <row r="1013">
      <c r="A1013" t="n">
        <v>1012</v>
      </c>
      <c r="B1013" t="inlineStr">
        <is>
          <t>22 (7).tif</t>
        </is>
      </c>
      <c r="C1013" t="inlineStr">
        <is>
          <t>22(7)-V06</t>
        </is>
      </c>
      <c r="D1013" t="n">
        <v>6</v>
      </c>
      <c r="E1013" t="inlineStr">
        <is>
          <t>primary</t>
        </is>
      </c>
      <c r="F1013" t="n">
        <v>129.8676748582231</v>
      </c>
      <c r="G1013">
        <f>2*SQRT(F1013/PI())</f>
        <v/>
      </c>
      <c r="H1013" t="n">
        <v>44.63871598243713</v>
      </c>
      <c r="I1013" t="n">
        <v>42</v>
      </c>
      <c r="J1013" t="n">
        <v>573</v>
      </c>
      <c r="K1013" t="n">
        <v>127.2703213610586</v>
      </c>
      <c r="L1013" t="n">
        <v>132.4650283553875</v>
      </c>
      <c r="M1013">
        <f>2*SQRT(K1013/PI())</f>
        <v/>
      </c>
      <c r="N1013">
        <f>2*SQRT(L1013/PI())</f>
        <v/>
      </c>
      <c r="P1013" t="inlineStr">
        <is>
          <t>是</t>
        </is>
      </c>
      <c r="Q1013" t="inlineStr">
        <is>
          <t>auto_pipeline;review_png_green</t>
        </is>
      </c>
      <c r="R1013" t="inlineStr">
        <is>
          <t>样品22</t>
        </is>
      </c>
    </row>
    <row r="1014">
      <c r="A1014" t="n">
        <v>1013</v>
      </c>
      <c r="B1014" t="inlineStr">
        <is>
          <t>22 (8).tif</t>
        </is>
      </c>
      <c r="C1014" t="inlineStr">
        <is>
          <t>22(8)-V01</t>
        </is>
      </c>
      <c r="D1014" t="n">
        <v>1</v>
      </c>
      <c r="E1014" t="inlineStr">
        <is>
          <t>primary</t>
        </is>
      </c>
      <c r="F1014" t="n">
        <v>745.5576559546314</v>
      </c>
      <c r="G1014">
        <f>2*SQRT(F1014/PI())</f>
        <v/>
      </c>
      <c r="H1014" t="n">
        <v>102.3390102904776</v>
      </c>
      <c r="I1014" t="n">
        <v>442</v>
      </c>
      <c r="J1014" t="n">
        <v>414</v>
      </c>
      <c r="K1014" t="n">
        <v>730.6465028355387</v>
      </c>
      <c r="L1014" t="n">
        <v>760.4688090737241</v>
      </c>
      <c r="M1014">
        <f>2*SQRT(K1014/PI())</f>
        <v/>
      </c>
      <c r="N1014">
        <f>2*SQRT(L1014/PI())</f>
        <v/>
      </c>
      <c r="O1014" t="inlineStr">
        <is>
          <t>22(8)-P01</t>
        </is>
      </c>
      <c r="P1014" t="inlineStr">
        <is>
          <t>是</t>
        </is>
      </c>
      <c r="Q1014" t="inlineStr">
        <is>
          <t>auto_pipeline;review_png_green</t>
        </is>
      </c>
      <c r="R1014" t="inlineStr">
        <is>
          <t>样品22</t>
        </is>
      </c>
    </row>
    <row r="1015">
      <c r="A1015" t="n">
        <v>1014</v>
      </c>
      <c r="B1015" t="inlineStr">
        <is>
          <t>22 (8).tif</t>
        </is>
      </c>
      <c r="C1015" t="inlineStr">
        <is>
          <t>22(8)-V02</t>
        </is>
      </c>
      <c r="D1015" t="n">
        <v>2</v>
      </c>
      <c r="E1015" t="inlineStr">
        <is>
          <t>primary</t>
        </is>
      </c>
      <c r="F1015" t="n">
        <v>446.5028355387524</v>
      </c>
      <c r="G1015">
        <f>2*SQRT(F1015/PI())</f>
        <v/>
      </c>
      <c r="H1015" t="n">
        <v>81.91702661306961</v>
      </c>
      <c r="I1015" t="n">
        <v>97</v>
      </c>
      <c r="J1015" t="n">
        <v>377</v>
      </c>
      <c r="K1015" t="n">
        <v>437.5727788279773</v>
      </c>
      <c r="L1015" t="n">
        <v>455.4328922495274</v>
      </c>
      <c r="M1015">
        <f>2*SQRT(K1015/PI())</f>
        <v/>
      </c>
      <c r="N1015">
        <f>2*SQRT(L1015/PI())</f>
        <v/>
      </c>
      <c r="P1015" t="inlineStr">
        <is>
          <t>是</t>
        </is>
      </c>
      <c r="Q1015" t="inlineStr">
        <is>
          <t>auto_pipeline;review_png_green</t>
        </is>
      </c>
      <c r="R1015" t="inlineStr">
        <is>
          <t>样品22</t>
        </is>
      </c>
    </row>
    <row r="1016">
      <c r="A1016" t="n">
        <v>1015</v>
      </c>
      <c r="B1016" t="inlineStr">
        <is>
          <t>22 (8).tif</t>
        </is>
      </c>
      <c r="C1016" t="inlineStr">
        <is>
          <t>22(8)-V03</t>
        </is>
      </c>
      <c r="D1016" t="n">
        <v>3</v>
      </c>
      <c r="E1016" t="inlineStr">
        <is>
          <t>primary</t>
        </is>
      </c>
      <c r="F1016" t="n">
        <v>408.1521739130435</v>
      </c>
      <c r="G1016">
        <f>2*SQRT(F1016/PI())</f>
        <v/>
      </c>
      <c r="H1016" t="n">
        <v>75.89561698229416</v>
      </c>
      <c r="I1016" t="n">
        <v>303</v>
      </c>
      <c r="J1016" t="n">
        <v>559</v>
      </c>
      <c r="K1016" t="n">
        <v>399.9891304347826</v>
      </c>
      <c r="L1016" t="n">
        <v>416.3152173913044</v>
      </c>
      <c r="M1016">
        <f>2*SQRT(K1016/PI())</f>
        <v/>
      </c>
      <c r="N1016">
        <f>2*SQRT(L1016/PI())</f>
        <v/>
      </c>
      <c r="P1016" t="inlineStr">
        <is>
          <t>是</t>
        </is>
      </c>
      <c r="Q1016" t="inlineStr">
        <is>
          <t>auto_pipeline;review_png_green</t>
        </is>
      </c>
      <c r="R1016" t="inlineStr">
        <is>
          <t>样品22</t>
        </is>
      </c>
    </row>
    <row r="1017">
      <c r="A1017" t="n">
        <v>1016</v>
      </c>
      <c r="B1017" t="inlineStr">
        <is>
          <t>22 (8).tif</t>
        </is>
      </c>
      <c r="C1017" t="inlineStr">
        <is>
          <t>22(8)-V04</t>
        </is>
      </c>
      <c r="D1017" t="n">
        <v>4</v>
      </c>
      <c r="E1017" t="inlineStr">
        <is>
          <t>primary</t>
        </is>
      </c>
      <c r="F1017" t="n">
        <v>368.1947069943289</v>
      </c>
      <c r="G1017">
        <f>2*SQRT(F1017/PI())</f>
        <v/>
      </c>
      <c r="H1017" t="n">
        <v>72.1845153103704</v>
      </c>
      <c r="I1017" t="n">
        <v>528</v>
      </c>
      <c r="J1017" t="n">
        <v>314</v>
      </c>
      <c r="K1017" t="n">
        <v>360.8308128544423</v>
      </c>
      <c r="L1017" t="n">
        <v>375.5586011342155</v>
      </c>
      <c r="M1017">
        <f>2*SQRT(K1017/PI())</f>
        <v/>
      </c>
      <c r="N1017">
        <f>2*SQRT(L1017/PI())</f>
        <v/>
      </c>
      <c r="O1017" t="inlineStr">
        <is>
          <t>22(8)-P01</t>
        </is>
      </c>
      <c r="P1017" t="inlineStr">
        <is>
          <t>是</t>
        </is>
      </c>
      <c r="Q1017" t="inlineStr">
        <is>
          <t>auto_pipeline;review_png_green</t>
        </is>
      </c>
      <c r="R1017" t="inlineStr">
        <is>
          <t>样品22</t>
        </is>
      </c>
    </row>
    <row r="1018">
      <c r="A1018" t="n">
        <v>1017</v>
      </c>
      <c r="B1018" t="inlineStr">
        <is>
          <t>22 (8).tif</t>
        </is>
      </c>
      <c r="C1018" t="inlineStr">
        <is>
          <t>22(8)-V05</t>
        </is>
      </c>
      <c r="D1018" t="n">
        <v>5</v>
      </c>
      <c r="E1018" t="inlineStr">
        <is>
          <t>primary</t>
        </is>
      </c>
      <c r="F1018" t="n">
        <v>318.336483931947</v>
      </c>
      <c r="G1018">
        <f>2*SQRT(F1018/PI())</f>
        <v/>
      </c>
      <c r="H1018" t="n">
        <v>71.71883370565331</v>
      </c>
      <c r="I1018" t="n">
        <v>846</v>
      </c>
      <c r="J1018" t="n">
        <v>571</v>
      </c>
      <c r="K1018" t="n">
        <v>311.9697542533081</v>
      </c>
      <c r="L1018" t="n">
        <v>324.703213610586</v>
      </c>
      <c r="M1018">
        <f>2*SQRT(K1018/PI())</f>
        <v/>
      </c>
      <c r="N1018">
        <f>2*SQRT(L1018/PI())</f>
        <v/>
      </c>
      <c r="P1018" t="inlineStr">
        <is>
          <t>是</t>
        </is>
      </c>
      <c r="Q1018" t="inlineStr">
        <is>
          <t>auto_pipeline;review_png_green</t>
        </is>
      </c>
      <c r="R1018" t="inlineStr">
        <is>
          <t>样品22</t>
        </is>
      </c>
    </row>
    <row r="1019">
      <c r="A1019" t="n">
        <v>1018</v>
      </c>
      <c r="B1019" t="inlineStr">
        <is>
          <t>22 (8).tif</t>
        </is>
      </c>
      <c r="C1019" t="inlineStr">
        <is>
          <t>22(8)-V06</t>
        </is>
      </c>
      <c r="D1019" t="n">
        <v>6</v>
      </c>
      <c r="E1019" t="inlineStr">
        <is>
          <t>primary</t>
        </is>
      </c>
      <c r="F1019" t="n">
        <v>223.8185255198488</v>
      </c>
      <c r="G1019">
        <f>2*SQRT(F1019/PI())</f>
        <v/>
      </c>
      <c r="H1019" t="n">
        <v>59.79961042818816</v>
      </c>
      <c r="I1019" t="n">
        <v>109</v>
      </c>
      <c r="J1019" t="n">
        <v>157</v>
      </c>
      <c r="K1019" t="n">
        <v>219.3421550094518</v>
      </c>
      <c r="L1019" t="n">
        <v>228.2948960302458</v>
      </c>
      <c r="M1019">
        <f>2*SQRT(K1019/PI())</f>
        <v/>
      </c>
      <c r="N1019">
        <f>2*SQRT(L1019/PI())</f>
        <v/>
      </c>
      <c r="P1019" t="inlineStr">
        <is>
          <t>是</t>
        </is>
      </c>
      <c r="Q1019" t="inlineStr">
        <is>
          <t>auto_pipeline;review_png_green</t>
        </is>
      </c>
      <c r="R1019" t="inlineStr">
        <is>
          <t>样品22</t>
        </is>
      </c>
    </row>
    <row r="1020">
      <c r="A1020" t="n">
        <v>1019</v>
      </c>
      <c r="B1020" t="inlineStr">
        <is>
          <t>22 (8).tif</t>
        </is>
      </c>
      <c r="C1020" t="inlineStr">
        <is>
          <t>22(8)-V07</t>
        </is>
      </c>
      <c r="D1020" t="n">
        <v>7</v>
      </c>
      <c r="E1020" t="inlineStr">
        <is>
          <t>primary</t>
        </is>
      </c>
      <c r="F1020" t="n">
        <v>135.3024574669187</v>
      </c>
      <c r="G1020">
        <f>2*SQRT(F1020/PI())</f>
        <v/>
      </c>
      <c r="H1020" t="n">
        <v>44.38402621642403</v>
      </c>
      <c r="I1020" t="n">
        <v>92</v>
      </c>
      <c r="J1020" t="n">
        <v>584</v>
      </c>
      <c r="K1020" t="n">
        <v>132.5964083175803</v>
      </c>
      <c r="L1020" t="n">
        <v>138.0085066162571</v>
      </c>
      <c r="M1020">
        <f>2*SQRT(K1020/PI())</f>
        <v/>
      </c>
      <c r="N1020">
        <f>2*SQRT(L1020/PI())</f>
        <v/>
      </c>
      <c r="P1020" t="inlineStr">
        <is>
          <t>是</t>
        </is>
      </c>
      <c r="Q1020" t="inlineStr">
        <is>
          <t>auto_pipeline;review_png_green</t>
        </is>
      </c>
      <c r="R1020" t="inlineStr">
        <is>
          <t>样品22</t>
        </is>
      </c>
    </row>
    <row r="1021">
      <c r="A1021" t="n">
        <v>1020</v>
      </c>
      <c r="B1021" t="inlineStr">
        <is>
          <t>22 (8).tif</t>
        </is>
      </c>
      <c r="C1021" t="inlineStr">
        <is>
          <t>22(8)-V08</t>
        </is>
      </c>
      <c r="D1021" t="n">
        <v>8</v>
      </c>
      <c r="E1021" t="inlineStr">
        <is>
          <t>primary</t>
        </is>
      </c>
      <c r="F1021" t="n">
        <v>116.0444234404537</v>
      </c>
      <c r="G1021">
        <f>2*SQRT(F1021/PI())</f>
        <v/>
      </c>
      <c r="H1021" t="n">
        <v>43.74730180139127</v>
      </c>
      <c r="I1021" t="n">
        <v>188</v>
      </c>
      <c r="J1021" t="n">
        <v>473</v>
      </c>
      <c r="K1021" t="n">
        <v>113.7235349716446</v>
      </c>
      <c r="L1021" t="n">
        <v>118.3653119092628</v>
      </c>
      <c r="M1021">
        <f>2*SQRT(K1021/PI())</f>
        <v/>
      </c>
      <c r="N1021">
        <f>2*SQRT(L1021/PI())</f>
        <v/>
      </c>
      <c r="P1021" t="inlineStr">
        <is>
          <t>是</t>
        </is>
      </c>
      <c r="Q1021" t="inlineStr">
        <is>
          <t>auto_pipeline;review_png_green</t>
        </is>
      </c>
      <c r="R1021" t="inlineStr">
        <is>
          <t>样品22</t>
        </is>
      </c>
    </row>
    <row r="1022">
      <c r="A1022" t="n">
        <v>1021</v>
      </c>
      <c r="B1022" t="inlineStr">
        <is>
          <t>23 (1).tif</t>
        </is>
      </c>
      <c r="C1022" t="inlineStr">
        <is>
          <t>23(1)-V01</t>
        </is>
      </c>
      <c r="D1022" t="n">
        <v>1</v>
      </c>
      <c r="E1022" t="inlineStr">
        <is>
          <t>primary</t>
        </is>
      </c>
      <c r="F1022" t="n">
        <v>1059.617202268431</v>
      </c>
      <c r="G1022">
        <f>2*SQRT(F1022/PI())</f>
        <v/>
      </c>
      <c r="H1022" t="n">
        <v>125.1986468097438</v>
      </c>
      <c r="I1022" t="n">
        <v>133</v>
      </c>
      <c r="J1022" t="n">
        <v>278</v>
      </c>
      <c r="K1022" t="n">
        <v>1038.424858223062</v>
      </c>
      <c r="L1022" t="n">
        <v>1080.8095463138</v>
      </c>
      <c r="M1022">
        <f>2*SQRT(K1022/PI())</f>
        <v/>
      </c>
      <c r="N1022">
        <f>2*SQRT(L1022/PI())</f>
        <v/>
      </c>
      <c r="P1022" t="inlineStr">
        <is>
          <t>是</t>
        </is>
      </c>
      <c r="Q1022" t="inlineStr">
        <is>
          <t>auto_pipeline;review_png_green</t>
        </is>
      </c>
      <c r="R1022" t="inlineStr">
        <is>
          <t>样品23</t>
        </is>
      </c>
    </row>
    <row r="1023">
      <c r="A1023" t="n">
        <v>1022</v>
      </c>
      <c r="B1023" t="inlineStr">
        <is>
          <t>23 (1).tif</t>
        </is>
      </c>
      <c r="C1023" t="inlineStr">
        <is>
          <t>23(1)-V02</t>
        </is>
      </c>
      <c r="D1023" t="n">
        <v>2</v>
      </c>
      <c r="E1023" t="inlineStr">
        <is>
          <t>primary</t>
        </is>
      </c>
      <c r="F1023" t="n">
        <v>416.1625708884688</v>
      </c>
      <c r="G1023">
        <f>2*SQRT(F1023/PI())</f>
        <v/>
      </c>
      <c r="H1023" t="n">
        <v>77.25271276805712</v>
      </c>
      <c r="I1023" t="n">
        <v>450</v>
      </c>
      <c r="J1023" t="n">
        <v>458</v>
      </c>
      <c r="K1023" t="n">
        <v>407.8393194706994</v>
      </c>
      <c r="L1023" t="n">
        <v>424.4858223062382</v>
      </c>
      <c r="M1023">
        <f>2*SQRT(K1023/PI())</f>
        <v/>
      </c>
      <c r="N1023">
        <f>2*SQRT(L1023/PI())</f>
        <v/>
      </c>
      <c r="P1023" t="inlineStr">
        <is>
          <t>是</t>
        </is>
      </c>
      <c r="Q1023" t="inlineStr">
        <is>
          <t>auto_pipeline;review_png_green</t>
        </is>
      </c>
      <c r="R1023" t="inlineStr">
        <is>
          <t>样品23</t>
        </is>
      </c>
    </row>
    <row r="1024">
      <c r="A1024" t="n">
        <v>1023</v>
      </c>
      <c r="B1024" t="inlineStr">
        <is>
          <t>23 (1).tif</t>
        </is>
      </c>
      <c r="C1024" t="inlineStr">
        <is>
          <t>23(1)-V03</t>
        </is>
      </c>
      <c r="D1024" t="n">
        <v>3</v>
      </c>
      <c r="E1024" t="inlineStr">
        <is>
          <t>primary</t>
        </is>
      </c>
      <c r="F1024" t="n">
        <v>363.7523629489603</v>
      </c>
      <c r="G1024">
        <f>2*SQRT(F1024/PI())</f>
        <v/>
      </c>
      <c r="H1024" t="n">
        <v>71.5696398589922</v>
      </c>
      <c r="I1024" t="n">
        <v>538</v>
      </c>
      <c r="J1024" t="n">
        <v>336</v>
      </c>
      <c r="K1024" t="n">
        <v>356.4773156899811</v>
      </c>
      <c r="L1024" t="n">
        <v>371.0274102079395</v>
      </c>
      <c r="M1024">
        <f>2*SQRT(K1024/PI())</f>
        <v/>
      </c>
      <c r="N1024">
        <f>2*SQRT(L1024/PI())</f>
        <v/>
      </c>
      <c r="P1024" t="inlineStr">
        <is>
          <t>是</t>
        </is>
      </c>
      <c r="Q1024" t="inlineStr">
        <is>
          <t>auto_pipeline;review_png_green</t>
        </is>
      </c>
      <c r="R1024" t="inlineStr">
        <is>
          <t>样品23</t>
        </is>
      </c>
    </row>
    <row r="1025">
      <c r="A1025" t="n">
        <v>1024</v>
      </c>
      <c r="B1025" t="inlineStr">
        <is>
          <t>23 (1).tif</t>
        </is>
      </c>
      <c r="C1025" t="inlineStr">
        <is>
          <t>23(1)-V04</t>
        </is>
      </c>
      <c r="D1025" t="n">
        <v>4</v>
      </c>
      <c r="E1025" t="inlineStr">
        <is>
          <t>primary</t>
        </is>
      </c>
      <c r="F1025" t="n">
        <v>180.812854442344</v>
      </c>
      <c r="G1025">
        <f>2*SQRT(F1025/PI())</f>
        <v/>
      </c>
      <c r="H1025" t="n">
        <v>61.70603477436563</v>
      </c>
      <c r="I1025" t="n">
        <v>459</v>
      </c>
      <c r="J1025" t="n">
        <v>299</v>
      </c>
      <c r="K1025" t="n">
        <v>177.1965973534972</v>
      </c>
      <c r="L1025" t="n">
        <v>184.4291115311909</v>
      </c>
      <c r="M1025">
        <f>2*SQRT(K1025/PI())</f>
        <v/>
      </c>
      <c r="N1025">
        <f>2*SQRT(L1025/PI())</f>
        <v/>
      </c>
      <c r="P1025" t="inlineStr">
        <is>
          <t>是</t>
        </is>
      </c>
      <c r="Q1025" t="inlineStr">
        <is>
          <t>auto_pipeline;review_png_green</t>
        </is>
      </c>
      <c r="R1025" t="inlineStr">
        <is>
          <t>样品23</t>
        </is>
      </c>
    </row>
    <row r="1026">
      <c r="A1026" t="n">
        <v>1025</v>
      </c>
      <c r="B1026" t="inlineStr">
        <is>
          <t>23 (1).tif</t>
        </is>
      </c>
      <c r="C1026" t="inlineStr">
        <is>
          <t>23(1)-V05</t>
        </is>
      </c>
      <c r="D1026" t="n">
        <v>5</v>
      </c>
      <c r="E1026" t="inlineStr">
        <is>
          <t>primary</t>
        </is>
      </c>
      <c r="F1026" t="n">
        <v>130.2930056710775</v>
      </c>
      <c r="G1026">
        <f>2*SQRT(F1026/PI())</f>
        <v/>
      </c>
      <c r="H1026" t="n">
        <v>49.30302982744963</v>
      </c>
      <c r="I1026" t="n">
        <v>706</v>
      </c>
      <c r="J1026" t="n">
        <v>363</v>
      </c>
      <c r="K1026" t="n">
        <v>127.687145557656</v>
      </c>
      <c r="L1026" t="n">
        <v>132.8988657844991</v>
      </c>
      <c r="M1026">
        <f>2*SQRT(K1026/PI())</f>
        <v/>
      </c>
      <c r="N1026">
        <f>2*SQRT(L1026/PI())</f>
        <v/>
      </c>
      <c r="P1026" t="inlineStr">
        <is>
          <t>是</t>
        </is>
      </c>
      <c r="Q1026" t="inlineStr">
        <is>
          <t>auto_pipeline;review_png_green</t>
        </is>
      </c>
      <c r="R1026" t="inlineStr">
        <is>
          <t>样品23</t>
        </is>
      </c>
    </row>
    <row r="1027">
      <c r="A1027" t="n">
        <v>1026</v>
      </c>
      <c r="B1027" t="inlineStr">
        <is>
          <t>23 (2).tif</t>
        </is>
      </c>
      <c r="C1027" t="inlineStr">
        <is>
          <t>23(2)-V01</t>
        </is>
      </c>
      <c r="D1027" t="n">
        <v>1</v>
      </c>
      <c r="E1027" t="inlineStr">
        <is>
          <t>primary</t>
        </is>
      </c>
      <c r="F1027" t="n">
        <v>841.7296786389414</v>
      </c>
      <c r="G1027">
        <f>2*SQRT(F1027/PI())</f>
        <v/>
      </c>
      <c r="H1027" t="n">
        <v>109.8667095536771</v>
      </c>
      <c r="I1027" t="n">
        <v>561</v>
      </c>
      <c r="J1027" t="n">
        <v>289</v>
      </c>
      <c r="K1027" t="n">
        <v>824.8950850661626</v>
      </c>
      <c r="L1027" t="n">
        <v>858.5642722117203</v>
      </c>
      <c r="M1027">
        <f>2*SQRT(K1027/PI())</f>
        <v/>
      </c>
      <c r="N1027">
        <f>2*SQRT(L1027/PI())</f>
        <v/>
      </c>
      <c r="P1027" t="inlineStr">
        <is>
          <t>是</t>
        </is>
      </c>
      <c r="Q1027" t="inlineStr">
        <is>
          <t>auto_pipeline;review_png_green</t>
        </is>
      </c>
      <c r="R1027" t="inlineStr">
        <is>
          <t>样品23</t>
        </is>
      </c>
    </row>
    <row r="1028">
      <c r="A1028" t="n">
        <v>1027</v>
      </c>
      <c r="B1028" t="inlineStr">
        <is>
          <t>23 (2).tif</t>
        </is>
      </c>
      <c r="C1028" t="inlineStr">
        <is>
          <t>23(2)-V02</t>
        </is>
      </c>
      <c r="D1028" t="n">
        <v>2</v>
      </c>
      <c r="E1028" t="inlineStr">
        <is>
          <t>primary</t>
        </is>
      </c>
      <c r="F1028" t="n">
        <v>159.3100189035917</v>
      </c>
      <c r="G1028">
        <f>2*SQRT(F1028/PI())</f>
        <v/>
      </c>
      <c r="H1028" t="n">
        <v>50.17259504484093</v>
      </c>
      <c r="I1028" t="n">
        <v>743</v>
      </c>
      <c r="J1028" t="n">
        <v>351</v>
      </c>
      <c r="K1028" t="n">
        <v>156.1238185255199</v>
      </c>
      <c r="L1028" t="n">
        <v>162.4962192816635</v>
      </c>
      <c r="M1028">
        <f>2*SQRT(K1028/PI())</f>
        <v/>
      </c>
      <c r="N1028">
        <f>2*SQRT(L1028/PI())</f>
        <v/>
      </c>
      <c r="P1028" t="inlineStr">
        <is>
          <t>是</t>
        </is>
      </c>
      <c r="Q1028" t="inlineStr">
        <is>
          <t>auto_pipeline;review_png_green</t>
        </is>
      </c>
      <c r="R1028" t="inlineStr">
        <is>
          <t>样品23</t>
        </is>
      </c>
    </row>
    <row r="1029">
      <c r="A1029" t="n">
        <v>1028</v>
      </c>
      <c r="B1029" t="inlineStr">
        <is>
          <t>23 (2).tif</t>
        </is>
      </c>
      <c r="C1029" t="inlineStr">
        <is>
          <t>23(2)-V03</t>
        </is>
      </c>
      <c r="D1029" t="n">
        <v>3</v>
      </c>
      <c r="E1029" t="inlineStr">
        <is>
          <t>primary</t>
        </is>
      </c>
      <c r="F1029" t="n">
        <v>112.523629489603</v>
      </c>
      <c r="G1029">
        <f>2*SQRT(F1029/PI())</f>
        <v/>
      </c>
      <c r="H1029" t="n">
        <v>43.00508146700652</v>
      </c>
      <c r="I1029" t="n">
        <v>663</v>
      </c>
      <c r="J1029" t="n">
        <v>206</v>
      </c>
      <c r="K1029" t="n">
        <v>110.273156899811</v>
      </c>
      <c r="L1029" t="n">
        <v>114.7741020793951</v>
      </c>
      <c r="M1029">
        <f>2*SQRT(K1029/PI())</f>
        <v/>
      </c>
      <c r="N1029">
        <f>2*SQRT(L1029/PI())</f>
        <v/>
      </c>
      <c r="P1029" t="inlineStr">
        <is>
          <t>是</t>
        </is>
      </c>
      <c r="Q1029" t="inlineStr">
        <is>
          <t>auto_pipeline;review_png_green</t>
        </is>
      </c>
      <c r="R1029" t="inlineStr">
        <is>
          <t>样品23</t>
        </is>
      </c>
    </row>
    <row r="1030">
      <c r="A1030" t="n">
        <v>1029</v>
      </c>
      <c r="B1030" t="inlineStr">
        <is>
          <t>23 (2).tif</t>
        </is>
      </c>
      <c r="C1030" t="inlineStr">
        <is>
          <t>23(2)-V04</t>
        </is>
      </c>
      <c r="D1030" t="n">
        <v>4</v>
      </c>
      <c r="E1030" t="inlineStr">
        <is>
          <t>primary</t>
        </is>
      </c>
      <c r="F1030" t="n">
        <v>111.0586011342155</v>
      </c>
      <c r="G1030">
        <f>2*SQRT(F1030/PI())</f>
        <v/>
      </c>
      <c r="H1030" t="n">
        <v>50.25999089945918</v>
      </c>
      <c r="I1030" t="n">
        <v>78</v>
      </c>
      <c r="J1030" t="n">
        <v>591</v>
      </c>
      <c r="K1030" t="n">
        <v>108.8374291115312</v>
      </c>
      <c r="L1030" t="n">
        <v>113.2797731568998</v>
      </c>
      <c r="M1030">
        <f>2*SQRT(K1030/PI())</f>
        <v/>
      </c>
      <c r="N1030">
        <f>2*SQRT(L1030/PI())</f>
        <v/>
      </c>
      <c r="P1030" t="inlineStr">
        <is>
          <t>是</t>
        </is>
      </c>
      <c r="Q1030" t="inlineStr">
        <is>
          <t>auto_pipeline;review_png_green</t>
        </is>
      </c>
      <c r="R1030" t="inlineStr">
        <is>
          <t>样品23</t>
        </is>
      </c>
    </row>
    <row r="1031">
      <c r="A1031" t="n">
        <v>1030</v>
      </c>
      <c r="B1031" t="inlineStr">
        <is>
          <t>23 (3).tif</t>
        </is>
      </c>
      <c r="C1031" t="inlineStr">
        <is>
          <t>23(3)-V01</t>
        </is>
      </c>
      <c r="D1031" t="n">
        <v>1</v>
      </c>
      <c r="E1031" t="inlineStr">
        <is>
          <t>primary</t>
        </is>
      </c>
      <c r="F1031" t="n">
        <v>954.4896030245746</v>
      </c>
      <c r="G1031">
        <f>2*SQRT(F1031/PI())</f>
        <v/>
      </c>
      <c r="H1031" t="n">
        <v>116.3138517607813</v>
      </c>
      <c r="I1031" t="n">
        <v>362</v>
      </c>
      <c r="J1031" t="n">
        <v>300</v>
      </c>
      <c r="K1031" t="n">
        <v>935.3998109640831</v>
      </c>
      <c r="L1031" t="n">
        <v>973.5793950850662</v>
      </c>
      <c r="M1031">
        <f>2*SQRT(K1031/PI())</f>
        <v/>
      </c>
      <c r="N1031">
        <f>2*SQRT(L1031/PI())</f>
        <v/>
      </c>
      <c r="P1031" t="inlineStr">
        <is>
          <t>是</t>
        </is>
      </c>
      <c r="Q1031" t="inlineStr">
        <is>
          <t>auto_pipeline;review_png_green</t>
        </is>
      </c>
      <c r="R1031" t="inlineStr">
        <is>
          <t>样品23</t>
        </is>
      </c>
    </row>
    <row r="1032">
      <c r="A1032" t="n">
        <v>1031</v>
      </c>
      <c r="B1032" t="inlineStr">
        <is>
          <t>23 (3).tif</t>
        </is>
      </c>
      <c r="C1032" t="inlineStr">
        <is>
          <t>23(3)-V02</t>
        </is>
      </c>
      <c r="D1032" t="n">
        <v>2</v>
      </c>
      <c r="E1032" t="inlineStr">
        <is>
          <t>primary</t>
        </is>
      </c>
      <c r="F1032" t="n">
        <v>825.1417769376181</v>
      </c>
      <c r="G1032">
        <f>2*SQRT(F1032/PI())</f>
        <v/>
      </c>
      <c r="H1032" t="n">
        <v>109.40102794896</v>
      </c>
      <c r="I1032" t="n">
        <v>518</v>
      </c>
      <c r="J1032" t="n">
        <v>363</v>
      </c>
      <c r="K1032" t="n">
        <v>808.6389413988658</v>
      </c>
      <c r="L1032" t="n">
        <v>841.6446124763705</v>
      </c>
      <c r="M1032">
        <f>2*SQRT(K1032/PI())</f>
        <v/>
      </c>
      <c r="N1032">
        <f>2*SQRT(L1032/PI())</f>
        <v/>
      </c>
      <c r="O1032" t="inlineStr">
        <is>
          <t>23(3)-P01</t>
        </is>
      </c>
      <c r="P1032" t="inlineStr">
        <is>
          <t>是</t>
        </is>
      </c>
      <c r="Q1032" t="inlineStr">
        <is>
          <t>auto_pipeline;review_png_green</t>
        </is>
      </c>
      <c r="R1032" t="inlineStr">
        <is>
          <t>样品23</t>
        </is>
      </c>
    </row>
    <row r="1033">
      <c r="A1033" t="n">
        <v>1032</v>
      </c>
      <c r="B1033" t="inlineStr">
        <is>
          <t>23 (3).tif</t>
        </is>
      </c>
      <c r="C1033" t="inlineStr">
        <is>
          <t>23(3)-V03</t>
        </is>
      </c>
      <c r="D1033" t="n">
        <v>3</v>
      </c>
      <c r="E1033" t="inlineStr">
        <is>
          <t>primary</t>
        </is>
      </c>
      <c r="F1033" t="n">
        <v>820.0141776937618</v>
      </c>
      <c r="G1033">
        <f>2*SQRT(F1033/PI())</f>
        <v/>
      </c>
      <c r="H1033" t="n">
        <v>108.1494280825491</v>
      </c>
      <c r="I1033" t="n">
        <v>673</v>
      </c>
      <c r="J1033" t="n">
        <v>412</v>
      </c>
      <c r="K1033" t="n">
        <v>803.6138941398865</v>
      </c>
      <c r="L1033" t="n">
        <v>836.4144612476371</v>
      </c>
      <c r="M1033">
        <f>2*SQRT(K1033/PI())</f>
        <v/>
      </c>
      <c r="N1033">
        <f>2*SQRT(L1033/PI())</f>
        <v/>
      </c>
      <c r="O1033" t="inlineStr">
        <is>
          <t>23(3)-P01</t>
        </is>
      </c>
      <c r="P1033" t="inlineStr">
        <is>
          <t>是</t>
        </is>
      </c>
      <c r="Q1033" t="inlineStr">
        <is>
          <t>auto_pipeline;review_png_green</t>
        </is>
      </c>
      <c r="R1033" t="inlineStr">
        <is>
          <t>样品23</t>
        </is>
      </c>
    </row>
    <row r="1034">
      <c r="A1034" t="n">
        <v>1033</v>
      </c>
      <c r="B1034" t="inlineStr">
        <is>
          <t>23 (3).tif</t>
        </is>
      </c>
      <c r="C1034" t="inlineStr">
        <is>
          <t>23(3)-V04</t>
        </is>
      </c>
      <c r="D1034" t="n">
        <v>4</v>
      </c>
      <c r="E1034" t="inlineStr">
        <is>
          <t>primary</t>
        </is>
      </c>
      <c r="F1034" t="n">
        <v>134.3572778827977</v>
      </c>
      <c r="G1034">
        <f>2*SQRT(F1034/PI())</f>
        <v/>
      </c>
      <c r="H1034" t="n">
        <v>47.81858915868013</v>
      </c>
      <c r="I1034" t="n">
        <v>190</v>
      </c>
      <c r="J1034" t="n">
        <v>148</v>
      </c>
      <c r="K1034" t="n">
        <v>131.6701323251418</v>
      </c>
      <c r="L1034" t="n">
        <v>137.0444234404537</v>
      </c>
      <c r="M1034">
        <f>2*SQRT(K1034/PI())</f>
        <v/>
      </c>
      <c r="N1034">
        <f>2*SQRT(L1034/PI())</f>
        <v/>
      </c>
      <c r="P1034" t="inlineStr">
        <is>
          <t>是</t>
        </is>
      </c>
      <c r="Q1034" t="inlineStr">
        <is>
          <t>auto_pipeline;review_png_green</t>
        </is>
      </c>
      <c r="R1034" t="inlineStr">
        <is>
          <t>样品23</t>
        </is>
      </c>
    </row>
    <row r="1035">
      <c r="A1035" t="n">
        <v>1034</v>
      </c>
      <c r="B1035" t="inlineStr">
        <is>
          <t>23 (3).tif</t>
        </is>
      </c>
      <c r="C1035" t="inlineStr">
        <is>
          <t>23(3)-V05</t>
        </is>
      </c>
      <c r="D1035" t="n">
        <v>5</v>
      </c>
      <c r="E1035" t="inlineStr">
        <is>
          <t>primary</t>
        </is>
      </c>
      <c r="F1035" t="n">
        <v>117.8875236294896</v>
      </c>
      <c r="G1035">
        <f>2*SQRT(F1035/PI())</f>
        <v/>
      </c>
      <c r="H1035" t="n">
        <v>42.87773658399996</v>
      </c>
      <c r="I1035" t="n">
        <v>445</v>
      </c>
      <c r="J1035" t="n">
        <v>201</v>
      </c>
      <c r="K1035" t="n">
        <v>115.5297731568998</v>
      </c>
      <c r="L1035" t="n">
        <v>120.2452741020794</v>
      </c>
      <c r="M1035">
        <f>2*SQRT(K1035/PI())</f>
        <v/>
      </c>
      <c r="N1035">
        <f>2*SQRT(L1035/PI())</f>
        <v/>
      </c>
      <c r="P1035" t="inlineStr">
        <is>
          <t>是</t>
        </is>
      </c>
      <c r="Q1035" t="inlineStr">
        <is>
          <t>auto_pipeline;review_png_green</t>
        </is>
      </c>
      <c r="R1035" t="inlineStr">
        <is>
          <t>样品23</t>
        </is>
      </c>
    </row>
    <row r="1036">
      <c r="A1036" t="n">
        <v>1035</v>
      </c>
      <c r="B1036" t="inlineStr">
        <is>
          <t>23 (4).tif</t>
        </is>
      </c>
      <c r="C1036" t="inlineStr">
        <is>
          <t>23(4)-V01</t>
        </is>
      </c>
      <c r="D1036" t="n">
        <v>1</v>
      </c>
      <c r="E1036" t="inlineStr">
        <is>
          <t>primary</t>
        </is>
      </c>
      <c r="F1036" t="n">
        <v>1115.713610586011</v>
      </c>
      <c r="G1036">
        <f>2*SQRT(F1036/PI())</f>
        <v/>
      </c>
      <c r="H1036" t="n">
        <v>126.5775915591613</v>
      </c>
      <c r="I1036" t="n">
        <v>593</v>
      </c>
      <c r="J1036" t="n">
        <v>399</v>
      </c>
      <c r="K1036" t="n">
        <v>1093.399338374291</v>
      </c>
      <c r="L1036" t="n">
        <v>1138.027882797732</v>
      </c>
      <c r="M1036">
        <f>2*SQRT(K1036/PI())</f>
        <v/>
      </c>
      <c r="N1036">
        <f>2*SQRT(L1036/PI())</f>
        <v/>
      </c>
      <c r="P1036" t="inlineStr">
        <is>
          <t>是</t>
        </is>
      </c>
      <c r="Q1036" t="inlineStr">
        <is>
          <t>auto_pipeline;review_png_green</t>
        </is>
      </c>
      <c r="R1036" t="inlineStr">
        <is>
          <t>样品23</t>
        </is>
      </c>
    </row>
    <row r="1037">
      <c r="A1037" t="n">
        <v>1036</v>
      </c>
      <c r="B1037" t="inlineStr">
        <is>
          <t>23 (4).tif</t>
        </is>
      </c>
      <c r="C1037" t="inlineStr">
        <is>
          <t>23(4)-V02</t>
        </is>
      </c>
      <c r="D1037" t="n">
        <v>2</v>
      </c>
      <c r="E1037" t="inlineStr">
        <is>
          <t>primary</t>
        </is>
      </c>
      <c r="F1037" t="n">
        <v>874.5274102079395</v>
      </c>
      <c r="G1037">
        <f>2*SQRT(F1037/PI())</f>
        <v/>
      </c>
      <c r="H1037" t="n">
        <v>111.2456543030946</v>
      </c>
      <c r="I1037" t="n">
        <v>399</v>
      </c>
      <c r="J1037" t="n">
        <v>342</v>
      </c>
      <c r="K1037" t="n">
        <v>857.0368620037807</v>
      </c>
      <c r="L1037" t="n">
        <v>892.0179584120983</v>
      </c>
      <c r="M1037">
        <f>2*SQRT(K1037/PI())</f>
        <v/>
      </c>
      <c r="N1037">
        <f>2*SQRT(L1037/PI())</f>
        <v/>
      </c>
      <c r="P1037" t="inlineStr">
        <is>
          <t>是</t>
        </is>
      </c>
      <c r="Q1037" t="inlineStr">
        <is>
          <t>auto_pipeline;review_png_green</t>
        </is>
      </c>
      <c r="R1037" t="inlineStr">
        <is>
          <t>样品23</t>
        </is>
      </c>
    </row>
    <row r="1038">
      <c r="A1038" t="n">
        <v>1037</v>
      </c>
      <c r="B1038" t="inlineStr">
        <is>
          <t>23 (4).tif</t>
        </is>
      </c>
      <c r="C1038" t="inlineStr">
        <is>
          <t>23(4)-V03</t>
        </is>
      </c>
      <c r="D1038" t="n">
        <v>3</v>
      </c>
      <c r="E1038" t="inlineStr">
        <is>
          <t>primary</t>
        </is>
      </c>
      <c r="F1038" t="n">
        <v>453.5444234404537</v>
      </c>
      <c r="G1038">
        <f>2*SQRT(F1038/PI())</f>
        <v/>
      </c>
      <c r="H1038" t="n">
        <v>83.44516520914824</v>
      </c>
      <c r="I1038" t="n">
        <v>114</v>
      </c>
      <c r="J1038" t="n">
        <v>324</v>
      </c>
      <c r="K1038" t="n">
        <v>444.4735349716446</v>
      </c>
      <c r="L1038" t="n">
        <v>462.6153119092627</v>
      </c>
      <c r="M1038">
        <f>2*SQRT(K1038/PI())</f>
        <v/>
      </c>
      <c r="N1038">
        <f>2*SQRT(L1038/PI())</f>
        <v/>
      </c>
      <c r="P1038" t="inlineStr">
        <is>
          <t>是</t>
        </is>
      </c>
      <c r="Q1038" t="inlineStr">
        <is>
          <t>auto_pipeline;review_png_green</t>
        </is>
      </c>
      <c r="R1038" t="inlineStr">
        <is>
          <t>样品23</t>
        </is>
      </c>
    </row>
    <row r="1039">
      <c r="A1039" t="n">
        <v>1038</v>
      </c>
      <c r="B1039" t="inlineStr">
        <is>
          <t>23 (4).tif</t>
        </is>
      </c>
      <c r="C1039" t="inlineStr">
        <is>
          <t>23(4)-V04</t>
        </is>
      </c>
      <c r="D1039" t="n">
        <v>4</v>
      </c>
      <c r="E1039" t="inlineStr">
        <is>
          <t>primary</t>
        </is>
      </c>
      <c r="F1039" t="n">
        <v>349.1257088846881</v>
      </c>
      <c r="G1039">
        <f>2*SQRT(F1039/PI())</f>
        <v/>
      </c>
      <c r="H1039" t="n">
        <v>71.08210929062055</v>
      </c>
      <c r="I1039" t="n">
        <v>194</v>
      </c>
      <c r="J1039" t="n">
        <v>436</v>
      </c>
      <c r="K1039" t="n">
        <v>342.1431947069943</v>
      </c>
      <c r="L1039" t="n">
        <v>356.1082230623819</v>
      </c>
      <c r="M1039">
        <f>2*SQRT(K1039/PI())</f>
        <v/>
      </c>
      <c r="N1039">
        <f>2*SQRT(L1039/PI())</f>
        <v/>
      </c>
      <c r="P1039" t="inlineStr">
        <is>
          <t>是</t>
        </is>
      </c>
      <c r="Q1039" t="inlineStr">
        <is>
          <t>auto_pipeline;review_png_green</t>
        </is>
      </c>
      <c r="R1039" t="inlineStr">
        <is>
          <t>样品23</t>
        </is>
      </c>
    </row>
    <row r="1040">
      <c r="A1040" t="n">
        <v>1039</v>
      </c>
      <c r="B1040" t="inlineStr">
        <is>
          <t>23 (4).tif</t>
        </is>
      </c>
      <c r="C1040" t="inlineStr">
        <is>
          <t>23(4)-V05</t>
        </is>
      </c>
      <c r="D1040" t="n">
        <v>5</v>
      </c>
      <c r="E1040" t="inlineStr">
        <is>
          <t>primary</t>
        </is>
      </c>
      <c r="F1040" t="n">
        <v>136.2003780718337</v>
      </c>
      <c r="G1040">
        <f>2*SQRT(F1040/PI())</f>
        <v/>
      </c>
      <c r="H1040" t="n">
        <v>46.22865257055863</v>
      </c>
      <c r="I1040" t="n">
        <v>965</v>
      </c>
      <c r="J1040" t="n">
        <v>135</v>
      </c>
      <c r="K1040" t="n">
        <v>133.476370510397</v>
      </c>
      <c r="L1040" t="n">
        <v>138.9243856332703</v>
      </c>
      <c r="M1040">
        <f>2*SQRT(K1040/PI())</f>
        <v/>
      </c>
      <c r="N1040">
        <f>2*SQRT(L1040/PI())</f>
        <v/>
      </c>
      <c r="P1040" t="inlineStr">
        <is>
          <t>是</t>
        </is>
      </c>
      <c r="Q1040" t="inlineStr">
        <is>
          <t>auto_pipeline;review_png_green</t>
        </is>
      </c>
      <c r="R1040" t="inlineStr">
        <is>
          <t>样品23</t>
        </is>
      </c>
    </row>
    <row r="1041">
      <c r="A1041" t="n">
        <v>1040</v>
      </c>
      <c r="B1041" t="inlineStr">
        <is>
          <t>23 (4).tif</t>
        </is>
      </c>
      <c r="C1041" t="inlineStr">
        <is>
          <t>23(4)-V06</t>
        </is>
      </c>
      <c r="D1041" t="n">
        <v>6</v>
      </c>
      <c r="E1041" t="inlineStr">
        <is>
          <t>primary</t>
        </is>
      </c>
      <c r="F1041" t="n">
        <v>121.7391304347826</v>
      </c>
      <c r="G1041">
        <f>2*SQRT(F1041/PI())</f>
        <v/>
      </c>
      <c r="H1041" t="n">
        <v>44.59501805512802</v>
      </c>
      <c r="I1041" t="n">
        <v>815</v>
      </c>
      <c r="J1041" t="n">
        <v>367</v>
      </c>
      <c r="K1041" t="n">
        <v>119.304347826087</v>
      </c>
      <c r="L1041" t="n">
        <v>124.1739130434783</v>
      </c>
      <c r="M1041">
        <f>2*SQRT(K1041/PI())</f>
        <v/>
      </c>
      <c r="N1041">
        <f>2*SQRT(L1041/PI())</f>
        <v/>
      </c>
      <c r="P1041" t="inlineStr">
        <is>
          <t>是</t>
        </is>
      </c>
      <c r="Q1041" t="inlineStr">
        <is>
          <t>auto_pipeline;review_png_green</t>
        </is>
      </c>
      <c r="R1041" t="inlineStr">
        <is>
          <t>样品23</t>
        </is>
      </c>
    </row>
    <row r="1042">
      <c r="A1042" t="n">
        <v>1041</v>
      </c>
      <c r="B1042" t="inlineStr">
        <is>
          <t>23 (5).tif</t>
        </is>
      </c>
      <c r="C1042" t="inlineStr">
        <is>
          <t>23(5)-V01</t>
        </is>
      </c>
      <c r="D1042" t="n">
        <v>1</v>
      </c>
      <c r="E1042" t="inlineStr">
        <is>
          <t>primary</t>
        </is>
      </c>
      <c r="F1042" t="n">
        <v>1124.149338374291</v>
      </c>
      <c r="G1042">
        <f>2*SQRT(F1042/PI())</f>
        <v/>
      </c>
      <c r="H1042" t="n">
        <v>126.3010528294936</v>
      </c>
      <c r="I1042" t="n">
        <v>515</v>
      </c>
      <c r="J1042" t="n">
        <v>469</v>
      </c>
      <c r="K1042" t="n">
        <v>1101.666351606805</v>
      </c>
      <c r="L1042" t="n">
        <v>1146.632325141777</v>
      </c>
      <c r="M1042">
        <f>2*SQRT(K1042/PI())</f>
        <v/>
      </c>
      <c r="N1042">
        <f>2*SQRT(L1042/PI())</f>
        <v/>
      </c>
      <c r="O1042" t="inlineStr">
        <is>
          <t>23(5)-P01</t>
        </is>
      </c>
      <c r="P1042" t="inlineStr">
        <is>
          <t>是</t>
        </is>
      </c>
      <c r="Q1042" t="inlineStr">
        <is>
          <t>auto_pipeline;review_png_green</t>
        </is>
      </c>
      <c r="R1042" t="inlineStr">
        <is>
          <t>样品23</t>
        </is>
      </c>
    </row>
    <row r="1043">
      <c r="A1043" t="n">
        <v>1042</v>
      </c>
      <c r="B1043" t="inlineStr">
        <is>
          <t>23 (5).tif</t>
        </is>
      </c>
      <c r="C1043" t="inlineStr">
        <is>
          <t>23(5)-V02</t>
        </is>
      </c>
      <c r="D1043" t="n">
        <v>2</v>
      </c>
      <c r="E1043" t="inlineStr">
        <is>
          <t>primary</t>
        </is>
      </c>
      <c r="F1043" t="n">
        <v>924.4328922495274</v>
      </c>
      <c r="G1043">
        <f>2*SQRT(F1043/PI())</f>
        <v/>
      </c>
      <c r="H1043" t="n">
        <v>113.5996601892554</v>
      </c>
      <c r="I1043" t="n">
        <v>441</v>
      </c>
      <c r="J1043" t="n">
        <v>295</v>
      </c>
      <c r="K1043" t="n">
        <v>905.9442344045368</v>
      </c>
      <c r="L1043" t="n">
        <v>942.921550094518</v>
      </c>
      <c r="M1043">
        <f>2*SQRT(K1043/PI())</f>
        <v/>
      </c>
      <c r="N1043">
        <f>2*SQRT(L1043/PI())</f>
        <v/>
      </c>
      <c r="O1043" t="inlineStr">
        <is>
          <t>23(5)-P01</t>
        </is>
      </c>
      <c r="P1043" t="inlineStr">
        <is>
          <t>是</t>
        </is>
      </c>
      <c r="Q1043" t="inlineStr">
        <is>
          <t>auto_pipeline;review_png_green</t>
        </is>
      </c>
      <c r="R1043" t="inlineStr">
        <is>
          <t>样品23</t>
        </is>
      </c>
    </row>
    <row r="1044">
      <c r="A1044" t="n">
        <v>1043</v>
      </c>
      <c r="B1044" t="inlineStr">
        <is>
          <t>23 (5).tif</t>
        </is>
      </c>
      <c r="C1044" t="inlineStr">
        <is>
          <t>23(5)-V03</t>
        </is>
      </c>
      <c r="D1044" t="n">
        <v>3</v>
      </c>
      <c r="E1044" t="inlineStr">
        <is>
          <t>primary</t>
        </is>
      </c>
      <c r="F1044" t="n">
        <v>229.3950850661626</v>
      </c>
      <c r="G1044">
        <f>2*SQRT(F1044/PI())</f>
        <v/>
      </c>
      <c r="H1044" t="n">
        <v>69.02274219886117</v>
      </c>
      <c r="I1044" t="n">
        <v>339</v>
      </c>
      <c r="J1044" t="n">
        <v>239</v>
      </c>
      <c r="K1044" t="n">
        <v>224.8071833648393</v>
      </c>
      <c r="L1044" t="n">
        <v>233.9829867674858</v>
      </c>
      <c r="M1044">
        <f>2*SQRT(K1044/PI())</f>
        <v/>
      </c>
      <c r="N1044">
        <f>2*SQRT(L1044/PI())</f>
        <v/>
      </c>
      <c r="P1044" t="inlineStr">
        <is>
          <t>是</t>
        </is>
      </c>
      <c r="Q1044" t="inlineStr">
        <is>
          <t>auto_pipeline;review_png_green</t>
        </is>
      </c>
      <c r="R1044" t="inlineStr">
        <is>
          <t>样品23</t>
        </is>
      </c>
    </row>
    <row r="1045">
      <c r="A1045" t="n">
        <v>1044</v>
      </c>
      <c r="B1045" t="inlineStr">
        <is>
          <t>23 (5).tif</t>
        </is>
      </c>
      <c r="C1045" t="inlineStr">
        <is>
          <t>23(5)-V04</t>
        </is>
      </c>
      <c r="D1045" t="n">
        <v>4</v>
      </c>
      <c r="E1045" t="inlineStr">
        <is>
          <t>primary</t>
        </is>
      </c>
      <c r="F1045" t="n">
        <v>129.4423440453686</v>
      </c>
      <c r="G1045">
        <f>2*SQRT(F1045/PI())</f>
        <v/>
      </c>
      <c r="H1045" t="n">
        <v>48.94284414208453</v>
      </c>
      <c r="I1045" t="n">
        <v>688</v>
      </c>
      <c r="J1045" t="n">
        <v>241</v>
      </c>
      <c r="K1045" t="n">
        <v>126.8534971644613</v>
      </c>
      <c r="L1045" t="n">
        <v>132.031190926276</v>
      </c>
      <c r="M1045">
        <f>2*SQRT(K1045/PI())</f>
        <v/>
      </c>
      <c r="N1045">
        <f>2*SQRT(L1045/PI())</f>
        <v/>
      </c>
      <c r="P1045" t="inlineStr">
        <is>
          <t>是</t>
        </is>
      </c>
      <c r="Q1045" t="inlineStr">
        <is>
          <t>auto_pipeline;review_png_green</t>
        </is>
      </c>
      <c r="R1045" t="inlineStr">
        <is>
          <t>样品23</t>
        </is>
      </c>
    </row>
    <row r="1046">
      <c r="A1046" t="n">
        <v>1045</v>
      </c>
      <c r="B1046" t="inlineStr">
        <is>
          <t>23 (5).tif</t>
        </is>
      </c>
      <c r="C1046" t="inlineStr">
        <is>
          <t>23(5)-V05</t>
        </is>
      </c>
      <c r="D1046" t="n">
        <v>5</v>
      </c>
      <c r="E1046" t="inlineStr">
        <is>
          <t>primary</t>
        </is>
      </c>
      <c r="F1046" t="n">
        <v>127.4102079395085</v>
      </c>
      <c r="G1046">
        <f>2*SQRT(F1046/PI())</f>
        <v/>
      </c>
      <c r="H1046" t="n">
        <v>48.01148093265036</v>
      </c>
      <c r="I1046" t="n">
        <v>594</v>
      </c>
      <c r="J1046" t="n">
        <v>180</v>
      </c>
      <c r="K1046" t="n">
        <v>124.8620037807183</v>
      </c>
      <c r="L1046" t="n">
        <v>129.9584120982987</v>
      </c>
      <c r="M1046">
        <f>2*SQRT(K1046/PI())</f>
        <v/>
      </c>
      <c r="N1046">
        <f>2*SQRT(L1046/PI())</f>
        <v/>
      </c>
      <c r="P1046" t="inlineStr">
        <is>
          <t>是</t>
        </is>
      </c>
      <c r="Q1046" t="inlineStr">
        <is>
          <t>auto_pipeline;review_png_green</t>
        </is>
      </c>
      <c r="R1046" t="inlineStr">
        <is>
          <t>样品23</t>
        </is>
      </c>
    </row>
    <row r="1047">
      <c r="A1047" t="n">
        <v>1046</v>
      </c>
      <c r="B1047" t="inlineStr">
        <is>
          <t>23 (6).tif</t>
        </is>
      </c>
      <c r="C1047" t="inlineStr">
        <is>
          <t>23(6)-V01</t>
        </is>
      </c>
      <c r="D1047" t="n">
        <v>1</v>
      </c>
      <c r="E1047" t="inlineStr">
        <is>
          <t>primary</t>
        </is>
      </c>
      <c r="F1047" t="n">
        <v>1175</v>
      </c>
      <c r="G1047">
        <f>2*SQRT(F1047/PI())</f>
        <v/>
      </c>
      <c r="H1047" t="n">
        <v>129.1644382476807</v>
      </c>
      <c r="I1047" t="n">
        <v>433</v>
      </c>
      <c r="J1047" t="n">
        <v>436</v>
      </c>
      <c r="K1047" t="n">
        <v>1151.5</v>
      </c>
      <c r="L1047" t="n">
        <v>1198.5</v>
      </c>
      <c r="M1047">
        <f>2*SQRT(K1047/PI())</f>
        <v/>
      </c>
      <c r="N1047">
        <f>2*SQRT(L1047/PI())</f>
        <v/>
      </c>
      <c r="P1047" t="inlineStr">
        <is>
          <t>是</t>
        </is>
      </c>
      <c r="Q1047" t="inlineStr">
        <is>
          <t>auto_pipeline;review_png_green</t>
        </is>
      </c>
      <c r="R1047" t="inlineStr">
        <is>
          <t>样品23</t>
        </is>
      </c>
    </row>
    <row r="1048">
      <c r="A1048" t="n">
        <v>1047</v>
      </c>
      <c r="B1048" t="inlineStr">
        <is>
          <t>23 (6).tif</t>
        </is>
      </c>
      <c r="C1048" t="inlineStr">
        <is>
          <t>23(6)-V02</t>
        </is>
      </c>
      <c r="D1048" t="n">
        <v>2</v>
      </c>
      <c r="E1048" t="inlineStr">
        <is>
          <t>primary</t>
        </is>
      </c>
      <c r="F1048" t="n">
        <v>653.4971644612476</v>
      </c>
      <c r="G1048">
        <f>2*SQRT(F1048/PI())</f>
        <v/>
      </c>
      <c r="H1048" t="n">
        <v>95.78637216402136</v>
      </c>
      <c r="I1048" t="n">
        <v>555</v>
      </c>
      <c r="J1048" t="n">
        <v>276</v>
      </c>
      <c r="K1048" t="n">
        <v>640.4272211720227</v>
      </c>
      <c r="L1048" t="n">
        <v>666.5671077504726</v>
      </c>
      <c r="M1048">
        <f>2*SQRT(K1048/PI())</f>
        <v/>
      </c>
      <c r="N1048">
        <f>2*SQRT(L1048/PI())</f>
        <v/>
      </c>
      <c r="P1048" t="inlineStr">
        <is>
          <t>是</t>
        </is>
      </c>
      <c r="Q1048" t="inlineStr">
        <is>
          <t>auto_pipeline;review_png_green</t>
        </is>
      </c>
      <c r="R1048" t="inlineStr">
        <is>
          <t>样品23</t>
        </is>
      </c>
    </row>
    <row r="1049">
      <c r="A1049" t="n">
        <v>1048</v>
      </c>
      <c r="B1049" t="inlineStr">
        <is>
          <t>23 (6).tif</t>
        </is>
      </c>
      <c r="C1049" t="inlineStr">
        <is>
          <t>23(6)-V03</t>
        </is>
      </c>
      <c r="D1049" t="n">
        <v>3</v>
      </c>
      <c r="E1049" t="inlineStr">
        <is>
          <t>primary</t>
        </is>
      </c>
      <c r="F1049" t="n">
        <v>150.3071833648393</v>
      </c>
      <c r="G1049">
        <f>2*SQRT(F1049/PI())</f>
        <v/>
      </c>
      <c r="H1049" t="n">
        <v>49.79056039582128</v>
      </c>
      <c r="I1049" t="n">
        <v>53</v>
      </c>
      <c r="J1049" t="n">
        <v>534</v>
      </c>
      <c r="K1049" t="n">
        <v>147.3010396975425</v>
      </c>
      <c r="L1049" t="n">
        <v>153.3133270321361</v>
      </c>
      <c r="M1049">
        <f>2*SQRT(K1049/PI())</f>
        <v/>
      </c>
      <c r="N1049">
        <f>2*SQRT(L1049/PI())</f>
        <v/>
      </c>
      <c r="P1049" t="inlineStr">
        <is>
          <t>是</t>
        </is>
      </c>
      <c r="Q1049" t="inlineStr">
        <is>
          <t>auto_pipeline;review_png_green</t>
        </is>
      </c>
      <c r="R1049" t="inlineStr">
        <is>
          <t>样品23</t>
        </is>
      </c>
    </row>
    <row r="1050">
      <c r="A1050" t="n">
        <v>1049</v>
      </c>
      <c r="B1050" t="inlineStr">
        <is>
          <t>23 (6).tif</t>
        </is>
      </c>
      <c r="C1050" t="inlineStr">
        <is>
          <t>23(6)-V04</t>
        </is>
      </c>
      <c r="D1050" t="n">
        <v>4</v>
      </c>
      <c r="E1050" t="inlineStr">
        <is>
          <t>primary</t>
        </is>
      </c>
      <c r="F1050" t="n">
        <v>121.6446124763705</v>
      </c>
      <c r="G1050">
        <f>2*SQRT(F1050/PI())</f>
        <v/>
      </c>
      <c r="H1050" t="n">
        <v>44.38402621642403</v>
      </c>
      <c r="I1050" t="n">
        <v>942</v>
      </c>
      <c r="J1050" t="n">
        <v>231</v>
      </c>
      <c r="K1050" t="n">
        <v>119.2117202268431</v>
      </c>
      <c r="L1050" t="n">
        <v>124.0775047258979</v>
      </c>
      <c r="M1050">
        <f>2*SQRT(K1050/PI())</f>
        <v/>
      </c>
      <c r="N1050">
        <f>2*SQRT(L1050/PI())</f>
        <v/>
      </c>
      <c r="P1050" t="inlineStr">
        <is>
          <t>是</t>
        </is>
      </c>
      <c r="Q1050" t="inlineStr">
        <is>
          <t>auto_pipeline;review_png_green</t>
        </is>
      </c>
      <c r="R1050" t="inlineStr">
        <is>
          <t>样品23</t>
        </is>
      </c>
    </row>
    <row r="1051">
      <c r="A1051" t="n">
        <v>1050</v>
      </c>
      <c r="B1051" t="inlineStr">
        <is>
          <t>23 (7).tif</t>
        </is>
      </c>
      <c r="C1051" t="inlineStr">
        <is>
          <t>23(7)-V01</t>
        </is>
      </c>
      <c r="D1051" t="n">
        <v>1</v>
      </c>
      <c r="E1051" t="inlineStr">
        <is>
          <t>primary</t>
        </is>
      </c>
      <c r="F1051" t="n">
        <v>848.086011342155</v>
      </c>
      <c r="G1051">
        <f>2*SQRT(F1051/PI())</f>
        <v/>
      </c>
      <c r="H1051" t="n">
        <v>109.9940544366837</v>
      </c>
      <c r="I1051" t="n">
        <v>587</v>
      </c>
      <c r="J1051" t="n">
        <v>284</v>
      </c>
      <c r="K1051" t="n">
        <v>831.1242911153118</v>
      </c>
      <c r="L1051" t="n">
        <v>865.0477315689981</v>
      </c>
      <c r="M1051">
        <f>2*SQRT(K1051/PI())</f>
        <v/>
      </c>
      <c r="N1051">
        <f>2*SQRT(L1051/PI())</f>
        <v/>
      </c>
      <c r="O1051" t="inlineStr">
        <is>
          <t>23(7)-P01</t>
        </is>
      </c>
      <c r="P1051" t="inlineStr">
        <is>
          <t>是</t>
        </is>
      </c>
      <c r="Q1051" t="inlineStr">
        <is>
          <t>auto_pipeline;review_png_green</t>
        </is>
      </c>
      <c r="R1051" t="inlineStr">
        <is>
          <t>样品23</t>
        </is>
      </c>
    </row>
    <row r="1052">
      <c r="A1052" t="n">
        <v>1051</v>
      </c>
      <c r="B1052" t="inlineStr">
        <is>
          <t>23 (7).tif</t>
        </is>
      </c>
      <c r="C1052" t="inlineStr">
        <is>
          <t>23(7)-V02</t>
        </is>
      </c>
      <c r="D1052" t="n">
        <v>2</v>
      </c>
      <c r="E1052" t="inlineStr">
        <is>
          <t>primary</t>
        </is>
      </c>
      <c r="F1052" t="n">
        <v>613.7051039697543</v>
      </c>
      <c r="G1052">
        <f>2*SQRT(F1052/PI())</f>
        <v/>
      </c>
      <c r="H1052" t="n">
        <v>93.07218059249546</v>
      </c>
      <c r="I1052" t="n">
        <v>466</v>
      </c>
      <c r="J1052" t="n">
        <v>422</v>
      </c>
      <c r="K1052" t="n">
        <v>601.4310018903592</v>
      </c>
      <c r="L1052" t="n">
        <v>625.9792060491494</v>
      </c>
      <c r="M1052">
        <f>2*SQRT(K1052/PI())</f>
        <v/>
      </c>
      <c r="N1052">
        <f>2*SQRT(L1052/PI())</f>
        <v/>
      </c>
      <c r="O1052" t="inlineStr">
        <is>
          <t>23(7)-P01</t>
        </is>
      </c>
      <c r="P1052" t="inlineStr">
        <is>
          <t>是</t>
        </is>
      </c>
      <c r="Q1052" t="inlineStr">
        <is>
          <t>auto_pipeline;review_png_green</t>
        </is>
      </c>
      <c r="R1052" t="inlineStr">
        <is>
          <t>样品23</t>
        </is>
      </c>
    </row>
    <row r="1053">
      <c r="A1053" t="n">
        <v>1052</v>
      </c>
      <c r="B1053" t="inlineStr">
        <is>
          <t>23 (7).tif</t>
        </is>
      </c>
      <c r="C1053" t="inlineStr">
        <is>
          <t>23(7)-V03</t>
        </is>
      </c>
      <c r="D1053" t="n">
        <v>3</v>
      </c>
      <c r="E1053" t="inlineStr">
        <is>
          <t>primary</t>
        </is>
      </c>
      <c r="F1053" t="n">
        <v>351.1105860113421</v>
      </c>
      <c r="G1053">
        <f>2*SQRT(F1053/PI())</f>
        <v/>
      </c>
      <c r="H1053" t="n">
        <v>71.18760520997255</v>
      </c>
      <c r="I1053" t="n">
        <v>918</v>
      </c>
      <c r="J1053" t="n">
        <v>544</v>
      </c>
      <c r="K1053" t="n">
        <v>344.0883742911153</v>
      </c>
      <c r="L1053" t="n">
        <v>358.132797731569</v>
      </c>
      <c r="M1053">
        <f>2*SQRT(K1053/PI())</f>
        <v/>
      </c>
      <c r="N1053">
        <f>2*SQRT(L1053/PI())</f>
        <v/>
      </c>
      <c r="P1053" t="inlineStr">
        <is>
          <t>是</t>
        </is>
      </c>
      <c r="Q1053" t="inlineStr">
        <is>
          <t>auto_pipeline;review_png_green</t>
        </is>
      </c>
      <c r="R1053" t="inlineStr">
        <is>
          <t>样品23</t>
        </is>
      </c>
    </row>
    <row r="1054">
      <c r="A1054" t="n">
        <v>1053</v>
      </c>
      <c r="B1054" t="inlineStr">
        <is>
          <t>23 (7).tif</t>
        </is>
      </c>
      <c r="C1054" t="inlineStr">
        <is>
          <t>23(7)-V04</t>
        </is>
      </c>
      <c r="D1054" t="n">
        <v>4</v>
      </c>
      <c r="E1054" t="inlineStr">
        <is>
          <t>primary</t>
        </is>
      </c>
      <c r="F1054" t="n">
        <v>146.9045368620038</v>
      </c>
      <c r="G1054">
        <f>2*SQRT(F1054/PI())</f>
        <v/>
      </c>
      <c r="H1054" t="n">
        <v>46.97087290494338</v>
      </c>
      <c r="I1054" t="n">
        <v>314</v>
      </c>
      <c r="J1054" t="n">
        <v>580</v>
      </c>
      <c r="K1054" t="n">
        <v>143.9664461247637</v>
      </c>
      <c r="L1054" t="n">
        <v>149.8426275992439</v>
      </c>
      <c r="M1054">
        <f>2*SQRT(K1054/PI())</f>
        <v/>
      </c>
      <c r="N1054">
        <f>2*SQRT(L1054/PI())</f>
        <v/>
      </c>
      <c r="P1054" t="inlineStr">
        <is>
          <t>是</t>
        </is>
      </c>
      <c r="Q1054" t="inlineStr">
        <is>
          <t>auto_pipeline;review_png_green</t>
        </is>
      </c>
      <c r="R1054" t="inlineStr">
        <is>
          <t>样品23</t>
        </is>
      </c>
    </row>
    <row r="1055">
      <c r="A1055" t="n">
        <v>1054</v>
      </c>
      <c r="B1055" t="inlineStr">
        <is>
          <t>23 (7).tif</t>
        </is>
      </c>
      <c r="C1055" t="inlineStr">
        <is>
          <t>23(7)-V05</t>
        </is>
      </c>
      <c r="D1055" t="n">
        <v>5</v>
      </c>
      <c r="E1055" t="inlineStr">
        <is>
          <t>primary</t>
        </is>
      </c>
      <c r="F1055" t="n">
        <v>133.9319470699433</v>
      </c>
      <c r="G1055">
        <f>2*SQRT(F1055/PI())</f>
        <v/>
      </c>
      <c r="H1055" t="n">
        <v>48.53896052941032</v>
      </c>
      <c r="I1055" t="n">
        <v>715</v>
      </c>
      <c r="J1055" t="n">
        <v>513</v>
      </c>
      <c r="K1055" t="n">
        <v>131.2533081285444</v>
      </c>
      <c r="L1055" t="n">
        <v>136.6105860113421</v>
      </c>
      <c r="M1055">
        <f>2*SQRT(K1055/PI())</f>
        <v/>
      </c>
      <c r="N1055">
        <f>2*SQRT(L1055/PI())</f>
        <v/>
      </c>
      <c r="P1055" t="inlineStr">
        <is>
          <t>是</t>
        </is>
      </c>
      <c r="Q1055" t="inlineStr">
        <is>
          <t>auto_pipeline;review_png_green</t>
        </is>
      </c>
      <c r="R1055" t="inlineStr">
        <is>
          <t>样品23</t>
        </is>
      </c>
    </row>
    <row r="1056">
      <c r="A1056" t="n">
        <v>1055</v>
      </c>
      <c r="B1056" t="inlineStr">
        <is>
          <t>23 (7).tif</t>
        </is>
      </c>
      <c r="C1056" t="inlineStr">
        <is>
          <t>23(7)-V06</t>
        </is>
      </c>
      <c r="D1056" t="n">
        <v>6</v>
      </c>
      <c r="E1056" t="inlineStr">
        <is>
          <t>primary</t>
        </is>
      </c>
      <c r="F1056" t="n">
        <v>131.0964083175803</v>
      </c>
      <c r="G1056">
        <f>2*SQRT(F1056/PI())</f>
        <v/>
      </c>
      <c r="H1056" t="n">
        <v>43.25977123301962</v>
      </c>
      <c r="I1056" t="n">
        <v>576</v>
      </c>
      <c r="J1056" t="n">
        <v>580</v>
      </c>
      <c r="K1056" t="n">
        <v>128.4744801512287</v>
      </c>
      <c r="L1056" t="n">
        <v>133.7183364839319</v>
      </c>
      <c r="M1056">
        <f>2*SQRT(K1056/PI())</f>
        <v/>
      </c>
      <c r="N1056">
        <f>2*SQRT(L1056/PI())</f>
        <v/>
      </c>
      <c r="P1056" t="inlineStr">
        <is>
          <t>是</t>
        </is>
      </c>
      <c r="Q1056" t="inlineStr">
        <is>
          <t>auto_pipeline;review_png_green</t>
        </is>
      </c>
      <c r="R1056" t="inlineStr">
        <is>
          <t>样品23</t>
        </is>
      </c>
    </row>
    <row r="1057">
      <c r="A1057" t="n">
        <v>1056</v>
      </c>
      <c r="B1057" t="inlineStr">
        <is>
          <t>23 (7).tif</t>
        </is>
      </c>
      <c r="C1057" t="inlineStr">
        <is>
          <t>23(7)-V07</t>
        </is>
      </c>
      <c r="D1057" t="n">
        <v>7</v>
      </c>
      <c r="E1057" t="inlineStr">
        <is>
          <t>primary</t>
        </is>
      </c>
      <c r="F1057" t="n">
        <v>130.8837429111531</v>
      </c>
      <c r="G1057">
        <f>2*SQRT(F1057/PI())</f>
        <v/>
      </c>
      <c r="H1057" t="n">
        <v>45.74112200218698</v>
      </c>
      <c r="I1057" t="n">
        <v>378</v>
      </c>
      <c r="J1057" t="n">
        <v>487</v>
      </c>
      <c r="K1057" t="n">
        <v>128.2660680529301</v>
      </c>
      <c r="L1057" t="n">
        <v>133.5014177693762</v>
      </c>
      <c r="M1057">
        <f>2*SQRT(K1057/PI())</f>
        <v/>
      </c>
      <c r="N1057">
        <f>2*SQRT(L1057/PI())</f>
        <v/>
      </c>
      <c r="P1057" t="inlineStr">
        <is>
          <t>是</t>
        </is>
      </c>
      <c r="Q1057" t="inlineStr">
        <is>
          <t>auto_pipeline;review_png_green</t>
        </is>
      </c>
      <c r="R1057" t="inlineStr">
        <is>
          <t>样品23</t>
        </is>
      </c>
    </row>
    <row r="1058">
      <c r="A1058" t="n">
        <v>1057</v>
      </c>
      <c r="B1058" t="inlineStr">
        <is>
          <t>23 (7).tif</t>
        </is>
      </c>
      <c r="C1058" t="inlineStr">
        <is>
          <t>23(7)-V08</t>
        </is>
      </c>
      <c r="D1058" t="n">
        <v>8</v>
      </c>
      <c r="E1058" t="inlineStr">
        <is>
          <t>primary</t>
        </is>
      </c>
      <c r="F1058" t="n">
        <v>127.4574669187146</v>
      </c>
      <c r="G1058">
        <f>2*SQRT(F1058/PI())</f>
        <v/>
      </c>
      <c r="H1058" t="n">
        <v>42.89958554765452</v>
      </c>
      <c r="I1058" t="n">
        <v>781</v>
      </c>
      <c r="J1058" t="n">
        <v>444</v>
      </c>
      <c r="K1058" t="n">
        <v>124.9083175803403</v>
      </c>
      <c r="L1058" t="n">
        <v>130.0066162570889</v>
      </c>
      <c r="M1058">
        <f>2*SQRT(K1058/PI())</f>
        <v/>
      </c>
      <c r="N1058">
        <f>2*SQRT(L1058/PI())</f>
        <v/>
      </c>
      <c r="P1058" t="inlineStr">
        <is>
          <t>是</t>
        </is>
      </c>
      <c r="Q1058" t="inlineStr">
        <is>
          <t>auto_pipeline;review_png_green</t>
        </is>
      </c>
      <c r="R1058" t="inlineStr">
        <is>
          <t>样品23</t>
        </is>
      </c>
    </row>
    <row r="1059">
      <c r="A1059" t="n">
        <v>1058</v>
      </c>
      <c r="B1059" t="inlineStr">
        <is>
          <t>23 (8).tif</t>
        </is>
      </c>
      <c r="C1059" t="inlineStr">
        <is>
          <t>23(8)-V01</t>
        </is>
      </c>
      <c r="D1059" t="n">
        <v>1</v>
      </c>
      <c r="E1059" t="inlineStr">
        <is>
          <t>primary</t>
        </is>
      </c>
      <c r="F1059" t="n">
        <v>828.0718336483932</v>
      </c>
      <c r="G1059">
        <f>2*SQRT(F1059/PI())</f>
        <v/>
      </c>
      <c r="H1059" t="n">
        <v>108.7861524975818</v>
      </c>
      <c r="I1059" t="n">
        <v>628</v>
      </c>
      <c r="J1059" t="n">
        <v>354</v>
      </c>
      <c r="K1059" t="n">
        <v>811.5103969754254</v>
      </c>
      <c r="L1059" t="n">
        <v>844.633270321361</v>
      </c>
      <c r="M1059">
        <f>2*SQRT(K1059/PI())</f>
        <v/>
      </c>
      <c r="N1059">
        <f>2*SQRT(L1059/PI())</f>
        <v/>
      </c>
      <c r="O1059" t="inlineStr">
        <is>
          <t>23(8)-P01</t>
        </is>
      </c>
      <c r="P1059" t="inlineStr">
        <is>
          <t>是</t>
        </is>
      </c>
      <c r="Q1059" t="inlineStr">
        <is>
          <t>auto_pipeline;review_png_green</t>
        </is>
      </c>
      <c r="R1059" t="inlineStr">
        <is>
          <t>样品23</t>
        </is>
      </c>
    </row>
    <row r="1060">
      <c r="A1060" t="n">
        <v>1059</v>
      </c>
      <c r="B1060" t="inlineStr">
        <is>
          <t>23 (8).tif</t>
        </is>
      </c>
      <c r="C1060" t="inlineStr">
        <is>
          <t>23(8)-V02</t>
        </is>
      </c>
      <c r="D1060" t="n">
        <v>2</v>
      </c>
      <c r="E1060" t="inlineStr">
        <is>
          <t>primary</t>
        </is>
      </c>
      <c r="F1060" t="n">
        <v>718.2183364839319</v>
      </c>
      <c r="G1060">
        <f>2*SQRT(F1060/PI())</f>
        <v/>
      </c>
      <c r="H1060" t="n">
        <v>102.3608592541321</v>
      </c>
      <c r="I1060" t="n">
        <v>476</v>
      </c>
      <c r="J1060" t="n">
        <v>452</v>
      </c>
      <c r="K1060" t="n">
        <v>703.8539697542533</v>
      </c>
      <c r="L1060" t="n">
        <v>732.5827032136106</v>
      </c>
      <c r="M1060">
        <f>2*SQRT(K1060/PI())</f>
        <v/>
      </c>
      <c r="N1060">
        <f>2*SQRT(L1060/PI())</f>
        <v/>
      </c>
      <c r="O1060" t="inlineStr">
        <is>
          <t>23(8)-P01</t>
        </is>
      </c>
      <c r="P1060" t="inlineStr">
        <is>
          <t>是</t>
        </is>
      </c>
      <c r="Q1060" t="inlineStr">
        <is>
          <t>auto_pipeline;review_png_green</t>
        </is>
      </c>
      <c r="R1060" t="inlineStr">
        <is>
          <t>样品23</t>
        </is>
      </c>
    </row>
    <row r="1061">
      <c r="A1061" t="n">
        <v>1060</v>
      </c>
      <c r="B1061" t="inlineStr">
        <is>
          <t>23 (8).tif</t>
        </is>
      </c>
      <c r="C1061" t="inlineStr">
        <is>
          <t>23(8)-V03</t>
        </is>
      </c>
      <c r="D1061" t="n">
        <v>3</v>
      </c>
      <c r="E1061" t="inlineStr">
        <is>
          <t>primary</t>
        </is>
      </c>
      <c r="F1061" t="n">
        <v>350.992438563327</v>
      </c>
      <c r="G1061">
        <f>2*SQRT(F1061/PI())</f>
        <v/>
      </c>
      <c r="H1061" t="n">
        <v>71.20945417362711</v>
      </c>
      <c r="I1061" t="n">
        <v>911</v>
      </c>
      <c r="J1061" t="n">
        <v>138</v>
      </c>
      <c r="K1061" t="n">
        <v>343.9725897920605</v>
      </c>
      <c r="L1061" t="n">
        <v>358.0122873345936</v>
      </c>
      <c r="M1061">
        <f>2*SQRT(K1061/PI())</f>
        <v/>
      </c>
      <c r="N1061">
        <f>2*SQRT(L1061/PI())</f>
        <v/>
      </c>
      <c r="P1061" t="inlineStr">
        <is>
          <t>是</t>
        </is>
      </c>
      <c r="Q1061" t="inlineStr">
        <is>
          <t>auto_pipeline;review_png_green</t>
        </is>
      </c>
      <c r="R1061" t="inlineStr">
        <is>
          <t>样品23</t>
        </is>
      </c>
    </row>
    <row r="1062">
      <c r="A1062" t="n">
        <v>1061</v>
      </c>
      <c r="B1062" t="inlineStr">
        <is>
          <t>23 (8).tif</t>
        </is>
      </c>
      <c r="C1062" t="inlineStr">
        <is>
          <t>23(8)-V04</t>
        </is>
      </c>
      <c r="D1062" t="n">
        <v>4</v>
      </c>
      <c r="E1062" t="inlineStr">
        <is>
          <t>primary</t>
        </is>
      </c>
      <c r="F1062" t="n">
        <v>206.9943289224953</v>
      </c>
      <c r="G1062">
        <f>2*SQRT(F1062/PI())</f>
        <v/>
      </c>
      <c r="H1062" t="n">
        <v>56.36504748593206</v>
      </c>
      <c r="I1062" t="n">
        <v>428</v>
      </c>
      <c r="J1062" t="n">
        <v>113</v>
      </c>
      <c r="K1062" t="n">
        <v>202.8544423440454</v>
      </c>
      <c r="L1062" t="n">
        <v>211.1342155009452</v>
      </c>
      <c r="M1062">
        <f>2*SQRT(K1062/PI())</f>
        <v/>
      </c>
      <c r="N1062">
        <f>2*SQRT(L1062/PI())</f>
        <v/>
      </c>
      <c r="P1062" t="inlineStr">
        <is>
          <t>是</t>
        </is>
      </c>
      <c r="Q1062" t="inlineStr">
        <is>
          <t>auto_pipeline;review_png_green</t>
        </is>
      </c>
      <c r="R1062" t="inlineStr">
        <is>
          <t>样品23</t>
        </is>
      </c>
    </row>
    <row r="1063">
      <c r="A1063" t="n">
        <v>1062</v>
      </c>
      <c r="B1063" t="inlineStr">
        <is>
          <t>23 (8).tif</t>
        </is>
      </c>
      <c r="C1063" t="inlineStr">
        <is>
          <t>23(8)-V05</t>
        </is>
      </c>
      <c r="D1063" t="n">
        <v>5</v>
      </c>
      <c r="E1063" t="inlineStr">
        <is>
          <t>primary</t>
        </is>
      </c>
      <c r="F1063" t="n">
        <v>156.6398865784499</v>
      </c>
      <c r="G1063">
        <f>2*SQRT(F1063/PI())</f>
        <v/>
      </c>
      <c r="H1063" t="n">
        <v>52.14456628198209</v>
      </c>
      <c r="I1063" t="n">
        <v>253</v>
      </c>
      <c r="J1063" t="n">
        <v>564</v>
      </c>
      <c r="K1063" t="n">
        <v>153.5070888468809</v>
      </c>
      <c r="L1063" t="n">
        <v>159.7726843100189</v>
      </c>
      <c r="M1063">
        <f>2*SQRT(K1063/PI())</f>
        <v/>
      </c>
      <c r="N1063">
        <f>2*SQRT(L1063/PI())</f>
        <v/>
      </c>
      <c r="P1063" t="inlineStr">
        <is>
          <t>是</t>
        </is>
      </c>
      <c r="Q1063" t="inlineStr">
        <is>
          <t>auto_pipeline;review_png_green</t>
        </is>
      </c>
      <c r="R1063" t="inlineStr">
        <is>
          <t>样品23</t>
        </is>
      </c>
    </row>
    <row r="1064">
      <c r="A1064" t="n">
        <v>1063</v>
      </c>
      <c r="B1064" t="inlineStr">
        <is>
          <t>23 (8).tif</t>
        </is>
      </c>
      <c r="C1064" t="inlineStr">
        <is>
          <t>23(8)-V06</t>
        </is>
      </c>
      <c r="D1064" t="n">
        <v>6</v>
      </c>
      <c r="E1064" t="inlineStr">
        <is>
          <t>primary</t>
        </is>
      </c>
      <c r="F1064" t="n">
        <v>101.1342155009452</v>
      </c>
      <c r="G1064">
        <f>2*SQRT(F1064/PI())</f>
        <v/>
      </c>
      <c r="H1064" t="n">
        <v>38.44626354134601</v>
      </c>
      <c r="I1064" t="n">
        <v>682</v>
      </c>
      <c r="J1064" t="n">
        <v>515</v>
      </c>
      <c r="K1064" t="n">
        <v>99.11153119092627</v>
      </c>
      <c r="L1064" t="n">
        <v>103.1568998109641</v>
      </c>
      <c r="M1064">
        <f>2*SQRT(K1064/PI())</f>
        <v/>
      </c>
      <c r="N1064">
        <f>2*SQRT(L1064/PI())</f>
        <v/>
      </c>
      <c r="P1064" t="inlineStr">
        <is>
          <t>是</t>
        </is>
      </c>
      <c r="Q1064" t="inlineStr">
        <is>
          <t>auto_pipeline;review_png_green</t>
        </is>
      </c>
      <c r="R1064" t="inlineStr">
        <is>
          <t>样品23</t>
        </is>
      </c>
    </row>
    <row r="1065">
      <c r="A1065" t="n">
        <v>1064</v>
      </c>
      <c r="B1065" t="inlineStr">
        <is>
          <t>24 (1).tif</t>
        </is>
      </c>
      <c r="C1065" t="inlineStr">
        <is>
          <t>24(1)-V01</t>
        </is>
      </c>
      <c r="D1065" t="n">
        <v>1</v>
      </c>
      <c r="E1065" t="inlineStr">
        <is>
          <t>primary</t>
        </is>
      </c>
      <c r="F1065" t="n">
        <v>713.8705103969754</v>
      </c>
      <c r="G1065">
        <f>2*SQRT(F1065/PI())</f>
        <v/>
      </c>
      <c r="H1065" t="n">
        <v>100.3670390533364</v>
      </c>
      <c r="I1065" t="n">
        <v>487</v>
      </c>
      <c r="J1065" t="n">
        <v>450</v>
      </c>
      <c r="K1065" t="n">
        <v>699.5931001890359</v>
      </c>
      <c r="L1065" t="n">
        <v>728.1479206049149</v>
      </c>
      <c r="M1065">
        <f>2*SQRT(K1065/PI())</f>
        <v/>
      </c>
      <c r="N1065">
        <f>2*SQRT(L1065/PI())</f>
        <v/>
      </c>
      <c r="O1065" t="inlineStr">
        <is>
          <t>24(1)-P01</t>
        </is>
      </c>
      <c r="P1065" t="inlineStr">
        <is>
          <t>是</t>
        </is>
      </c>
      <c r="Q1065" t="inlineStr">
        <is>
          <t>auto_pipeline;review_png_green</t>
        </is>
      </c>
      <c r="R1065" t="inlineStr">
        <is>
          <t>样品24</t>
        </is>
      </c>
    </row>
    <row r="1066">
      <c r="A1066" t="n">
        <v>1065</v>
      </c>
      <c r="B1066" t="inlineStr">
        <is>
          <t>24 (1).tif</t>
        </is>
      </c>
      <c r="C1066" t="inlineStr">
        <is>
          <t>24(1)-V02</t>
        </is>
      </c>
      <c r="D1066" t="n">
        <v>2</v>
      </c>
      <c r="E1066" t="inlineStr">
        <is>
          <t>primary</t>
        </is>
      </c>
      <c r="F1066" t="n">
        <v>645.0141776937618</v>
      </c>
      <c r="G1066">
        <f>2*SQRT(F1066/PI())</f>
        <v/>
      </c>
      <c r="H1066" t="n">
        <v>95.29884159564972</v>
      </c>
      <c r="I1066" t="n">
        <v>929</v>
      </c>
      <c r="J1066" t="n">
        <v>139</v>
      </c>
      <c r="K1066" t="n">
        <v>632.1138941398865</v>
      </c>
      <c r="L1066" t="n">
        <v>657.9144612476371</v>
      </c>
      <c r="M1066">
        <f>2*SQRT(K1066/PI())</f>
        <v/>
      </c>
      <c r="N1066">
        <f>2*SQRT(L1066/PI())</f>
        <v/>
      </c>
      <c r="P1066" t="inlineStr">
        <is>
          <t>是</t>
        </is>
      </c>
      <c r="Q1066" t="inlineStr">
        <is>
          <t>auto_pipeline;review_png_green</t>
        </is>
      </c>
      <c r="R1066" t="inlineStr">
        <is>
          <t>样品24</t>
        </is>
      </c>
    </row>
    <row r="1067">
      <c r="A1067" t="n">
        <v>1066</v>
      </c>
      <c r="B1067" t="inlineStr">
        <is>
          <t>24 (1).tif</t>
        </is>
      </c>
      <c r="C1067" t="inlineStr">
        <is>
          <t>24(1)-V03</t>
        </is>
      </c>
      <c r="D1067" t="n">
        <v>3</v>
      </c>
      <c r="E1067" t="inlineStr">
        <is>
          <t>primary</t>
        </is>
      </c>
      <c r="F1067" t="n">
        <v>595.1086956521739</v>
      </c>
      <c r="G1067">
        <f>2*SQRT(F1067/PI())</f>
        <v/>
      </c>
      <c r="H1067" t="n">
        <v>91.71508480673251</v>
      </c>
      <c r="I1067" t="n">
        <v>531</v>
      </c>
      <c r="J1067" t="n">
        <v>277</v>
      </c>
      <c r="K1067" t="n">
        <v>583.2065217391304</v>
      </c>
      <c r="L1067" t="n">
        <v>607.0108695652174</v>
      </c>
      <c r="M1067">
        <f>2*SQRT(K1067/PI())</f>
        <v/>
      </c>
      <c r="N1067">
        <f>2*SQRT(L1067/PI())</f>
        <v/>
      </c>
      <c r="O1067" t="inlineStr">
        <is>
          <t>24(1)-P01</t>
        </is>
      </c>
      <c r="P1067" t="inlineStr">
        <is>
          <t>是</t>
        </is>
      </c>
      <c r="Q1067" t="inlineStr">
        <is>
          <t>auto_pipeline;review_png_green</t>
        </is>
      </c>
      <c r="R1067" t="inlineStr">
        <is>
          <t>样品24</t>
        </is>
      </c>
    </row>
    <row r="1068">
      <c r="A1068" t="n">
        <v>1067</v>
      </c>
      <c r="B1068" t="inlineStr">
        <is>
          <t>24 (1).tif</t>
        </is>
      </c>
      <c r="C1068" t="inlineStr">
        <is>
          <t>24(1)-V04</t>
        </is>
      </c>
      <c r="D1068" t="n">
        <v>4</v>
      </c>
      <c r="E1068" t="inlineStr">
        <is>
          <t>primary</t>
        </is>
      </c>
      <c r="F1068" t="n">
        <v>166.7533081285444</v>
      </c>
      <c r="G1068">
        <f>2*SQRT(F1068/PI())</f>
        <v/>
      </c>
      <c r="H1068" t="n">
        <v>52.0390703626301</v>
      </c>
      <c r="I1068" t="n">
        <v>732</v>
      </c>
      <c r="J1068" t="n">
        <v>406</v>
      </c>
      <c r="K1068" t="n">
        <v>163.4182419659736</v>
      </c>
      <c r="L1068" t="n">
        <v>170.0883742911153</v>
      </c>
      <c r="M1068">
        <f>2*SQRT(K1068/PI())</f>
        <v/>
      </c>
      <c r="N1068">
        <f>2*SQRT(L1068/PI())</f>
        <v/>
      </c>
      <c r="P1068" t="inlineStr">
        <is>
          <t>是</t>
        </is>
      </c>
      <c r="Q1068" t="inlineStr">
        <is>
          <t>auto_pipeline;review_png_green</t>
        </is>
      </c>
      <c r="R1068" t="inlineStr">
        <is>
          <t>样品24</t>
        </is>
      </c>
    </row>
    <row r="1069">
      <c r="A1069" t="n">
        <v>1068</v>
      </c>
      <c r="B1069" t="inlineStr">
        <is>
          <t>24 (2).tif</t>
        </is>
      </c>
      <c r="C1069" t="inlineStr">
        <is>
          <t>24(2)-V01</t>
        </is>
      </c>
      <c r="D1069" t="n">
        <v>1</v>
      </c>
      <c r="E1069" t="inlineStr">
        <is>
          <t>primary</t>
        </is>
      </c>
      <c r="F1069" t="n">
        <v>746.2429111531191</v>
      </c>
      <c r="G1069">
        <f>2*SQRT(F1069/PI())</f>
        <v/>
      </c>
      <c r="H1069" t="n">
        <v>102.7210449394972</v>
      </c>
      <c r="I1069" t="n">
        <v>588</v>
      </c>
      <c r="J1069" t="n">
        <v>322</v>
      </c>
      <c r="K1069" t="n">
        <v>731.3180529300566</v>
      </c>
      <c r="L1069" t="n">
        <v>761.1677693761815</v>
      </c>
      <c r="M1069">
        <f>2*SQRT(K1069/PI())</f>
        <v/>
      </c>
      <c r="N1069">
        <f>2*SQRT(L1069/PI())</f>
        <v/>
      </c>
      <c r="O1069" t="inlineStr">
        <is>
          <t>24(2)-P01</t>
        </is>
      </c>
      <c r="P1069" t="inlineStr">
        <is>
          <t>是</t>
        </is>
      </c>
      <c r="Q1069" t="inlineStr">
        <is>
          <t>auto_pipeline;review_png_green</t>
        </is>
      </c>
      <c r="R1069" t="inlineStr">
        <is>
          <t>样品24</t>
        </is>
      </c>
    </row>
    <row r="1070">
      <c r="A1070" t="n">
        <v>1069</v>
      </c>
      <c r="B1070" t="inlineStr">
        <is>
          <t>24 (2).tif</t>
        </is>
      </c>
      <c r="C1070" t="inlineStr">
        <is>
          <t>24(2)-V02</t>
        </is>
      </c>
      <c r="D1070" t="n">
        <v>2</v>
      </c>
      <c r="E1070" t="inlineStr">
        <is>
          <t>primary</t>
        </is>
      </c>
      <c r="F1070" t="n">
        <v>715.5482041587902</v>
      </c>
      <c r="G1070">
        <f>2*SQRT(F1070/PI())</f>
        <v/>
      </c>
      <c r="H1070" t="n">
        <v>100.2396941703299</v>
      </c>
      <c r="I1070" t="n">
        <v>469</v>
      </c>
      <c r="J1070" t="n">
        <v>433</v>
      </c>
      <c r="K1070" t="n">
        <v>701.2372400756144</v>
      </c>
      <c r="L1070" t="n">
        <v>729.859168241966</v>
      </c>
      <c r="M1070">
        <f>2*SQRT(K1070/PI())</f>
        <v/>
      </c>
      <c r="N1070">
        <f>2*SQRT(L1070/PI())</f>
        <v/>
      </c>
      <c r="O1070" t="inlineStr">
        <is>
          <t>24(2)-P01</t>
        </is>
      </c>
      <c r="P1070" t="inlineStr">
        <is>
          <t>是</t>
        </is>
      </c>
      <c r="Q1070" t="inlineStr">
        <is>
          <t>auto_pipeline;review_png_green</t>
        </is>
      </c>
      <c r="R1070" t="inlineStr">
        <is>
          <t>样品24</t>
        </is>
      </c>
    </row>
    <row r="1071">
      <c r="A1071" t="n">
        <v>1070</v>
      </c>
      <c r="B1071" t="inlineStr">
        <is>
          <t>24 (2).tif</t>
        </is>
      </c>
      <c r="C1071" t="inlineStr">
        <is>
          <t>24(2)-V03</t>
        </is>
      </c>
      <c r="D1071" t="n">
        <v>3</v>
      </c>
      <c r="E1071" t="inlineStr">
        <is>
          <t>primary</t>
        </is>
      </c>
      <c r="F1071" t="n">
        <v>590.0756143667297</v>
      </c>
      <c r="G1071">
        <f>2*SQRT(F1071/PI())</f>
        <v/>
      </c>
      <c r="H1071" t="n">
        <v>93.83624989053477</v>
      </c>
      <c r="I1071" t="n">
        <v>328</v>
      </c>
      <c r="J1071" t="n">
        <v>473</v>
      </c>
      <c r="K1071" t="n">
        <v>578.2741020793951</v>
      </c>
      <c r="L1071" t="n">
        <v>601.8771266540643</v>
      </c>
      <c r="M1071">
        <f>2*SQRT(K1071/PI())</f>
        <v/>
      </c>
      <c r="N1071">
        <f>2*SQRT(L1071/PI())</f>
        <v/>
      </c>
      <c r="P1071" t="inlineStr">
        <is>
          <t>是</t>
        </is>
      </c>
      <c r="Q1071" t="inlineStr">
        <is>
          <t>auto_pipeline;review_png_green</t>
        </is>
      </c>
      <c r="R1071" t="inlineStr">
        <is>
          <t>样品24</t>
        </is>
      </c>
    </row>
    <row r="1072">
      <c r="A1072" t="n">
        <v>1071</v>
      </c>
      <c r="B1072" t="inlineStr">
        <is>
          <t>24 (2).tif</t>
        </is>
      </c>
      <c r="C1072" t="inlineStr">
        <is>
          <t>24(2)-V04</t>
        </is>
      </c>
      <c r="D1072" t="n">
        <v>4</v>
      </c>
      <c r="E1072" t="inlineStr">
        <is>
          <t>primary</t>
        </is>
      </c>
      <c r="F1072" t="n">
        <v>521.9281663516068</v>
      </c>
      <c r="G1072">
        <f>2*SQRT(F1072/PI())</f>
        <v/>
      </c>
      <c r="H1072" t="n">
        <v>86.15935678067414</v>
      </c>
      <c r="I1072" t="n">
        <v>267</v>
      </c>
      <c r="J1072" t="n">
        <v>144</v>
      </c>
      <c r="K1072" t="n">
        <v>511.4896030245746</v>
      </c>
      <c r="L1072" t="n">
        <v>532.366729678639</v>
      </c>
      <c r="M1072">
        <f>2*SQRT(K1072/PI())</f>
        <v/>
      </c>
      <c r="N1072">
        <f>2*SQRT(L1072/PI())</f>
        <v/>
      </c>
      <c r="P1072" t="inlineStr">
        <is>
          <t>是</t>
        </is>
      </c>
      <c r="Q1072" t="inlineStr">
        <is>
          <t>auto_pipeline;review_png_green</t>
        </is>
      </c>
      <c r="R1072" t="inlineStr">
        <is>
          <t>样品24</t>
        </is>
      </c>
    </row>
    <row r="1073">
      <c r="A1073" t="n">
        <v>1072</v>
      </c>
      <c r="B1073" t="inlineStr">
        <is>
          <t>24 (2).tif</t>
        </is>
      </c>
      <c r="C1073" t="inlineStr">
        <is>
          <t>24(2)-V05</t>
        </is>
      </c>
      <c r="D1073" t="n">
        <v>5</v>
      </c>
      <c r="E1073" t="inlineStr">
        <is>
          <t>primary</t>
        </is>
      </c>
      <c r="F1073" t="n">
        <v>512.1928166351607</v>
      </c>
      <c r="G1073">
        <f>2*SQRT(F1073/PI())</f>
        <v/>
      </c>
      <c r="H1073" t="n">
        <v>88.36416882017384</v>
      </c>
      <c r="I1073" t="n">
        <v>252</v>
      </c>
      <c r="J1073" t="n">
        <v>602</v>
      </c>
      <c r="K1073" t="n">
        <v>501.9489603024575</v>
      </c>
      <c r="L1073" t="n">
        <v>522.436672967864</v>
      </c>
      <c r="M1073">
        <f>2*SQRT(K1073/PI())</f>
        <v/>
      </c>
      <c r="N1073">
        <f>2*SQRT(L1073/PI())</f>
        <v/>
      </c>
      <c r="P1073" t="inlineStr">
        <is>
          <t>是</t>
        </is>
      </c>
      <c r="Q1073" t="inlineStr">
        <is>
          <t>auto_pipeline;review_png_green</t>
        </is>
      </c>
      <c r="R1073" t="inlineStr">
        <is>
          <t>样品24</t>
        </is>
      </c>
    </row>
    <row r="1074">
      <c r="A1074" t="n">
        <v>1073</v>
      </c>
      <c r="B1074" t="inlineStr">
        <is>
          <t>24 (2).tif</t>
        </is>
      </c>
      <c r="C1074" t="inlineStr">
        <is>
          <t>24(2)-V06</t>
        </is>
      </c>
      <c r="D1074" t="n">
        <v>6</v>
      </c>
      <c r="E1074" t="inlineStr">
        <is>
          <t>primary</t>
        </is>
      </c>
      <c r="F1074" t="n">
        <v>104.3950850661626</v>
      </c>
      <c r="G1074">
        <f>2*SQRT(F1074/PI())</f>
        <v/>
      </c>
      <c r="H1074" t="n">
        <v>39.57051852475042</v>
      </c>
      <c r="I1074" t="n">
        <v>101</v>
      </c>
      <c r="J1074" t="n">
        <v>228</v>
      </c>
      <c r="K1074" t="n">
        <v>102.3071833648393</v>
      </c>
      <c r="L1074" t="n">
        <v>106.4829867674858</v>
      </c>
      <c r="M1074">
        <f>2*SQRT(K1074/PI())</f>
        <v/>
      </c>
      <c r="N1074">
        <f>2*SQRT(L1074/PI())</f>
        <v/>
      </c>
      <c r="P1074" t="inlineStr">
        <is>
          <t>是</t>
        </is>
      </c>
      <c r="Q1074" t="inlineStr">
        <is>
          <t>auto_pipeline;review_png_green</t>
        </is>
      </c>
      <c r="R1074" t="inlineStr">
        <is>
          <t>样品24</t>
        </is>
      </c>
    </row>
    <row r="1075">
      <c r="A1075" t="n">
        <v>1074</v>
      </c>
      <c r="B1075" t="inlineStr">
        <is>
          <t>24 (3).tif</t>
        </is>
      </c>
      <c r="C1075" t="inlineStr">
        <is>
          <t>24(3)-V01</t>
        </is>
      </c>
      <c r="D1075" t="n">
        <v>1</v>
      </c>
      <c r="E1075" t="inlineStr">
        <is>
          <t>primary</t>
        </is>
      </c>
      <c r="F1075" t="n">
        <v>566.7769376181475</v>
      </c>
      <c r="G1075">
        <f>2*SQRT(F1075/PI())</f>
        <v/>
      </c>
      <c r="H1075" t="n">
        <v>89.84860948894335</v>
      </c>
      <c r="I1075" t="n">
        <v>522</v>
      </c>
      <c r="J1075" t="n">
        <v>393</v>
      </c>
      <c r="K1075" t="n">
        <v>555.4413988657845</v>
      </c>
      <c r="L1075" t="n">
        <v>578.1124763705104</v>
      </c>
      <c r="M1075">
        <f>2*SQRT(K1075/PI())</f>
        <v/>
      </c>
      <c r="N1075">
        <f>2*SQRT(L1075/PI())</f>
        <v/>
      </c>
      <c r="O1075" t="inlineStr">
        <is>
          <t>24(3)-P01</t>
        </is>
      </c>
      <c r="P1075" t="inlineStr">
        <is>
          <t>是</t>
        </is>
      </c>
      <c r="Q1075" t="inlineStr">
        <is>
          <t>auto_pipeline;review_png_green</t>
        </is>
      </c>
      <c r="R1075" t="inlineStr">
        <is>
          <t>样品24</t>
        </is>
      </c>
    </row>
    <row r="1076">
      <c r="A1076" t="n">
        <v>1075</v>
      </c>
      <c r="B1076" t="inlineStr">
        <is>
          <t>24 (3).tif</t>
        </is>
      </c>
      <c r="C1076" t="inlineStr">
        <is>
          <t>24(3)-V02</t>
        </is>
      </c>
      <c r="D1076" t="n">
        <v>2</v>
      </c>
      <c r="E1076" t="inlineStr">
        <is>
          <t>primary</t>
        </is>
      </c>
      <c r="F1076" t="n">
        <v>548.1805293005671</v>
      </c>
      <c r="G1076">
        <f>2*SQRT(F1076/PI())</f>
        <v/>
      </c>
      <c r="H1076" t="n">
        <v>88.13132801781529</v>
      </c>
      <c r="I1076" t="n">
        <v>403</v>
      </c>
      <c r="J1076" t="n">
        <v>340</v>
      </c>
      <c r="K1076" t="n">
        <v>537.2169187145557</v>
      </c>
      <c r="L1076" t="n">
        <v>559.1441398865784</v>
      </c>
      <c r="M1076">
        <f>2*SQRT(K1076/PI())</f>
        <v/>
      </c>
      <c r="N1076">
        <f>2*SQRT(L1076/PI())</f>
        <v/>
      </c>
      <c r="O1076" t="inlineStr">
        <is>
          <t>24(3)-P01</t>
        </is>
      </c>
      <c r="P1076" t="inlineStr">
        <is>
          <t>是</t>
        </is>
      </c>
      <c r="Q1076" t="inlineStr">
        <is>
          <t>auto_pipeline;review_png_green</t>
        </is>
      </c>
      <c r="R1076" t="inlineStr">
        <is>
          <t>样品24</t>
        </is>
      </c>
    </row>
    <row r="1077">
      <c r="A1077" t="n">
        <v>1076</v>
      </c>
      <c r="B1077" t="inlineStr">
        <is>
          <t>24 (3).tif</t>
        </is>
      </c>
      <c r="C1077" t="inlineStr">
        <is>
          <t>24(3)-V03</t>
        </is>
      </c>
      <c r="D1077" t="n">
        <v>3</v>
      </c>
      <c r="E1077" t="inlineStr">
        <is>
          <t>primary</t>
        </is>
      </c>
      <c r="F1077" t="n">
        <v>530.7183364839319</v>
      </c>
      <c r="G1077">
        <f>2*SQRT(F1077/PI())</f>
        <v/>
      </c>
      <c r="H1077" t="n">
        <v>86.87972815140434</v>
      </c>
      <c r="I1077" t="n">
        <v>95</v>
      </c>
      <c r="J1077" t="n">
        <v>205</v>
      </c>
      <c r="K1077" t="n">
        <v>520.1039697542533</v>
      </c>
      <c r="L1077" t="n">
        <v>541.3327032136106</v>
      </c>
      <c r="M1077">
        <f>2*SQRT(K1077/PI())</f>
        <v/>
      </c>
      <c r="N1077">
        <f>2*SQRT(L1077/PI())</f>
        <v/>
      </c>
      <c r="P1077" t="inlineStr">
        <is>
          <t>是</t>
        </is>
      </c>
      <c r="Q1077" t="inlineStr">
        <is>
          <t>auto_pipeline;review_png_green</t>
        </is>
      </c>
      <c r="R1077" t="inlineStr">
        <is>
          <t>样品24</t>
        </is>
      </c>
    </row>
    <row r="1078">
      <c r="A1078" t="n">
        <v>1077</v>
      </c>
      <c r="B1078" t="inlineStr">
        <is>
          <t>24 (3).tif</t>
        </is>
      </c>
      <c r="C1078" t="inlineStr">
        <is>
          <t>24(3)-V04</t>
        </is>
      </c>
      <c r="D1078" t="n">
        <v>4</v>
      </c>
      <c r="E1078" t="inlineStr">
        <is>
          <t>primary</t>
        </is>
      </c>
      <c r="F1078" t="n">
        <v>397.5897920604915</v>
      </c>
      <c r="G1078">
        <f>2*SQRT(F1078/PI())</f>
        <v/>
      </c>
      <c r="H1078" t="n">
        <v>75.15339664790942</v>
      </c>
      <c r="I1078" t="n">
        <v>844</v>
      </c>
      <c r="J1078" t="n">
        <v>593</v>
      </c>
      <c r="K1078" t="n">
        <v>389.6379962192817</v>
      </c>
      <c r="L1078" t="n">
        <v>405.5415879017013</v>
      </c>
      <c r="M1078">
        <f>2*SQRT(K1078/PI())</f>
        <v/>
      </c>
      <c r="N1078">
        <f>2*SQRT(L1078/PI())</f>
        <v/>
      </c>
      <c r="P1078" t="inlineStr">
        <is>
          <t>是</t>
        </is>
      </c>
      <c r="Q1078" t="inlineStr">
        <is>
          <t>auto_pipeline;review_png_green</t>
        </is>
      </c>
      <c r="R1078" t="inlineStr">
        <is>
          <t>样品24</t>
        </is>
      </c>
    </row>
    <row r="1079">
      <c r="A1079" t="n">
        <v>1078</v>
      </c>
      <c r="B1079" t="inlineStr">
        <is>
          <t>24 (3).tif</t>
        </is>
      </c>
      <c r="C1079" t="inlineStr">
        <is>
          <t>24(3)-V05</t>
        </is>
      </c>
      <c r="D1079" t="n">
        <v>5</v>
      </c>
      <c r="E1079" t="inlineStr">
        <is>
          <t>primary</t>
        </is>
      </c>
      <c r="F1079" t="n">
        <v>376.5122873345936</v>
      </c>
      <c r="G1079">
        <f>2*SQRT(F1079/PI())</f>
        <v/>
      </c>
      <c r="H1079" t="n">
        <v>76.38314755066581</v>
      </c>
      <c r="I1079" t="n">
        <v>255</v>
      </c>
      <c r="J1079" t="n">
        <v>622</v>
      </c>
      <c r="K1079" t="n">
        <v>368.9820415879017</v>
      </c>
      <c r="L1079" t="n">
        <v>384.0425330812855</v>
      </c>
      <c r="M1079">
        <f>2*SQRT(K1079/PI())</f>
        <v/>
      </c>
      <c r="N1079">
        <f>2*SQRT(L1079/PI())</f>
        <v/>
      </c>
      <c r="P1079" t="inlineStr">
        <is>
          <t>是</t>
        </is>
      </c>
      <c r="Q1079" t="inlineStr">
        <is>
          <t>auto_pipeline;review_png_green</t>
        </is>
      </c>
      <c r="R1079" t="inlineStr">
        <is>
          <t>样品24</t>
        </is>
      </c>
    </row>
    <row r="1080">
      <c r="A1080" t="n">
        <v>1079</v>
      </c>
      <c r="B1080" t="inlineStr">
        <is>
          <t>24 (3).tif</t>
        </is>
      </c>
      <c r="C1080" t="inlineStr">
        <is>
          <t>24(3)-V06</t>
        </is>
      </c>
      <c r="D1080" t="n">
        <v>6</v>
      </c>
      <c r="E1080" t="inlineStr">
        <is>
          <t>primary</t>
        </is>
      </c>
      <c r="F1080" t="n">
        <v>261.2712665406427</v>
      </c>
      <c r="G1080">
        <f>2*SQRT(F1080/PI())</f>
        <v/>
      </c>
      <c r="H1080" t="n">
        <v>63.76540186612502</v>
      </c>
      <c r="I1080" t="n">
        <v>130</v>
      </c>
      <c r="J1080" t="n">
        <v>530</v>
      </c>
      <c r="K1080" t="n">
        <v>256.0458412098299</v>
      </c>
      <c r="L1080" t="n">
        <v>266.4966918714556</v>
      </c>
      <c r="M1080">
        <f>2*SQRT(K1080/PI())</f>
        <v/>
      </c>
      <c r="N1080">
        <f>2*SQRT(L1080/PI())</f>
        <v/>
      </c>
      <c r="P1080" t="inlineStr">
        <is>
          <t>是</t>
        </is>
      </c>
      <c r="Q1080" t="inlineStr">
        <is>
          <t>auto_pipeline;review_png_green</t>
        </is>
      </c>
      <c r="R1080" t="inlineStr">
        <is>
          <t>样品24</t>
        </is>
      </c>
    </row>
    <row r="1081">
      <c r="A1081" t="n">
        <v>1080</v>
      </c>
      <c r="B1081" t="inlineStr">
        <is>
          <t>24 (3).tif</t>
        </is>
      </c>
      <c r="C1081" t="inlineStr">
        <is>
          <t>24(3)-V07</t>
        </is>
      </c>
      <c r="D1081" t="n">
        <v>7</v>
      </c>
      <c r="E1081" t="inlineStr">
        <is>
          <t>primary</t>
        </is>
      </c>
      <c r="F1081" t="n">
        <v>223.7003780718337</v>
      </c>
      <c r="G1081">
        <f>2*SQRT(F1081/PI())</f>
        <v/>
      </c>
      <c r="H1081" t="n">
        <v>59.6722655451816</v>
      </c>
      <c r="I1081" t="n">
        <v>753</v>
      </c>
      <c r="J1081" t="n">
        <v>501</v>
      </c>
      <c r="K1081" t="n">
        <v>219.226370510397</v>
      </c>
      <c r="L1081" t="n">
        <v>228.1743856332703</v>
      </c>
      <c r="M1081">
        <f>2*SQRT(K1081/PI())</f>
        <v/>
      </c>
      <c r="N1081">
        <f>2*SQRT(L1081/PI())</f>
        <v/>
      </c>
      <c r="P1081" t="inlineStr">
        <is>
          <t>是</t>
        </is>
      </c>
      <c r="Q1081" t="inlineStr">
        <is>
          <t>auto_pipeline;review_png_green</t>
        </is>
      </c>
      <c r="R1081" t="inlineStr">
        <is>
          <t>样品24</t>
        </is>
      </c>
    </row>
    <row r="1082">
      <c r="A1082" t="n">
        <v>1081</v>
      </c>
      <c r="B1082" t="inlineStr">
        <is>
          <t>24 (3).tif</t>
        </is>
      </c>
      <c r="C1082" t="inlineStr">
        <is>
          <t>24(3)-V08</t>
        </is>
      </c>
      <c r="D1082" t="n">
        <v>8</v>
      </c>
      <c r="E1082" t="inlineStr">
        <is>
          <t>primary</t>
        </is>
      </c>
      <c r="F1082" t="n">
        <v>124.6219281663516</v>
      </c>
      <c r="G1082">
        <f>2*SQRT(F1082/PI())</f>
        <v/>
      </c>
      <c r="H1082" t="n">
        <v>43.25977123301962</v>
      </c>
      <c r="I1082" t="n">
        <v>675</v>
      </c>
      <c r="J1082" t="n">
        <v>499</v>
      </c>
      <c r="K1082" t="n">
        <v>122.1294896030246</v>
      </c>
      <c r="L1082" t="n">
        <v>127.1143667296786</v>
      </c>
      <c r="M1082">
        <f>2*SQRT(K1082/PI())</f>
        <v/>
      </c>
      <c r="N1082">
        <f>2*SQRT(L1082/PI())</f>
        <v/>
      </c>
      <c r="P1082" t="inlineStr">
        <is>
          <t>是</t>
        </is>
      </c>
      <c r="Q1082" t="inlineStr">
        <is>
          <t>auto_pipeline;review_png_green</t>
        </is>
      </c>
      <c r="R1082" t="inlineStr">
        <is>
          <t>样品24</t>
        </is>
      </c>
    </row>
    <row r="1083">
      <c r="A1083" t="n">
        <v>1082</v>
      </c>
      <c r="B1083" t="inlineStr">
        <is>
          <t>24 (4).tif</t>
        </is>
      </c>
      <c r="C1083" t="inlineStr">
        <is>
          <t>24(4)-V01</t>
        </is>
      </c>
      <c r="D1083" t="n">
        <v>1</v>
      </c>
      <c r="E1083" t="inlineStr">
        <is>
          <t>primary</t>
        </is>
      </c>
      <c r="F1083" t="n">
        <v>715.0756143667297</v>
      </c>
      <c r="G1083">
        <f>2*SQRT(F1083/PI())</f>
        <v/>
      </c>
      <c r="H1083" t="n">
        <v>103.6124591205431</v>
      </c>
      <c r="I1083" t="n">
        <v>519</v>
      </c>
      <c r="J1083" t="n">
        <v>370</v>
      </c>
      <c r="K1083" t="n">
        <v>700.7741020793951</v>
      </c>
      <c r="L1083" t="n">
        <v>729.3771266540643</v>
      </c>
      <c r="M1083">
        <f>2*SQRT(K1083/PI())</f>
        <v/>
      </c>
      <c r="N1083">
        <f>2*SQRT(L1083/PI())</f>
        <v/>
      </c>
      <c r="O1083" t="inlineStr">
        <is>
          <t>24(4)-P01</t>
        </is>
      </c>
      <c r="P1083" t="inlineStr">
        <is>
          <t>是</t>
        </is>
      </c>
      <c r="Q1083" t="inlineStr">
        <is>
          <t>auto_pipeline;review_png_green</t>
        </is>
      </c>
      <c r="R1083" t="inlineStr">
        <is>
          <t>样品24</t>
        </is>
      </c>
    </row>
    <row r="1084">
      <c r="A1084" t="n">
        <v>1083</v>
      </c>
      <c r="B1084" t="inlineStr">
        <is>
          <t>24 (4).tif</t>
        </is>
      </c>
      <c r="C1084" t="inlineStr">
        <is>
          <t>24(4)-V02</t>
        </is>
      </c>
      <c r="D1084" t="n">
        <v>2</v>
      </c>
      <c r="E1084" t="inlineStr">
        <is>
          <t>primary</t>
        </is>
      </c>
      <c r="F1084" t="n">
        <v>653.6625708884688</v>
      </c>
      <c r="G1084">
        <f>2*SQRT(F1084/PI())</f>
        <v/>
      </c>
      <c r="H1084" t="n">
        <v>95.91371704702792</v>
      </c>
      <c r="I1084" t="n">
        <v>927</v>
      </c>
      <c r="J1084" t="n">
        <v>568</v>
      </c>
      <c r="K1084" t="n">
        <v>640.5893194706995</v>
      </c>
      <c r="L1084" t="n">
        <v>666.7358223062382</v>
      </c>
      <c r="M1084">
        <f>2*SQRT(K1084/PI())</f>
        <v/>
      </c>
      <c r="N1084">
        <f>2*SQRT(L1084/PI())</f>
        <v/>
      </c>
      <c r="P1084" t="inlineStr">
        <is>
          <t>是</t>
        </is>
      </c>
      <c r="Q1084" t="inlineStr">
        <is>
          <t>auto_pipeline;review_png_green</t>
        </is>
      </c>
      <c r="R1084" t="inlineStr">
        <is>
          <t>样品24</t>
        </is>
      </c>
    </row>
    <row r="1085">
      <c r="A1085" t="n">
        <v>1084</v>
      </c>
      <c r="B1085" t="inlineStr">
        <is>
          <t>24 (4).tif</t>
        </is>
      </c>
      <c r="C1085" t="inlineStr">
        <is>
          <t>24(4)-V03</t>
        </is>
      </c>
      <c r="D1085" t="n">
        <v>3</v>
      </c>
      <c r="E1085" t="inlineStr">
        <is>
          <t>primary</t>
        </is>
      </c>
      <c r="F1085" t="n">
        <v>576.5595463137996</v>
      </c>
      <c r="G1085">
        <f>2*SQRT(F1085/PI())</f>
        <v/>
      </c>
      <c r="H1085" t="n">
        <v>90.35798902096955</v>
      </c>
      <c r="I1085" t="n">
        <v>482</v>
      </c>
      <c r="J1085" t="n">
        <v>68</v>
      </c>
      <c r="K1085" t="n">
        <v>565.0283553875236</v>
      </c>
      <c r="L1085" t="n">
        <v>588.0907372400757</v>
      </c>
      <c r="M1085">
        <f>2*SQRT(K1085/PI())</f>
        <v/>
      </c>
      <c r="N1085">
        <f>2*SQRT(L1085/PI())</f>
        <v/>
      </c>
      <c r="P1085" t="inlineStr">
        <is>
          <t>是</t>
        </is>
      </c>
      <c r="Q1085" t="inlineStr">
        <is>
          <t>auto_pipeline;review_png_green</t>
        </is>
      </c>
      <c r="R1085" t="inlineStr">
        <is>
          <t>样品24</t>
        </is>
      </c>
    </row>
    <row r="1086">
      <c r="A1086" t="n">
        <v>1085</v>
      </c>
      <c r="B1086" t="inlineStr">
        <is>
          <t>24 (4).tif</t>
        </is>
      </c>
      <c r="C1086" t="inlineStr">
        <is>
          <t>24(4)-V04</t>
        </is>
      </c>
      <c r="D1086" t="n">
        <v>4</v>
      </c>
      <c r="E1086" t="inlineStr">
        <is>
          <t>primary</t>
        </is>
      </c>
      <c r="F1086" t="n">
        <v>562.547258979206</v>
      </c>
      <c r="G1086">
        <f>2*SQRT(F1086/PI())</f>
        <v/>
      </c>
      <c r="H1086" t="n">
        <v>93.19952547550201</v>
      </c>
      <c r="I1086" t="n">
        <v>118</v>
      </c>
      <c r="J1086" t="n">
        <v>242</v>
      </c>
      <c r="K1086" t="n">
        <v>551.2963137996219</v>
      </c>
      <c r="L1086" t="n">
        <v>573.7982041587902</v>
      </c>
      <c r="M1086">
        <f>2*SQRT(K1086/PI())</f>
        <v/>
      </c>
      <c r="N1086">
        <f>2*SQRT(L1086/PI())</f>
        <v/>
      </c>
      <c r="P1086" t="inlineStr">
        <is>
          <t>是</t>
        </is>
      </c>
      <c r="Q1086" t="inlineStr">
        <is>
          <t>auto_pipeline;review_png_green</t>
        </is>
      </c>
      <c r="R1086" t="inlineStr">
        <is>
          <t>样品24</t>
        </is>
      </c>
    </row>
    <row r="1087">
      <c r="A1087" t="n">
        <v>1086</v>
      </c>
      <c r="B1087" t="inlineStr">
        <is>
          <t>24 (4).tif</t>
        </is>
      </c>
      <c r="C1087" t="inlineStr">
        <is>
          <t>24(4)-V05</t>
        </is>
      </c>
      <c r="D1087" t="n">
        <v>5</v>
      </c>
      <c r="E1087" t="inlineStr">
        <is>
          <t>primary</t>
        </is>
      </c>
      <c r="F1087" t="n">
        <v>526.5831758034027</v>
      </c>
      <c r="G1087">
        <f>2*SQRT(F1087/PI())</f>
        <v/>
      </c>
      <c r="H1087" t="n">
        <v>88.89539731585461</v>
      </c>
      <c r="I1087" t="n">
        <v>605</v>
      </c>
      <c r="J1087" t="n">
        <v>253</v>
      </c>
      <c r="K1087" t="n">
        <v>516.0515122873346</v>
      </c>
      <c r="L1087" t="n">
        <v>537.1148393194708</v>
      </c>
      <c r="M1087">
        <f>2*SQRT(K1087/PI())</f>
        <v/>
      </c>
      <c r="N1087">
        <f>2*SQRT(L1087/PI())</f>
        <v/>
      </c>
      <c r="P1087" t="inlineStr">
        <is>
          <t>是</t>
        </is>
      </c>
      <c r="Q1087" t="inlineStr">
        <is>
          <t>auto_pipeline;review_png_green</t>
        </is>
      </c>
      <c r="R1087" t="inlineStr">
        <is>
          <t>样品24</t>
        </is>
      </c>
    </row>
    <row r="1088">
      <c r="A1088" t="n">
        <v>1087</v>
      </c>
      <c r="B1088" t="inlineStr">
        <is>
          <t>24 (4).tif</t>
        </is>
      </c>
      <c r="C1088" t="inlineStr">
        <is>
          <t>24(4)-V06</t>
        </is>
      </c>
      <c r="D1088" t="n">
        <v>6</v>
      </c>
      <c r="E1088" t="inlineStr">
        <is>
          <t>primary</t>
        </is>
      </c>
      <c r="F1088" t="n">
        <v>395.0614366729679</v>
      </c>
      <c r="G1088">
        <f>2*SQRT(F1088/PI())</f>
        <v/>
      </c>
      <c r="H1088" t="n">
        <v>77.59104948976766</v>
      </c>
      <c r="I1088" t="n">
        <v>83</v>
      </c>
      <c r="J1088" t="n">
        <v>374</v>
      </c>
      <c r="K1088" t="n">
        <v>387.1602079395085</v>
      </c>
      <c r="L1088" t="n">
        <v>402.9626654064273</v>
      </c>
      <c r="M1088">
        <f>2*SQRT(K1088/PI())</f>
        <v/>
      </c>
      <c r="N1088">
        <f>2*SQRT(L1088/PI())</f>
        <v/>
      </c>
      <c r="P1088" t="inlineStr">
        <is>
          <t>是</t>
        </is>
      </c>
      <c r="Q1088" t="inlineStr">
        <is>
          <t>auto_pipeline;review_png_green</t>
        </is>
      </c>
      <c r="R1088" t="inlineStr">
        <is>
          <t>样品24</t>
        </is>
      </c>
    </row>
    <row r="1089">
      <c r="A1089" t="n">
        <v>1088</v>
      </c>
      <c r="B1089" t="inlineStr">
        <is>
          <t>24 (4).tif</t>
        </is>
      </c>
      <c r="C1089" t="inlineStr">
        <is>
          <t>24(4)-V07</t>
        </is>
      </c>
      <c r="D1089" t="n">
        <v>7</v>
      </c>
      <c r="E1089" t="inlineStr">
        <is>
          <t>primary</t>
        </is>
      </c>
      <c r="F1089" t="n">
        <v>380.5765595463138</v>
      </c>
      <c r="G1089">
        <f>2*SQRT(F1089/PI())</f>
        <v/>
      </c>
      <c r="H1089" t="n">
        <v>76.17215571196182</v>
      </c>
      <c r="I1089" t="n">
        <v>426</v>
      </c>
      <c r="J1089" t="n">
        <v>471</v>
      </c>
      <c r="K1089" t="n">
        <v>372.9650283553875</v>
      </c>
      <c r="L1089" t="n">
        <v>388.18809073724</v>
      </c>
      <c r="M1089">
        <f>2*SQRT(K1089/PI())</f>
        <v/>
      </c>
      <c r="N1089">
        <f>2*SQRT(L1089/PI())</f>
        <v/>
      </c>
      <c r="O1089" t="inlineStr">
        <is>
          <t>24(4)-P01</t>
        </is>
      </c>
      <c r="P1089" t="inlineStr">
        <is>
          <t>是</t>
        </is>
      </c>
      <c r="Q1089" t="inlineStr">
        <is>
          <t>auto_pipeline;review_png_green</t>
        </is>
      </c>
      <c r="R1089" t="inlineStr">
        <is>
          <t>样品24</t>
        </is>
      </c>
    </row>
    <row r="1090">
      <c r="A1090" t="n">
        <v>1089</v>
      </c>
      <c r="B1090" t="inlineStr">
        <is>
          <t>24 (4).tif</t>
        </is>
      </c>
      <c r="C1090" t="inlineStr">
        <is>
          <t>24(4)-V08</t>
        </is>
      </c>
      <c r="D1090" t="n">
        <v>8</v>
      </c>
      <c r="E1090" t="inlineStr">
        <is>
          <t>primary</t>
        </is>
      </c>
      <c r="F1090" t="n">
        <v>379.6786389413988</v>
      </c>
      <c r="G1090">
        <f>2*SQRT(F1090/PI())</f>
        <v/>
      </c>
      <c r="H1090" t="n">
        <v>79.5630207269088</v>
      </c>
      <c r="I1090" t="n">
        <v>146</v>
      </c>
      <c r="J1090" t="n">
        <v>83</v>
      </c>
      <c r="K1090" t="n">
        <v>372.0850661625709</v>
      </c>
      <c r="L1090" t="n">
        <v>387.2722117202268</v>
      </c>
      <c r="M1090">
        <f>2*SQRT(K1090/PI())</f>
        <v/>
      </c>
      <c r="N1090">
        <f>2*SQRT(L1090/PI())</f>
        <v/>
      </c>
      <c r="P1090" t="inlineStr">
        <is>
          <t>是</t>
        </is>
      </c>
      <c r="Q1090" t="inlineStr">
        <is>
          <t>auto_pipeline;review_png_green</t>
        </is>
      </c>
      <c r="R1090" t="inlineStr">
        <is>
          <t>样品24</t>
        </is>
      </c>
    </row>
    <row r="1091">
      <c r="A1091" t="n">
        <v>1090</v>
      </c>
      <c r="B1091" t="inlineStr">
        <is>
          <t>24 (5).tif</t>
        </is>
      </c>
      <c r="C1091" t="inlineStr">
        <is>
          <t>24(5)-V01</t>
        </is>
      </c>
      <c r="D1091" t="n">
        <v>1</v>
      </c>
      <c r="E1091" t="inlineStr">
        <is>
          <t>primary</t>
        </is>
      </c>
      <c r="F1091" t="n">
        <v>968.5255198487713</v>
      </c>
      <c r="G1091">
        <f>2*SQRT(F1091/PI())</f>
        <v/>
      </c>
      <c r="H1091" t="n">
        <v>116.9287272121595</v>
      </c>
      <c r="I1091" t="n">
        <v>464</v>
      </c>
      <c r="J1091" t="n">
        <v>398</v>
      </c>
      <c r="K1091" t="n">
        <v>949.1550094517959</v>
      </c>
      <c r="L1091" t="n">
        <v>987.8960302457467</v>
      </c>
      <c r="M1091">
        <f>2*SQRT(K1091/PI())</f>
        <v/>
      </c>
      <c r="N1091">
        <f>2*SQRT(L1091/PI())</f>
        <v/>
      </c>
      <c r="O1091" t="inlineStr">
        <is>
          <t>24(5)-P02</t>
        </is>
      </c>
      <c r="P1091" t="inlineStr">
        <is>
          <t>是</t>
        </is>
      </c>
      <c r="Q1091" t="inlineStr">
        <is>
          <t>auto_pipeline;review_png_green</t>
        </is>
      </c>
      <c r="R1091" t="inlineStr">
        <is>
          <t>样品24</t>
        </is>
      </c>
    </row>
    <row r="1092">
      <c r="A1092" t="n">
        <v>1091</v>
      </c>
      <c r="B1092" t="inlineStr">
        <is>
          <t>24 (5).tif</t>
        </is>
      </c>
      <c r="C1092" t="inlineStr">
        <is>
          <t>24(5)-V02</t>
        </is>
      </c>
      <c r="D1092" t="n">
        <v>2</v>
      </c>
      <c r="E1092" t="inlineStr">
        <is>
          <t>primary</t>
        </is>
      </c>
      <c r="F1092" t="n">
        <v>941.6351606805293</v>
      </c>
      <c r="G1092">
        <f>2*SQRT(F1092/PI())</f>
        <v/>
      </c>
      <c r="H1092" t="n">
        <v>118.0092842682548</v>
      </c>
      <c r="I1092" t="n">
        <v>869</v>
      </c>
      <c r="J1092" t="n">
        <v>282</v>
      </c>
      <c r="K1092" t="n">
        <v>922.8024574669188</v>
      </c>
      <c r="L1092" t="n">
        <v>960.4678638941399</v>
      </c>
      <c r="M1092">
        <f>2*SQRT(K1092/PI())</f>
        <v/>
      </c>
      <c r="N1092">
        <f>2*SQRT(L1092/PI())</f>
        <v/>
      </c>
      <c r="P1092" t="inlineStr">
        <is>
          <t>是</t>
        </is>
      </c>
      <c r="Q1092" t="inlineStr">
        <is>
          <t>auto_pipeline;review_png_green</t>
        </is>
      </c>
      <c r="R1092" t="inlineStr">
        <is>
          <t>样品24</t>
        </is>
      </c>
    </row>
    <row r="1093">
      <c r="A1093" t="n">
        <v>1092</v>
      </c>
      <c r="B1093" t="inlineStr">
        <is>
          <t>24 (5).tif</t>
        </is>
      </c>
      <c r="C1093" t="inlineStr">
        <is>
          <t>24(5)-V03</t>
        </is>
      </c>
      <c r="D1093" t="n">
        <v>3</v>
      </c>
      <c r="E1093" t="inlineStr">
        <is>
          <t>primary</t>
        </is>
      </c>
      <c r="F1093" t="n">
        <v>723.2514177693762</v>
      </c>
      <c r="G1093">
        <f>2*SQRT(F1093/PI())</f>
        <v/>
      </c>
      <c r="H1093" t="n">
        <v>104.2273345719213</v>
      </c>
      <c r="I1093" t="n">
        <v>183</v>
      </c>
      <c r="J1093" t="n">
        <v>83</v>
      </c>
      <c r="K1093" t="n">
        <v>708.7863894139887</v>
      </c>
      <c r="L1093" t="n">
        <v>737.7164461247637</v>
      </c>
      <c r="M1093">
        <f>2*SQRT(K1093/PI())</f>
        <v/>
      </c>
      <c r="N1093">
        <f>2*SQRT(L1093/PI())</f>
        <v/>
      </c>
      <c r="O1093" t="inlineStr">
        <is>
          <t>24(5)-P01</t>
        </is>
      </c>
      <c r="P1093" t="inlineStr">
        <is>
          <t>是</t>
        </is>
      </c>
      <c r="Q1093" t="inlineStr">
        <is>
          <t>auto_pipeline;review_png_green</t>
        </is>
      </c>
      <c r="R1093" t="inlineStr">
        <is>
          <t>样品24</t>
        </is>
      </c>
    </row>
    <row r="1094">
      <c r="A1094" t="n">
        <v>1093</v>
      </c>
      <c r="B1094" t="inlineStr">
        <is>
          <t>24 (5).tif</t>
        </is>
      </c>
      <c r="C1094" t="inlineStr">
        <is>
          <t>24(5)-V04</t>
        </is>
      </c>
      <c r="D1094" t="n">
        <v>4</v>
      </c>
      <c r="E1094" t="inlineStr">
        <is>
          <t>primary</t>
        </is>
      </c>
      <c r="F1094" t="n">
        <v>653.7334593572779</v>
      </c>
      <c r="G1094">
        <f>2*SQRT(F1094/PI())</f>
        <v/>
      </c>
      <c r="H1094" t="n">
        <v>96.04106193003447</v>
      </c>
      <c r="I1094" t="n">
        <v>595</v>
      </c>
      <c r="J1094" t="n">
        <v>283</v>
      </c>
      <c r="K1094" t="n">
        <v>640.6587901701323</v>
      </c>
      <c r="L1094" t="n">
        <v>666.8081285444234</v>
      </c>
      <c r="M1094">
        <f>2*SQRT(K1094/PI())</f>
        <v/>
      </c>
      <c r="N1094">
        <f>2*SQRT(L1094/PI())</f>
        <v/>
      </c>
      <c r="O1094" t="inlineStr">
        <is>
          <t>24(5)-P02</t>
        </is>
      </c>
      <c r="P1094" t="inlineStr">
        <is>
          <t>是</t>
        </is>
      </c>
      <c r="Q1094" t="inlineStr">
        <is>
          <t>auto_pipeline;review_png_green</t>
        </is>
      </c>
      <c r="R1094" t="inlineStr">
        <is>
          <t>样品24</t>
        </is>
      </c>
    </row>
    <row r="1095">
      <c r="A1095" t="n">
        <v>1094</v>
      </c>
      <c r="B1095" t="inlineStr">
        <is>
          <t>24 (5).tif</t>
        </is>
      </c>
      <c r="C1095" t="inlineStr">
        <is>
          <t>24(5)-V05</t>
        </is>
      </c>
      <c r="D1095" t="n">
        <v>5</v>
      </c>
      <c r="E1095" t="inlineStr">
        <is>
          <t>primary</t>
        </is>
      </c>
      <c r="F1095" t="n">
        <v>639.9102079395085</v>
      </c>
      <c r="G1095">
        <f>2*SQRT(F1095/PI())</f>
        <v/>
      </c>
      <c r="H1095" t="n">
        <v>96.63408841775811</v>
      </c>
      <c r="I1095" t="n">
        <v>153</v>
      </c>
      <c r="J1095" t="n">
        <v>546</v>
      </c>
      <c r="K1095" t="n">
        <v>627.1120037807183</v>
      </c>
      <c r="L1095" t="n">
        <v>652.7084120982987</v>
      </c>
      <c r="M1095">
        <f>2*SQRT(K1095/PI())</f>
        <v/>
      </c>
      <c r="N1095">
        <f>2*SQRT(L1095/PI())</f>
        <v/>
      </c>
      <c r="P1095" t="inlineStr">
        <is>
          <t>是</t>
        </is>
      </c>
      <c r="Q1095" t="inlineStr">
        <is>
          <t>auto_pipeline;review_png_green</t>
        </is>
      </c>
      <c r="R1095" t="inlineStr">
        <is>
          <t>样品24</t>
        </is>
      </c>
    </row>
    <row r="1096">
      <c r="A1096" t="n">
        <v>1095</v>
      </c>
      <c r="B1096" t="inlineStr">
        <is>
          <t>24 (5).tif</t>
        </is>
      </c>
      <c r="C1096" t="inlineStr">
        <is>
          <t>24(5)-V06</t>
        </is>
      </c>
      <c r="D1096" t="n">
        <v>6</v>
      </c>
      <c r="E1096" t="inlineStr">
        <is>
          <t>primary</t>
        </is>
      </c>
      <c r="F1096" t="n">
        <v>401.0869565217391</v>
      </c>
      <c r="G1096">
        <f>2*SQRT(F1096/PI())</f>
        <v/>
      </c>
      <c r="H1096" t="n">
        <v>80.51998179891835</v>
      </c>
      <c r="I1096" t="n">
        <v>92</v>
      </c>
      <c r="J1096" t="n">
        <v>182</v>
      </c>
      <c r="K1096" t="n">
        <v>393.0652173913043</v>
      </c>
      <c r="L1096" t="n">
        <v>409.1086956521739</v>
      </c>
      <c r="M1096">
        <f>2*SQRT(K1096/PI())</f>
        <v/>
      </c>
      <c r="N1096">
        <f>2*SQRT(L1096/PI())</f>
        <v/>
      </c>
      <c r="O1096" t="inlineStr">
        <is>
          <t>24(5)-P01</t>
        </is>
      </c>
      <c r="P1096" t="inlineStr">
        <is>
          <t>是</t>
        </is>
      </c>
      <c r="Q1096" t="inlineStr">
        <is>
          <t>auto_pipeline;review_png_green</t>
        </is>
      </c>
      <c r="R1096" t="inlineStr">
        <is>
          <t>样品24</t>
        </is>
      </c>
    </row>
    <row r="1097">
      <c r="A1097" t="n">
        <v>1096</v>
      </c>
      <c r="B1097" t="inlineStr">
        <is>
          <t>24 (5).tif</t>
        </is>
      </c>
      <c r="C1097" t="inlineStr">
        <is>
          <t>24(5)-V07</t>
        </is>
      </c>
      <c r="D1097" t="n">
        <v>7</v>
      </c>
      <c r="E1097" t="inlineStr">
        <is>
          <t>primary</t>
        </is>
      </c>
      <c r="F1097" t="n">
        <v>294.0453686200378</v>
      </c>
      <c r="G1097">
        <f>2*SQRT(F1097/PI())</f>
        <v/>
      </c>
      <c r="H1097" t="n">
        <v>72.03532146370929</v>
      </c>
      <c r="I1097" t="n">
        <v>275</v>
      </c>
      <c r="J1097" t="n">
        <v>381</v>
      </c>
      <c r="K1097" t="n">
        <v>288.1644612476371</v>
      </c>
      <c r="L1097" t="n">
        <v>299.9262759924386</v>
      </c>
      <c r="M1097">
        <f>2*SQRT(K1097/PI())</f>
        <v/>
      </c>
      <c r="N1097">
        <f>2*SQRT(L1097/PI())</f>
        <v/>
      </c>
      <c r="P1097" t="inlineStr">
        <is>
          <t>是</t>
        </is>
      </c>
      <c r="Q1097" t="inlineStr">
        <is>
          <t>auto_pipeline;review_png_green</t>
        </is>
      </c>
      <c r="R1097" t="inlineStr">
        <is>
          <t>样品24</t>
        </is>
      </c>
    </row>
    <row r="1098">
      <c r="A1098" t="n">
        <v>1097</v>
      </c>
      <c r="B1098" t="inlineStr">
        <is>
          <t>24 (5).tif</t>
        </is>
      </c>
      <c r="C1098" t="inlineStr">
        <is>
          <t>24(5)-V08</t>
        </is>
      </c>
      <c r="D1098" t="n">
        <v>8</v>
      </c>
      <c r="E1098" t="inlineStr">
        <is>
          <t>primary</t>
        </is>
      </c>
      <c r="F1098" t="n">
        <v>162.9253308128544</v>
      </c>
      <c r="G1098">
        <f>2*SQRT(F1098/PI())</f>
        <v/>
      </c>
      <c r="H1098" t="n">
        <v>61.32400012534598</v>
      </c>
      <c r="I1098" t="n">
        <v>396</v>
      </c>
      <c r="J1098" t="n">
        <v>190</v>
      </c>
      <c r="K1098" t="n">
        <v>159.6668241965974</v>
      </c>
      <c r="L1098" t="n">
        <v>166.1838374291115</v>
      </c>
      <c r="M1098">
        <f>2*SQRT(K1098/PI())</f>
        <v/>
      </c>
      <c r="N1098">
        <f>2*SQRT(L1098/PI())</f>
        <v/>
      </c>
      <c r="P1098" t="inlineStr">
        <is>
          <t>是</t>
        </is>
      </c>
      <c r="Q1098" t="inlineStr">
        <is>
          <t>auto_pipeline;review_png_green</t>
        </is>
      </c>
      <c r="R1098" t="inlineStr">
        <is>
          <t>样品24</t>
        </is>
      </c>
    </row>
    <row r="1099">
      <c r="A1099" t="n">
        <v>1098</v>
      </c>
      <c r="B1099" t="inlineStr">
        <is>
          <t>24 (5).tif</t>
        </is>
      </c>
      <c r="C1099" t="inlineStr">
        <is>
          <t>24(5)-V09</t>
        </is>
      </c>
      <c r="D1099" t="n">
        <v>9</v>
      </c>
      <c r="E1099" t="inlineStr">
        <is>
          <t>primary</t>
        </is>
      </c>
      <c r="F1099" t="n">
        <v>58.22306238185255</v>
      </c>
      <c r="G1099">
        <f>2*SQRT(F1099/PI())</f>
        <v/>
      </c>
      <c r="H1099" t="n">
        <v>32.71949270497198</v>
      </c>
      <c r="I1099" t="n">
        <v>368</v>
      </c>
      <c r="J1099" t="n">
        <v>215</v>
      </c>
      <c r="K1099" t="n">
        <v>57.0586011342155</v>
      </c>
      <c r="L1099" t="n">
        <v>59.3875236294896</v>
      </c>
      <c r="M1099">
        <f>2*SQRT(K1099/PI())</f>
        <v/>
      </c>
      <c r="N1099">
        <f>2*SQRT(L1099/PI())</f>
        <v/>
      </c>
      <c r="P1099" t="inlineStr">
        <is>
          <t>是</t>
        </is>
      </c>
      <c r="Q1099" t="inlineStr">
        <is>
          <t>auto_pipeline;review_png_green</t>
        </is>
      </c>
      <c r="R1099" t="inlineStr">
        <is>
          <t>样品24</t>
        </is>
      </c>
    </row>
    <row r="1100">
      <c r="A1100" t="n">
        <v>1099</v>
      </c>
      <c r="B1100" t="inlineStr">
        <is>
          <t>24 (6).tif</t>
        </is>
      </c>
      <c r="C1100" t="inlineStr">
        <is>
          <t>24(6)-V01</t>
        </is>
      </c>
      <c r="D1100" t="n">
        <v>1</v>
      </c>
      <c r="E1100" t="inlineStr">
        <is>
          <t>primary</t>
        </is>
      </c>
      <c r="F1100" t="n">
        <v>823.8421550094517</v>
      </c>
      <c r="G1100">
        <f>2*SQRT(F1100/PI())</f>
        <v/>
      </c>
      <c r="H1100" t="n">
        <v>107.5345526311709</v>
      </c>
      <c r="I1100" t="n">
        <v>402</v>
      </c>
      <c r="J1100" t="n">
        <v>399</v>
      </c>
      <c r="K1100" t="n">
        <v>807.3653119092627</v>
      </c>
      <c r="L1100" t="n">
        <v>840.3189981096408</v>
      </c>
      <c r="M1100">
        <f>2*SQRT(K1100/PI())</f>
        <v/>
      </c>
      <c r="N1100">
        <f>2*SQRT(L1100/PI())</f>
        <v/>
      </c>
      <c r="P1100" t="inlineStr">
        <is>
          <t>是</t>
        </is>
      </c>
      <c r="Q1100" t="inlineStr">
        <is>
          <t>auto_pipeline;review_png_green</t>
        </is>
      </c>
      <c r="R1100" t="inlineStr">
        <is>
          <t>样品24</t>
        </is>
      </c>
    </row>
    <row r="1101">
      <c r="A1101" t="n">
        <v>1100</v>
      </c>
      <c r="B1101" t="inlineStr">
        <is>
          <t>24 (6).tif</t>
        </is>
      </c>
      <c r="C1101" t="inlineStr">
        <is>
          <t>24(6)-V02</t>
        </is>
      </c>
      <c r="D1101" t="n">
        <v>2</v>
      </c>
      <c r="E1101" t="inlineStr">
        <is>
          <t>primary</t>
        </is>
      </c>
      <c r="F1101" t="n">
        <v>527.9064272211721</v>
      </c>
      <c r="G1101">
        <f>2*SQRT(F1101/PI())</f>
        <v/>
      </c>
      <c r="H1101" t="n">
        <v>87.5164525664371</v>
      </c>
      <c r="I1101" t="n">
        <v>543</v>
      </c>
      <c r="J1101" t="n">
        <v>316</v>
      </c>
      <c r="K1101" t="n">
        <v>517.3482986767486</v>
      </c>
      <c r="L1101" t="n">
        <v>538.4645557655955</v>
      </c>
      <c r="M1101">
        <f>2*SQRT(K1101/PI())</f>
        <v/>
      </c>
      <c r="N1101">
        <f>2*SQRT(L1101/PI())</f>
        <v/>
      </c>
      <c r="P1101" t="inlineStr">
        <is>
          <t>是</t>
        </is>
      </c>
      <c r="Q1101" t="inlineStr">
        <is>
          <t>auto_pipeline;review_png_green</t>
        </is>
      </c>
      <c r="R1101" t="inlineStr">
        <is>
          <t>样品24</t>
        </is>
      </c>
    </row>
    <row r="1102">
      <c r="A1102" t="n">
        <v>1101</v>
      </c>
      <c r="B1102" t="inlineStr">
        <is>
          <t>24 (6).tif</t>
        </is>
      </c>
      <c r="C1102" t="inlineStr">
        <is>
          <t>24(6)-V03</t>
        </is>
      </c>
      <c r="D1102" t="n">
        <v>3</v>
      </c>
      <c r="E1102" t="inlineStr">
        <is>
          <t>primary</t>
        </is>
      </c>
      <c r="F1102" t="n">
        <v>199.6219281663516</v>
      </c>
      <c r="G1102">
        <f>2*SQRT(F1102/PI())</f>
        <v/>
      </c>
      <c r="H1102" t="n">
        <v>63.08497952378314</v>
      </c>
      <c r="I1102" t="n">
        <v>58</v>
      </c>
      <c r="J1102" t="n">
        <v>354</v>
      </c>
      <c r="K1102" t="n">
        <v>195.6294896030246</v>
      </c>
      <c r="L1102" t="n">
        <v>203.6143667296786</v>
      </c>
      <c r="M1102">
        <f>2*SQRT(K1102/PI())</f>
        <v/>
      </c>
      <c r="N1102">
        <f>2*SQRT(L1102/PI())</f>
        <v/>
      </c>
      <c r="P1102" t="inlineStr">
        <is>
          <t>是</t>
        </is>
      </c>
      <c r="Q1102" t="inlineStr">
        <is>
          <t>auto_pipeline;review_png_green</t>
        </is>
      </c>
      <c r="R1102" t="inlineStr">
        <is>
          <t>样品24</t>
        </is>
      </c>
    </row>
    <row r="1103">
      <c r="A1103" t="n">
        <v>1102</v>
      </c>
      <c r="B1103" t="inlineStr">
        <is>
          <t>24 (6).tif</t>
        </is>
      </c>
      <c r="C1103" t="inlineStr">
        <is>
          <t>24(6)-V04</t>
        </is>
      </c>
      <c r="D1103" t="n">
        <v>4</v>
      </c>
      <c r="E1103" t="inlineStr">
        <is>
          <t>primary</t>
        </is>
      </c>
      <c r="F1103" t="n">
        <v>135.8931947069943</v>
      </c>
      <c r="G1103">
        <f>2*SQRT(F1103/PI())</f>
        <v/>
      </c>
      <c r="H1103" t="n">
        <v>44.00199156740437</v>
      </c>
      <c r="I1103" t="n">
        <v>533</v>
      </c>
      <c r="J1103" t="n">
        <v>182</v>
      </c>
      <c r="K1103" t="n">
        <v>133.1753308128544</v>
      </c>
      <c r="L1103" t="n">
        <v>138.6110586011342</v>
      </c>
      <c r="M1103">
        <f>2*SQRT(K1103/PI())</f>
        <v/>
      </c>
      <c r="N1103">
        <f>2*SQRT(L1103/PI())</f>
        <v/>
      </c>
      <c r="P1103" t="inlineStr">
        <is>
          <t>是</t>
        </is>
      </c>
      <c r="Q1103" t="inlineStr">
        <is>
          <t>auto_pipeline;review_png_green</t>
        </is>
      </c>
      <c r="R1103" t="inlineStr">
        <is>
          <t>样品24</t>
        </is>
      </c>
    </row>
    <row r="1104">
      <c r="A1104" t="n">
        <v>1103</v>
      </c>
      <c r="B1104" t="inlineStr">
        <is>
          <t>24 (6).tif</t>
        </is>
      </c>
      <c r="C1104" t="inlineStr">
        <is>
          <t>24(6)-V05</t>
        </is>
      </c>
      <c r="D1104" t="n">
        <v>5</v>
      </c>
      <c r="E1104" t="inlineStr">
        <is>
          <t>primary</t>
        </is>
      </c>
      <c r="F1104" t="n">
        <v>127.3629489603025</v>
      </c>
      <c r="G1104">
        <f>2*SQRT(F1104/PI())</f>
        <v/>
      </c>
      <c r="H1104" t="n">
        <v>42.64489578164142</v>
      </c>
      <c r="I1104" t="n">
        <v>877</v>
      </c>
      <c r="J1104" t="n">
        <v>313</v>
      </c>
      <c r="K1104" t="n">
        <v>124.8156899810964</v>
      </c>
      <c r="L1104" t="n">
        <v>129.9102079395085</v>
      </c>
      <c r="M1104">
        <f>2*SQRT(K1104/PI())</f>
        <v/>
      </c>
      <c r="N1104">
        <f>2*SQRT(L1104/PI())</f>
        <v/>
      </c>
      <c r="P1104" t="inlineStr">
        <is>
          <t>是</t>
        </is>
      </c>
      <c r="Q1104" t="inlineStr">
        <is>
          <t>auto_pipeline;review_png_green</t>
        </is>
      </c>
      <c r="R1104" t="inlineStr">
        <is>
          <t>样品24</t>
        </is>
      </c>
    </row>
    <row r="1105">
      <c r="A1105" t="n">
        <v>1104</v>
      </c>
      <c r="B1105" t="inlineStr">
        <is>
          <t>24 (6).tif</t>
        </is>
      </c>
      <c r="C1105" t="inlineStr">
        <is>
          <t>24(6)-V06</t>
        </is>
      </c>
      <c r="D1105" t="n">
        <v>6</v>
      </c>
      <c r="E1105" t="inlineStr">
        <is>
          <t>primary</t>
        </is>
      </c>
      <c r="F1105" t="n">
        <v>110.3969754253308</v>
      </c>
      <c r="G1105">
        <f>2*SQRT(F1105/PI())</f>
        <v/>
      </c>
      <c r="H1105" t="n">
        <v>39.93070421011551</v>
      </c>
      <c r="I1105" t="n">
        <v>168</v>
      </c>
      <c r="J1105" t="n">
        <v>239</v>
      </c>
      <c r="K1105" t="n">
        <v>108.1890359168242</v>
      </c>
      <c r="L1105" t="n">
        <v>112.6049149338374</v>
      </c>
      <c r="M1105">
        <f>2*SQRT(K1105/PI())</f>
        <v/>
      </c>
      <c r="N1105">
        <f>2*SQRT(L1105/PI())</f>
        <v/>
      </c>
      <c r="P1105" t="inlineStr">
        <is>
          <t>是</t>
        </is>
      </c>
      <c r="Q1105" t="inlineStr">
        <is>
          <t>auto_pipeline;review_png_green</t>
        </is>
      </c>
      <c r="R1105" t="inlineStr">
        <is>
          <t>样品24</t>
        </is>
      </c>
    </row>
    <row r="1106">
      <c r="A1106" t="n">
        <v>1105</v>
      </c>
      <c r="B1106" t="inlineStr">
        <is>
          <t>24 (7).tif</t>
        </is>
      </c>
      <c r="C1106" t="inlineStr">
        <is>
          <t>24(7)-V01</t>
        </is>
      </c>
      <c r="D1106" t="n">
        <v>1</v>
      </c>
      <c r="E1106" t="inlineStr">
        <is>
          <t>primary</t>
        </is>
      </c>
      <c r="F1106" t="n">
        <v>839.5085066162571</v>
      </c>
      <c r="G1106">
        <f>2*SQRT(F1106/PI())</f>
        <v/>
      </c>
      <c r="H1106" t="n">
        <v>110.2705931663513</v>
      </c>
      <c r="I1106" t="n">
        <v>184</v>
      </c>
      <c r="J1106" t="n">
        <v>171</v>
      </c>
      <c r="K1106" t="n">
        <v>822.718336483932</v>
      </c>
      <c r="L1106" t="n">
        <v>856.2986767485822</v>
      </c>
      <c r="M1106">
        <f>2*SQRT(K1106/PI())</f>
        <v/>
      </c>
      <c r="N1106">
        <f>2*SQRT(L1106/PI())</f>
        <v/>
      </c>
      <c r="P1106" t="inlineStr">
        <is>
          <t>是</t>
        </is>
      </c>
      <c r="Q1106" t="inlineStr">
        <is>
          <t>auto_pipeline;review_png_green</t>
        </is>
      </c>
      <c r="R1106" t="inlineStr">
        <is>
          <t>样品24</t>
        </is>
      </c>
    </row>
    <row r="1107">
      <c r="A1107" t="n">
        <v>1106</v>
      </c>
      <c r="B1107" t="inlineStr">
        <is>
          <t>24 (7).tif</t>
        </is>
      </c>
      <c r="C1107" t="inlineStr">
        <is>
          <t>24(7)-V02</t>
        </is>
      </c>
      <c r="D1107" t="n">
        <v>2</v>
      </c>
      <c r="E1107" t="inlineStr">
        <is>
          <t>primary</t>
        </is>
      </c>
      <c r="F1107" t="n">
        <v>800.4489603024575</v>
      </c>
      <c r="G1107">
        <f>2*SQRT(F1107/PI())</f>
        <v/>
      </c>
      <c r="H1107" t="n">
        <v>107.1743669458058</v>
      </c>
      <c r="I1107" t="n">
        <v>194</v>
      </c>
      <c r="J1107" t="n">
        <v>397</v>
      </c>
      <c r="K1107" t="n">
        <v>784.4399810964084</v>
      </c>
      <c r="L1107" t="n">
        <v>816.4579395085067</v>
      </c>
      <c r="M1107">
        <f>2*SQRT(K1107/PI())</f>
        <v/>
      </c>
      <c r="N1107">
        <f>2*SQRT(L1107/PI())</f>
        <v/>
      </c>
      <c r="P1107" t="inlineStr">
        <is>
          <t>是</t>
        </is>
      </c>
      <c r="Q1107" t="inlineStr">
        <is>
          <t>auto_pipeline;review_png_green</t>
        </is>
      </c>
      <c r="R1107" t="inlineStr">
        <is>
          <t>样品24</t>
        </is>
      </c>
    </row>
    <row r="1108">
      <c r="A1108" t="n">
        <v>1107</v>
      </c>
      <c r="B1108" t="inlineStr">
        <is>
          <t>24 (7).tif</t>
        </is>
      </c>
      <c r="C1108" t="inlineStr">
        <is>
          <t>24(7)-V03</t>
        </is>
      </c>
      <c r="D1108" t="n">
        <v>3</v>
      </c>
      <c r="E1108" t="inlineStr">
        <is>
          <t>primary</t>
        </is>
      </c>
      <c r="F1108" t="n">
        <v>756.5217391304348</v>
      </c>
      <c r="G1108">
        <f>2*SQRT(F1108/PI())</f>
        <v/>
      </c>
      <c r="H1108" t="n">
        <v>102.9538857418558</v>
      </c>
      <c r="I1108" t="n">
        <v>408</v>
      </c>
      <c r="J1108" t="n">
        <v>403</v>
      </c>
      <c r="K1108" t="n">
        <v>741.391304347826</v>
      </c>
      <c r="L1108" t="n">
        <v>771.6521739130435</v>
      </c>
      <c r="M1108">
        <f>2*SQRT(K1108/PI())</f>
        <v/>
      </c>
      <c r="N1108">
        <f>2*SQRT(L1108/PI())</f>
        <v/>
      </c>
      <c r="O1108" t="inlineStr">
        <is>
          <t>24(7)-P01</t>
        </is>
      </c>
      <c r="P1108" t="inlineStr">
        <is>
          <t>是</t>
        </is>
      </c>
      <c r="Q1108" t="inlineStr">
        <is>
          <t>auto_pipeline;review_png_green</t>
        </is>
      </c>
      <c r="R1108" t="inlineStr">
        <is>
          <t>样品24</t>
        </is>
      </c>
    </row>
    <row r="1109">
      <c r="A1109" t="n">
        <v>1108</v>
      </c>
      <c r="B1109" t="inlineStr">
        <is>
          <t>24 (7).tif</t>
        </is>
      </c>
      <c r="C1109" t="inlineStr">
        <is>
          <t>24(7)-V04</t>
        </is>
      </c>
      <c r="D1109" t="n">
        <v>4</v>
      </c>
      <c r="E1109" t="inlineStr">
        <is>
          <t>primary</t>
        </is>
      </c>
      <c r="F1109" t="n">
        <v>586.6493383742911</v>
      </c>
      <c r="G1109">
        <f>2*SQRT(F1109/PI())</f>
        <v/>
      </c>
      <c r="H1109" t="n">
        <v>91.96977457274561</v>
      </c>
      <c r="I1109" t="n">
        <v>541</v>
      </c>
      <c r="J1109" t="n">
        <v>402</v>
      </c>
      <c r="K1109" t="n">
        <v>574.9163516068053</v>
      </c>
      <c r="L1109" t="n">
        <v>598.382325141777</v>
      </c>
      <c r="M1109">
        <f>2*SQRT(K1109/PI())</f>
        <v/>
      </c>
      <c r="N1109">
        <f>2*SQRT(L1109/PI())</f>
        <v/>
      </c>
      <c r="O1109" t="inlineStr">
        <is>
          <t>24(7)-P01</t>
        </is>
      </c>
      <c r="P1109" t="inlineStr">
        <is>
          <t>是</t>
        </is>
      </c>
      <c r="Q1109" t="inlineStr">
        <is>
          <t>auto_pipeline;review_png_green</t>
        </is>
      </c>
      <c r="R1109" t="inlineStr">
        <is>
          <t>样品24</t>
        </is>
      </c>
    </row>
    <row r="1110">
      <c r="A1110" t="n">
        <v>1109</v>
      </c>
      <c r="B1110" t="inlineStr">
        <is>
          <t>24 (7).tif</t>
        </is>
      </c>
      <c r="C1110" t="inlineStr">
        <is>
          <t>24(7)-V05</t>
        </is>
      </c>
      <c r="D1110" t="n">
        <v>5</v>
      </c>
      <c r="E1110" t="inlineStr">
        <is>
          <t>primary</t>
        </is>
      </c>
      <c r="F1110" t="n">
        <v>128.3790170132325</v>
      </c>
      <c r="G1110">
        <f>2*SQRT(F1110/PI())</f>
        <v/>
      </c>
      <c r="H1110" t="n">
        <v>59.95255317377007</v>
      </c>
      <c r="I1110" t="n">
        <v>684</v>
      </c>
      <c r="J1110" t="n">
        <v>262</v>
      </c>
      <c r="K1110" t="n">
        <v>125.8114366729679</v>
      </c>
      <c r="L1110" t="n">
        <v>130.9465973534972</v>
      </c>
      <c r="M1110">
        <f>2*SQRT(K1110/PI())</f>
        <v/>
      </c>
      <c r="N1110">
        <f>2*SQRT(L1110/PI())</f>
        <v/>
      </c>
      <c r="P1110" t="inlineStr">
        <is>
          <t>是</t>
        </is>
      </c>
      <c r="Q1110" t="inlineStr">
        <is>
          <t>auto_pipeline;review_png_green</t>
        </is>
      </c>
      <c r="R1110" t="inlineStr">
        <is>
          <t>样品24</t>
        </is>
      </c>
    </row>
    <row r="1111">
      <c r="A1111" t="n">
        <v>1110</v>
      </c>
      <c r="B1111" t="inlineStr">
        <is>
          <t>24 (7).tif</t>
        </is>
      </c>
      <c r="C1111" t="inlineStr">
        <is>
          <t>24(7)-V06</t>
        </is>
      </c>
      <c r="D1111" t="n">
        <v>6</v>
      </c>
      <c r="E1111" t="inlineStr">
        <is>
          <t>primary</t>
        </is>
      </c>
      <c r="F1111" t="n">
        <v>122.5897920604915</v>
      </c>
      <c r="G1111">
        <f>2*SQRT(F1111/PI())</f>
        <v/>
      </c>
      <c r="H1111" t="n">
        <v>43.15427531366763</v>
      </c>
      <c r="I1111" t="n">
        <v>583</v>
      </c>
      <c r="J1111" t="n">
        <v>267</v>
      </c>
      <c r="K1111" t="n">
        <v>120.1379962192817</v>
      </c>
      <c r="L1111" t="n">
        <v>125.0415879017013</v>
      </c>
      <c r="M1111">
        <f>2*SQRT(K1111/PI())</f>
        <v/>
      </c>
      <c r="N1111">
        <f>2*SQRT(L1111/PI())</f>
        <v/>
      </c>
      <c r="P1111" t="inlineStr">
        <is>
          <t>是</t>
        </is>
      </c>
      <c r="Q1111" t="inlineStr">
        <is>
          <t>auto_pipeline;review_png_green</t>
        </is>
      </c>
      <c r="R1111" t="inlineStr">
        <is>
          <t>样品24</t>
        </is>
      </c>
    </row>
    <row r="1112">
      <c r="A1112" t="n">
        <v>1111</v>
      </c>
      <c r="B1112" t="inlineStr">
        <is>
          <t>24 (7).tif</t>
        </is>
      </c>
      <c r="C1112" t="inlineStr">
        <is>
          <t>24(7)-V07</t>
        </is>
      </c>
      <c r="D1112" t="n">
        <v>7</v>
      </c>
      <c r="E1112" t="inlineStr">
        <is>
          <t>primary</t>
        </is>
      </c>
      <c r="F1112" t="n">
        <v>121.6209829867675</v>
      </c>
      <c r="G1112">
        <f>2*SQRT(F1112/PI())</f>
        <v/>
      </c>
      <c r="H1112" t="n">
        <v>44.51137109943058</v>
      </c>
      <c r="I1112" t="n">
        <v>495</v>
      </c>
      <c r="J1112" t="n">
        <v>261</v>
      </c>
      <c r="K1112" t="n">
        <v>119.1885633270321</v>
      </c>
      <c r="L1112" t="n">
        <v>124.0534026465028</v>
      </c>
      <c r="M1112">
        <f>2*SQRT(K1112/PI())</f>
        <v/>
      </c>
      <c r="N1112">
        <f>2*SQRT(L1112/PI())</f>
        <v/>
      </c>
      <c r="P1112" t="inlineStr">
        <is>
          <t>是</t>
        </is>
      </c>
      <c r="Q1112" t="inlineStr">
        <is>
          <t>auto_pipeline;review_png_green</t>
        </is>
      </c>
      <c r="R1112" t="inlineStr">
        <is>
          <t>样品24</t>
        </is>
      </c>
    </row>
    <row r="1113">
      <c r="A1113" t="n">
        <v>1112</v>
      </c>
      <c r="B1113" t="inlineStr">
        <is>
          <t>24 (7).tif</t>
        </is>
      </c>
      <c r="C1113" t="inlineStr">
        <is>
          <t>24(7)-V08</t>
        </is>
      </c>
      <c r="D1113" t="n">
        <v>8</v>
      </c>
      <c r="E1113" t="inlineStr">
        <is>
          <t>primary</t>
        </is>
      </c>
      <c r="F1113" t="n">
        <v>99.71644612476371</v>
      </c>
      <c r="G1113">
        <f>2*SQRT(F1113/PI())</f>
        <v/>
      </c>
      <c r="H1113" t="n">
        <v>38.80644922671111</v>
      </c>
      <c r="I1113" t="n">
        <v>684</v>
      </c>
      <c r="J1113" t="n">
        <v>387</v>
      </c>
      <c r="K1113" t="n">
        <v>97.72211720226844</v>
      </c>
      <c r="L1113" t="n">
        <v>101.710775047259</v>
      </c>
      <c r="M1113">
        <f>2*SQRT(K1113/PI())</f>
        <v/>
      </c>
      <c r="N1113">
        <f>2*SQRT(L1113/PI())</f>
        <v/>
      </c>
      <c r="P1113" t="inlineStr">
        <is>
          <t>是</t>
        </is>
      </c>
      <c r="Q1113" t="inlineStr">
        <is>
          <t>auto_pipeline;review_png_green</t>
        </is>
      </c>
      <c r="R1113" t="inlineStr">
        <is>
          <t>样品24</t>
        </is>
      </c>
    </row>
    <row r="1114">
      <c r="A1114" t="n">
        <v>1113</v>
      </c>
      <c r="B1114" t="inlineStr">
        <is>
          <t>24 (8).tif</t>
        </is>
      </c>
      <c r="C1114" t="inlineStr">
        <is>
          <t>24(8)-V01</t>
        </is>
      </c>
      <c r="D1114" t="n">
        <v>1</v>
      </c>
      <c r="E1114" t="inlineStr">
        <is>
          <t>primary</t>
        </is>
      </c>
      <c r="F1114" t="n">
        <v>1068.927221172023</v>
      </c>
      <c r="G1114">
        <f>2*SQRT(F1114/PI())</f>
        <v/>
      </c>
      <c r="H1114" t="n">
        <v>122.739145004231</v>
      </c>
      <c r="I1114" t="n">
        <v>439</v>
      </c>
      <c r="J1114" t="n">
        <v>450</v>
      </c>
      <c r="K1114" t="n">
        <v>1047.548676748582</v>
      </c>
      <c r="L1114" t="n">
        <v>1090.305765595463</v>
      </c>
      <c r="M1114">
        <f>2*SQRT(K1114/PI())</f>
        <v/>
      </c>
      <c r="N1114">
        <f>2*SQRT(L1114/PI())</f>
        <v/>
      </c>
      <c r="O1114" t="inlineStr">
        <is>
          <t>24(8)-P01</t>
        </is>
      </c>
      <c r="P1114" t="inlineStr">
        <is>
          <t>是</t>
        </is>
      </c>
      <c r="Q1114" t="inlineStr">
        <is>
          <t>auto_pipeline;review_png_green</t>
        </is>
      </c>
      <c r="R1114" t="inlineStr">
        <is>
          <t>样品24</t>
        </is>
      </c>
    </row>
    <row r="1115">
      <c r="A1115" t="n">
        <v>1114</v>
      </c>
      <c r="B1115" t="inlineStr">
        <is>
          <t>24 (8).tif</t>
        </is>
      </c>
      <c r="C1115" t="inlineStr">
        <is>
          <t>24(8)-V02</t>
        </is>
      </c>
      <c r="D1115" t="n">
        <v>2</v>
      </c>
      <c r="E1115" t="inlineStr">
        <is>
          <t>primary</t>
        </is>
      </c>
      <c r="F1115" t="n">
        <v>688.374291115312</v>
      </c>
      <c r="G1115">
        <f>2*SQRT(F1115/PI())</f>
        <v/>
      </c>
      <c r="H1115" t="n">
        <v>99.11543918692547</v>
      </c>
      <c r="I1115" t="n">
        <v>939</v>
      </c>
      <c r="J1115" t="n">
        <v>130</v>
      </c>
      <c r="K1115" t="n">
        <v>674.6068052930057</v>
      </c>
      <c r="L1115" t="n">
        <v>702.1417769376183</v>
      </c>
      <c r="M1115">
        <f>2*SQRT(K1115/PI())</f>
        <v/>
      </c>
      <c r="N1115">
        <f>2*SQRT(L1115/PI())</f>
        <v/>
      </c>
      <c r="P1115" t="inlineStr">
        <is>
          <t>是</t>
        </is>
      </c>
      <c r="Q1115" t="inlineStr">
        <is>
          <t>auto_pipeline;review_png_green</t>
        </is>
      </c>
      <c r="R1115" t="inlineStr">
        <is>
          <t>样品24</t>
        </is>
      </c>
    </row>
    <row r="1116">
      <c r="A1116" t="n">
        <v>1115</v>
      </c>
      <c r="B1116" t="inlineStr">
        <is>
          <t>24 (8).tif</t>
        </is>
      </c>
      <c r="C1116" t="inlineStr">
        <is>
          <t>24(8)-V03</t>
        </is>
      </c>
      <c r="D1116" t="n">
        <v>3</v>
      </c>
      <c r="E1116" t="inlineStr">
        <is>
          <t>primary</t>
        </is>
      </c>
      <c r="F1116" t="n">
        <v>645.7939508506616</v>
      </c>
      <c r="G1116">
        <f>2*SQRT(F1116/PI())</f>
        <v/>
      </c>
      <c r="H1116" t="n">
        <v>95.17149671264316</v>
      </c>
      <c r="I1116" t="n">
        <v>134</v>
      </c>
      <c r="J1116" t="n">
        <v>78</v>
      </c>
      <c r="K1116" t="n">
        <v>632.8780718336484</v>
      </c>
      <c r="L1116" t="n">
        <v>658.7098298676749</v>
      </c>
      <c r="M1116">
        <f>2*SQRT(K1116/PI())</f>
        <v/>
      </c>
      <c r="N1116">
        <f>2*SQRT(L1116/PI())</f>
        <v/>
      </c>
      <c r="P1116" t="inlineStr">
        <is>
          <t>是</t>
        </is>
      </c>
      <c r="Q1116" t="inlineStr">
        <is>
          <t>auto_pipeline;review_png_green</t>
        </is>
      </c>
      <c r="R1116" t="inlineStr">
        <is>
          <t>样品24</t>
        </is>
      </c>
    </row>
    <row r="1117">
      <c r="A1117" t="n">
        <v>1116</v>
      </c>
      <c r="B1117" t="inlineStr">
        <is>
          <t>24 (8).tif</t>
        </is>
      </c>
      <c r="C1117" t="inlineStr">
        <is>
          <t>24(8)-V04</t>
        </is>
      </c>
      <c r="D1117" t="n">
        <v>4</v>
      </c>
      <c r="E1117" t="inlineStr">
        <is>
          <t>primary</t>
        </is>
      </c>
      <c r="F1117" t="n">
        <v>544.1162570888469</v>
      </c>
      <c r="G1117">
        <f>2*SQRT(F1117/PI())</f>
        <v/>
      </c>
      <c r="H1117" t="n">
        <v>89.2555830012197</v>
      </c>
      <c r="I1117" t="n">
        <v>862</v>
      </c>
      <c r="J1117" t="n">
        <v>408</v>
      </c>
      <c r="K1117" t="n">
        <v>533.2339319470699</v>
      </c>
      <c r="L1117" t="n">
        <v>554.9985822306238</v>
      </c>
      <c r="M1117">
        <f>2*SQRT(K1117/PI())</f>
        <v/>
      </c>
      <c r="N1117">
        <f>2*SQRT(L1117/PI())</f>
        <v/>
      </c>
      <c r="P1117" t="inlineStr">
        <is>
          <t>是</t>
        </is>
      </c>
      <c r="Q1117" t="inlineStr">
        <is>
          <t>auto_pipeline;review_png_green</t>
        </is>
      </c>
      <c r="R1117" t="inlineStr">
        <is>
          <t>样品24</t>
        </is>
      </c>
    </row>
    <row r="1118">
      <c r="A1118" t="n">
        <v>1117</v>
      </c>
      <c r="B1118" t="inlineStr">
        <is>
          <t>24 (8).tif</t>
        </is>
      </c>
      <c r="C1118" t="inlineStr">
        <is>
          <t>24(8)-V05</t>
        </is>
      </c>
      <c r="D1118" t="n">
        <v>5</v>
      </c>
      <c r="E1118" t="inlineStr">
        <is>
          <t>primary</t>
        </is>
      </c>
      <c r="F1118" t="n">
        <v>499.7164461247637</v>
      </c>
      <c r="G1118">
        <f>2*SQRT(F1118/PI())</f>
        <v/>
      </c>
      <c r="H1118" t="n">
        <v>83.80535089451334</v>
      </c>
      <c r="I1118" t="n">
        <v>511</v>
      </c>
      <c r="J1118" t="n">
        <v>301</v>
      </c>
      <c r="K1118" t="n">
        <v>489.7221172022684</v>
      </c>
      <c r="L1118" t="n">
        <v>509.710775047259</v>
      </c>
      <c r="M1118">
        <f>2*SQRT(K1118/PI())</f>
        <v/>
      </c>
      <c r="N1118">
        <f>2*SQRT(L1118/PI())</f>
        <v/>
      </c>
      <c r="O1118" t="inlineStr">
        <is>
          <t>24(8)-P01</t>
        </is>
      </c>
      <c r="P1118" t="inlineStr">
        <is>
          <t>是</t>
        </is>
      </c>
      <c r="Q1118" t="inlineStr">
        <is>
          <t>auto_pipeline;review_png_green</t>
        </is>
      </c>
      <c r="R1118" t="inlineStr">
        <is>
          <t>样品24</t>
        </is>
      </c>
    </row>
    <row r="1119">
      <c r="A1119" t="n">
        <v>1118</v>
      </c>
      <c r="B1119" t="inlineStr">
        <is>
          <t>24 (8).tif</t>
        </is>
      </c>
      <c r="C1119" t="inlineStr">
        <is>
          <t>24(8)-V06</t>
        </is>
      </c>
      <c r="D1119" t="n">
        <v>6</v>
      </c>
      <c r="E1119" t="inlineStr">
        <is>
          <t>primary</t>
        </is>
      </c>
      <c r="F1119" t="n">
        <v>292.1077504725898</v>
      </c>
      <c r="G1119">
        <f>2*SQRT(F1119/PI())</f>
        <v/>
      </c>
      <c r="H1119" t="n">
        <v>64.76231196652287</v>
      </c>
      <c r="I1119" t="n">
        <v>837</v>
      </c>
      <c r="J1119" t="n">
        <v>541</v>
      </c>
      <c r="K1119" t="n">
        <v>286.265595463138</v>
      </c>
      <c r="L1119" t="n">
        <v>297.9499054820416</v>
      </c>
      <c r="M1119">
        <f>2*SQRT(K1119/PI())</f>
        <v/>
      </c>
      <c r="N1119">
        <f>2*SQRT(L1119/PI())</f>
        <v/>
      </c>
      <c r="P1119" t="inlineStr">
        <is>
          <t>是</t>
        </is>
      </c>
      <c r="Q1119" t="inlineStr">
        <is>
          <t>auto_pipeline;review_png_green</t>
        </is>
      </c>
      <c r="R1119" t="inlineStr">
        <is>
          <t>样品24</t>
        </is>
      </c>
    </row>
    <row r="1120">
      <c r="A1120" t="n">
        <v>1119</v>
      </c>
      <c r="B1120" t="inlineStr">
        <is>
          <t>24 (8).tif</t>
        </is>
      </c>
      <c r="C1120" t="inlineStr">
        <is>
          <t>24(8)-V07</t>
        </is>
      </c>
      <c r="D1120" t="n">
        <v>7</v>
      </c>
      <c r="E1120" t="inlineStr">
        <is>
          <t>primary</t>
        </is>
      </c>
      <c r="F1120" t="n">
        <v>199.8818525519849</v>
      </c>
      <c r="G1120">
        <f>2*SQRT(F1120/PI())</f>
        <v/>
      </c>
      <c r="H1120" t="n">
        <v>56.64158621559972</v>
      </c>
      <c r="I1120" t="n">
        <v>124</v>
      </c>
      <c r="J1120" t="n">
        <v>390</v>
      </c>
      <c r="K1120" t="n">
        <v>195.8842155009452</v>
      </c>
      <c r="L1120" t="n">
        <v>203.8794896030246</v>
      </c>
      <c r="M1120">
        <f>2*SQRT(K1120/PI())</f>
        <v/>
      </c>
      <c r="N1120">
        <f>2*SQRT(L1120/PI())</f>
        <v/>
      </c>
      <c r="P1120" t="inlineStr">
        <is>
          <t>是</t>
        </is>
      </c>
      <c r="Q1120" t="inlineStr">
        <is>
          <t>auto_pipeline;review_png_green</t>
        </is>
      </c>
      <c r="R1120" t="inlineStr">
        <is>
          <t>样品24</t>
        </is>
      </c>
    </row>
    <row r="1121">
      <c r="A1121" t="n">
        <v>1120</v>
      </c>
      <c r="B1121" t="inlineStr">
        <is>
          <t>24 (8).tif</t>
        </is>
      </c>
      <c r="C1121" t="inlineStr">
        <is>
          <t>24(8)-V08</t>
        </is>
      </c>
      <c r="D1121" t="n">
        <v>8</v>
      </c>
      <c r="E1121" t="inlineStr">
        <is>
          <t>primary</t>
        </is>
      </c>
      <c r="F1121" t="n">
        <v>144.4470699432892</v>
      </c>
      <c r="G1121">
        <f>2*SQRT(F1121/PI())</f>
        <v/>
      </c>
      <c r="H1121" t="n">
        <v>46.61068721957829</v>
      </c>
      <c r="I1121" t="n">
        <v>58</v>
      </c>
      <c r="J1121" t="n">
        <v>332</v>
      </c>
      <c r="K1121" t="n">
        <v>141.5581285444234</v>
      </c>
      <c r="L1121" t="n">
        <v>147.336011342155</v>
      </c>
      <c r="M1121">
        <f>2*SQRT(K1121/PI())</f>
        <v/>
      </c>
      <c r="N1121">
        <f>2*SQRT(L1121/PI())</f>
        <v/>
      </c>
      <c r="P1121" t="inlineStr">
        <is>
          <t>是</t>
        </is>
      </c>
      <c r="Q1121" t="inlineStr">
        <is>
          <t>auto_pipeline;review_png_green</t>
        </is>
      </c>
      <c r="R1121" t="inlineStr">
        <is>
          <t>样品24</t>
        </is>
      </c>
    </row>
    <row r="1122">
      <c r="A1122" t="n">
        <v>1121</v>
      </c>
      <c r="B1122" t="inlineStr">
        <is>
          <t>25 (1).tif</t>
        </is>
      </c>
      <c r="C1122" t="inlineStr">
        <is>
          <t>25(1)-V01</t>
        </is>
      </c>
      <c r="D1122" t="n">
        <v>1</v>
      </c>
      <c r="E1122" t="inlineStr">
        <is>
          <t>primary</t>
        </is>
      </c>
      <c r="F1122" t="n">
        <v>423.1332703213611</v>
      </c>
      <c r="G1122">
        <f>2*SQRT(F1122/PI())</f>
        <v/>
      </c>
      <c r="H1122" t="n">
        <v>77.12536788505057</v>
      </c>
      <c r="I1122" t="n">
        <v>512</v>
      </c>
      <c r="J1122" t="n">
        <v>350</v>
      </c>
      <c r="K1122" t="n">
        <v>414.6706049149338</v>
      </c>
      <c r="L1122" t="n">
        <v>431.5959357277883</v>
      </c>
      <c r="M1122">
        <f>2*SQRT(K1122/PI())</f>
        <v/>
      </c>
      <c r="N1122">
        <f>2*SQRT(L1122/PI())</f>
        <v/>
      </c>
      <c r="O1122" t="inlineStr">
        <is>
          <t>25(1)-P01</t>
        </is>
      </c>
      <c r="P1122" t="inlineStr">
        <is>
          <t>是</t>
        </is>
      </c>
      <c r="Q1122" t="inlineStr">
        <is>
          <t>auto_pipeline;review_png_green</t>
        </is>
      </c>
      <c r="R1122" t="inlineStr">
        <is>
          <t>样品25</t>
        </is>
      </c>
    </row>
    <row r="1123">
      <c r="A1123" t="n">
        <v>1122</v>
      </c>
      <c r="B1123" t="inlineStr">
        <is>
          <t>25 (1).tif</t>
        </is>
      </c>
      <c r="C1123" t="inlineStr">
        <is>
          <t>25(1)-V02</t>
        </is>
      </c>
      <c r="D1123" t="n">
        <v>2</v>
      </c>
      <c r="E1123" t="inlineStr">
        <is>
          <t>primary</t>
        </is>
      </c>
      <c r="F1123" t="n">
        <v>416.398865784499</v>
      </c>
      <c r="G1123">
        <f>2*SQRT(F1123/PI())</f>
        <v/>
      </c>
      <c r="H1123" t="n">
        <v>76.63783731667891</v>
      </c>
      <c r="I1123" t="n">
        <v>403</v>
      </c>
      <c r="J1123" t="n">
        <v>294</v>
      </c>
      <c r="K1123" t="n">
        <v>408.0708884688091</v>
      </c>
      <c r="L1123" t="n">
        <v>424.726843100189</v>
      </c>
      <c r="M1123">
        <f>2*SQRT(K1123/PI())</f>
        <v/>
      </c>
      <c r="N1123">
        <f>2*SQRT(L1123/PI())</f>
        <v/>
      </c>
      <c r="O1123" t="inlineStr">
        <is>
          <t>25(1)-P01</t>
        </is>
      </c>
      <c r="P1123" t="inlineStr">
        <is>
          <t>是</t>
        </is>
      </c>
      <c r="Q1123" t="inlineStr">
        <is>
          <t>auto_pipeline;review_png_green</t>
        </is>
      </c>
      <c r="R1123" t="inlineStr">
        <is>
          <t>样品25</t>
        </is>
      </c>
    </row>
    <row r="1124">
      <c r="A1124" t="n">
        <v>1123</v>
      </c>
      <c r="B1124" t="inlineStr">
        <is>
          <t>25 (2).tif</t>
        </is>
      </c>
      <c r="C1124" t="inlineStr">
        <is>
          <t>25(2)-V01</t>
        </is>
      </c>
      <c r="D1124" t="n">
        <v>1</v>
      </c>
      <c r="E1124" t="inlineStr">
        <is>
          <t>primary</t>
        </is>
      </c>
      <c r="F1124" t="n">
        <v>1130.765595463138</v>
      </c>
      <c r="G1124">
        <f>2*SQRT(F1124/PI())</f>
        <v/>
      </c>
      <c r="H1124" t="n">
        <v>139.1953372437021</v>
      </c>
      <c r="I1124" t="n">
        <v>464</v>
      </c>
      <c r="J1124" t="n">
        <v>343</v>
      </c>
      <c r="K1124" t="n">
        <v>1108.150283553875</v>
      </c>
      <c r="L1124" t="n">
        <v>1153.380907372401</v>
      </c>
      <c r="M1124">
        <f>2*SQRT(K1124/PI())</f>
        <v/>
      </c>
      <c r="N1124">
        <f>2*SQRT(L1124/PI())</f>
        <v/>
      </c>
      <c r="P1124" t="inlineStr">
        <is>
          <t>是</t>
        </is>
      </c>
      <c r="Q1124" t="inlineStr">
        <is>
          <t>auto_pipeline;review_png_green</t>
        </is>
      </c>
      <c r="R1124" t="inlineStr">
        <is>
          <t>样品25</t>
        </is>
      </c>
    </row>
    <row r="1125">
      <c r="A1125" t="n">
        <v>1124</v>
      </c>
      <c r="B1125" t="inlineStr">
        <is>
          <t>25 (2).tif</t>
        </is>
      </c>
      <c r="C1125" t="inlineStr">
        <is>
          <t>25(2)-V02</t>
        </is>
      </c>
      <c r="D1125" t="n">
        <v>2</v>
      </c>
      <c r="E1125" t="inlineStr">
        <is>
          <t>primary</t>
        </is>
      </c>
      <c r="F1125" t="n">
        <v>505.765595463138</v>
      </c>
      <c r="G1125">
        <f>2*SQRT(F1125/PI())</f>
        <v/>
      </c>
      <c r="H1125" t="n">
        <v>84.52572226524353</v>
      </c>
      <c r="I1125" t="n">
        <v>539</v>
      </c>
      <c r="J1125" t="n">
        <v>112</v>
      </c>
      <c r="K1125" t="n">
        <v>495.6502835538752</v>
      </c>
      <c r="L1125" t="n">
        <v>515.8809073724008</v>
      </c>
      <c r="M1125">
        <f>2*SQRT(K1125/PI())</f>
        <v/>
      </c>
      <c r="N1125">
        <f>2*SQRT(L1125/PI())</f>
        <v/>
      </c>
      <c r="P1125" t="inlineStr">
        <is>
          <t>是</t>
        </is>
      </c>
      <c r="Q1125" t="inlineStr">
        <is>
          <t>auto_pipeline;review_png_green</t>
        </is>
      </c>
      <c r="R1125" t="inlineStr">
        <is>
          <t>样品25</t>
        </is>
      </c>
    </row>
    <row r="1126">
      <c r="A1126" t="n">
        <v>1125</v>
      </c>
      <c r="B1126" t="inlineStr">
        <is>
          <t>25 (2).tif</t>
        </is>
      </c>
      <c r="C1126" t="inlineStr">
        <is>
          <t>25(2)-V03</t>
        </is>
      </c>
      <c r="D1126" t="n">
        <v>3</v>
      </c>
      <c r="E1126" t="inlineStr">
        <is>
          <t>primary</t>
        </is>
      </c>
      <c r="F1126" t="n">
        <v>228.4971644612476</v>
      </c>
      <c r="G1126">
        <f>2*SQRT(F1126/PI())</f>
        <v/>
      </c>
      <c r="H1126" t="n">
        <v>58.20967384006666</v>
      </c>
      <c r="I1126" t="n">
        <v>889</v>
      </c>
      <c r="J1126" t="n">
        <v>491</v>
      </c>
      <c r="K1126" t="n">
        <v>223.9272211720227</v>
      </c>
      <c r="L1126" t="n">
        <v>233.0671077504726</v>
      </c>
      <c r="M1126">
        <f>2*SQRT(K1126/PI())</f>
        <v/>
      </c>
      <c r="N1126">
        <f>2*SQRT(L1126/PI())</f>
        <v/>
      </c>
      <c r="P1126" t="inlineStr">
        <is>
          <t>是</t>
        </is>
      </c>
      <c r="Q1126" t="inlineStr">
        <is>
          <t>auto_pipeline;review_png_green</t>
        </is>
      </c>
      <c r="R1126" t="inlineStr">
        <is>
          <t>样品25</t>
        </is>
      </c>
    </row>
    <row r="1127">
      <c r="A1127" t="n">
        <v>1126</v>
      </c>
      <c r="B1127" t="inlineStr">
        <is>
          <t>25 (3).tif</t>
        </is>
      </c>
      <c r="C1127" t="inlineStr">
        <is>
          <t>25(3)-V01</t>
        </is>
      </c>
      <c r="D1127" t="n">
        <v>1</v>
      </c>
      <c r="E1127" t="inlineStr">
        <is>
          <t>primary</t>
        </is>
      </c>
      <c r="F1127" t="n">
        <v>353.4026465028355</v>
      </c>
      <c r="G1127">
        <f>2*SQRT(F1127/PI())</f>
        <v/>
      </c>
      <c r="H1127" t="n">
        <v>78.43876574350439</v>
      </c>
      <c r="I1127" t="n">
        <v>65</v>
      </c>
      <c r="J1127" t="n">
        <v>567</v>
      </c>
      <c r="K1127" t="n">
        <v>346.3345935727788</v>
      </c>
      <c r="L1127" t="n">
        <v>360.4706994328922</v>
      </c>
      <c r="M1127">
        <f>2*SQRT(K1127/PI())</f>
        <v/>
      </c>
      <c r="N1127">
        <f>2*SQRT(L1127/PI())</f>
        <v/>
      </c>
      <c r="P1127" t="inlineStr">
        <is>
          <t>是</t>
        </is>
      </c>
      <c r="Q1127" t="inlineStr">
        <is>
          <t>auto_pipeline;review_png_green</t>
        </is>
      </c>
      <c r="R1127" t="inlineStr">
        <is>
          <t>样品25</t>
        </is>
      </c>
    </row>
    <row r="1128">
      <c r="A1128" t="n">
        <v>1127</v>
      </c>
      <c r="B1128" t="inlineStr">
        <is>
          <t>25 (3).tif</t>
        </is>
      </c>
      <c r="C1128" t="inlineStr">
        <is>
          <t>25(3)-V02</t>
        </is>
      </c>
      <c r="D1128" t="n">
        <v>2</v>
      </c>
      <c r="E1128" t="inlineStr">
        <is>
          <t>primary</t>
        </is>
      </c>
      <c r="F1128" t="n">
        <v>330.4347826086956</v>
      </c>
      <c r="G1128">
        <f>2*SQRT(F1128/PI())</f>
        <v/>
      </c>
      <c r="H1128" t="n">
        <v>68.8554482874663</v>
      </c>
      <c r="I1128" t="n">
        <v>445</v>
      </c>
      <c r="J1128" t="n">
        <v>393</v>
      </c>
      <c r="K1128" t="n">
        <v>323.8260869565217</v>
      </c>
      <c r="L1128" t="n">
        <v>337.0434782608696</v>
      </c>
      <c r="M1128">
        <f>2*SQRT(K1128/PI())</f>
        <v/>
      </c>
      <c r="N1128">
        <f>2*SQRT(L1128/PI())</f>
        <v/>
      </c>
      <c r="P1128" t="inlineStr">
        <is>
          <t>是</t>
        </is>
      </c>
      <c r="Q1128" t="inlineStr">
        <is>
          <t>auto_pipeline;review_png_green</t>
        </is>
      </c>
      <c r="R1128" t="inlineStr">
        <is>
          <t>样品25</t>
        </is>
      </c>
    </row>
    <row r="1129">
      <c r="A1129" t="n">
        <v>1128</v>
      </c>
      <c r="B1129" t="inlineStr">
        <is>
          <t>25 (3).tif</t>
        </is>
      </c>
      <c r="C1129" t="inlineStr">
        <is>
          <t>25(3)-V03</t>
        </is>
      </c>
      <c r="D1129" t="n">
        <v>3</v>
      </c>
      <c r="E1129" t="inlineStr">
        <is>
          <t>primary</t>
        </is>
      </c>
      <c r="F1129" t="n">
        <v>294.8015122873346</v>
      </c>
      <c r="G1129">
        <f>2*SQRT(F1129/PI())</f>
        <v/>
      </c>
      <c r="H1129" t="n">
        <v>69.42662581153537</v>
      </c>
      <c r="I1129" t="n">
        <v>969</v>
      </c>
      <c r="J1129" t="n">
        <v>255</v>
      </c>
      <c r="K1129" t="n">
        <v>288.9054820415879</v>
      </c>
      <c r="L1129" t="n">
        <v>300.6975425330813</v>
      </c>
      <c r="M1129">
        <f>2*SQRT(K1129/PI())</f>
        <v/>
      </c>
      <c r="N1129">
        <f>2*SQRT(L1129/PI())</f>
        <v/>
      </c>
      <c r="P1129" t="inlineStr">
        <is>
          <t>是</t>
        </is>
      </c>
      <c r="Q1129" t="inlineStr">
        <is>
          <t>auto_pipeline;review_png_green</t>
        </is>
      </c>
      <c r="R1129" t="inlineStr">
        <is>
          <t>样品25</t>
        </is>
      </c>
    </row>
    <row r="1130">
      <c r="A1130" t="n">
        <v>1129</v>
      </c>
      <c r="B1130" t="inlineStr">
        <is>
          <t>25 (3).tif</t>
        </is>
      </c>
      <c r="C1130" t="inlineStr">
        <is>
          <t>25(3)-V04</t>
        </is>
      </c>
      <c r="D1130" t="n">
        <v>4</v>
      </c>
      <c r="E1130" t="inlineStr">
        <is>
          <t>primary</t>
        </is>
      </c>
      <c r="F1130" t="n">
        <v>263.0671077504726</v>
      </c>
      <c r="G1130">
        <f>2*SQRT(F1130/PI())</f>
        <v/>
      </c>
      <c r="H1130" t="n">
        <v>66.22490367163782</v>
      </c>
      <c r="I1130" t="n">
        <v>661</v>
      </c>
      <c r="J1130" t="n">
        <v>308</v>
      </c>
      <c r="K1130" t="n">
        <v>257.8057655954631</v>
      </c>
      <c r="L1130" t="n">
        <v>268.328449905482</v>
      </c>
      <c r="M1130">
        <f>2*SQRT(K1130/PI())</f>
        <v/>
      </c>
      <c r="N1130">
        <f>2*SQRT(L1130/PI())</f>
        <v/>
      </c>
      <c r="P1130" t="inlineStr">
        <is>
          <t>是</t>
        </is>
      </c>
      <c r="Q1130" t="inlineStr">
        <is>
          <t>auto_pipeline;review_png_green</t>
        </is>
      </c>
      <c r="R1130" t="inlineStr">
        <is>
          <t>样品25</t>
        </is>
      </c>
    </row>
    <row r="1131">
      <c r="A1131" t="n">
        <v>1130</v>
      </c>
      <c r="B1131" t="inlineStr">
        <is>
          <t>25 (4).tif</t>
        </is>
      </c>
      <c r="C1131" t="inlineStr">
        <is>
          <t>25(4)-V01</t>
        </is>
      </c>
      <c r="D1131" t="n">
        <v>1</v>
      </c>
      <c r="E1131" t="inlineStr">
        <is>
          <t>primary</t>
        </is>
      </c>
      <c r="F1131" t="n">
        <v>567.7221172022685</v>
      </c>
      <c r="G1131">
        <f>2*SQRT(F1131/PI())</f>
        <v/>
      </c>
      <c r="H1131" t="n">
        <v>103.7360551046288</v>
      </c>
      <c r="I1131" t="n">
        <v>462</v>
      </c>
      <c r="J1131" t="n">
        <v>376</v>
      </c>
      <c r="K1131" t="n">
        <v>556.367674858223</v>
      </c>
      <c r="L1131" t="n">
        <v>579.0765595463139</v>
      </c>
      <c r="M1131">
        <f>2*SQRT(K1131/PI())</f>
        <v/>
      </c>
      <c r="N1131">
        <f>2*SQRT(L1131/PI())</f>
        <v/>
      </c>
      <c r="O1131" t="inlineStr">
        <is>
          <t>25(4)-P01</t>
        </is>
      </c>
      <c r="P1131" t="inlineStr">
        <is>
          <t>是</t>
        </is>
      </c>
      <c r="Q1131" t="inlineStr">
        <is>
          <t>auto_pipeline;review_png_green</t>
        </is>
      </c>
      <c r="R1131" t="inlineStr">
        <is>
          <t>样品25</t>
        </is>
      </c>
    </row>
    <row r="1132">
      <c r="A1132" t="n">
        <v>1131</v>
      </c>
      <c r="B1132" t="inlineStr">
        <is>
          <t>25 (4).tif</t>
        </is>
      </c>
      <c r="C1132" t="inlineStr">
        <is>
          <t>25(4)-V02</t>
        </is>
      </c>
      <c r="D1132" t="n">
        <v>2</v>
      </c>
      <c r="E1132" t="inlineStr">
        <is>
          <t>primary</t>
        </is>
      </c>
      <c r="F1132" t="n">
        <v>296.8572778827977</v>
      </c>
      <c r="G1132">
        <f>2*SQRT(F1132/PI())</f>
        <v/>
      </c>
      <c r="H1132" t="n">
        <v>67.70934434040733</v>
      </c>
      <c r="I1132" t="n">
        <v>163</v>
      </c>
      <c r="J1132" t="n">
        <v>536</v>
      </c>
      <c r="K1132" t="n">
        <v>290.9201323251418</v>
      </c>
      <c r="L1132" t="n">
        <v>302.7944234404537</v>
      </c>
      <c r="M1132">
        <f>2*SQRT(K1132/PI())</f>
        <v/>
      </c>
      <c r="N1132">
        <f>2*SQRT(L1132/PI())</f>
        <v/>
      </c>
      <c r="P1132" t="inlineStr">
        <is>
          <t>是</t>
        </is>
      </c>
      <c r="Q1132" t="inlineStr">
        <is>
          <t>auto_pipeline;review_png_green</t>
        </is>
      </c>
      <c r="R1132" t="inlineStr">
        <is>
          <t>样品25</t>
        </is>
      </c>
    </row>
    <row r="1133">
      <c r="A1133" t="n">
        <v>1132</v>
      </c>
      <c r="B1133" t="inlineStr">
        <is>
          <t>25 (4).tif</t>
        </is>
      </c>
      <c r="C1133" t="inlineStr">
        <is>
          <t>25(4)-V03</t>
        </is>
      </c>
      <c r="D1133" t="n">
        <v>3</v>
      </c>
      <c r="E1133" t="inlineStr">
        <is>
          <t>primary</t>
        </is>
      </c>
      <c r="F1133" t="n">
        <v>267.2022684310019</v>
      </c>
      <c r="G1133">
        <f>2*SQRT(F1133/PI())</f>
        <v/>
      </c>
      <c r="H1133" t="n">
        <v>61.43324494361877</v>
      </c>
      <c r="I1133" t="n">
        <v>593</v>
      </c>
      <c r="J1133" t="n">
        <v>303</v>
      </c>
      <c r="K1133" t="n">
        <v>261.8582230623819</v>
      </c>
      <c r="L1133" t="n">
        <v>272.5463137996219</v>
      </c>
      <c r="M1133">
        <f>2*SQRT(K1133/PI())</f>
        <v/>
      </c>
      <c r="N1133">
        <f>2*SQRT(L1133/PI())</f>
        <v/>
      </c>
      <c r="P1133" t="inlineStr">
        <is>
          <t>是</t>
        </is>
      </c>
      <c r="Q1133" t="inlineStr">
        <is>
          <t>auto_pipeline;review_png_green</t>
        </is>
      </c>
      <c r="R1133" t="inlineStr">
        <is>
          <t>样品25</t>
        </is>
      </c>
    </row>
    <row r="1134">
      <c r="A1134" t="n">
        <v>1133</v>
      </c>
      <c r="B1134" t="inlineStr">
        <is>
          <t>25 (4).tif</t>
        </is>
      </c>
      <c r="C1134" t="inlineStr">
        <is>
          <t>25(4)-V04</t>
        </is>
      </c>
      <c r="D1134" t="n">
        <v>4</v>
      </c>
      <c r="E1134" t="inlineStr">
        <is>
          <t>primary</t>
        </is>
      </c>
      <c r="F1134" t="n">
        <v>115.1701323251418</v>
      </c>
      <c r="G1134">
        <f>2*SQRT(F1134/PI())</f>
        <v/>
      </c>
      <c r="H1134" t="n">
        <v>40.80026942750682</v>
      </c>
      <c r="I1134" t="n">
        <v>500</v>
      </c>
      <c r="J1134" t="n">
        <v>374</v>
      </c>
      <c r="K1134" t="n">
        <v>112.8667296786389</v>
      </c>
      <c r="L1134" t="n">
        <v>117.4735349716446</v>
      </c>
      <c r="M1134">
        <f>2*SQRT(K1134/PI())</f>
        <v/>
      </c>
      <c r="N1134">
        <f>2*SQRT(L1134/PI())</f>
        <v/>
      </c>
      <c r="O1134" t="inlineStr">
        <is>
          <t>25(4)-P01</t>
        </is>
      </c>
      <c r="P1134" t="inlineStr">
        <is>
          <t>是</t>
        </is>
      </c>
      <c r="Q1134" t="inlineStr">
        <is>
          <t>auto_pipeline;review_png_green</t>
        </is>
      </c>
      <c r="R1134" t="inlineStr">
        <is>
          <t>样品25</t>
        </is>
      </c>
    </row>
    <row r="1135">
      <c r="A1135" t="n">
        <v>1134</v>
      </c>
      <c r="B1135" t="inlineStr">
        <is>
          <t>25 (5).tif</t>
        </is>
      </c>
      <c r="C1135" t="inlineStr">
        <is>
          <t>25(5)-V01</t>
        </is>
      </c>
      <c r="D1135" t="n">
        <v>1</v>
      </c>
      <c r="E1135" t="inlineStr">
        <is>
          <t>primary</t>
        </is>
      </c>
      <c r="F1135" t="n">
        <v>924.929111531191</v>
      </c>
      <c r="G1135">
        <f>2*SQRT(F1135/PI())</f>
        <v/>
      </c>
      <c r="H1135" t="n">
        <v>114.0871907576271</v>
      </c>
      <c r="I1135" t="n">
        <v>594</v>
      </c>
      <c r="J1135" t="n">
        <v>317</v>
      </c>
      <c r="K1135" t="n">
        <v>906.4305293005672</v>
      </c>
      <c r="L1135" t="n">
        <v>943.4276937618148</v>
      </c>
      <c r="M1135">
        <f>2*SQRT(K1135/PI())</f>
        <v/>
      </c>
      <c r="N1135">
        <f>2*SQRT(L1135/PI())</f>
        <v/>
      </c>
      <c r="P1135" t="inlineStr">
        <is>
          <t>是</t>
        </is>
      </c>
      <c r="Q1135" t="inlineStr">
        <is>
          <t>auto_pipeline;review_png_green</t>
        </is>
      </c>
      <c r="R1135" t="inlineStr">
        <is>
          <t>样品25</t>
        </is>
      </c>
    </row>
    <row r="1136">
      <c r="A1136" t="n">
        <v>1135</v>
      </c>
      <c r="B1136" t="inlineStr">
        <is>
          <t>25 (5).tif</t>
        </is>
      </c>
      <c r="C1136" t="inlineStr">
        <is>
          <t>25(5)-V02</t>
        </is>
      </c>
      <c r="D1136" t="n">
        <v>2</v>
      </c>
      <c r="E1136" t="inlineStr">
        <is>
          <t>primary</t>
        </is>
      </c>
      <c r="F1136" t="n">
        <v>841.5879017013233</v>
      </c>
      <c r="G1136">
        <f>2*SQRT(F1136/PI())</f>
        <v/>
      </c>
      <c r="H1136" t="n">
        <v>109.8667095536771</v>
      </c>
      <c r="I1136" t="n">
        <v>411</v>
      </c>
      <c r="J1136" t="n">
        <v>364</v>
      </c>
      <c r="K1136" t="n">
        <v>824.7561436672968</v>
      </c>
      <c r="L1136" t="n">
        <v>858.4196597353498</v>
      </c>
      <c r="M1136">
        <f>2*SQRT(K1136/PI())</f>
        <v/>
      </c>
      <c r="N1136">
        <f>2*SQRT(L1136/PI())</f>
        <v/>
      </c>
      <c r="P1136" t="inlineStr">
        <is>
          <t>是</t>
        </is>
      </c>
      <c r="Q1136" t="inlineStr">
        <is>
          <t>auto_pipeline;review_png_green</t>
        </is>
      </c>
      <c r="R1136" t="inlineStr">
        <is>
          <t>样品25</t>
        </is>
      </c>
    </row>
    <row r="1137">
      <c r="A1137" t="n">
        <v>1136</v>
      </c>
      <c r="B1137" t="inlineStr">
        <is>
          <t>25 (6).tif</t>
        </is>
      </c>
      <c r="C1137" t="inlineStr">
        <is>
          <t>25(6)-V01</t>
        </is>
      </c>
      <c r="D1137" t="n">
        <v>1</v>
      </c>
      <c r="E1137" t="inlineStr">
        <is>
          <t>primary</t>
        </is>
      </c>
      <c r="F1137" t="n">
        <v>1136.909262759924</v>
      </c>
      <c r="G1137">
        <f>2*SQRT(F1137/PI())</f>
        <v/>
      </c>
      <c r="H1137" t="n">
        <v>127.065122127533</v>
      </c>
      <c r="I1137" t="n">
        <v>755</v>
      </c>
      <c r="J1137" t="n">
        <v>214</v>
      </c>
      <c r="K1137" t="n">
        <v>1114.171077504726</v>
      </c>
      <c r="L1137" t="n">
        <v>1159.647448015123</v>
      </c>
      <c r="M1137">
        <f>2*SQRT(K1137/PI())</f>
        <v/>
      </c>
      <c r="N1137">
        <f>2*SQRT(L1137/PI())</f>
        <v/>
      </c>
      <c r="P1137" t="inlineStr">
        <is>
          <t>是</t>
        </is>
      </c>
      <c r="Q1137" t="inlineStr">
        <is>
          <t>auto_pipeline;review_png_green</t>
        </is>
      </c>
      <c r="R1137" t="inlineStr">
        <is>
          <t>样品25</t>
        </is>
      </c>
    </row>
    <row r="1138">
      <c r="A1138" t="n">
        <v>1137</v>
      </c>
      <c r="B1138" t="inlineStr">
        <is>
          <t>25 (6).tif</t>
        </is>
      </c>
      <c r="C1138" t="inlineStr">
        <is>
          <t>25(6)-V02</t>
        </is>
      </c>
      <c r="D1138" t="n">
        <v>2</v>
      </c>
      <c r="E1138" t="inlineStr">
        <is>
          <t>primary</t>
        </is>
      </c>
      <c r="F1138" t="n">
        <v>515.6899810964084</v>
      </c>
      <c r="G1138">
        <f>2*SQRT(F1138/PI())</f>
        <v/>
      </c>
      <c r="H1138" t="n">
        <v>85.03510179726973</v>
      </c>
      <c r="I1138" t="n">
        <v>504</v>
      </c>
      <c r="J1138" t="n">
        <v>313</v>
      </c>
      <c r="K1138" t="n">
        <v>505.3761814744802</v>
      </c>
      <c r="L1138" t="n">
        <v>526.0037807183365</v>
      </c>
      <c r="M1138">
        <f>2*SQRT(K1138/PI())</f>
        <v/>
      </c>
      <c r="N1138">
        <f>2*SQRT(L1138/PI())</f>
        <v/>
      </c>
      <c r="O1138" t="inlineStr">
        <is>
          <t>25(6)-P01</t>
        </is>
      </c>
      <c r="P1138" t="inlineStr">
        <is>
          <t>是</t>
        </is>
      </c>
      <c r="Q1138" t="inlineStr">
        <is>
          <t>auto_pipeline;review_png_green</t>
        </is>
      </c>
      <c r="R1138" t="inlineStr">
        <is>
          <t>样品25</t>
        </is>
      </c>
    </row>
    <row r="1139">
      <c r="A1139" t="n">
        <v>1138</v>
      </c>
      <c r="B1139" t="inlineStr">
        <is>
          <t>25 (6).tif</t>
        </is>
      </c>
      <c r="C1139" t="inlineStr">
        <is>
          <t>25(6)-V03</t>
        </is>
      </c>
      <c r="D1139" t="n">
        <v>3</v>
      </c>
      <c r="E1139" t="inlineStr">
        <is>
          <t>primary</t>
        </is>
      </c>
      <c r="F1139" t="n">
        <v>359.3572778827977</v>
      </c>
      <c r="G1139">
        <f>2*SQRT(F1139/PI())</f>
        <v/>
      </c>
      <c r="H1139" t="n">
        <v>72.7993907617486</v>
      </c>
      <c r="I1139" t="n">
        <v>493</v>
      </c>
      <c r="J1139" t="n">
        <v>449</v>
      </c>
      <c r="K1139" t="n">
        <v>352.1701323251418</v>
      </c>
      <c r="L1139" t="n">
        <v>366.5444234404537</v>
      </c>
      <c r="M1139">
        <f>2*SQRT(K1139/PI())</f>
        <v/>
      </c>
      <c r="N1139">
        <f>2*SQRT(L1139/PI())</f>
        <v/>
      </c>
      <c r="P1139" t="inlineStr">
        <is>
          <t>是</t>
        </is>
      </c>
      <c r="Q1139" t="inlineStr">
        <is>
          <t>auto_pipeline;review_png_green</t>
        </is>
      </c>
      <c r="R1139" t="inlineStr">
        <is>
          <t>样品25</t>
        </is>
      </c>
    </row>
    <row r="1140">
      <c r="A1140" t="n">
        <v>1139</v>
      </c>
      <c r="B1140" t="inlineStr">
        <is>
          <t>25 (6).tif</t>
        </is>
      </c>
      <c r="C1140" t="inlineStr">
        <is>
          <t>25(6)-V04</t>
        </is>
      </c>
      <c r="D1140" t="n">
        <v>4</v>
      </c>
      <c r="E1140" t="inlineStr">
        <is>
          <t>primary</t>
        </is>
      </c>
      <c r="F1140" t="n">
        <v>202.8355387523629</v>
      </c>
      <c r="G1140">
        <f>2*SQRT(F1140/PI())</f>
        <v/>
      </c>
      <c r="H1140" t="n">
        <v>54.37122728513634</v>
      </c>
      <c r="I1140" t="n">
        <v>518</v>
      </c>
      <c r="J1140" t="n">
        <v>338</v>
      </c>
      <c r="K1140" t="n">
        <v>198.7788279773157</v>
      </c>
      <c r="L1140" t="n">
        <v>206.8922495274102</v>
      </c>
      <c r="M1140">
        <f>2*SQRT(K1140/PI())</f>
        <v/>
      </c>
      <c r="N1140">
        <f>2*SQRT(L1140/PI())</f>
        <v/>
      </c>
      <c r="O1140" t="inlineStr">
        <is>
          <t>25(6)-P01</t>
        </is>
      </c>
      <c r="P1140" t="inlineStr">
        <is>
          <t>是</t>
        </is>
      </c>
      <c r="Q1140" t="inlineStr">
        <is>
          <t>auto_pipeline;review_png_green</t>
        </is>
      </c>
      <c r="R1140" t="inlineStr">
        <is>
          <t>样品25</t>
        </is>
      </c>
    </row>
    <row r="1141">
      <c r="A1141" t="n">
        <v>1140</v>
      </c>
      <c r="B1141" t="inlineStr">
        <is>
          <t>25 (6).tif</t>
        </is>
      </c>
      <c r="C1141" t="inlineStr">
        <is>
          <t>25(6)-V05</t>
        </is>
      </c>
      <c r="D1141" t="n">
        <v>5</v>
      </c>
      <c r="E1141" t="inlineStr">
        <is>
          <t>primary</t>
        </is>
      </c>
      <c r="F1141" t="n">
        <v>155.5293005671078</v>
      </c>
      <c r="G1141">
        <f>2*SQRT(F1141/PI())</f>
        <v/>
      </c>
      <c r="H1141" t="n">
        <v>53.35246822108393</v>
      </c>
      <c r="I1141" t="n">
        <v>149</v>
      </c>
      <c r="J1141" t="n">
        <v>401</v>
      </c>
      <c r="K1141" t="n">
        <v>152.4187145557656</v>
      </c>
      <c r="L1141" t="n">
        <v>158.6398865784499</v>
      </c>
      <c r="M1141">
        <f>2*SQRT(K1141/PI())</f>
        <v/>
      </c>
      <c r="N1141">
        <f>2*SQRT(L1141/PI())</f>
        <v/>
      </c>
      <c r="P1141" t="inlineStr">
        <is>
          <t>是</t>
        </is>
      </c>
      <c r="Q1141" t="inlineStr">
        <is>
          <t>auto_pipeline;review_png_green</t>
        </is>
      </c>
      <c r="R1141" t="inlineStr">
        <is>
          <t>样品25</t>
        </is>
      </c>
    </row>
    <row r="1142">
      <c r="A1142" t="n">
        <v>1141</v>
      </c>
      <c r="B1142" t="inlineStr">
        <is>
          <t>25 (6).tif</t>
        </is>
      </c>
      <c r="C1142" t="inlineStr">
        <is>
          <t>25(6)-V06</t>
        </is>
      </c>
      <c r="D1142" t="n">
        <v>6</v>
      </c>
      <c r="E1142" t="inlineStr">
        <is>
          <t>primary</t>
        </is>
      </c>
      <c r="F1142" t="n">
        <v>144.6597353497164</v>
      </c>
      <c r="G1142">
        <f>2*SQRT(F1142/PI())</f>
        <v/>
      </c>
      <c r="H1142" t="n">
        <v>45.97396280454553</v>
      </c>
      <c r="I1142" t="n">
        <v>148</v>
      </c>
      <c r="J1142" t="n">
        <v>581</v>
      </c>
      <c r="K1142" t="n">
        <v>141.7665406427221</v>
      </c>
      <c r="L1142" t="n">
        <v>147.5529300567108</v>
      </c>
      <c r="M1142">
        <f>2*SQRT(K1142/PI())</f>
        <v/>
      </c>
      <c r="N1142">
        <f>2*SQRT(L1142/PI())</f>
        <v/>
      </c>
      <c r="P1142" t="inlineStr">
        <is>
          <t>是</t>
        </is>
      </c>
      <c r="Q1142" t="inlineStr">
        <is>
          <t>auto_pipeline;review_png_green</t>
        </is>
      </c>
      <c r="R1142" t="inlineStr">
        <is>
          <t>样品25</t>
        </is>
      </c>
    </row>
    <row r="1143">
      <c r="A1143" t="n">
        <v>1142</v>
      </c>
      <c r="B1143" t="inlineStr">
        <is>
          <t>25 (7).tif</t>
        </is>
      </c>
      <c r="C1143" t="inlineStr">
        <is>
          <t>25(7)-V01</t>
        </is>
      </c>
      <c r="D1143" t="n">
        <v>1</v>
      </c>
      <c r="E1143" t="inlineStr">
        <is>
          <t>primary</t>
        </is>
      </c>
      <c r="F1143" t="n">
        <v>607.6086956521739</v>
      </c>
      <c r="G1143">
        <f>2*SQRT(F1143/PI())</f>
        <v/>
      </c>
      <c r="H1143" t="n">
        <v>92.45730514111726</v>
      </c>
      <c r="I1143" t="n">
        <v>466</v>
      </c>
      <c r="J1143" t="n">
        <v>415</v>
      </c>
      <c r="K1143" t="n">
        <v>595.4565217391304</v>
      </c>
      <c r="L1143" t="n">
        <v>619.7608695652174</v>
      </c>
      <c r="M1143">
        <f>2*SQRT(K1143/PI())</f>
        <v/>
      </c>
      <c r="N1143">
        <f>2*SQRT(L1143/PI())</f>
        <v/>
      </c>
      <c r="O1143" t="inlineStr">
        <is>
          <t>25(7)-P01</t>
        </is>
      </c>
      <c r="P1143" t="inlineStr">
        <is>
          <t>是</t>
        </is>
      </c>
      <c r="Q1143" t="inlineStr">
        <is>
          <t>auto_pipeline;review_png_green</t>
        </is>
      </c>
      <c r="R1143" t="inlineStr">
        <is>
          <t>样品25</t>
        </is>
      </c>
    </row>
    <row r="1144">
      <c r="A1144" t="n">
        <v>1143</v>
      </c>
      <c r="B1144" t="inlineStr">
        <is>
          <t>25 (7).tif</t>
        </is>
      </c>
      <c r="C1144" t="inlineStr">
        <is>
          <t>25(7)-V02</t>
        </is>
      </c>
      <c r="D1144" t="n">
        <v>2</v>
      </c>
      <c r="E1144" t="inlineStr">
        <is>
          <t>primary</t>
        </is>
      </c>
      <c r="F1144" t="n">
        <v>485.0425330812855</v>
      </c>
      <c r="G1144">
        <f>2*SQRT(F1144/PI())</f>
        <v/>
      </c>
      <c r="H1144" t="n">
        <v>83.57251009215479</v>
      </c>
      <c r="I1144" t="n">
        <v>582</v>
      </c>
      <c r="J1144" t="n">
        <v>325</v>
      </c>
      <c r="K1144" t="n">
        <v>475.3416824196597</v>
      </c>
      <c r="L1144" t="n">
        <v>494.7433837429112</v>
      </c>
      <c r="M1144">
        <f>2*SQRT(K1144/PI())</f>
        <v/>
      </c>
      <c r="N1144">
        <f>2*SQRT(L1144/PI())</f>
        <v/>
      </c>
      <c r="O1144" t="inlineStr">
        <is>
          <t>25(7)-P01</t>
        </is>
      </c>
      <c r="P1144" t="inlineStr">
        <is>
          <t>是</t>
        </is>
      </c>
      <c r="Q1144" t="inlineStr">
        <is>
          <t>auto_pipeline;review_png_green</t>
        </is>
      </c>
      <c r="R1144" t="inlineStr">
        <is>
          <t>样品25</t>
        </is>
      </c>
    </row>
    <row r="1145">
      <c r="A1145" t="n">
        <v>1144</v>
      </c>
      <c r="B1145" t="inlineStr">
        <is>
          <t>25 (7).tif</t>
        </is>
      </c>
      <c r="C1145" t="inlineStr">
        <is>
          <t>25(7)-V03</t>
        </is>
      </c>
      <c r="D1145" t="n">
        <v>3</v>
      </c>
      <c r="E1145" t="inlineStr">
        <is>
          <t>primary</t>
        </is>
      </c>
      <c r="F1145" t="n">
        <v>225.4253308128544</v>
      </c>
      <c r="G1145">
        <f>2*SQRT(F1145/PI())</f>
        <v/>
      </c>
      <c r="H1145" t="n">
        <v>58.31516975941865</v>
      </c>
      <c r="I1145" t="n">
        <v>487</v>
      </c>
      <c r="J1145" t="n">
        <v>438</v>
      </c>
      <c r="K1145" t="n">
        <v>220.9168241965974</v>
      </c>
      <c r="L1145" t="n">
        <v>229.9338374291115</v>
      </c>
      <c r="M1145">
        <f>2*SQRT(K1145/PI())</f>
        <v/>
      </c>
      <c r="N1145">
        <f>2*SQRT(L1145/PI())</f>
        <v/>
      </c>
      <c r="P1145" t="inlineStr">
        <is>
          <t>是</t>
        </is>
      </c>
      <c r="Q1145" t="inlineStr">
        <is>
          <t>auto_pipeline;review_png_green</t>
        </is>
      </c>
      <c r="R1145" t="inlineStr">
        <is>
          <t>样品25</t>
        </is>
      </c>
    </row>
    <row r="1146">
      <c r="A1146" t="n">
        <v>1145</v>
      </c>
      <c r="B1146" t="inlineStr">
        <is>
          <t>25 (7).tif</t>
        </is>
      </c>
      <c r="C1146" t="inlineStr">
        <is>
          <t>25(7)-V04</t>
        </is>
      </c>
      <c r="D1146" t="n">
        <v>4</v>
      </c>
      <c r="E1146" t="inlineStr">
        <is>
          <t>primary</t>
        </is>
      </c>
      <c r="F1146" t="n">
        <v>175.1417769376181</v>
      </c>
      <c r="G1146">
        <f>2*SQRT(F1146/PI())</f>
        <v/>
      </c>
      <c r="H1146" t="n">
        <v>60.47628387160923</v>
      </c>
      <c r="I1146" t="n">
        <v>953</v>
      </c>
      <c r="J1146" t="n">
        <v>408</v>
      </c>
      <c r="K1146" t="n">
        <v>171.6389413988658</v>
      </c>
      <c r="L1146" t="n">
        <v>178.6446124763705</v>
      </c>
      <c r="M1146">
        <f>2*SQRT(K1146/PI())</f>
        <v/>
      </c>
      <c r="N1146">
        <f>2*SQRT(L1146/PI())</f>
        <v/>
      </c>
      <c r="P1146" t="inlineStr">
        <is>
          <t>是</t>
        </is>
      </c>
      <c r="Q1146" t="inlineStr">
        <is>
          <t>auto_pipeline;review_png_green</t>
        </is>
      </c>
      <c r="R1146" t="inlineStr">
        <is>
          <t>样品25</t>
        </is>
      </c>
    </row>
    <row r="1147">
      <c r="A1147" t="n">
        <v>1146</v>
      </c>
      <c r="B1147" t="inlineStr">
        <is>
          <t>25 (8).tif</t>
        </is>
      </c>
      <c r="C1147" t="inlineStr">
        <is>
          <t>25(8)-V01</t>
        </is>
      </c>
      <c r="D1147" t="n">
        <v>1</v>
      </c>
      <c r="E1147" t="inlineStr">
        <is>
          <t>primary</t>
        </is>
      </c>
      <c r="F1147" t="n">
        <v>588.6105860113422</v>
      </c>
      <c r="G1147">
        <f>2*SQRT(F1147/PI())</f>
        <v/>
      </c>
      <c r="H1147" t="n">
        <v>91.22755423836085</v>
      </c>
      <c r="I1147" t="n">
        <v>589</v>
      </c>
      <c r="J1147" t="n">
        <v>368</v>
      </c>
      <c r="K1147" t="n">
        <v>576.8383742911153</v>
      </c>
      <c r="L1147" t="n">
        <v>600.3827977315691</v>
      </c>
      <c r="M1147">
        <f>2*SQRT(K1147/PI())</f>
        <v/>
      </c>
      <c r="N1147">
        <f>2*SQRT(L1147/PI())</f>
        <v/>
      </c>
      <c r="P1147" t="inlineStr">
        <is>
          <t>是</t>
        </is>
      </c>
      <c r="Q1147" t="inlineStr">
        <is>
          <t>auto_pipeline;review_png_green</t>
        </is>
      </c>
      <c r="R1147" t="inlineStr">
        <is>
          <t>样品25</t>
        </is>
      </c>
    </row>
    <row r="1148">
      <c r="A1148" t="n">
        <v>1147</v>
      </c>
      <c r="B1148" t="inlineStr">
        <is>
          <t>25 (8).tif</t>
        </is>
      </c>
      <c r="C1148" t="inlineStr">
        <is>
          <t>25(8)-V02</t>
        </is>
      </c>
      <c r="D1148" t="n">
        <v>2</v>
      </c>
      <c r="E1148" t="inlineStr">
        <is>
          <t>primary</t>
        </is>
      </c>
      <c r="F1148" t="n">
        <v>517.6748582230624</v>
      </c>
      <c r="G1148">
        <f>2*SQRT(F1148/PI())</f>
        <v/>
      </c>
      <c r="H1148" t="n">
        <v>86.51954246603924</v>
      </c>
      <c r="I1148" t="n">
        <v>448</v>
      </c>
      <c r="J1148" t="n">
        <v>400</v>
      </c>
      <c r="K1148" t="n">
        <v>507.3213610586012</v>
      </c>
      <c r="L1148" t="n">
        <v>528.0283553875237</v>
      </c>
      <c r="M1148">
        <f>2*SQRT(K1148/PI())</f>
        <v/>
      </c>
      <c r="N1148">
        <f>2*SQRT(L1148/PI())</f>
        <v/>
      </c>
      <c r="P1148" t="inlineStr">
        <is>
          <t>是</t>
        </is>
      </c>
      <c r="Q1148" t="inlineStr">
        <is>
          <t>auto_pipeline;review_png_green</t>
        </is>
      </c>
      <c r="R1148" t="inlineStr">
        <is>
          <t>样品25</t>
        </is>
      </c>
    </row>
    <row r="1149">
      <c r="A1149" t="n">
        <v>1148</v>
      </c>
      <c r="B1149" t="inlineStr">
        <is>
          <t>25 (8).tif</t>
        </is>
      </c>
      <c r="C1149" t="inlineStr">
        <is>
          <t>25(8)-V03</t>
        </is>
      </c>
      <c r="D1149" t="n">
        <v>3</v>
      </c>
      <c r="E1149" t="inlineStr">
        <is>
          <t>primary</t>
        </is>
      </c>
      <c r="F1149" t="n">
        <v>148.3695652173913</v>
      </c>
      <c r="G1149">
        <f>2*SQRT(F1149/PI())</f>
        <v/>
      </c>
      <c r="H1149" t="n">
        <v>46.97087290494338</v>
      </c>
      <c r="I1149" t="n">
        <v>225</v>
      </c>
      <c r="J1149" t="n">
        <v>235</v>
      </c>
      <c r="K1149" t="n">
        <v>145.4021739130435</v>
      </c>
      <c r="L1149" t="n">
        <v>151.3369565217392</v>
      </c>
      <c r="M1149">
        <f>2*SQRT(K1149/PI())</f>
        <v/>
      </c>
      <c r="N1149">
        <f>2*SQRT(L1149/PI())</f>
        <v/>
      </c>
      <c r="P1149" t="inlineStr">
        <is>
          <t>是</t>
        </is>
      </c>
      <c r="Q1149" t="inlineStr">
        <is>
          <t>auto_pipeline;review_png_green</t>
        </is>
      </c>
      <c r="R1149" t="inlineStr">
        <is>
          <t>样品25</t>
        </is>
      </c>
    </row>
    <row r="1150">
      <c r="A1150" t="n">
        <v>1149</v>
      </c>
      <c r="B1150" t="inlineStr">
        <is>
          <t>25 (8).tif</t>
        </is>
      </c>
      <c r="C1150" t="inlineStr">
        <is>
          <t>25(8)-V04</t>
        </is>
      </c>
      <c r="D1150" t="n">
        <v>4</v>
      </c>
      <c r="E1150" t="inlineStr">
        <is>
          <t>primary</t>
        </is>
      </c>
      <c r="F1150" t="n">
        <v>143.1947069943289</v>
      </c>
      <c r="G1150">
        <f>2*SQRT(F1150/PI())</f>
        <v/>
      </c>
      <c r="H1150" t="n">
        <v>49.85610728678496</v>
      </c>
      <c r="I1150" t="n">
        <v>224</v>
      </c>
      <c r="J1150" t="n">
        <v>302</v>
      </c>
      <c r="K1150" t="n">
        <v>140.3308128544423</v>
      </c>
      <c r="L1150" t="n">
        <v>146.0586011342155</v>
      </c>
      <c r="M1150">
        <f>2*SQRT(K1150/PI())</f>
        <v/>
      </c>
      <c r="N1150">
        <f>2*SQRT(L1150/PI())</f>
        <v/>
      </c>
      <c r="P1150" t="inlineStr">
        <is>
          <t>是</t>
        </is>
      </c>
      <c r="Q1150" t="inlineStr">
        <is>
          <t>auto_pipeline;review_png_green</t>
        </is>
      </c>
      <c r="R1150" t="inlineStr">
        <is>
          <t>样品25</t>
        </is>
      </c>
    </row>
    <row r="1151">
      <c r="A1151" t="n">
        <v>1150</v>
      </c>
      <c r="B1151" t="inlineStr">
        <is>
          <t>25 (8).tif</t>
        </is>
      </c>
      <c r="C1151" t="inlineStr">
        <is>
          <t>25(8)-V05</t>
        </is>
      </c>
      <c r="D1151" t="n">
        <v>5</v>
      </c>
      <c r="E1151" t="inlineStr">
        <is>
          <t>primary</t>
        </is>
      </c>
      <c r="F1151" t="n">
        <v>137.7362948960302</v>
      </c>
      <c r="G1151">
        <f>2*SQRT(F1151/PI())</f>
        <v/>
      </c>
      <c r="H1151" t="n">
        <v>45.38093631682189</v>
      </c>
      <c r="I1151" t="n">
        <v>337</v>
      </c>
      <c r="J1151" t="n">
        <v>490</v>
      </c>
      <c r="K1151" t="n">
        <v>134.9815689981097</v>
      </c>
      <c r="L1151" t="n">
        <v>140.4910207939508</v>
      </c>
      <c r="M1151">
        <f>2*SQRT(K1151/PI())</f>
        <v/>
      </c>
      <c r="N1151">
        <f>2*SQRT(L1151/PI())</f>
        <v/>
      </c>
      <c r="P1151" t="inlineStr">
        <is>
          <t>是</t>
        </is>
      </c>
      <c r="Q1151" t="inlineStr">
        <is>
          <t>auto_pipeline;review_png_green</t>
        </is>
      </c>
      <c r="R1151" t="inlineStr">
        <is>
          <t>样品25</t>
        </is>
      </c>
    </row>
    <row r="1152">
      <c r="A1152" t="n">
        <v>1151</v>
      </c>
      <c r="B1152" t="inlineStr">
        <is>
          <t>25 (8).tif</t>
        </is>
      </c>
      <c r="C1152" t="inlineStr">
        <is>
          <t>25(8)-V06</t>
        </is>
      </c>
      <c r="D1152" t="n">
        <v>6</v>
      </c>
      <c r="E1152" t="inlineStr">
        <is>
          <t>primary</t>
        </is>
      </c>
      <c r="F1152" t="n">
        <v>130.8364839319471</v>
      </c>
      <c r="G1152">
        <f>2*SQRT(F1152/PI())</f>
        <v/>
      </c>
      <c r="H1152" t="n">
        <v>46.61068721957829</v>
      </c>
      <c r="I1152" t="n">
        <v>757</v>
      </c>
      <c r="J1152" t="n">
        <v>188</v>
      </c>
      <c r="K1152" t="n">
        <v>128.2197542533081</v>
      </c>
      <c r="L1152" t="n">
        <v>133.453213610586</v>
      </c>
      <c r="M1152">
        <f>2*SQRT(K1152/PI())</f>
        <v/>
      </c>
      <c r="N1152">
        <f>2*SQRT(L1152/PI())</f>
        <v/>
      </c>
      <c r="P1152" t="inlineStr">
        <is>
          <t>是</t>
        </is>
      </c>
      <c r="Q1152" t="inlineStr">
        <is>
          <t>auto_pipeline;review_png_green</t>
        </is>
      </c>
      <c r="R1152" t="inlineStr">
        <is>
          <t>样品25</t>
        </is>
      </c>
    </row>
    <row r="1153">
      <c r="A1153" t="n">
        <v>1152</v>
      </c>
      <c r="B1153" t="inlineStr">
        <is>
          <t>26 (1).tif</t>
        </is>
      </c>
      <c r="C1153" t="inlineStr">
        <is>
          <t>26(1)-V01</t>
        </is>
      </c>
      <c r="D1153" t="n">
        <v>1</v>
      </c>
      <c r="E1153" t="inlineStr">
        <is>
          <t>primary</t>
        </is>
      </c>
      <c r="F1153" t="n">
        <v>952.1975425330813</v>
      </c>
      <c r="G1153">
        <f>2*SQRT(F1153/PI())</f>
        <v/>
      </c>
      <c r="H1153" t="n">
        <v>117.5217536998832</v>
      </c>
      <c r="I1153" t="n">
        <v>379</v>
      </c>
      <c r="J1153" t="n">
        <v>384</v>
      </c>
      <c r="K1153" t="n">
        <v>933.1535916824197</v>
      </c>
      <c r="L1153" t="n">
        <v>971.241493383743</v>
      </c>
      <c r="M1153">
        <f>2*SQRT(K1153/PI())</f>
        <v/>
      </c>
      <c r="N1153">
        <f>2*SQRT(L1153/PI())</f>
        <v/>
      </c>
      <c r="P1153" t="inlineStr">
        <is>
          <t>是</t>
        </is>
      </c>
      <c r="Q1153" t="inlineStr">
        <is>
          <t>auto_pipeline;review_png_green</t>
        </is>
      </c>
      <c r="R1153" t="inlineStr">
        <is>
          <t>样品26</t>
        </is>
      </c>
    </row>
    <row r="1154">
      <c r="A1154" t="n">
        <v>1153</v>
      </c>
      <c r="B1154" t="inlineStr">
        <is>
          <t>26 (1).tif</t>
        </is>
      </c>
      <c r="C1154" t="inlineStr">
        <is>
          <t>26(1)-V02</t>
        </is>
      </c>
      <c r="D1154" t="n">
        <v>2</v>
      </c>
      <c r="E1154" t="inlineStr">
        <is>
          <t>primary</t>
        </is>
      </c>
      <c r="F1154" t="n">
        <v>795.2268431001891</v>
      </c>
      <c r="G1154">
        <f>2*SQRT(F1154/PI())</f>
        <v/>
      </c>
      <c r="H1154" t="n">
        <v>105.9227670793948</v>
      </c>
      <c r="I1154" t="n">
        <v>584</v>
      </c>
      <c r="J1154" t="n">
        <v>405</v>
      </c>
      <c r="K1154" t="n">
        <v>779.3223062381852</v>
      </c>
      <c r="L1154" t="n">
        <v>811.1313799621929</v>
      </c>
      <c r="M1154">
        <f>2*SQRT(K1154/PI())</f>
        <v/>
      </c>
      <c r="N1154">
        <f>2*SQRT(L1154/PI())</f>
        <v/>
      </c>
      <c r="P1154" t="inlineStr">
        <is>
          <t>是</t>
        </is>
      </c>
      <c r="Q1154" t="inlineStr">
        <is>
          <t>auto_pipeline;review_png_green</t>
        </is>
      </c>
      <c r="R1154" t="inlineStr">
        <is>
          <t>样品26</t>
        </is>
      </c>
    </row>
    <row r="1155">
      <c r="A1155" t="n">
        <v>1154</v>
      </c>
      <c r="B1155" t="inlineStr">
        <is>
          <t>26 (1).tif</t>
        </is>
      </c>
      <c r="C1155" t="inlineStr">
        <is>
          <t>26(1)-V03</t>
        </is>
      </c>
      <c r="D1155" t="n">
        <v>3</v>
      </c>
      <c r="E1155" t="inlineStr">
        <is>
          <t>primary</t>
        </is>
      </c>
      <c r="F1155" t="n">
        <v>496.124763705104</v>
      </c>
      <c r="G1155">
        <f>2*SQRT(F1155/PI())</f>
        <v/>
      </c>
      <c r="H1155" t="n">
        <v>87.74929336879565</v>
      </c>
      <c r="I1155" t="n">
        <v>734</v>
      </c>
      <c r="J1155" t="n">
        <v>286</v>
      </c>
      <c r="K1155" t="n">
        <v>486.2022684310019</v>
      </c>
      <c r="L1155" t="n">
        <v>506.047258979206</v>
      </c>
      <c r="M1155">
        <f>2*SQRT(K1155/PI())</f>
        <v/>
      </c>
      <c r="N1155">
        <f>2*SQRT(L1155/PI())</f>
        <v/>
      </c>
      <c r="P1155" t="inlineStr">
        <is>
          <t>是</t>
        </is>
      </c>
      <c r="Q1155" t="inlineStr">
        <is>
          <t>auto_pipeline;review_png_green</t>
        </is>
      </c>
      <c r="R1155" t="inlineStr">
        <is>
          <t>样品26</t>
        </is>
      </c>
    </row>
    <row r="1156">
      <c r="A1156" t="n">
        <v>1155</v>
      </c>
      <c r="B1156" t="inlineStr">
        <is>
          <t>26 (1).tif</t>
        </is>
      </c>
      <c r="C1156" t="inlineStr">
        <is>
          <t>26(1)-V04</t>
        </is>
      </c>
      <c r="D1156" t="n">
        <v>4</v>
      </c>
      <c r="E1156" t="inlineStr">
        <is>
          <t>primary</t>
        </is>
      </c>
      <c r="F1156" t="n">
        <v>214.0595463137996</v>
      </c>
      <c r="G1156">
        <f>2*SQRT(F1156/PI())</f>
        <v/>
      </c>
      <c r="H1156" t="n">
        <v>56.13220668357351</v>
      </c>
      <c r="I1156" t="n">
        <v>71</v>
      </c>
      <c r="J1156" t="n">
        <v>146</v>
      </c>
      <c r="K1156" t="n">
        <v>209.7783553875236</v>
      </c>
      <c r="L1156" t="n">
        <v>218.3407372400756</v>
      </c>
      <c r="M1156">
        <f>2*SQRT(K1156/PI())</f>
        <v/>
      </c>
      <c r="N1156">
        <f>2*SQRT(L1156/PI())</f>
        <v/>
      </c>
      <c r="P1156" t="inlineStr">
        <is>
          <t>是</t>
        </is>
      </c>
      <c r="Q1156" t="inlineStr">
        <is>
          <t>auto_pipeline;review_png_green</t>
        </is>
      </c>
      <c r="R1156" t="inlineStr">
        <is>
          <t>样品26</t>
        </is>
      </c>
    </row>
    <row r="1157">
      <c r="A1157" t="n">
        <v>1156</v>
      </c>
      <c r="B1157" t="inlineStr">
        <is>
          <t>26 (2).tif</t>
        </is>
      </c>
      <c r="C1157" t="inlineStr">
        <is>
          <t>26(2)-V01</t>
        </is>
      </c>
      <c r="D1157" t="n">
        <v>1</v>
      </c>
      <c r="E1157" t="inlineStr">
        <is>
          <t>primary</t>
        </is>
      </c>
      <c r="F1157" t="n">
        <v>932.7268431001891</v>
      </c>
      <c r="G1157">
        <f>2*SQRT(F1157/PI())</f>
        <v/>
      </c>
      <c r="H1157" t="n">
        <v>116.1865068777748</v>
      </c>
      <c r="I1157" t="n">
        <v>417</v>
      </c>
      <c r="J1157" t="n">
        <v>436</v>
      </c>
      <c r="K1157" t="n">
        <v>914.0723062381852</v>
      </c>
      <c r="L1157" t="n">
        <v>951.3813799621929</v>
      </c>
      <c r="M1157">
        <f>2*SQRT(K1157/PI())</f>
        <v/>
      </c>
      <c r="N1157">
        <f>2*SQRT(L1157/PI())</f>
        <v/>
      </c>
      <c r="P1157" t="inlineStr">
        <is>
          <t>是</t>
        </is>
      </c>
      <c r="Q1157" t="inlineStr">
        <is>
          <t>auto_pipeline;review_png_green</t>
        </is>
      </c>
      <c r="R1157" t="inlineStr">
        <is>
          <t>样品26</t>
        </is>
      </c>
    </row>
    <row r="1158">
      <c r="A1158" t="n">
        <v>1157</v>
      </c>
      <c r="B1158" t="inlineStr">
        <is>
          <t>26 (2).tif</t>
        </is>
      </c>
      <c r="C1158" t="inlineStr">
        <is>
          <t>26(2)-V02</t>
        </is>
      </c>
      <c r="D1158" t="n">
        <v>2</v>
      </c>
      <c r="E1158" t="inlineStr">
        <is>
          <t>primary</t>
        </is>
      </c>
      <c r="F1158" t="n">
        <v>634.3100189035916</v>
      </c>
      <c r="G1158">
        <f>2*SQRT(F1158/PI())</f>
        <v/>
      </c>
      <c r="H1158" t="n">
        <v>95.53168239800826</v>
      </c>
      <c r="I1158" t="n">
        <v>942</v>
      </c>
      <c r="J1158" t="n">
        <v>480</v>
      </c>
      <c r="K1158" t="n">
        <v>621.6238185255198</v>
      </c>
      <c r="L1158" t="n">
        <v>646.9962192816635</v>
      </c>
      <c r="M1158">
        <f>2*SQRT(K1158/PI())</f>
        <v/>
      </c>
      <c r="N1158">
        <f>2*SQRT(L1158/PI())</f>
        <v/>
      </c>
      <c r="O1158" t="inlineStr">
        <is>
          <t>26(2)-P01</t>
        </is>
      </c>
      <c r="P1158" t="inlineStr">
        <is>
          <t>是</t>
        </is>
      </c>
      <c r="Q1158" t="inlineStr">
        <is>
          <t>auto_pipeline;review_png_green</t>
        </is>
      </c>
      <c r="R1158" t="inlineStr">
        <is>
          <t>样品26</t>
        </is>
      </c>
    </row>
    <row r="1159">
      <c r="A1159" t="n">
        <v>1158</v>
      </c>
      <c r="B1159" t="inlineStr">
        <is>
          <t>26 (2).tif</t>
        </is>
      </c>
      <c r="C1159" t="inlineStr">
        <is>
          <t>26(2)-V03</t>
        </is>
      </c>
      <c r="D1159" t="n">
        <v>3</v>
      </c>
      <c r="E1159" t="inlineStr">
        <is>
          <t>primary</t>
        </is>
      </c>
      <c r="F1159" t="n">
        <v>623.9839319470699</v>
      </c>
      <c r="G1159">
        <f>2*SQRT(F1159/PI())</f>
        <v/>
      </c>
      <c r="H1159" t="n">
        <v>94.06909069289331</v>
      </c>
      <c r="I1159" t="n">
        <v>180</v>
      </c>
      <c r="J1159" t="n">
        <v>161</v>
      </c>
      <c r="K1159" t="n">
        <v>611.5042533081285</v>
      </c>
      <c r="L1159" t="n">
        <v>636.4636105860113</v>
      </c>
      <c r="M1159">
        <f>2*SQRT(K1159/PI())</f>
        <v/>
      </c>
      <c r="N1159">
        <f>2*SQRT(L1159/PI())</f>
        <v/>
      </c>
      <c r="P1159" t="inlineStr">
        <is>
          <t>是</t>
        </is>
      </c>
      <c r="Q1159" t="inlineStr">
        <is>
          <t>auto_pipeline;review_png_green</t>
        </is>
      </c>
      <c r="R1159" t="inlineStr">
        <is>
          <t>样品26</t>
        </is>
      </c>
    </row>
    <row r="1160">
      <c r="A1160" t="n">
        <v>1159</v>
      </c>
      <c r="B1160" t="inlineStr">
        <is>
          <t>26 (2).tif</t>
        </is>
      </c>
      <c r="C1160" t="inlineStr">
        <is>
          <t>26(2)-V04</t>
        </is>
      </c>
      <c r="D1160" t="n">
        <v>4</v>
      </c>
      <c r="E1160" t="inlineStr">
        <is>
          <t>primary</t>
        </is>
      </c>
      <c r="F1160" t="n">
        <v>312.0746691871456</v>
      </c>
      <c r="G1160">
        <f>2*SQRT(F1160/PI())</f>
        <v/>
      </c>
      <c r="H1160" t="n">
        <v>67.24366273569024</v>
      </c>
      <c r="I1160" t="n">
        <v>813</v>
      </c>
      <c r="J1160" t="n">
        <v>434</v>
      </c>
      <c r="K1160" t="n">
        <v>305.8331758034026</v>
      </c>
      <c r="L1160" t="n">
        <v>318.3161625708885</v>
      </c>
      <c r="M1160">
        <f>2*SQRT(K1160/PI())</f>
        <v/>
      </c>
      <c r="N1160">
        <f>2*SQRT(L1160/PI())</f>
        <v/>
      </c>
      <c r="O1160" t="inlineStr">
        <is>
          <t>26(2)-P01</t>
        </is>
      </c>
      <c r="P1160" t="inlineStr">
        <is>
          <t>是</t>
        </is>
      </c>
      <c r="Q1160" t="inlineStr">
        <is>
          <t>auto_pipeline;review_png_green</t>
        </is>
      </c>
      <c r="R1160" t="inlineStr">
        <is>
          <t>样品26</t>
        </is>
      </c>
    </row>
    <row r="1161">
      <c r="A1161" t="n">
        <v>1160</v>
      </c>
      <c r="B1161" t="inlineStr">
        <is>
          <t>26 (2).tif</t>
        </is>
      </c>
      <c r="C1161" t="inlineStr">
        <is>
          <t>26(2)-V05</t>
        </is>
      </c>
      <c r="D1161" t="n">
        <v>5</v>
      </c>
      <c r="E1161" t="inlineStr">
        <is>
          <t>primary</t>
        </is>
      </c>
      <c r="F1161" t="n">
        <v>118.5255198487713</v>
      </c>
      <c r="G1161">
        <f>2*SQRT(F1161/PI())</f>
        <v/>
      </c>
      <c r="H1161" t="n">
        <v>52.7993907617486</v>
      </c>
      <c r="I1161" t="n">
        <v>318</v>
      </c>
      <c r="J1161" t="n">
        <v>151</v>
      </c>
      <c r="K1161" t="n">
        <v>116.1550094517958</v>
      </c>
      <c r="L1161" t="n">
        <v>120.8960302457467</v>
      </c>
      <c r="M1161">
        <f>2*SQRT(K1161/PI())</f>
        <v/>
      </c>
      <c r="N1161">
        <f>2*SQRT(L1161/PI())</f>
        <v/>
      </c>
      <c r="P1161" t="inlineStr">
        <is>
          <t>是</t>
        </is>
      </c>
      <c r="Q1161" t="inlineStr">
        <is>
          <t>auto_pipeline;review_png_green</t>
        </is>
      </c>
      <c r="R1161" t="inlineStr">
        <is>
          <t>样品26</t>
        </is>
      </c>
    </row>
    <row r="1162">
      <c r="A1162" t="n">
        <v>1161</v>
      </c>
      <c r="B1162" t="inlineStr">
        <is>
          <t>26 (3).tif</t>
        </is>
      </c>
      <c r="C1162" t="inlineStr">
        <is>
          <t>26(3)-V01</t>
        </is>
      </c>
      <c r="D1162" t="n">
        <v>1</v>
      </c>
      <c r="E1162" t="inlineStr">
        <is>
          <t>primary</t>
        </is>
      </c>
      <c r="F1162" t="n">
        <v>1105.671077504726</v>
      </c>
      <c r="G1162">
        <f>2*SQRT(F1162/PI())</f>
        <v/>
      </c>
      <c r="H1162" t="n">
        <v>125.9408671441285</v>
      </c>
      <c r="I1162" t="n">
        <v>850</v>
      </c>
      <c r="J1162" t="n">
        <v>324</v>
      </c>
      <c r="K1162" t="n">
        <v>1083.557655954631</v>
      </c>
      <c r="L1162" t="n">
        <v>1127.78449905482</v>
      </c>
      <c r="M1162">
        <f>2*SQRT(K1162/PI())</f>
        <v/>
      </c>
      <c r="N1162">
        <f>2*SQRT(L1162/PI())</f>
        <v/>
      </c>
      <c r="P1162" t="inlineStr">
        <is>
          <t>是</t>
        </is>
      </c>
      <c r="Q1162" t="inlineStr">
        <is>
          <t>auto_pipeline;review_png_green</t>
        </is>
      </c>
      <c r="R1162" t="inlineStr">
        <is>
          <t>样品26</t>
        </is>
      </c>
    </row>
    <row r="1163">
      <c r="A1163" t="n">
        <v>1162</v>
      </c>
      <c r="B1163" t="inlineStr">
        <is>
          <t>26 (3).tif</t>
        </is>
      </c>
      <c r="C1163" t="inlineStr">
        <is>
          <t>26(3)-V02</t>
        </is>
      </c>
      <c r="D1163" t="n">
        <v>2</v>
      </c>
      <c r="E1163" t="inlineStr">
        <is>
          <t>primary</t>
        </is>
      </c>
      <c r="F1163" t="n">
        <v>957.5141776937618</v>
      </c>
      <c r="G1163">
        <f>2*SQRT(F1163/PI())</f>
        <v/>
      </c>
      <c r="H1163" t="n">
        <v>116.3138517607813</v>
      </c>
      <c r="I1163" t="n">
        <v>571</v>
      </c>
      <c r="J1163" t="n">
        <v>94</v>
      </c>
      <c r="K1163" t="n">
        <v>938.3638941398865</v>
      </c>
      <c r="L1163" t="n">
        <v>976.6644612476371</v>
      </c>
      <c r="M1163">
        <f>2*SQRT(K1163/PI())</f>
        <v/>
      </c>
      <c r="N1163">
        <f>2*SQRT(L1163/PI())</f>
        <v/>
      </c>
      <c r="P1163" t="inlineStr">
        <is>
          <t>是</t>
        </is>
      </c>
      <c r="Q1163" t="inlineStr">
        <is>
          <t>auto_pipeline;review_png_green</t>
        </is>
      </c>
      <c r="R1163" t="inlineStr">
        <is>
          <t>样品26</t>
        </is>
      </c>
    </row>
    <row r="1164">
      <c r="A1164" t="n">
        <v>1163</v>
      </c>
      <c r="B1164" t="inlineStr">
        <is>
          <t>26 (3).tif</t>
        </is>
      </c>
      <c r="C1164" t="inlineStr">
        <is>
          <t>26(3)-V03</t>
        </is>
      </c>
      <c r="D1164" t="n">
        <v>3</v>
      </c>
      <c r="E1164" t="inlineStr">
        <is>
          <t>primary</t>
        </is>
      </c>
      <c r="F1164" t="n">
        <v>701.4650283553875</v>
      </c>
      <c r="G1164">
        <f>2*SQRT(F1164/PI())</f>
        <v/>
      </c>
      <c r="H1164" t="n">
        <v>99.62481871895167</v>
      </c>
      <c r="I1164" t="n">
        <v>884</v>
      </c>
      <c r="J1164" t="n">
        <v>583</v>
      </c>
      <c r="K1164" t="n">
        <v>687.4357277882798</v>
      </c>
      <c r="L1164" t="n">
        <v>715.4943289224952</v>
      </c>
      <c r="M1164">
        <f>2*SQRT(K1164/PI())</f>
        <v/>
      </c>
      <c r="N1164">
        <f>2*SQRT(L1164/PI())</f>
        <v/>
      </c>
      <c r="P1164" t="inlineStr">
        <is>
          <t>是</t>
        </is>
      </c>
      <c r="Q1164" t="inlineStr">
        <is>
          <t>auto_pipeline;review_png_green</t>
        </is>
      </c>
      <c r="R1164" t="inlineStr">
        <is>
          <t>样品26</t>
        </is>
      </c>
    </row>
    <row r="1165">
      <c r="A1165" t="n">
        <v>1164</v>
      </c>
      <c r="B1165" t="inlineStr">
        <is>
          <t>26 (3).tif</t>
        </is>
      </c>
      <c r="C1165" t="inlineStr">
        <is>
          <t>26(3)-V04</t>
        </is>
      </c>
      <c r="D1165" t="n">
        <v>4</v>
      </c>
      <c r="E1165" t="inlineStr">
        <is>
          <t>primary</t>
        </is>
      </c>
      <c r="F1165" t="n">
        <v>614.0831758034027</v>
      </c>
      <c r="G1165">
        <f>2*SQRT(F1165/PI())</f>
        <v/>
      </c>
      <c r="H1165" t="n">
        <v>93.07218059249546</v>
      </c>
      <c r="I1165" t="n">
        <v>455</v>
      </c>
      <c r="J1165" t="n">
        <v>427</v>
      </c>
      <c r="K1165" t="n">
        <v>601.8015122873346</v>
      </c>
      <c r="L1165" t="n">
        <v>626.3648393194708</v>
      </c>
      <c r="M1165">
        <f>2*SQRT(K1165/PI())</f>
        <v/>
      </c>
      <c r="N1165">
        <f>2*SQRT(L1165/PI())</f>
        <v/>
      </c>
      <c r="P1165" t="inlineStr">
        <is>
          <t>是</t>
        </is>
      </c>
      <c r="Q1165" t="inlineStr">
        <is>
          <t>auto_pipeline;review_png_green</t>
        </is>
      </c>
      <c r="R1165" t="inlineStr">
        <is>
          <t>样品26</t>
        </is>
      </c>
    </row>
    <row r="1166">
      <c r="A1166" t="n">
        <v>1165</v>
      </c>
      <c r="B1166" t="inlineStr">
        <is>
          <t>26 (3).tif</t>
        </is>
      </c>
      <c r="C1166" t="inlineStr">
        <is>
          <t>26(3)-V05</t>
        </is>
      </c>
      <c r="D1166" t="n">
        <v>5</v>
      </c>
      <c r="E1166" t="inlineStr">
        <is>
          <t>primary</t>
        </is>
      </c>
      <c r="F1166" t="n">
        <v>118.5255198487713</v>
      </c>
      <c r="G1166">
        <f>2*SQRT(F1166/PI())</f>
        <v/>
      </c>
      <c r="H1166" t="n">
        <v>52.7993907617486</v>
      </c>
      <c r="I1166" t="n">
        <v>594</v>
      </c>
      <c r="J1166" t="n">
        <v>418</v>
      </c>
      <c r="K1166" t="n">
        <v>116.1550094517958</v>
      </c>
      <c r="L1166" t="n">
        <v>120.8960302457467</v>
      </c>
      <c r="M1166">
        <f>2*SQRT(K1166/PI())</f>
        <v/>
      </c>
      <c r="N1166">
        <f>2*SQRT(L1166/PI())</f>
        <v/>
      </c>
      <c r="P1166" t="inlineStr">
        <is>
          <t>是</t>
        </is>
      </c>
      <c r="Q1166" t="inlineStr">
        <is>
          <t>auto_pipeline;review_png_green</t>
        </is>
      </c>
      <c r="R1166" t="inlineStr">
        <is>
          <t>样品26</t>
        </is>
      </c>
    </row>
    <row r="1167">
      <c r="A1167" t="n">
        <v>1166</v>
      </c>
      <c r="B1167" t="inlineStr">
        <is>
          <t>26 (3).tif</t>
        </is>
      </c>
      <c r="C1167" t="inlineStr">
        <is>
          <t>26(3)-V06</t>
        </is>
      </c>
      <c r="D1167" t="n">
        <v>6</v>
      </c>
      <c r="E1167" t="inlineStr">
        <is>
          <t>primary</t>
        </is>
      </c>
      <c r="F1167" t="n">
        <v>107.8686200378072</v>
      </c>
      <c r="G1167">
        <f>2*SQRT(F1167/PI())</f>
        <v/>
      </c>
      <c r="H1167" t="n">
        <v>40.05804909312207</v>
      </c>
      <c r="I1167" t="n">
        <v>330</v>
      </c>
      <c r="J1167" t="n">
        <v>482</v>
      </c>
      <c r="K1167" t="n">
        <v>105.711247637051</v>
      </c>
      <c r="L1167" t="n">
        <v>110.0259924385633</v>
      </c>
      <c r="M1167">
        <f>2*SQRT(K1167/PI())</f>
        <v/>
      </c>
      <c r="N1167">
        <f>2*SQRT(L1167/PI())</f>
        <v/>
      </c>
      <c r="P1167" t="inlineStr">
        <is>
          <t>是</t>
        </is>
      </c>
      <c r="Q1167" t="inlineStr">
        <is>
          <t>auto_pipeline;review_png_green</t>
        </is>
      </c>
      <c r="R1167" t="inlineStr">
        <is>
          <t>样品26</t>
        </is>
      </c>
    </row>
    <row r="1168">
      <c r="A1168" t="n">
        <v>1167</v>
      </c>
      <c r="B1168" t="inlineStr">
        <is>
          <t>26 (4).tif</t>
        </is>
      </c>
      <c r="C1168" t="inlineStr">
        <is>
          <t>26(4)-V01</t>
        </is>
      </c>
      <c r="D1168" t="n">
        <v>1</v>
      </c>
      <c r="E1168" t="inlineStr">
        <is>
          <t>primary</t>
        </is>
      </c>
      <c r="F1168" t="n">
        <v>1349.078449905482</v>
      </c>
      <c r="G1168">
        <f>2*SQRT(F1168/PI())</f>
        <v/>
      </c>
      <c r="H1168" t="n">
        <v>138.3039230626562</v>
      </c>
      <c r="I1168" t="n">
        <v>374</v>
      </c>
      <c r="J1168" t="n">
        <v>666</v>
      </c>
      <c r="K1168" t="n">
        <v>1322.096880907372</v>
      </c>
      <c r="L1168" t="n">
        <v>1376.060018903592</v>
      </c>
      <c r="M1168">
        <f>2*SQRT(K1168/PI())</f>
        <v/>
      </c>
      <c r="N1168">
        <f>2*SQRT(L1168/PI())</f>
        <v/>
      </c>
      <c r="O1168" t="inlineStr">
        <is>
          <t>26(4)-P01</t>
        </is>
      </c>
      <c r="P1168" t="inlineStr">
        <is>
          <t>是</t>
        </is>
      </c>
      <c r="Q1168" t="inlineStr">
        <is>
          <t>auto_pipeline;review_png_green</t>
        </is>
      </c>
      <c r="R1168" t="inlineStr">
        <is>
          <t>样品26</t>
        </is>
      </c>
    </row>
    <row r="1169">
      <c r="A1169" t="n">
        <v>1168</v>
      </c>
      <c r="B1169" t="inlineStr">
        <is>
          <t>26 (4).tif</t>
        </is>
      </c>
      <c r="C1169" t="inlineStr">
        <is>
          <t>26(4)-V02</t>
        </is>
      </c>
      <c r="D1169" t="n">
        <v>2</v>
      </c>
      <c r="E1169" t="inlineStr">
        <is>
          <t>primary</t>
        </is>
      </c>
      <c r="F1169" t="n">
        <v>763.2797731568999</v>
      </c>
      <c r="G1169">
        <f>2*SQRT(F1169/PI())</f>
        <v/>
      </c>
      <c r="H1169" t="n">
        <v>103.568761193234</v>
      </c>
      <c r="I1169" t="n">
        <v>613</v>
      </c>
      <c r="J1169" t="n">
        <v>326</v>
      </c>
      <c r="K1169" t="n">
        <v>748.0141776937619</v>
      </c>
      <c r="L1169" t="n">
        <v>778.5453686200378</v>
      </c>
      <c r="M1169">
        <f>2*SQRT(K1169/PI())</f>
        <v/>
      </c>
      <c r="N1169">
        <f>2*SQRT(L1169/PI())</f>
        <v/>
      </c>
      <c r="P1169" t="inlineStr">
        <is>
          <t>是</t>
        </is>
      </c>
      <c r="Q1169" t="inlineStr">
        <is>
          <t>auto_pipeline;review_png_green</t>
        </is>
      </c>
      <c r="R1169" t="inlineStr">
        <is>
          <t>样品26</t>
        </is>
      </c>
    </row>
    <row r="1170">
      <c r="A1170" t="n">
        <v>1169</v>
      </c>
      <c r="B1170" t="inlineStr">
        <is>
          <t>26 (4).tif</t>
        </is>
      </c>
      <c r="C1170" t="inlineStr">
        <is>
          <t>26(4)-V03</t>
        </is>
      </c>
      <c r="D1170" t="n">
        <v>3</v>
      </c>
      <c r="E1170" t="inlineStr">
        <is>
          <t>primary</t>
        </is>
      </c>
      <c r="F1170" t="n">
        <v>537.0510396975426</v>
      </c>
      <c r="G1170">
        <f>2*SQRT(F1170/PI())</f>
        <v/>
      </c>
      <c r="H1170" t="n">
        <v>88.51336266683495</v>
      </c>
      <c r="I1170" t="n">
        <v>219</v>
      </c>
      <c r="J1170" t="n">
        <v>154</v>
      </c>
      <c r="K1170" t="n">
        <v>526.3100189035918</v>
      </c>
      <c r="L1170" t="n">
        <v>547.7920604914934</v>
      </c>
      <c r="M1170">
        <f>2*SQRT(K1170/PI())</f>
        <v/>
      </c>
      <c r="N1170">
        <f>2*SQRT(L1170/PI())</f>
        <v/>
      </c>
      <c r="P1170" t="inlineStr">
        <is>
          <t>是</t>
        </is>
      </c>
      <c r="Q1170" t="inlineStr">
        <is>
          <t>auto_pipeline;review_png_green</t>
        </is>
      </c>
      <c r="R1170" t="inlineStr">
        <is>
          <t>样品26</t>
        </is>
      </c>
    </row>
    <row r="1171">
      <c r="A1171" t="n">
        <v>1170</v>
      </c>
      <c r="B1171" t="inlineStr">
        <is>
          <t>26 (4).tif</t>
        </is>
      </c>
      <c r="C1171" t="inlineStr">
        <is>
          <t>26(4)-V04</t>
        </is>
      </c>
      <c r="D1171" t="n">
        <v>4</v>
      </c>
      <c r="E1171" t="inlineStr">
        <is>
          <t>primary</t>
        </is>
      </c>
      <c r="F1171" t="n">
        <v>524.7400756143668</v>
      </c>
      <c r="G1171">
        <f>2*SQRT(F1171/PI())</f>
        <v/>
      </c>
      <c r="H1171" t="n">
        <v>86.03201189766759</v>
      </c>
      <c r="I1171" t="n">
        <v>331</v>
      </c>
      <c r="J1171" t="n">
        <v>486</v>
      </c>
      <c r="K1171" t="n">
        <v>514.2452741020794</v>
      </c>
      <c r="L1171" t="n">
        <v>535.2348771266542</v>
      </c>
      <c r="M1171">
        <f>2*SQRT(K1171/PI())</f>
        <v/>
      </c>
      <c r="N1171">
        <f>2*SQRT(L1171/PI())</f>
        <v/>
      </c>
      <c r="P1171" t="inlineStr">
        <is>
          <t>是</t>
        </is>
      </c>
      <c r="Q1171" t="inlineStr">
        <is>
          <t>auto_pipeline;review_png_green</t>
        </is>
      </c>
      <c r="R1171" t="inlineStr">
        <is>
          <t>样品26</t>
        </is>
      </c>
    </row>
    <row r="1172">
      <c r="A1172" t="n">
        <v>1171</v>
      </c>
      <c r="B1172" t="inlineStr">
        <is>
          <t>26 (4).tif</t>
        </is>
      </c>
      <c r="C1172" t="inlineStr">
        <is>
          <t>26(4)-V05</t>
        </is>
      </c>
      <c r="D1172" t="n">
        <v>5</v>
      </c>
      <c r="E1172" t="inlineStr">
        <is>
          <t>primary</t>
        </is>
      </c>
      <c r="F1172" t="n">
        <v>491.8241965973535</v>
      </c>
      <c r="G1172">
        <f>2*SQRT(F1172/PI())</f>
        <v/>
      </c>
      <c r="H1172" t="n">
        <v>86.26485270002614</v>
      </c>
      <c r="I1172" t="n">
        <v>610</v>
      </c>
      <c r="J1172" t="n">
        <v>74</v>
      </c>
      <c r="K1172" t="n">
        <v>481.9877126654064</v>
      </c>
      <c r="L1172" t="n">
        <v>501.6606805293006</v>
      </c>
      <c r="M1172">
        <f>2*SQRT(K1172/PI())</f>
        <v/>
      </c>
      <c r="N1172">
        <f>2*SQRT(L1172/PI())</f>
        <v/>
      </c>
      <c r="P1172" t="inlineStr">
        <is>
          <t>是</t>
        </is>
      </c>
      <c r="Q1172" t="inlineStr">
        <is>
          <t>auto_pipeline;review_png_green</t>
        </is>
      </c>
      <c r="R1172" t="inlineStr">
        <is>
          <t>样品26</t>
        </is>
      </c>
    </row>
    <row r="1173">
      <c r="A1173" t="n">
        <v>1172</v>
      </c>
      <c r="B1173" t="inlineStr">
        <is>
          <t>26 (4).tif</t>
        </is>
      </c>
      <c r="C1173" t="inlineStr">
        <is>
          <t>26(4)-V06</t>
        </is>
      </c>
      <c r="D1173" t="n">
        <v>6</v>
      </c>
      <c r="E1173" t="inlineStr">
        <is>
          <t>primary</t>
        </is>
      </c>
      <c r="F1173" t="n">
        <v>246.124763705104</v>
      </c>
      <c r="G1173">
        <f>2*SQRT(F1173/PI())</f>
        <v/>
      </c>
      <c r="H1173" t="n">
        <v>59.33392882347107</v>
      </c>
      <c r="I1173" t="n">
        <v>342</v>
      </c>
      <c r="J1173" t="n">
        <v>621</v>
      </c>
      <c r="K1173" t="n">
        <v>241.2022684310019</v>
      </c>
      <c r="L1173" t="n">
        <v>251.047258979206</v>
      </c>
      <c r="M1173">
        <f>2*SQRT(K1173/PI())</f>
        <v/>
      </c>
      <c r="N1173">
        <f>2*SQRT(L1173/PI())</f>
        <v/>
      </c>
      <c r="O1173" t="inlineStr">
        <is>
          <t>26(4)-P01</t>
        </is>
      </c>
      <c r="P1173" t="inlineStr">
        <is>
          <t>是</t>
        </is>
      </c>
      <c r="Q1173" t="inlineStr">
        <is>
          <t>auto_pipeline;review_png_green</t>
        </is>
      </c>
      <c r="R1173" t="inlineStr">
        <is>
          <t>样品26</t>
        </is>
      </c>
    </row>
    <row r="1174">
      <c r="A1174" t="n">
        <v>1173</v>
      </c>
      <c r="B1174" t="inlineStr">
        <is>
          <t>26 (4).tif</t>
        </is>
      </c>
      <c r="C1174" t="inlineStr">
        <is>
          <t>26(4)-V07</t>
        </is>
      </c>
      <c r="D1174" t="n">
        <v>7</v>
      </c>
      <c r="E1174" t="inlineStr">
        <is>
          <t>primary</t>
        </is>
      </c>
      <c r="F1174" t="n">
        <v>216.8005671077505</v>
      </c>
      <c r="G1174">
        <f>2*SQRT(F1174/PI())</f>
        <v/>
      </c>
      <c r="H1174" t="n">
        <v>60.11984708516494</v>
      </c>
      <c r="I1174" t="n">
        <v>315</v>
      </c>
      <c r="J1174" t="n">
        <v>131</v>
      </c>
      <c r="K1174" t="n">
        <v>212.4645557655955</v>
      </c>
      <c r="L1174" t="n">
        <v>221.1365784499055</v>
      </c>
      <c r="M1174">
        <f>2*SQRT(K1174/PI())</f>
        <v/>
      </c>
      <c r="N1174">
        <f>2*SQRT(L1174/PI())</f>
        <v/>
      </c>
      <c r="P1174" t="inlineStr">
        <is>
          <t>是</t>
        </is>
      </c>
      <c r="Q1174" t="inlineStr">
        <is>
          <t>auto_pipeline;review_png_green</t>
        </is>
      </c>
      <c r="R1174" t="inlineStr">
        <is>
          <t>样品26</t>
        </is>
      </c>
    </row>
    <row r="1175">
      <c r="A1175" t="n">
        <v>1174</v>
      </c>
      <c r="B1175" t="inlineStr">
        <is>
          <t>26 (4).tif</t>
        </is>
      </c>
      <c r="C1175" t="inlineStr">
        <is>
          <t>26(4)-V08</t>
        </is>
      </c>
      <c r="D1175" t="n">
        <v>8</v>
      </c>
      <c r="E1175" t="inlineStr">
        <is>
          <t>primary</t>
        </is>
      </c>
      <c r="F1175" t="n">
        <v>202.6465028355387</v>
      </c>
      <c r="G1175">
        <f>2*SQRT(F1175/PI())</f>
        <v/>
      </c>
      <c r="H1175" t="n">
        <v>53.65085591440615</v>
      </c>
      <c r="I1175" t="n">
        <v>289</v>
      </c>
      <c r="J1175" t="n">
        <v>312</v>
      </c>
      <c r="K1175" t="n">
        <v>198.593572778828</v>
      </c>
      <c r="L1175" t="n">
        <v>206.6994328922495</v>
      </c>
      <c r="M1175">
        <f>2*SQRT(K1175/PI())</f>
        <v/>
      </c>
      <c r="N1175">
        <f>2*SQRT(L1175/PI())</f>
        <v/>
      </c>
      <c r="P1175" t="inlineStr">
        <is>
          <t>是</t>
        </is>
      </c>
      <c r="Q1175" t="inlineStr">
        <is>
          <t>auto_pipeline;review_png_green</t>
        </is>
      </c>
      <c r="R1175" t="inlineStr">
        <is>
          <t>样品26</t>
        </is>
      </c>
    </row>
    <row r="1176">
      <c r="A1176" t="n">
        <v>1175</v>
      </c>
      <c r="B1176" t="inlineStr">
        <is>
          <t>26 (4).tif</t>
        </is>
      </c>
      <c r="C1176" t="inlineStr">
        <is>
          <t>26(4)-V09</t>
        </is>
      </c>
      <c r="D1176" t="n">
        <v>9</v>
      </c>
      <c r="E1176" t="inlineStr">
        <is>
          <t>primary</t>
        </is>
      </c>
      <c r="F1176" t="n">
        <v>122.8969754253308</v>
      </c>
      <c r="G1176">
        <f>2*SQRT(F1176/PI())</f>
        <v/>
      </c>
      <c r="H1176" t="n">
        <v>43.13242635001307</v>
      </c>
      <c r="I1176" t="n">
        <v>304</v>
      </c>
      <c r="J1176" t="n">
        <v>219</v>
      </c>
      <c r="K1176" t="n">
        <v>120.4390359168242</v>
      </c>
      <c r="L1176" t="n">
        <v>125.3549149338374</v>
      </c>
      <c r="M1176">
        <f>2*SQRT(K1176/PI())</f>
        <v/>
      </c>
      <c r="N1176">
        <f>2*SQRT(L1176/PI())</f>
        <v/>
      </c>
      <c r="P1176" t="inlineStr">
        <is>
          <t>是</t>
        </is>
      </c>
      <c r="Q1176" t="inlineStr">
        <is>
          <t>auto_pipeline;review_png_green</t>
        </is>
      </c>
      <c r="R1176" t="inlineStr">
        <is>
          <t>样品26</t>
        </is>
      </c>
    </row>
    <row r="1177">
      <c r="A1177" t="n">
        <v>1176</v>
      </c>
      <c r="B1177" t="inlineStr">
        <is>
          <t>26 (5).tif</t>
        </is>
      </c>
      <c r="C1177" t="inlineStr">
        <is>
          <t>26(5)-V01</t>
        </is>
      </c>
      <c r="D1177" t="n">
        <v>1</v>
      </c>
      <c r="E1177" t="inlineStr">
        <is>
          <t>primary</t>
        </is>
      </c>
      <c r="F1177" t="n">
        <v>589.390359168242</v>
      </c>
      <c r="G1177">
        <f>2*SQRT(F1177/PI())</f>
        <v/>
      </c>
      <c r="H1177" t="n">
        <v>90.84551958934121</v>
      </c>
      <c r="I1177" t="n">
        <v>542</v>
      </c>
      <c r="J1177" t="n">
        <v>328</v>
      </c>
      <c r="K1177" t="n">
        <v>577.6025519848771</v>
      </c>
      <c r="L1177" t="n">
        <v>601.1781663516068</v>
      </c>
      <c r="M1177">
        <f>2*SQRT(K1177/PI())</f>
        <v/>
      </c>
      <c r="N1177">
        <f>2*SQRT(L1177/PI())</f>
        <v/>
      </c>
      <c r="O1177" t="inlineStr">
        <is>
          <t>26(5)-P01</t>
        </is>
      </c>
      <c r="P1177" t="inlineStr">
        <is>
          <t>是</t>
        </is>
      </c>
      <c r="Q1177" t="inlineStr">
        <is>
          <t>auto_pipeline;review_png_green</t>
        </is>
      </c>
      <c r="R1177" t="inlineStr">
        <is>
          <t>样品26</t>
        </is>
      </c>
    </row>
    <row r="1178">
      <c r="A1178" t="n">
        <v>1177</v>
      </c>
      <c r="B1178" t="inlineStr">
        <is>
          <t>26 (5).tif</t>
        </is>
      </c>
      <c r="C1178" t="inlineStr">
        <is>
          <t>26(5)-V02</t>
        </is>
      </c>
      <c r="D1178" t="n">
        <v>2</v>
      </c>
      <c r="E1178" t="inlineStr">
        <is>
          <t>primary</t>
        </is>
      </c>
      <c r="F1178" t="n">
        <v>524.7164461247637</v>
      </c>
      <c r="G1178">
        <f>2*SQRT(F1178/PI())</f>
        <v/>
      </c>
      <c r="H1178" t="n">
        <v>85.64997724864794</v>
      </c>
      <c r="I1178" t="n">
        <v>523</v>
      </c>
      <c r="J1178" t="n">
        <v>473</v>
      </c>
      <c r="K1178" t="n">
        <v>514.2221172022685</v>
      </c>
      <c r="L1178" t="n">
        <v>535.2107750472589</v>
      </c>
      <c r="M1178">
        <f>2*SQRT(K1178/PI())</f>
        <v/>
      </c>
      <c r="N1178">
        <f>2*SQRT(L1178/PI())</f>
        <v/>
      </c>
      <c r="O1178" t="inlineStr">
        <is>
          <t>26(5)-P01</t>
        </is>
      </c>
      <c r="P1178" t="inlineStr">
        <is>
          <t>是</t>
        </is>
      </c>
      <c r="Q1178" t="inlineStr">
        <is>
          <t>auto_pipeline;review_png_green</t>
        </is>
      </c>
      <c r="R1178" t="inlineStr">
        <is>
          <t>样品26</t>
        </is>
      </c>
    </row>
    <row r="1179">
      <c r="A1179" t="n">
        <v>1178</v>
      </c>
      <c r="B1179" t="inlineStr">
        <is>
          <t>26 (5).tif</t>
        </is>
      </c>
      <c r="C1179" t="inlineStr">
        <is>
          <t>26(5)-V03</t>
        </is>
      </c>
      <c r="D1179" t="n">
        <v>3</v>
      </c>
      <c r="E1179" t="inlineStr">
        <is>
          <t>primary</t>
        </is>
      </c>
      <c r="F1179" t="n">
        <v>143.8327032136106</v>
      </c>
      <c r="G1179">
        <f>2*SQRT(F1179/PI())</f>
        <v/>
      </c>
      <c r="H1179" t="n">
        <v>57.42375557837279</v>
      </c>
      <c r="I1179" t="n">
        <v>426</v>
      </c>
      <c r="J1179" t="n">
        <v>431</v>
      </c>
      <c r="K1179" t="n">
        <v>140.9560491493384</v>
      </c>
      <c r="L1179" t="n">
        <v>146.7093572778828</v>
      </c>
      <c r="M1179">
        <f>2*SQRT(K1179/PI())</f>
        <v/>
      </c>
      <c r="N1179">
        <f>2*SQRT(L1179/PI())</f>
        <v/>
      </c>
      <c r="P1179" t="inlineStr">
        <is>
          <t>是</t>
        </is>
      </c>
      <c r="Q1179" t="inlineStr">
        <is>
          <t>auto_pipeline;review_png_green</t>
        </is>
      </c>
      <c r="R1179" t="inlineStr">
        <is>
          <t>样品26</t>
        </is>
      </c>
    </row>
    <row r="1180">
      <c r="A1180" t="n">
        <v>1179</v>
      </c>
      <c r="B1180" t="inlineStr">
        <is>
          <t>26 (5).tif</t>
        </is>
      </c>
      <c r="C1180" t="inlineStr">
        <is>
          <t>26(5)-V04</t>
        </is>
      </c>
      <c r="D1180" t="n">
        <v>4</v>
      </c>
      <c r="E1180" t="inlineStr">
        <is>
          <t>primary</t>
        </is>
      </c>
      <c r="F1180" t="n">
        <v>124.5274102079395</v>
      </c>
      <c r="G1180">
        <f>2*SQRT(F1180/PI())</f>
        <v/>
      </c>
      <c r="H1180" t="n">
        <v>42.89958554765452</v>
      </c>
      <c r="I1180" t="n">
        <v>877</v>
      </c>
      <c r="J1180" t="n">
        <v>428</v>
      </c>
      <c r="K1180" t="n">
        <v>122.0368620037807</v>
      </c>
      <c r="L1180" t="n">
        <v>127.0179584120983</v>
      </c>
      <c r="M1180">
        <f>2*SQRT(K1180/PI())</f>
        <v/>
      </c>
      <c r="N1180">
        <f>2*SQRT(L1180/PI())</f>
        <v/>
      </c>
      <c r="P1180" t="inlineStr">
        <is>
          <t>是</t>
        </is>
      </c>
      <c r="Q1180" t="inlineStr">
        <is>
          <t>auto_pipeline;review_png_green</t>
        </is>
      </c>
      <c r="R1180" t="inlineStr">
        <is>
          <t>样品26</t>
        </is>
      </c>
    </row>
    <row r="1181">
      <c r="A1181" t="n">
        <v>1180</v>
      </c>
      <c r="B1181" t="inlineStr">
        <is>
          <t>26 (6).tif</t>
        </is>
      </c>
      <c r="C1181" t="inlineStr">
        <is>
          <t>26(6)-V01</t>
        </is>
      </c>
      <c r="D1181" t="n">
        <v>1</v>
      </c>
      <c r="E1181" t="inlineStr">
        <is>
          <t>primary</t>
        </is>
      </c>
      <c r="F1181" t="n">
        <v>368.1947069943289</v>
      </c>
      <c r="G1181">
        <f>2*SQRT(F1181/PI())</f>
        <v/>
      </c>
      <c r="H1181" t="n">
        <v>73.15957644711369</v>
      </c>
      <c r="I1181" t="n">
        <v>606</v>
      </c>
      <c r="J1181" t="n">
        <v>225</v>
      </c>
      <c r="K1181" t="n">
        <v>360.8308128544423</v>
      </c>
      <c r="L1181" t="n">
        <v>375.5586011342155</v>
      </c>
      <c r="M1181">
        <f>2*SQRT(K1181/PI())</f>
        <v/>
      </c>
      <c r="N1181">
        <f>2*SQRT(L1181/PI())</f>
        <v/>
      </c>
      <c r="P1181" t="inlineStr">
        <is>
          <t>是</t>
        </is>
      </c>
      <c r="Q1181" t="inlineStr">
        <is>
          <t>auto_pipeline;review_png_green</t>
        </is>
      </c>
      <c r="R1181" t="inlineStr">
        <is>
          <t>样品26</t>
        </is>
      </c>
    </row>
    <row r="1182">
      <c r="A1182" t="n">
        <v>1181</v>
      </c>
      <c r="B1182" t="inlineStr">
        <is>
          <t>26 (6).tif</t>
        </is>
      </c>
      <c r="C1182" t="inlineStr">
        <is>
          <t>26(6)-V02</t>
        </is>
      </c>
      <c r="D1182" t="n">
        <v>2</v>
      </c>
      <c r="E1182" t="inlineStr">
        <is>
          <t>primary</t>
        </is>
      </c>
      <c r="F1182" t="n">
        <v>355.2457466918714</v>
      </c>
      <c r="G1182">
        <f>2*SQRT(F1182/PI())</f>
        <v/>
      </c>
      <c r="H1182" t="n">
        <v>70.70007464160089</v>
      </c>
      <c r="I1182" t="n">
        <v>553</v>
      </c>
      <c r="J1182" t="n">
        <v>375</v>
      </c>
      <c r="K1182" t="n">
        <v>348.140831758034</v>
      </c>
      <c r="L1182" t="n">
        <v>362.3506616257089</v>
      </c>
      <c r="M1182">
        <f>2*SQRT(K1182/PI())</f>
        <v/>
      </c>
      <c r="N1182">
        <f>2*SQRT(L1182/PI())</f>
        <v/>
      </c>
      <c r="O1182" t="inlineStr">
        <is>
          <t>26(6)-P01</t>
        </is>
      </c>
      <c r="P1182" t="inlineStr">
        <is>
          <t>是</t>
        </is>
      </c>
      <c r="Q1182" t="inlineStr">
        <is>
          <t>auto_pipeline;review_png_green</t>
        </is>
      </c>
      <c r="R1182" t="inlineStr">
        <is>
          <t>样品26</t>
        </is>
      </c>
    </row>
    <row r="1183">
      <c r="A1183" t="n">
        <v>1182</v>
      </c>
      <c r="B1183" t="inlineStr">
        <is>
          <t>26 (6).tif</t>
        </is>
      </c>
      <c r="C1183" t="inlineStr">
        <is>
          <t>26(6)-V03</t>
        </is>
      </c>
      <c r="D1183" t="n">
        <v>3</v>
      </c>
      <c r="E1183" t="inlineStr">
        <is>
          <t>primary</t>
        </is>
      </c>
      <c r="F1183" t="n">
        <v>289.4848771266541</v>
      </c>
      <c r="G1183">
        <f>2*SQRT(F1183/PI())</f>
        <v/>
      </c>
      <c r="H1183" t="n">
        <v>68.77180133176887</v>
      </c>
      <c r="I1183" t="n">
        <v>117</v>
      </c>
      <c r="J1183" t="n">
        <v>72</v>
      </c>
      <c r="K1183" t="n">
        <v>283.695179584121</v>
      </c>
      <c r="L1183" t="n">
        <v>295.2745746691871</v>
      </c>
      <c r="M1183">
        <f>2*SQRT(K1183/PI())</f>
        <v/>
      </c>
      <c r="N1183">
        <f>2*SQRT(L1183/PI())</f>
        <v/>
      </c>
      <c r="P1183" t="inlineStr">
        <is>
          <t>是</t>
        </is>
      </c>
      <c r="Q1183" t="inlineStr">
        <is>
          <t>auto_pipeline;review_png_green</t>
        </is>
      </c>
      <c r="R1183" t="inlineStr">
        <is>
          <t>样品26</t>
        </is>
      </c>
    </row>
    <row r="1184">
      <c r="A1184" t="n">
        <v>1183</v>
      </c>
      <c r="B1184" t="inlineStr">
        <is>
          <t>26 (6).tif</t>
        </is>
      </c>
      <c r="C1184" t="inlineStr">
        <is>
          <t>26(6)-V04</t>
        </is>
      </c>
      <c r="D1184" t="n">
        <v>4</v>
      </c>
      <c r="E1184" t="inlineStr">
        <is>
          <t>primary</t>
        </is>
      </c>
      <c r="F1184" t="n">
        <v>286.507561436673</v>
      </c>
      <c r="G1184">
        <f>2*SQRT(F1184/PI())</f>
        <v/>
      </c>
      <c r="H1184" t="n">
        <v>63.40521618075993</v>
      </c>
      <c r="I1184" t="n">
        <v>205</v>
      </c>
      <c r="J1184" t="n">
        <v>263</v>
      </c>
      <c r="K1184" t="n">
        <v>280.7774102079395</v>
      </c>
      <c r="L1184" t="n">
        <v>292.2377126654064</v>
      </c>
      <c r="M1184">
        <f>2*SQRT(K1184/PI())</f>
        <v/>
      </c>
      <c r="N1184">
        <f>2*SQRT(L1184/PI())</f>
        <v/>
      </c>
      <c r="P1184" t="inlineStr">
        <is>
          <t>是</t>
        </is>
      </c>
      <c r="Q1184" t="inlineStr">
        <is>
          <t>auto_pipeline;review_png_green</t>
        </is>
      </c>
      <c r="R1184" t="inlineStr">
        <is>
          <t>样品26</t>
        </is>
      </c>
    </row>
    <row r="1185">
      <c r="A1185" t="n">
        <v>1184</v>
      </c>
      <c r="B1185" t="inlineStr">
        <is>
          <t>26 (6).tif</t>
        </is>
      </c>
      <c r="C1185" t="inlineStr">
        <is>
          <t>26(6)-V05</t>
        </is>
      </c>
      <c r="D1185" t="n">
        <v>5</v>
      </c>
      <c r="E1185" t="inlineStr">
        <is>
          <t>primary</t>
        </is>
      </c>
      <c r="F1185" t="n">
        <v>266.4224952741021</v>
      </c>
      <c r="G1185">
        <f>2*SQRT(F1185/PI())</f>
        <v/>
      </c>
      <c r="H1185" t="n">
        <v>64.63496708351633</v>
      </c>
      <c r="I1185" t="n">
        <v>537</v>
      </c>
      <c r="J1185" t="n">
        <v>78</v>
      </c>
      <c r="K1185" t="n">
        <v>261.09404536862</v>
      </c>
      <c r="L1185" t="n">
        <v>271.7509451795841</v>
      </c>
      <c r="M1185">
        <f>2*SQRT(K1185/PI())</f>
        <v/>
      </c>
      <c r="N1185">
        <f>2*SQRT(L1185/PI())</f>
        <v/>
      </c>
      <c r="P1185" t="inlineStr">
        <is>
          <t>是</t>
        </is>
      </c>
      <c r="Q1185" t="inlineStr">
        <is>
          <t>auto_pipeline;review_png_green</t>
        </is>
      </c>
      <c r="R1185" t="inlineStr">
        <is>
          <t>样品26</t>
        </is>
      </c>
    </row>
    <row r="1186">
      <c r="A1186" t="n">
        <v>1185</v>
      </c>
      <c r="B1186" t="inlineStr">
        <is>
          <t>26 (6).tif</t>
        </is>
      </c>
      <c r="C1186" t="inlineStr">
        <is>
          <t>26(6)-V06</t>
        </is>
      </c>
      <c r="D1186" t="n">
        <v>6</v>
      </c>
      <c r="E1186" t="inlineStr">
        <is>
          <t>primary</t>
        </is>
      </c>
      <c r="F1186" t="n">
        <v>241.8005671077505</v>
      </c>
      <c r="G1186">
        <f>2*SQRT(F1186/PI())</f>
        <v/>
      </c>
      <c r="H1186" t="n">
        <v>58.59170848908632</v>
      </c>
      <c r="I1186" t="n">
        <v>464</v>
      </c>
      <c r="J1186" t="n">
        <v>351</v>
      </c>
      <c r="K1186" t="n">
        <v>236.9645557655955</v>
      </c>
      <c r="L1186" t="n">
        <v>246.6365784499055</v>
      </c>
      <c r="M1186">
        <f>2*SQRT(K1186/PI())</f>
        <v/>
      </c>
      <c r="N1186">
        <f>2*SQRT(L1186/PI())</f>
        <v/>
      </c>
      <c r="O1186" t="inlineStr">
        <is>
          <t>26(6)-P01</t>
        </is>
      </c>
      <c r="P1186" t="inlineStr">
        <is>
          <t>是</t>
        </is>
      </c>
      <c r="Q1186" t="inlineStr">
        <is>
          <t>auto_pipeline;review_png_green</t>
        </is>
      </c>
      <c r="R1186" t="inlineStr">
        <is>
          <t>样品26</t>
        </is>
      </c>
    </row>
    <row r="1187">
      <c r="A1187" t="n">
        <v>1186</v>
      </c>
      <c r="B1187" t="inlineStr">
        <is>
          <t>26 (6).tif</t>
        </is>
      </c>
      <c r="C1187" t="inlineStr">
        <is>
          <t>26(6)-V07</t>
        </is>
      </c>
      <c r="D1187" t="n">
        <v>7</v>
      </c>
      <c r="E1187" t="inlineStr">
        <is>
          <t>primary</t>
        </is>
      </c>
      <c r="F1187" t="n">
        <v>165.7844990548204</v>
      </c>
      <c r="G1187">
        <f>2*SQRT(F1187/PI())</f>
        <v/>
      </c>
      <c r="H1187" t="n">
        <v>50.78747049621914</v>
      </c>
      <c r="I1187" t="n">
        <v>787</v>
      </c>
      <c r="J1187" t="n">
        <v>235</v>
      </c>
      <c r="K1187" t="n">
        <v>162.468809073724</v>
      </c>
      <c r="L1187" t="n">
        <v>169.1001890359168</v>
      </c>
      <c r="M1187">
        <f>2*SQRT(K1187/PI())</f>
        <v/>
      </c>
      <c r="N1187">
        <f>2*SQRT(L1187/PI())</f>
        <v/>
      </c>
      <c r="P1187" t="inlineStr">
        <is>
          <t>是</t>
        </is>
      </c>
      <c r="Q1187" t="inlineStr">
        <is>
          <t>auto_pipeline;review_png_green</t>
        </is>
      </c>
      <c r="R1187" t="inlineStr">
        <is>
          <t>样品26</t>
        </is>
      </c>
    </row>
    <row r="1188">
      <c r="A1188" t="n">
        <v>1187</v>
      </c>
      <c r="B1188" t="inlineStr">
        <is>
          <t>26 (6).tif</t>
        </is>
      </c>
      <c r="C1188" t="inlineStr">
        <is>
          <t>26(6)-V08</t>
        </is>
      </c>
      <c r="D1188" t="n">
        <v>8</v>
      </c>
      <c r="E1188" t="inlineStr">
        <is>
          <t>primary</t>
        </is>
      </c>
      <c r="F1188" t="n">
        <v>154.773156899811</v>
      </c>
      <c r="G1188">
        <f>2*SQRT(F1188/PI())</f>
        <v/>
      </c>
      <c r="H1188" t="n">
        <v>46.84352802193683</v>
      </c>
      <c r="I1188" t="n">
        <v>695</v>
      </c>
      <c r="J1188" t="n">
        <v>466</v>
      </c>
      <c r="K1188" t="n">
        <v>151.6776937618147</v>
      </c>
      <c r="L1188" t="n">
        <v>157.8686200378072</v>
      </c>
      <c r="M1188">
        <f>2*SQRT(K1188/PI())</f>
        <v/>
      </c>
      <c r="N1188">
        <f>2*SQRT(L1188/PI())</f>
        <v/>
      </c>
      <c r="P1188" t="inlineStr">
        <is>
          <t>是</t>
        </is>
      </c>
      <c r="Q1188" t="inlineStr">
        <is>
          <t>auto_pipeline;review_png_green</t>
        </is>
      </c>
      <c r="R1188" t="inlineStr">
        <is>
          <t>样品26</t>
        </is>
      </c>
    </row>
    <row r="1189">
      <c r="A1189" t="n">
        <v>1188</v>
      </c>
      <c r="B1189" t="inlineStr">
        <is>
          <t>26 (7).tif</t>
        </is>
      </c>
      <c r="C1189" t="inlineStr">
        <is>
          <t>26(7)-V01</t>
        </is>
      </c>
      <c r="D1189" t="n">
        <v>1</v>
      </c>
      <c r="E1189" t="inlineStr">
        <is>
          <t>primary</t>
        </is>
      </c>
      <c r="F1189" t="n">
        <v>452.6228733459357</v>
      </c>
      <c r="G1189">
        <f>2*SQRT(F1189/PI())</f>
        <v/>
      </c>
      <c r="H1189" t="n">
        <v>92.3299602581107</v>
      </c>
      <c r="I1189" t="n">
        <v>433</v>
      </c>
      <c r="J1189" t="n">
        <v>115</v>
      </c>
      <c r="K1189" t="n">
        <v>443.570415879017</v>
      </c>
      <c r="L1189" t="n">
        <v>461.6753308128544</v>
      </c>
      <c r="M1189">
        <f>2*SQRT(K1189/PI())</f>
        <v/>
      </c>
      <c r="N1189">
        <f>2*SQRT(L1189/PI())</f>
        <v/>
      </c>
      <c r="P1189" t="inlineStr">
        <is>
          <t>是</t>
        </is>
      </c>
      <c r="Q1189" t="inlineStr">
        <is>
          <t>auto_pipeline;review_png_green</t>
        </is>
      </c>
      <c r="R1189" t="inlineStr">
        <is>
          <t>样品26</t>
        </is>
      </c>
    </row>
    <row r="1190">
      <c r="A1190" t="n">
        <v>1189</v>
      </c>
      <c r="B1190" t="inlineStr">
        <is>
          <t>26 (7).tif</t>
        </is>
      </c>
      <c r="C1190" t="inlineStr">
        <is>
          <t>26(7)-V02</t>
        </is>
      </c>
      <c r="D1190" t="n">
        <v>2</v>
      </c>
      <c r="E1190" t="inlineStr">
        <is>
          <t>primary</t>
        </is>
      </c>
      <c r="F1190" t="n">
        <v>363.5869565217391</v>
      </c>
      <c r="G1190">
        <f>2*SQRT(F1190/PI())</f>
        <v/>
      </c>
      <c r="H1190" t="n">
        <v>71.44229497598565</v>
      </c>
      <c r="I1190" t="n">
        <v>500</v>
      </c>
      <c r="J1190" t="n">
        <v>440</v>
      </c>
      <c r="K1190" t="n">
        <v>356.3152173913043</v>
      </c>
      <c r="L1190" t="n">
        <v>370.8586956521739</v>
      </c>
      <c r="M1190">
        <f>2*SQRT(K1190/PI())</f>
        <v/>
      </c>
      <c r="N1190">
        <f>2*SQRT(L1190/PI())</f>
        <v/>
      </c>
      <c r="P1190" t="inlineStr">
        <is>
          <t>是</t>
        </is>
      </c>
      <c r="Q1190" t="inlineStr">
        <is>
          <t>auto_pipeline;review_png_green</t>
        </is>
      </c>
      <c r="R1190" t="inlineStr">
        <is>
          <t>样品26</t>
        </is>
      </c>
    </row>
    <row r="1191">
      <c r="A1191" t="n">
        <v>1190</v>
      </c>
      <c r="B1191" t="inlineStr">
        <is>
          <t>26 (7).tif</t>
        </is>
      </c>
      <c r="C1191" t="inlineStr">
        <is>
          <t>26(7)-V03</t>
        </is>
      </c>
      <c r="D1191" t="n">
        <v>3</v>
      </c>
      <c r="E1191" t="inlineStr">
        <is>
          <t>primary</t>
        </is>
      </c>
      <c r="F1191" t="n">
        <v>360.8931947069943</v>
      </c>
      <c r="G1191">
        <f>2*SQRT(F1191/PI())</f>
        <v/>
      </c>
      <c r="H1191" t="n">
        <v>72.56654995939006</v>
      </c>
      <c r="I1191" t="n">
        <v>902</v>
      </c>
      <c r="J1191" t="n">
        <v>100</v>
      </c>
      <c r="K1191" t="n">
        <v>353.6753308128544</v>
      </c>
      <c r="L1191" t="n">
        <v>368.1110586011342</v>
      </c>
      <c r="M1191">
        <f>2*SQRT(K1191/PI())</f>
        <v/>
      </c>
      <c r="N1191">
        <f>2*SQRT(L1191/PI())</f>
        <v/>
      </c>
      <c r="P1191" t="inlineStr">
        <is>
          <t>是</t>
        </is>
      </c>
      <c r="Q1191" t="inlineStr">
        <is>
          <t>auto_pipeline;review_png_green</t>
        </is>
      </c>
      <c r="R1191" t="inlineStr">
        <is>
          <t>样品26</t>
        </is>
      </c>
    </row>
    <row r="1192">
      <c r="A1192" t="n">
        <v>1191</v>
      </c>
      <c r="B1192" t="inlineStr">
        <is>
          <t>26 (7).tif</t>
        </is>
      </c>
      <c r="C1192" t="inlineStr">
        <is>
          <t>26(7)-V04</t>
        </is>
      </c>
      <c r="D1192" t="n">
        <v>4</v>
      </c>
      <c r="E1192" t="inlineStr">
        <is>
          <t>primary</t>
        </is>
      </c>
      <c r="F1192" t="n">
        <v>259.7353497164461</v>
      </c>
      <c r="G1192">
        <f>2*SQRT(F1192/PI())</f>
        <v/>
      </c>
      <c r="H1192" t="n">
        <v>72.35180922176527</v>
      </c>
      <c r="I1192" t="n">
        <v>669</v>
      </c>
      <c r="J1192" t="n">
        <v>105</v>
      </c>
      <c r="K1192" t="n">
        <v>254.5406427221172</v>
      </c>
      <c r="L1192" t="n">
        <v>264.9300567107751</v>
      </c>
      <c r="M1192">
        <f>2*SQRT(K1192/PI())</f>
        <v/>
      </c>
      <c r="N1192">
        <f>2*SQRT(L1192/PI())</f>
        <v/>
      </c>
      <c r="P1192" t="inlineStr">
        <is>
          <t>是</t>
        </is>
      </c>
      <c r="Q1192" t="inlineStr">
        <is>
          <t>auto_pipeline;review_png_green</t>
        </is>
      </c>
      <c r="R1192" t="inlineStr">
        <is>
          <t>样品26</t>
        </is>
      </c>
    </row>
    <row r="1193">
      <c r="A1193" t="n">
        <v>1192</v>
      </c>
      <c r="B1193" t="inlineStr">
        <is>
          <t>26 (7).tif</t>
        </is>
      </c>
      <c r="C1193" t="inlineStr">
        <is>
          <t>26(7)-V05</t>
        </is>
      </c>
      <c r="D1193" t="n">
        <v>5</v>
      </c>
      <c r="E1193" t="inlineStr">
        <is>
          <t>primary</t>
        </is>
      </c>
      <c r="F1193" t="n">
        <v>163.7759924385633</v>
      </c>
      <c r="G1193">
        <f>2*SQRT(F1193/PI())</f>
        <v/>
      </c>
      <c r="H1193" t="n">
        <v>52.97043357206427</v>
      </c>
      <c r="I1193" t="n">
        <v>87</v>
      </c>
      <c r="J1193" t="n">
        <v>595</v>
      </c>
      <c r="K1193" t="n">
        <v>160.5004725897921</v>
      </c>
      <c r="L1193" t="n">
        <v>167.0515122873346</v>
      </c>
      <c r="M1193">
        <f>2*SQRT(K1193/PI())</f>
        <v/>
      </c>
      <c r="N1193">
        <f>2*SQRT(L1193/PI())</f>
        <v/>
      </c>
      <c r="P1193" t="inlineStr">
        <is>
          <t>是</t>
        </is>
      </c>
      <c r="Q1193" t="inlineStr">
        <is>
          <t>auto_pipeline;review_png_green</t>
        </is>
      </c>
      <c r="R1193" t="inlineStr">
        <is>
          <t>样品26</t>
        </is>
      </c>
    </row>
    <row r="1194">
      <c r="A1194" t="n">
        <v>1193</v>
      </c>
      <c r="B1194" t="inlineStr">
        <is>
          <t>26 (7).tif</t>
        </is>
      </c>
      <c r="C1194" t="inlineStr">
        <is>
          <t>26(7)-V06</t>
        </is>
      </c>
      <c r="D1194" t="n">
        <v>6</v>
      </c>
      <c r="E1194" t="inlineStr">
        <is>
          <t>primary</t>
        </is>
      </c>
      <c r="F1194" t="n">
        <v>137.7599243856333</v>
      </c>
      <c r="G1194">
        <f>2*SQRT(F1194/PI())</f>
        <v/>
      </c>
      <c r="H1194" t="n">
        <v>45.35908735316733</v>
      </c>
      <c r="I1194" t="n">
        <v>878</v>
      </c>
      <c r="J1194" t="n">
        <v>438</v>
      </c>
      <c r="K1194" t="n">
        <v>135.0047258979206</v>
      </c>
      <c r="L1194" t="n">
        <v>140.5151228733459</v>
      </c>
      <c r="M1194">
        <f>2*SQRT(K1194/PI())</f>
        <v/>
      </c>
      <c r="N1194">
        <f>2*SQRT(L1194/PI())</f>
        <v/>
      </c>
      <c r="P1194" t="inlineStr">
        <is>
          <t>是</t>
        </is>
      </c>
      <c r="Q1194" t="inlineStr">
        <is>
          <t>auto_pipeline;review_png_green</t>
        </is>
      </c>
      <c r="R1194" t="inlineStr">
        <is>
          <t>样品26</t>
        </is>
      </c>
    </row>
    <row r="1195">
      <c r="A1195" t="n">
        <v>1194</v>
      </c>
      <c r="B1195" t="inlineStr">
        <is>
          <t>26 (8).tif</t>
        </is>
      </c>
      <c r="C1195" t="inlineStr">
        <is>
          <t>26(8)-V01</t>
        </is>
      </c>
      <c r="D1195" t="n">
        <v>1</v>
      </c>
      <c r="E1195" t="inlineStr">
        <is>
          <t>primary</t>
        </is>
      </c>
      <c r="F1195" t="n">
        <v>308.8846880907373</v>
      </c>
      <c r="G1195">
        <f>2*SQRT(F1195/PI())</f>
        <v/>
      </c>
      <c r="H1195" t="n">
        <v>73.41426621312681</v>
      </c>
      <c r="I1195" t="n">
        <v>64</v>
      </c>
      <c r="J1195" t="n">
        <v>129</v>
      </c>
      <c r="K1195" t="n">
        <v>302.7069943289225</v>
      </c>
      <c r="L1195" t="n">
        <v>315.062381852552</v>
      </c>
      <c r="M1195">
        <f>2*SQRT(K1195/PI())</f>
        <v/>
      </c>
      <c r="N1195">
        <f>2*SQRT(L1195/PI())</f>
        <v/>
      </c>
      <c r="P1195" t="inlineStr">
        <is>
          <t>是</t>
        </is>
      </c>
      <c r="Q1195" t="inlineStr">
        <is>
          <t>auto_pipeline;review_png_green</t>
        </is>
      </c>
      <c r="R1195" t="inlineStr">
        <is>
          <t>样品26</t>
        </is>
      </c>
    </row>
    <row r="1196">
      <c r="A1196" t="n">
        <v>1195</v>
      </c>
      <c r="B1196" t="inlineStr">
        <is>
          <t>26 (8).tif</t>
        </is>
      </c>
      <c r="C1196" t="inlineStr">
        <is>
          <t>26(8)-V02</t>
        </is>
      </c>
      <c r="D1196" t="n">
        <v>2</v>
      </c>
      <c r="E1196" t="inlineStr">
        <is>
          <t>primary</t>
        </is>
      </c>
      <c r="F1196" t="n">
        <v>208.648393194707</v>
      </c>
      <c r="G1196">
        <f>2*SQRT(F1196/PI())</f>
        <v/>
      </c>
      <c r="H1196" t="n">
        <v>75.33879062403803</v>
      </c>
      <c r="I1196" t="n">
        <v>866</v>
      </c>
      <c r="J1196" t="n">
        <v>528</v>
      </c>
      <c r="K1196" t="n">
        <v>204.4754253308128</v>
      </c>
      <c r="L1196" t="n">
        <v>212.8213610586011</v>
      </c>
      <c r="M1196">
        <f>2*SQRT(K1196/PI())</f>
        <v/>
      </c>
      <c r="N1196">
        <f>2*SQRT(L1196/PI())</f>
        <v/>
      </c>
      <c r="P1196" t="inlineStr">
        <is>
          <t>是</t>
        </is>
      </c>
      <c r="Q1196" t="inlineStr">
        <is>
          <t>auto_pipeline;review_png_green</t>
        </is>
      </c>
      <c r="R1196" t="inlineStr">
        <is>
          <t>样品26</t>
        </is>
      </c>
    </row>
    <row r="1197">
      <c r="A1197" t="n">
        <v>1196</v>
      </c>
      <c r="B1197" t="inlineStr">
        <is>
          <t>26 (8).tif</t>
        </is>
      </c>
      <c r="C1197" t="inlineStr">
        <is>
          <t>26(8)-V03</t>
        </is>
      </c>
      <c r="D1197" t="n">
        <v>3</v>
      </c>
      <c r="E1197" t="inlineStr">
        <is>
          <t>primary</t>
        </is>
      </c>
      <c r="F1197" t="n">
        <v>149.9291115311909</v>
      </c>
      <c r="G1197">
        <f>2*SQRT(F1197/PI())</f>
        <v/>
      </c>
      <c r="H1197" t="n">
        <v>57.2127637396688</v>
      </c>
      <c r="I1197" t="n">
        <v>755</v>
      </c>
      <c r="J1197" t="n">
        <v>275</v>
      </c>
      <c r="K1197" t="n">
        <v>146.9305293005671</v>
      </c>
      <c r="L1197" t="n">
        <v>152.9276937618147</v>
      </c>
      <c r="M1197">
        <f>2*SQRT(K1197/PI())</f>
        <v/>
      </c>
      <c r="N1197">
        <f>2*SQRT(L1197/PI())</f>
        <v/>
      </c>
      <c r="P1197" t="inlineStr">
        <is>
          <t>是</t>
        </is>
      </c>
      <c r="Q1197" t="inlineStr">
        <is>
          <t>auto_pipeline;review_png_green</t>
        </is>
      </c>
      <c r="R1197" t="inlineStr">
        <is>
          <t>样品26</t>
        </is>
      </c>
    </row>
    <row r="1198">
      <c r="A1198" t="n">
        <v>1197</v>
      </c>
      <c r="B1198" t="inlineStr">
        <is>
          <t>26 (8).tif</t>
        </is>
      </c>
      <c r="C1198" t="inlineStr">
        <is>
          <t>26(8)-V04</t>
        </is>
      </c>
      <c r="D1198" t="n">
        <v>4</v>
      </c>
      <c r="E1198" t="inlineStr">
        <is>
          <t>primary</t>
        </is>
      </c>
      <c r="F1198" t="n">
        <v>124.1729678638941</v>
      </c>
      <c r="G1198">
        <f>2*SQRT(F1198/PI())</f>
        <v/>
      </c>
      <c r="H1198" t="n">
        <v>44.10748748675636</v>
      </c>
      <c r="I1198" t="n">
        <v>256</v>
      </c>
      <c r="J1198" t="n">
        <v>318</v>
      </c>
      <c r="K1198" t="n">
        <v>121.6895085066163</v>
      </c>
      <c r="L1198" t="n">
        <v>126.656427221172</v>
      </c>
      <c r="M1198">
        <f>2*SQRT(K1198/PI())</f>
        <v/>
      </c>
      <c r="N1198">
        <f>2*SQRT(L1198/PI())</f>
        <v/>
      </c>
      <c r="P1198" t="inlineStr">
        <is>
          <t>是</t>
        </is>
      </c>
      <c r="Q1198" t="inlineStr">
        <is>
          <t>auto_pipeline;review_png_green</t>
        </is>
      </c>
      <c r="R1198" t="inlineStr">
        <is>
          <t>样品26</t>
        </is>
      </c>
    </row>
    <row r="1199">
      <c r="A1199" t="n">
        <v>1198</v>
      </c>
      <c r="B1199" t="inlineStr">
        <is>
          <t>27 (1).tif</t>
        </is>
      </c>
      <c r="C1199" t="inlineStr">
        <is>
          <t>27(1)-V01</t>
        </is>
      </c>
      <c r="D1199" t="n">
        <v>1</v>
      </c>
      <c r="E1199" t="inlineStr">
        <is>
          <t>primary</t>
        </is>
      </c>
      <c r="F1199" t="n">
        <v>913.4688090737241</v>
      </c>
      <c r="G1199">
        <f>2*SQRT(F1199/PI())</f>
        <v/>
      </c>
      <c r="H1199" t="n">
        <v>113.9598458746205</v>
      </c>
      <c r="I1199" t="n">
        <v>573</v>
      </c>
      <c r="J1199" t="n">
        <v>386</v>
      </c>
      <c r="K1199" t="n">
        <v>895.1994328922495</v>
      </c>
      <c r="L1199" t="n">
        <v>931.7381852551986</v>
      </c>
      <c r="M1199">
        <f>2*SQRT(K1199/PI())</f>
        <v/>
      </c>
      <c r="N1199">
        <f>2*SQRT(L1199/PI())</f>
        <v/>
      </c>
      <c r="P1199" t="inlineStr">
        <is>
          <t>是</t>
        </is>
      </c>
      <c r="Q1199" t="inlineStr">
        <is>
          <t>auto_pipeline;review_png_green</t>
        </is>
      </c>
      <c r="R1199" t="inlineStr">
        <is>
          <t>样品27</t>
        </is>
      </c>
    </row>
    <row r="1200">
      <c r="A1200" t="n">
        <v>1199</v>
      </c>
      <c r="B1200" t="inlineStr">
        <is>
          <t>27 (1).tif</t>
        </is>
      </c>
      <c r="C1200" t="inlineStr">
        <is>
          <t>27(1)-V02</t>
        </is>
      </c>
      <c r="D1200" t="n">
        <v>2</v>
      </c>
      <c r="E1200" t="inlineStr">
        <is>
          <t>primary</t>
        </is>
      </c>
      <c r="F1200" t="n">
        <v>489.3667296786389</v>
      </c>
      <c r="G1200">
        <f>2*SQRT(F1200/PI())</f>
        <v/>
      </c>
      <c r="H1200" t="n">
        <v>82.93578567712203</v>
      </c>
      <c r="I1200" t="n">
        <v>150</v>
      </c>
      <c r="J1200" t="n">
        <v>288</v>
      </c>
      <c r="K1200" t="n">
        <v>479.5793950850662</v>
      </c>
      <c r="L1200" t="n">
        <v>499.1540642722117</v>
      </c>
      <c r="M1200">
        <f>2*SQRT(K1200/PI())</f>
        <v/>
      </c>
      <c r="N1200">
        <f>2*SQRT(L1200/PI())</f>
        <v/>
      </c>
      <c r="P1200" t="inlineStr">
        <is>
          <t>是</t>
        </is>
      </c>
      <c r="Q1200" t="inlineStr">
        <is>
          <t>auto_pipeline;review_png_green</t>
        </is>
      </c>
      <c r="R1200" t="inlineStr">
        <is>
          <t>样品27</t>
        </is>
      </c>
    </row>
    <row r="1201">
      <c r="A1201" t="n">
        <v>1200</v>
      </c>
      <c r="B1201" t="inlineStr">
        <is>
          <t>27 (1).tif</t>
        </is>
      </c>
      <c r="C1201" t="inlineStr">
        <is>
          <t>27(1)-V03</t>
        </is>
      </c>
      <c r="D1201" t="n">
        <v>3</v>
      </c>
      <c r="E1201" t="inlineStr">
        <is>
          <t>primary</t>
        </is>
      </c>
      <c r="F1201" t="n">
        <v>416.8005671077505</v>
      </c>
      <c r="G1201">
        <f>2*SQRT(F1201/PI())</f>
        <v/>
      </c>
      <c r="H1201" t="n">
        <v>76.51049243367237</v>
      </c>
      <c r="I1201" t="n">
        <v>208</v>
      </c>
      <c r="J1201" t="n">
        <v>419</v>
      </c>
      <c r="K1201" t="n">
        <v>408.4645557655954</v>
      </c>
      <c r="L1201" t="n">
        <v>425.1365784499055</v>
      </c>
      <c r="M1201">
        <f>2*SQRT(K1201/PI())</f>
        <v/>
      </c>
      <c r="N1201">
        <f>2*SQRT(L1201/PI())</f>
        <v/>
      </c>
      <c r="P1201" t="inlineStr">
        <is>
          <t>是</t>
        </is>
      </c>
      <c r="Q1201" t="inlineStr">
        <is>
          <t>auto_pipeline;review_png_green</t>
        </is>
      </c>
      <c r="R1201" t="inlineStr">
        <is>
          <t>样品27</t>
        </is>
      </c>
    </row>
    <row r="1202">
      <c r="A1202" t="n">
        <v>1201</v>
      </c>
      <c r="B1202" t="inlineStr">
        <is>
          <t>27 (1).tif</t>
        </is>
      </c>
      <c r="C1202" t="inlineStr">
        <is>
          <t>27(1)-V04</t>
        </is>
      </c>
      <c r="D1202" t="n">
        <v>4</v>
      </c>
      <c r="E1202" t="inlineStr">
        <is>
          <t>primary</t>
        </is>
      </c>
      <c r="F1202" t="n">
        <v>314.6739130434783</v>
      </c>
      <c r="G1202">
        <f>2*SQRT(F1202/PI())</f>
        <v/>
      </c>
      <c r="H1202" t="n">
        <v>67.49835250170334</v>
      </c>
      <c r="I1202" t="n">
        <v>653</v>
      </c>
      <c r="J1202" t="n">
        <v>552</v>
      </c>
      <c r="K1202" t="n">
        <v>308.3804347826087</v>
      </c>
      <c r="L1202" t="n">
        <v>320.9673913043478</v>
      </c>
      <c r="M1202">
        <f>2*SQRT(K1202/PI())</f>
        <v/>
      </c>
      <c r="N1202">
        <f>2*SQRT(L1202/PI())</f>
        <v/>
      </c>
      <c r="P1202" t="inlineStr">
        <is>
          <t>是</t>
        </is>
      </c>
      <c r="Q1202" t="inlineStr">
        <is>
          <t>auto_pipeline;review_png_green</t>
        </is>
      </c>
      <c r="R1202" t="inlineStr">
        <is>
          <t>样品27</t>
        </is>
      </c>
    </row>
    <row r="1203">
      <c r="A1203" t="n">
        <v>1202</v>
      </c>
      <c r="B1203" t="inlineStr">
        <is>
          <t>27 (1).tif</t>
        </is>
      </c>
      <c r="C1203" t="inlineStr">
        <is>
          <t>27(1)-V05</t>
        </is>
      </c>
      <c r="D1203" t="n">
        <v>5</v>
      </c>
      <c r="E1203" t="inlineStr">
        <is>
          <t>primary</t>
        </is>
      </c>
      <c r="F1203" t="n">
        <v>243.6672967863894</v>
      </c>
      <c r="G1203">
        <f>2*SQRT(F1203/PI())</f>
        <v/>
      </c>
      <c r="H1203" t="n">
        <v>59.33392882347107</v>
      </c>
      <c r="I1203" t="n">
        <v>324</v>
      </c>
      <c r="J1203" t="n">
        <v>171</v>
      </c>
      <c r="K1203" t="n">
        <v>238.7939508506616</v>
      </c>
      <c r="L1203" t="n">
        <v>248.5406427221172</v>
      </c>
      <c r="M1203">
        <f>2*SQRT(K1203/PI())</f>
        <v/>
      </c>
      <c r="N1203">
        <f>2*SQRT(L1203/PI())</f>
        <v/>
      </c>
      <c r="P1203" t="inlineStr">
        <is>
          <t>是</t>
        </is>
      </c>
      <c r="Q1203" t="inlineStr">
        <is>
          <t>auto_pipeline;review_png_green</t>
        </is>
      </c>
      <c r="R1203" t="inlineStr">
        <is>
          <t>样品27</t>
        </is>
      </c>
    </row>
    <row r="1204">
      <c r="A1204" t="n">
        <v>1203</v>
      </c>
      <c r="B1204" t="inlineStr">
        <is>
          <t>27 (1).tif</t>
        </is>
      </c>
      <c r="C1204" t="inlineStr">
        <is>
          <t>27(1)-V06</t>
        </is>
      </c>
      <c r="D1204" t="n">
        <v>6</v>
      </c>
      <c r="E1204" t="inlineStr">
        <is>
          <t>primary</t>
        </is>
      </c>
      <c r="F1204" t="n">
        <v>218.8090737240076</v>
      </c>
      <c r="G1204">
        <f>2*SQRT(F1204/PI())</f>
        <v/>
      </c>
      <c r="H1204" t="n">
        <v>57.70029430804045</v>
      </c>
      <c r="I1204" t="n">
        <v>834</v>
      </c>
      <c r="J1204" t="n">
        <v>311</v>
      </c>
      <c r="K1204" t="n">
        <v>214.4328922495274</v>
      </c>
      <c r="L1204" t="n">
        <v>223.1852551984877</v>
      </c>
      <c r="M1204">
        <f>2*SQRT(K1204/PI())</f>
        <v/>
      </c>
      <c r="N1204">
        <f>2*SQRT(L1204/PI())</f>
        <v/>
      </c>
      <c r="P1204" t="inlineStr">
        <is>
          <t>是</t>
        </is>
      </c>
      <c r="Q1204" t="inlineStr">
        <is>
          <t>auto_pipeline;review_png_green</t>
        </is>
      </c>
      <c r="R1204" t="inlineStr">
        <is>
          <t>样品27</t>
        </is>
      </c>
    </row>
    <row r="1205">
      <c r="A1205" t="n">
        <v>1204</v>
      </c>
      <c r="B1205" t="inlineStr">
        <is>
          <t>27 (2).tif</t>
        </is>
      </c>
      <c r="C1205" t="inlineStr">
        <is>
          <t>27(2)-V01</t>
        </is>
      </c>
      <c r="D1205" t="n">
        <v>1</v>
      </c>
      <c r="E1205" t="inlineStr">
        <is>
          <t>primary</t>
        </is>
      </c>
      <c r="F1205" t="n">
        <v>953.7570888468809</v>
      </c>
      <c r="G1205">
        <f>2*SQRT(F1205/PI())</f>
        <v/>
      </c>
      <c r="H1205" t="n">
        <v>120.8508207227873</v>
      </c>
      <c r="I1205" t="n">
        <v>815</v>
      </c>
      <c r="J1205" t="n">
        <v>263</v>
      </c>
      <c r="K1205" t="n">
        <v>934.6819470699434</v>
      </c>
      <c r="L1205" t="n">
        <v>972.8322306238185</v>
      </c>
      <c r="M1205">
        <f>2*SQRT(K1205/PI())</f>
        <v/>
      </c>
      <c r="N1205">
        <f>2*SQRT(L1205/PI())</f>
        <v/>
      </c>
      <c r="P1205" t="inlineStr">
        <is>
          <t>是</t>
        </is>
      </c>
      <c r="Q1205" t="inlineStr">
        <is>
          <t>auto_pipeline;review_png_green</t>
        </is>
      </c>
      <c r="R1205" t="inlineStr">
        <is>
          <t>样品27</t>
        </is>
      </c>
    </row>
    <row r="1206">
      <c r="A1206" t="n">
        <v>1205</v>
      </c>
      <c r="B1206" t="inlineStr">
        <is>
          <t>27 (2).tif</t>
        </is>
      </c>
      <c r="C1206" t="inlineStr">
        <is>
          <t>27(2)-V02</t>
        </is>
      </c>
      <c r="D1206" t="n">
        <v>2</v>
      </c>
      <c r="E1206" t="inlineStr">
        <is>
          <t>primary</t>
        </is>
      </c>
      <c r="F1206" t="n">
        <v>864.8393194706995</v>
      </c>
      <c r="G1206">
        <f>2*SQRT(F1206/PI())</f>
        <v/>
      </c>
      <c r="H1206" t="n">
        <v>110.6307788517164</v>
      </c>
      <c r="I1206" t="n">
        <v>370</v>
      </c>
      <c r="J1206" t="n">
        <v>315</v>
      </c>
      <c r="K1206" t="n">
        <v>847.5425330812855</v>
      </c>
      <c r="L1206" t="n">
        <v>882.1361058601135</v>
      </c>
      <c r="M1206">
        <f>2*SQRT(K1206/PI())</f>
        <v/>
      </c>
      <c r="N1206">
        <f>2*SQRT(L1206/PI())</f>
        <v/>
      </c>
      <c r="P1206" t="inlineStr">
        <is>
          <t>是</t>
        </is>
      </c>
      <c r="Q1206" t="inlineStr">
        <is>
          <t>auto_pipeline;review_png_green</t>
        </is>
      </c>
      <c r="R1206" t="inlineStr">
        <is>
          <t>样品27</t>
        </is>
      </c>
    </row>
    <row r="1207">
      <c r="A1207" t="n">
        <v>1206</v>
      </c>
      <c r="B1207" t="inlineStr">
        <is>
          <t>27 (2).tif</t>
        </is>
      </c>
      <c r="C1207" t="inlineStr">
        <is>
          <t>27(2)-V03</t>
        </is>
      </c>
      <c r="D1207" t="n">
        <v>3</v>
      </c>
      <c r="E1207" t="inlineStr">
        <is>
          <t>primary</t>
        </is>
      </c>
      <c r="F1207" t="n">
        <v>702.9536862003781</v>
      </c>
      <c r="G1207">
        <f>2*SQRT(F1207/PI())</f>
        <v/>
      </c>
      <c r="H1207" t="n">
        <v>99.75216360195823</v>
      </c>
      <c r="I1207" t="n">
        <v>558</v>
      </c>
      <c r="J1207" t="n">
        <v>389</v>
      </c>
      <c r="K1207" t="n">
        <v>688.8946124763705</v>
      </c>
      <c r="L1207" t="n">
        <v>717.0127599243857</v>
      </c>
      <c r="M1207">
        <f>2*SQRT(K1207/PI())</f>
        <v/>
      </c>
      <c r="N1207">
        <f>2*SQRT(L1207/PI())</f>
        <v/>
      </c>
      <c r="P1207" t="inlineStr">
        <is>
          <t>是</t>
        </is>
      </c>
      <c r="Q1207" t="inlineStr">
        <is>
          <t>auto_pipeline;review_png_green</t>
        </is>
      </c>
      <c r="R1207" t="inlineStr">
        <is>
          <t>样品27</t>
        </is>
      </c>
    </row>
    <row r="1208">
      <c r="A1208" t="n">
        <v>1207</v>
      </c>
      <c r="B1208" t="inlineStr">
        <is>
          <t>27 (2).tif</t>
        </is>
      </c>
      <c r="C1208" t="inlineStr">
        <is>
          <t>27(2)-V04</t>
        </is>
      </c>
      <c r="D1208" t="n">
        <v>4</v>
      </c>
      <c r="E1208" t="inlineStr">
        <is>
          <t>primary</t>
        </is>
      </c>
      <c r="F1208" t="n">
        <v>304.5368620037807</v>
      </c>
      <c r="G1208">
        <f>2*SQRT(F1208/PI())</f>
        <v/>
      </c>
      <c r="H1208" t="n">
        <v>65.88656694992729</v>
      </c>
      <c r="I1208" t="n">
        <v>432</v>
      </c>
      <c r="J1208" t="n">
        <v>585</v>
      </c>
      <c r="K1208" t="n">
        <v>298.4461247637051</v>
      </c>
      <c r="L1208" t="n">
        <v>310.6275992438563</v>
      </c>
      <c r="M1208">
        <f>2*SQRT(K1208/PI())</f>
        <v/>
      </c>
      <c r="N1208">
        <f>2*SQRT(L1208/PI())</f>
        <v/>
      </c>
      <c r="P1208" t="inlineStr">
        <is>
          <t>是</t>
        </is>
      </c>
      <c r="Q1208" t="inlineStr">
        <is>
          <t>auto_pipeline;review_png_green</t>
        </is>
      </c>
      <c r="R1208" t="inlineStr">
        <is>
          <t>样品27</t>
        </is>
      </c>
    </row>
    <row r="1209">
      <c r="A1209" t="n">
        <v>1208</v>
      </c>
      <c r="B1209" t="inlineStr">
        <is>
          <t>27 (2).tif</t>
        </is>
      </c>
      <c r="C1209" t="inlineStr">
        <is>
          <t>27(2)-V05</t>
        </is>
      </c>
      <c r="D1209" t="n">
        <v>5</v>
      </c>
      <c r="E1209" t="inlineStr">
        <is>
          <t>primary</t>
        </is>
      </c>
      <c r="F1209" t="n">
        <v>186.9565217391304</v>
      </c>
      <c r="G1209">
        <f>2*SQRT(F1209/PI())</f>
        <v/>
      </c>
      <c r="H1209" t="n">
        <v>53.29067022904105</v>
      </c>
      <c r="I1209" t="n">
        <v>965</v>
      </c>
      <c r="J1209" t="n">
        <v>621</v>
      </c>
      <c r="K1209" t="n">
        <v>183.2173913043478</v>
      </c>
      <c r="L1209" t="n">
        <v>190.6956521739131</v>
      </c>
      <c r="M1209">
        <f>2*SQRT(K1209/PI())</f>
        <v/>
      </c>
      <c r="N1209">
        <f>2*SQRT(L1209/PI())</f>
        <v/>
      </c>
      <c r="P1209" t="inlineStr">
        <is>
          <t>是</t>
        </is>
      </c>
      <c r="Q1209" t="inlineStr">
        <is>
          <t>auto_pipeline;review_png_green</t>
        </is>
      </c>
      <c r="R1209" t="inlineStr">
        <is>
          <t>样品27</t>
        </is>
      </c>
    </row>
    <row r="1210">
      <c r="A1210" t="n">
        <v>1209</v>
      </c>
      <c r="B1210" t="inlineStr">
        <is>
          <t>27 (2).tif</t>
        </is>
      </c>
      <c r="C1210" t="inlineStr">
        <is>
          <t>27(2)-V06</t>
        </is>
      </c>
      <c r="D1210" t="n">
        <v>6</v>
      </c>
      <c r="E1210" t="inlineStr">
        <is>
          <t>primary</t>
        </is>
      </c>
      <c r="F1210" t="n">
        <v>164.2485822306238</v>
      </c>
      <c r="G1210">
        <f>2*SQRT(F1210/PI())</f>
        <v/>
      </c>
      <c r="H1210" t="n">
        <v>49.32487879110419</v>
      </c>
      <c r="I1210" t="n">
        <v>536</v>
      </c>
      <c r="J1210" t="n">
        <v>606</v>
      </c>
      <c r="K1210" t="n">
        <v>160.9636105860113</v>
      </c>
      <c r="L1210" t="n">
        <v>167.5335538752363</v>
      </c>
      <c r="M1210">
        <f>2*SQRT(K1210/PI())</f>
        <v/>
      </c>
      <c r="N1210">
        <f>2*SQRT(L1210/PI())</f>
        <v/>
      </c>
      <c r="P1210" t="inlineStr">
        <is>
          <t>是</t>
        </is>
      </c>
      <c r="Q1210" t="inlineStr">
        <is>
          <t>auto_pipeline;review_png_green</t>
        </is>
      </c>
      <c r="R1210" t="inlineStr">
        <is>
          <t>样品27</t>
        </is>
      </c>
    </row>
    <row r="1211">
      <c r="A1211" t="n">
        <v>1210</v>
      </c>
      <c r="B1211" t="inlineStr">
        <is>
          <t>27 (3).tif</t>
        </is>
      </c>
      <c r="C1211" t="inlineStr">
        <is>
          <t>27(3)-V01</t>
        </is>
      </c>
      <c r="D1211" t="n">
        <v>1</v>
      </c>
      <c r="E1211" t="inlineStr">
        <is>
          <t>primary</t>
        </is>
      </c>
      <c r="F1211" t="n">
        <v>1040.31190926276</v>
      </c>
      <c r="G1211">
        <f>2*SQRT(F1211/PI())</f>
        <v/>
      </c>
      <c r="H1211" t="n">
        <v>121.7422349038331</v>
      </c>
      <c r="I1211" t="n">
        <v>383</v>
      </c>
      <c r="J1211" t="n">
        <v>317</v>
      </c>
      <c r="K1211" t="n">
        <v>1019.505671077505</v>
      </c>
      <c r="L1211" t="n">
        <v>1061.118147448015</v>
      </c>
      <c r="M1211">
        <f>2*SQRT(K1211/PI())</f>
        <v/>
      </c>
      <c r="N1211">
        <f>2*SQRT(L1211/PI())</f>
        <v/>
      </c>
      <c r="P1211" t="inlineStr">
        <is>
          <t>是</t>
        </is>
      </c>
      <c r="Q1211" t="inlineStr">
        <is>
          <t>auto_pipeline;review_png_green</t>
        </is>
      </c>
      <c r="R1211" t="inlineStr">
        <is>
          <t>样品27</t>
        </is>
      </c>
    </row>
    <row r="1212">
      <c r="A1212" t="n">
        <v>1211</v>
      </c>
      <c r="B1212" t="inlineStr">
        <is>
          <t>27 (3).tif</t>
        </is>
      </c>
      <c r="C1212" t="inlineStr">
        <is>
          <t>27(3)-V02</t>
        </is>
      </c>
      <c r="D1212" t="n">
        <v>2</v>
      </c>
      <c r="E1212" t="inlineStr">
        <is>
          <t>primary</t>
        </is>
      </c>
      <c r="F1212" t="n">
        <v>932.2778827977315</v>
      </c>
      <c r="G1212">
        <f>2*SQRT(F1212/PI())</f>
        <v/>
      </c>
      <c r="H1212" t="n">
        <v>114.8294110920118</v>
      </c>
      <c r="I1212" t="n">
        <v>589</v>
      </c>
      <c r="J1212" t="n">
        <v>388</v>
      </c>
      <c r="K1212" t="n">
        <v>913.6323251417768</v>
      </c>
      <c r="L1212" t="n">
        <v>950.9234404536862</v>
      </c>
      <c r="M1212">
        <f>2*SQRT(K1212/PI())</f>
        <v/>
      </c>
      <c r="N1212">
        <f>2*SQRT(L1212/PI())</f>
        <v/>
      </c>
      <c r="P1212" t="inlineStr">
        <is>
          <t>是</t>
        </is>
      </c>
      <c r="Q1212" t="inlineStr">
        <is>
          <t>auto_pipeline;review_png_green</t>
        </is>
      </c>
      <c r="R1212" t="inlineStr">
        <is>
          <t>样品27</t>
        </is>
      </c>
    </row>
    <row r="1213">
      <c r="A1213" t="n">
        <v>1212</v>
      </c>
      <c r="B1213" t="inlineStr">
        <is>
          <t>27 (3).tif</t>
        </is>
      </c>
      <c r="C1213" t="inlineStr">
        <is>
          <t>27(3)-V03</t>
        </is>
      </c>
      <c r="D1213" t="n">
        <v>3</v>
      </c>
      <c r="E1213" t="inlineStr">
        <is>
          <t>primary</t>
        </is>
      </c>
      <c r="F1213" t="n">
        <v>259.8062381852552</v>
      </c>
      <c r="G1213">
        <f>2*SQRT(F1213/PI())</f>
        <v/>
      </c>
      <c r="H1213" t="n">
        <v>62.89583664873372</v>
      </c>
      <c r="I1213" t="n">
        <v>92</v>
      </c>
      <c r="J1213" t="n">
        <v>111</v>
      </c>
      <c r="K1213" t="n">
        <v>254.6101134215501</v>
      </c>
      <c r="L1213" t="n">
        <v>265.0023629489603</v>
      </c>
      <c r="M1213">
        <f>2*SQRT(K1213/PI())</f>
        <v/>
      </c>
      <c r="N1213">
        <f>2*SQRT(L1213/PI())</f>
        <v/>
      </c>
      <c r="P1213" t="inlineStr">
        <is>
          <t>是</t>
        </is>
      </c>
      <c r="Q1213" t="inlineStr">
        <is>
          <t>auto_pipeline;review_png_green</t>
        </is>
      </c>
      <c r="R1213" t="inlineStr">
        <is>
          <t>样品27</t>
        </is>
      </c>
    </row>
    <row r="1214">
      <c r="A1214" t="n">
        <v>1213</v>
      </c>
      <c r="B1214" t="inlineStr">
        <is>
          <t>27 (3).tif</t>
        </is>
      </c>
      <c r="C1214" t="inlineStr">
        <is>
          <t>27(3)-V04</t>
        </is>
      </c>
      <c r="D1214" t="n">
        <v>4</v>
      </c>
      <c r="E1214" t="inlineStr">
        <is>
          <t>primary</t>
        </is>
      </c>
      <c r="F1214" t="n">
        <v>126.1814744801512</v>
      </c>
      <c r="G1214">
        <f>2*SQRT(F1214/PI())</f>
        <v/>
      </c>
      <c r="H1214" t="n">
        <v>44.38402621642403</v>
      </c>
      <c r="I1214" t="n">
        <v>418</v>
      </c>
      <c r="J1214" t="n">
        <v>110</v>
      </c>
      <c r="K1214" t="n">
        <v>123.6578449905482</v>
      </c>
      <c r="L1214" t="n">
        <v>128.7051039697542</v>
      </c>
      <c r="M1214">
        <f>2*SQRT(K1214/PI())</f>
        <v/>
      </c>
      <c r="N1214">
        <f>2*SQRT(L1214/PI())</f>
        <v/>
      </c>
      <c r="P1214" t="inlineStr">
        <is>
          <t>是</t>
        </is>
      </c>
      <c r="Q1214" t="inlineStr">
        <is>
          <t>auto_pipeline;review_png_green</t>
        </is>
      </c>
      <c r="R1214" t="inlineStr">
        <is>
          <t>样品27</t>
        </is>
      </c>
    </row>
    <row r="1215">
      <c r="A1215" t="n">
        <v>1214</v>
      </c>
      <c r="B1215" t="inlineStr">
        <is>
          <t>27 (4).tif</t>
        </is>
      </c>
      <c r="C1215" t="inlineStr">
        <is>
          <t>27(4)-V01</t>
        </is>
      </c>
      <c r="D1215" t="n">
        <v>1</v>
      </c>
      <c r="E1215" t="inlineStr">
        <is>
          <t>primary</t>
        </is>
      </c>
      <c r="F1215" t="n">
        <v>959.2391304347826</v>
      </c>
      <c r="G1215">
        <f>2*SQRT(F1215/PI())</f>
        <v/>
      </c>
      <c r="H1215" t="n">
        <v>116.1865068777748</v>
      </c>
      <c r="I1215" t="n">
        <v>451</v>
      </c>
      <c r="J1215" t="n">
        <v>297</v>
      </c>
      <c r="K1215" t="n">
        <v>940.054347826087</v>
      </c>
      <c r="L1215" t="n">
        <v>978.4239130434783</v>
      </c>
      <c r="M1215">
        <f>2*SQRT(K1215/PI())</f>
        <v/>
      </c>
      <c r="N1215">
        <f>2*SQRT(L1215/PI())</f>
        <v/>
      </c>
      <c r="P1215" t="inlineStr">
        <is>
          <t>是</t>
        </is>
      </c>
      <c r="Q1215" t="inlineStr">
        <is>
          <t>auto_pipeline;review_png_green</t>
        </is>
      </c>
      <c r="R1215" t="inlineStr">
        <is>
          <t>样品27</t>
        </is>
      </c>
    </row>
    <row r="1216">
      <c r="A1216" t="n">
        <v>1215</v>
      </c>
      <c r="B1216" t="inlineStr">
        <is>
          <t>27 (4).tif</t>
        </is>
      </c>
      <c r="C1216" t="inlineStr">
        <is>
          <t>27(4)-V02</t>
        </is>
      </c>
      <c r="D1216" t="n">
        <v>2</v>
      </c>
      <c r="E1216" t="inlineStr">
        <is>
          <t>primary</t>
        </is>
      </c>
      <c r="F1216" t="n">
        <v>626.5595463137996</v>
      </c>
      <c r="G1216">
        <f>2*SQRT(F1216/PI())</f>
        <v/>
      </c>
      <c r="H1216" t="n">
        <v>93.68705604387365</v>
      </c>
      <c r="I1216" t="n">
        <v>582</v>
      </c>
      <c r="J1216" t="n">
        <v>433</v>
      </c>
      <c r="K1216" t="n">
        <v>614.0283553875236</v>
      </c>
      <c r="L1216" t="n">
        <v>639.0907372400757</v>
      </c>
      <c r="M1216">
        <f>2*SQRT(K1216/PI())</f>
        <v/>
      </c>
      <c r="N1216">
        <f>2*SQRT(L1216/PI())</f>
        <v/>
      </c>
      <c r="P1216" t="inlineStr">
        <is>
          <t>是</t>
        </is>
      </c>
      <c r="Q1216" t="inlineStr">
        <is>
          <t>auto_pipeline;review_png_green</t>
        </is>
      </c>
      <c r="R1216" t="inlineStr">
        <is>
          <t>样品27</t>
        </is>
      </c>
    </row>
    <row r="1217">
      <c r="A1217" t="n">
        <v>1216</v>
      </c>
      <c r="B1217" t="inlineStr">
        <is>
          <t>27 (4).tif</t>
        </is>
      </c>
      <c r="C1217" t="inlineStr">
        <is>
          <t>27(4)-V03</t>
        </is>
      </c>
      <c r="D1217" t="n">
        <v>3</v>
      </c>
      <c r="E1217" t="inlineStr">
        <is>
          <t>primary</t>
        </is>
      </c>
      <c r="F1217" t="n">
        <v>452.5047258979206</v>
      </c>
      <c r="G1217">
        <f>2*SQRT(F1217/PI())</f>
        <v/>
      </c>
      <c r="H1217" t="n">
        <v>83.19047544313513</v>
      </c>
      <c r="I1217" t="n">
        <v>203</v>
      </c>
      <c r="J1217" t="n">
        <v>58</v>
      </c>
      <c r="K1217" t="n">
        <v>443.4546313799622</v>
      </c>
      <c r="L1217" t="n">
        <v>461.554820415879</v>
      </c>
      <c r="M1217">
        <f>2*SQRT(K1217/PI())</f>
        <v/>
      </c>
      <c r="N1217">
        <f>2*SQRT(L1217/PI())</f>
        <v/>
      </c>
      <c r="P1217" t="inlineStr">
        <is>
          <t>是</t>
        </is>
      </c>
      <c r="Q1217" t="inlineStr">
        <is>
          <t>auto_pipeline;review_png_green</t>
        </is>
      </c>
      <c r="R1217" t="inlineStr">
        <is>
          <t>样品27</t>
        </is>
      </c>
    </row>
    <row r="1218">
      <c r="A1218" t="n">
        <v>1217</v>
      </c>
      <c r="B1218" t="inlineStr">
        <is>
          <t>27 (4).tif</t>
        </is>
      </c>
      <c r="C1218" t="inlineStr">
        <is>
          <t>27(4)-V04</t>
        </is>
      </c>
      <c r="D1218" t="n">
        <v>4</v>
      </c>
      <c r="E1218" t="inlineStr">
        <is>
          <t>primary</t>
        </is>
      </c>
      <c r="F1218" t="n">
        <v>160.1134215500945</v>
      </c>
      <c r="G1218">
        <f>2*SQRT(F1218/PI())</f>
        <v/>
      </c>
      <c r="H1218" t="n">
        <v>48.94284414208453</v>
      </c>
      <c r="I1218" t="n">
        <v>121</v>
      </c>
      <c r="J1218" t="n">
        <v>159</v>
      </c>
      <c r="K1218" t="n">
        <v>156.9111531190926</v>
      </c>
      <c r="L1218" t="n">
        <v>163.3156899810964</v>
      </c>
      <c r="M1218">
        <f>2*SQRT(K1218/PI())</f>
        <v/>
      </c>
      <c r="N1218">
        <f>2*SQRT(L1218/PI())</f>
        <v/>
      </c>
      <c r="P1218" t="inlineStr">
        <is>
          <t>是</t>
        </is>
      </c>
      <c r="Q1218" t="inlineStr">
        <is>
          <t>auto_pipeline;review_png_green</t>
        </is>
      </c>
      <c r="R1218" t="inlineStr">
        <is>
          <t>样品27</t>
        </is>
      </c>
    </row>
    <row r="1219">
      <c r="A1219" t="n">
        <v>1218</v>
      </c>
      <c r="B1219" t="inlineStr">
        <is>
          <t>27 (5).tif</t>
        </is>
      </c>
      <c r="C1219" t="inlineStr">
        <is>
          <t>27(5)-V01</t>
        </is>
      </c>
      <c r="D1219" t="n">
        <v>1</v>
      </c>
      <c r="E1219" t="inlineStr">
        <is>
          <t>primary</t>
        </is>
      </c>
      <c r="F1219" t="n">
        <v>765.2410207939508</v>
      </c>
      <c r="G1219">
        <f>2*SQRT(F1219/PI())</f>
        <v/>
      </c>
      <c r="H1219" t="n">
        <v>103.9507958422536</v>
      </c>
      <c r="I1219" t="n">
        <v>612</v>
      </c>
      <c r="J1219" t="n">
        <v>408</v>
      </c>
      <c r="K1219" t="n">
        <v>749.9362003780718</v>
      </c>
      <c r="L1219" t="n">
        <v>780.5458412098299</v>
      </c>
      <c r="M1219">
        <f>2*SQRT(K1219/PI())</f>
        <v/>
      </c>
      <c r="N1219">
        <f>2*SQRT(L1219/PI())</f>
        <v/>
      </c>
      <c r="P1219" t="inlineStr">
        <is>
          <t>是</t>
        </is>
      </c>
      <c r="Q1219" t="inlineStr">
        <is>
          <t>auto_pipeline;review_png_green</t>
        </is>
      </c>
      <c r="R1219" t="inlineStr">
        <is>
          <t>样品27</t>
        </is>
      </c>
    </row>
    <row r="1220">
      <c r="A1220" t="n">
        <v>1219</v>
      </c>
      <c r="B1220" t="inlineStr">
        <is>
          <t>27 (5).tif</t>
        </is>
      </c>
      <c r="C1220" t="inlineStr">
        <is>
          <t>27(5)-V02</t>
        </is>
      </c>
      <c r="D1220" t="n">
        <v>2</v>
      </c>
      <c r="E1220" t="inlineStr">
        <is>
          <t>primary</t>
        </is>
      </c>
      <c r="F1220" t="n">
        <v>565.1465028355387</v>
      </c>
      <c r="G1220">
        <f>2*SQRT(F1220/PI())</f>
        <v/>
      </c>
      <c r="H1220" t="n">
        <v>89.6157686865848</v>
      </c>
      <c r="I1220" t="n">
        <v>495</v>
      </c>
      <c r="J1220" t="n">
        <v>594</v>
      </c>
      <c r="K1220" t="n">
        <v>553.8435727788279</v>
      </c>
      <c r="L1220" t="n">
        <v>576.4494328922495</v>
      </c>
      <c r="M1220">
        <f>2*SQRT(K1220/PI())</f>
        <v/>
      </c>
      <c r="N1220">
        <f>2*SQRT(L1220/PI())</f>
        <v/>
      </c>
      <c r="P1220" t="inlineStr">
        <is>
          <t>是</t>
        </is>
      </c>
      <c r="Q1220" t="inlineStr">
        <is>
          <t>auto_pipeline;review_png_green</t>
        </is>
      </c>
      <c r="R1220" t="inlineStr">
        <is>
          <t>样品27</t>
        </is>
      </c>
    </row>
    <row r="1221">
      <c r="A1221" t="n">
        <v>1220</v>
      </c>
      <c r="B1221" t="inlineStr">
        <is>
          <t>27 (5).tif</t>
        </is>
      </c>
      <c r="C1221" t="inlineStr">
        <is>
          <t>27(5)-V03</t>
        </is>
      </c>
      <c r="D1221" t="n">
        <v>3</v>
      </c>
      <c r="E1221" t="inlineStr">
        <is>
          <t>primary</t>
        </is>
      </c>
      <c r="F1221" t="n">
        <v>477.4338374291115</v>
      </c>
      <c r="G1221">
        <f>2*SQRT(F1221/PI())</f>
        <v/>
      </c>
      <c r="H1221" t="n">
        <v>82.44825510875039</v>
      </c>
      <c r="I1221" t="n">
        <v>459</v>
      </c>
      <c r="J1221" t="n">
        <v>326</v>
      </c>
      <c r="K1221" t="n">
        <v>467.8851606805293</v>
      </c>
      <c r="L1221" t="n">
        <v>486.9825141776938</v>
      </c>
      <c r="M1221">
        <f>2*SQRT(K1221/PI())</f>
        <v/>
      </c>
      <c r="N1221">
        <f>2*SQRT(L1221/PI())</f>
        <v/>
      </c>
      <c r="P1221" t="inlineStr">
        <is>
          <t>是</t>
        </is>
      </c>
      <c r="Q1221" t="inlineStr">
        <is>
          <t>auto_pipeline;review_png_green</t>
        </is>
      </c>
      <c r="R1221" t="inlineStr">
        <is>
          <t>样品27</t>
        </is>
      </c>
    </row>
    <row r="1222">
      <c r="A1222" t="n">
        <v>1221</v>
      </c>
      <c r="B1222" t="inlineStr">
        <is>
          <t>27 (5).tif</t>
        </is>
      </c>
      <c r="C1222" t="inlineStr">
        <is>
          <t>27(5)-V04</t>
        </is>
      </c>
      <c r="D1222" t="n">
        <v>4</v>
      </c>
      <c r="E1222" t="inlineStr">
        <is>
          <t>primary</t>
        </is>
      </c>
      <c r="F1222" t="n">
        <v>245.6521739130435</v>
      </c>
      <c r="G1222">
        <f>2*SQRT(F1222/PI())</f>
        <v/>
      </c>
      <c r="H1222" t="n">
        <v>59.58861858948417</v>
      </c>
      <c r="I1222" t="n">
        <v>239</v>
      </c>
      <c r="J1222" t="n">
        <v>384</v>
      </c>
      <c r="K1222" t="n">
        <v>240.7391304347826</v>
      </c>
      <c r="L1222" t="n">
        <v>250.5652173913043</v>
      </c>
      <c r="M1222">
        <f>2*SQRT(K1222/PI())</f>
        <v/>
      </c>
      <c r="N1222">
        <f>2*SQRT(L1222/PI())</f>
        <v/>
      </c>
      <c r="P1222" t="inlineStr">
        <is>
          <t>是</t>
        </is>
      </c>
      <c r="Q1222" t="inlineStr">
        <is>
          <t>auto_pipeline;review_png_green</t>
        </is>
      </c>
      <c r="R1222" t="inlineStr">
        <is>
          <t>样品27</t>
        </is>
      </c>
    </row>
    <row r="1223">
      <c r="A1223" t="n">
        <v>1222</v>
      </c>
      <c r="B1223" t="inlineStr">
        <is>
          <t>27 (5).tif</t>
        </is>
      </c>
      <c r="C1223" t="inlineStr">
        <is>
          <t>27(5)-V05</t>
        </is>
      </c>
      <c r="D1223" t="n">
        <v>5</v>
      </c>
      <c r="E1223" t="inlineStr">
        <is>
          <t>primary</t>
        </is>
      </c>
      <c r="F1223" t="n">
        <v>245.0850661625709</v>
      </c>
      <c r="G1223">
        <f>2*SQRT(F1223/PI())</f>
        <v/>
      </c>
      <c r="H1223" t="n">
        <v>68.94284414208454</v>
      </c>
      <c r="I1223" t="n">
        <v>135</v>
      </c>
      <c r="J1223" t="n">
        <v>610</v>
      </c>
      <c r="K1223" t="n">
        <v>240.1833648393195</v>
      </c>
      <c r="L1223" t="n">
        <v>249.9867674858223</v>
      </c>
      <c r="M1223">
        <f>2*SQRT(K1223/PI())</f>
        <v/>
      </c>
      <c r="N1223">
        <f>2*SQRT(L1223/PI())</f>
        <v/>
      </c>
      <c r="P1223" t="inlineStr">
        <is>
          <t>是</t>
        </is>
      </c>
      <c r="Q1223" t="inlineStr">
        <is>
          <t>auto_pipeline;review_png_green</t>
        </is>
      </c>
      <c r="R1223" t="inlineStr">
        <is>
          <t>样品27</t>
        </is>
      </c>
    </row>
    <row r="1224">
      <c r="A1224" t="n">
        <v>1223</v>
      </c>
      <c r="B1224" t="inlineStr">
        <is>
          <t>27 (5).tif</t>
        </is>
      </c>
      <c r="C1224" t="inlineStr">
        <is>
          <t>27(5)-V06</t>
        </is>
      </c>
      <c r="D1224" t="n">
        <v>6</v>
      </c>
      <c r="E1224" t="inlineStr">
        <is>
          <t>primary</t>
        </is>
      </c>
      <c r="F1224" t="n">
        <v>237.6654064272212</v>
      </c>
      <c r="G1224">
        <f>2*SQRT(F1224/PI())</f>
        <v/>
      </c>
      <c r="H1224" t="n">
        <v>58.97374313810597</v>
      </c>
      <c r="I1224" t="n">
        <v>825</v>
      </c>
      <c r="J1224" t="n">
        <v>45</v>
      </c>
      <c r="K1224" t="n">
        <v>232.9120982986767</v>
      </c>
      <c r="L1224" t="n">
        <v>242.4187145557656</v>
      </c>
      <c r="M1224">
        <f>2*SQRT(K1224/PI())</f>
        <v/>
      </c>
      <c r="N1224">
        <f>2*SQRT(L1224/PI())</f>
        <v/>
      </c>
      <c r="P1224" t="inlineStr">
        <is>
          <t>是</t>
        </is>
      </c>
      <c r="Q1224" t="inlineStr">
        <is>
          <t>auto_pipeline;review_png_green</t>
        </is>
      </c>
      <c r="R1224" t="inlineStr">
        <is>
          <t>样品27</t>
        </is>
      </c>
    </row>
    <row r="1225">
      <c r="A1225" t="n">
        <v>1224</v>
      </c>
      <c r="B1225" t="inlineStr">
        <is>
          <t>27 (6).tif</t>
        </is>
      </c>
      <c r="C1225" t="inlineStr">
        <is>
          <t>27(6)-V01</t>
        </is>
      </c>
      <c r="D1225" t="n">
        <v>1</v>
      </c>
      <c r="E1225" t="inlineStr">
        <is>
          <t>primary</t>
        </is>
      </c>
      <c r="F1225" t="n">
        <v>827.1502835538753</v>
      </c>
      <c r="G1225">
        <f>2*SQRT(F1225/PI())</f>
        <v/>
      </c>
      <c r="H1225" t="n">
        <v>108.4041178485622</v>
      </c>
      <c r="I1225" t="n">
        <v>451</v>
      </c>
      <c r="J1225" t="n">
        <v>321</v>
      </c>
      <c r="K1225" t="n">
        <v>810.6072778827978</v>
      </c>
      <c r="L1225" t="n">
        <v>843.6932892249528</v>
      </c>
      <c r="M1225">
        <f>2*SQRT(K1225/PI())</f>
        <v/>
      </c>
      <c r="N1225">
        <f>2*SQRT(L1225/PI())</f>
        <v/>
      </c>
      <c r="O1225" t="inlineStr">
        <is>
          <t>27(6)-P01</t>
        </is>
      </c>
      <c r="P1225" t="inlineStr">
        <is>
          <t>是</t>
        </is>
      </c>
      <c r="Q1225" t="inlineStr">
        <is>
          <t>auto_pipeline;review_png_green</t>
        </is>
      </c>
      <c r="R1225" t="inlineStr">
        <is>
          <t>样品27</t>
        </is>
      </c>
    </row>
    <row r="1226">
      <c r="A1226" t="n">
        <v>1225</v>
      </c>
      <c r="B1226" t="inlineStr">
        <is>
          <t>27 (6).tif</t>
        </is>
      </c>
      <c r="C1226" t="inlineStr">
        <is>
          <t>27(6)-V02</t>
        </is>
      </c>
      <c r="D1226" t="n">
        <v>2</v>
      </c>
      <c r="E1226" t="inlineStr">
        <is>
          <t>primary</t>
        </is>
      </c>
      <c r="F1226" t="n">
        <v>767.1077504725898</v>
      </c>
      <c r="G1226">
        <f>2*SQRT(F1226/PI())</f>
        <v/>
      </c>
      <c r="H1226" t="n">
        <v>104.3328304912733</v>
      </c>
      <c r="I1226" t="n">
        <v>377</v>
      </c>
      <c r="J1226" t="n">
        <v>549</v>
      </c>
      <c r="K1226" t="n">
        <v>751.765595463138</v>
      </c>
      <c r="L1226" t="n">
        <v>782.4499054820417</v>
      </c>
      <c r="M1226">
        <f>2*SQRT(K1226/PI())</f>
        <v/>
      </c>
      <c r="N1226">
        <f>2*SQRT(L1226/PI())</f>
        <v/>
      </c>
      <c r="P1226" t="inlineStr">
        <is>
          <t>是</t>
        </is>
      </c>
      <c r="Q1226" t="inlineStr">
        <is>
          <t>auto_pipeline;review_png_green</t>
        </is>
      </c>
      <c r="R1226" t="inlineStr">
        <is>
          <t>样品27</t>
        </is>
      </c>
    </row>
    <row r="1227">
      <c r="A1227" t="n">
        <v>1226</v>
      </c>
      <c r="B1227" t="inlineStr">
        <is>
          <t>27 (6).tif</t>
        </is>
      </c>
      <c r="C1227" t="inlineStr">
        <is>
          <t>27(6)-V03</t>
        </is>
      </c>
      <c r="D1227" t="n">
        <v>3</v>
      </c>
      <c r="E1227" t="inlineStr">
        <is>
          <t>primary</t>
        </is>
      </c>
      <c r="F1227" t="n">
        <v>642.5094517958412</v>
      </c>
      <c r="G1227">
        <f>2*SQRT(F1227/PI())</f>
        <v/>
      </c>
      <c r="H1227" t="n">
        <v>95.29884159564972</v>
      </c>
      <c r="I1227" t="n">
        <v>372</v>
      </c>
      <c r="J1227" t="n">
        <v>94</v>
      </c>
      <c r="K1227" t="n">
        <v>629.6592627599243</v>
      </c>
      <c r="L1227" t="n">
        <v>655.359640831758</v>
      </c>
      <c r="M1227">
        <f>2*SQRT(K1227/PI())</f>
        <v/>
      </c>
      <c r="N1227">
        <f>2*SQRT(L1227/PI())</f>
        <v/>
      </c>
      <c r="P1227" t="inlineStr">
        <is>
          <t>是</t>
        </is>
      </c>
      <c r="Q1227" t="inlineStr">
        <is>
          <t>auto_pipeline;review_png_green</t>
        </is>
      </c>
      <c r="R1227" t="inlineStr">
        <is>
          <t>样品27</t>
        </is>
      </c>
    </row>
    <row r="1228">
      <c r="A1228" t="n">
        <v>1227</v>
      </c>
      <c r="B1228" t="inlineStr">
        <is>
          <t>27 (6).tif</t>
        </is>
      </c>
      <c r="C1228" t="inlineStr">
        <is>
          <t>27(6)-V04</t>
        </is>
      </c>
      <c r="D1228" t="n">
        <v>4</v>
      </c>
      <c r="E1228" t="inlineStr">
        <is>
          <t>primary</t>
        </is>
      </c>
      <c r="F1228" t="n">
        <v>634.7117202268431</v>
      </c>
      <c r="G1228">
        <f>2*SQRT(F1228/PI())</f>
        <v/>
      </c>
      <c r="H1228" t="n">
        <v>95.91371704702792</v>
      </c>
      <c r="I1228" t="n">
        <v>904</v>
      </c>
      <c r="J1228" t="n">
        <v>347</v>
      </c>
      <c r="K1228" t="n">
        <v>622.0174858223062</v>
      </c>
      <c r="L1228" t="n">
        <v>647.40595463138</v>
      </c>
      <c r="M1228">
        <f>2*SQRT(K1228/PI())</f>
        <v/>
      </c>
      <c r="N1228">
        <f>2*SQRT(L1228/PI())</f>
        <v/>
      </c>
      <c r="P1228" t="inlineStr">
        <is>
          <t>是</t>
        </is>
      </c>
      <c r="Q1228" t="inlineStr">
        <is>
          <t>auto_pipeline;review_png_green</t>
        </is>
      </c>
      <c r="R1228" t="inlineStr">
        <is>
          <t>样品27</t>
        </is>
      </c>
    </row>
    <row r="1229">
      <c r="A1229" t="n">
        <v>1228</v>
      </c>
      <c r="B1229" t="inlineStr">
        <is>
          <t>27 (6).tif</t>
        </is>
      </c>
      <c r="C1229" t="inlineStr">
        <is>
          <t>27(6)-V05</t>
        </is>
      </c>
      <c r="D1229" t="n">
        <v>5</v>
      </c>
      <c r="E1229" t="inlineStr">
        <is>
          <t>primary</t>
        </is>
      </c>
      <c r="F1229" t="n">
        <v>550.6852551984878</v>
      </c>
      <c r="G1229">
        <f>2*SQRT(F1229/PI())</f>
        <v/>
      </c>
      <c r="H1229" t="n">
        <v>89.1063891545586</v>
      </c>
      <c r="I1229" t="n">
        <v>208</v>
      </c>
      <c r="J1229" t="n">
        <v>440</v>
      </c>
      <c r="K1229" t="n">
        <v>539.671550094518</v>
      </c>
      <c r="L1229" t="n">
        <v>561.6989603024575</v>
      </c>
      <c r="M1229">
        <f>2*SQRT(K1229/PI())</f>
        <v/>
      </c>
      <c r="N1229">
        <f>2*SQRT(L1229/PI())</f>
        <v/>
      </c>
      <c r="P1229" t="inlineStr">
        <is>
          <t>是</t>
        </is>
      </c>
      <c r="Q1229" t="inlineStr">
        <is>
          <t>auto_pipeline;review_png_green</t>
        </is>
      </c>
      <c r="R1229" t="inlineStr">
        <is>
          <t>样品27</t>
        </is>
      </c>
    </row>
    <row r="1230">
      <c r="A1230" t="n">
        <v>1229</v>
      </c>
      <c r="B1230" t="inlineStr">
        <is>
          <t>27 (6).tif</t>
        </is>
      </c>
      <c r="C1230" t="inlineStr">
        <is>
          <t>27(6)-V06</t>
        </is>
      </c>
      <c r="D1230" t="n">
        <v>6</v>
      </c>
      <c r="E1230" t="inlineStr">
        <is>
          <t>primary</t>
        </is>
      </c>
      <c r="F1230" t="n">
        <v>375.7561436672968</v>
      </c>
      <c r="G1230">
        <f>2*SQRT(F1230/PI())</f>
        <v/>
      </c>
      <c r="H1230" t="n">
        <v>73.05408052776171</v>
      </c>
      <c r="I1230" t="n">
        <v>552</v>
      </c>
      <c r="J1230" t="n">
        <v>443</v>
      </c>
      <c r="K1230" t="n">
        <v>368.2410207939508</v>
      </c>
      <c r="L1230" t="n">
        <v>383.2712665406427</v>
      </c>
      <c r="M1230">
        <f>2*SQRT(K1230/PI())</f>
        <v/>
      </c>
      <c r="N1230">
        <f>2*SQRT(L1230/PI())</f>
        <v/>
      </c>
      <c r="O1230" t="inlineStr">
        <is>
          <t>27(6)-P01</t>
        </is>
      </c>
      <c r="P1230" t="inlineStr">
        <is>
          <t>是</t>
        </is>
      </c>
      <c r="Q1230" t="inlineStr">
        <is>
          <t>auto_pipeline;review_png_green</t>
        </is>
      </c>
      <c r="R1230" t="inlineStr">
        <is>
          <t>样品27</t>
        </is>
      </c>
    </row>
    <row r="1231">
      <c r="A1231" t="n">
        <v>1230</v>
      </c>
      <c r="B1231" t="inlineStr">
        <is>
          <t>27 (6).tif</t>
        </is>
      </c>
      <c r="C1231" t="inlineStr">
        <is>
          <t>27(6)-V07</t>
        </is>
      </c>
      <c r="D1231" t="n">
        <v>7</v>
      </c>
      <c r="E1231" t="inlineStr">
        <is>
          <t>primary</t>
        </is>
      </c>
      <c r="F1231" t="n">
        <v>282.2542533081286</v>
      </c>
      <c r="G1231">
        <f>2*SQRT(F1231/PI())</f>
        <v/>
      </c>
      <c r="H1231" t="n">
        <v>66.11940775228584</v>
      </c>
      <c r="I1231" t="n">
        <v>389</v>
      </c>
      <c r="J1231" t="n">
        <v>517</v>
      </c>
      <c r="K1231" t="n">
        <v>276.609168241966</v>
      </c>
      <c r="L1231" t="n">
        <v>287.8993383742911</v>
      </c>
      <c r="M1231">
        <f>2*SQRT(K1231/PI())</f>
        <v/>
      </c>
      <c r="N1231">
        <f>2*SQRT(L1231/PI())</f>
        <v/>
      </c>
      <c r="P1231" t="inlineStr">
        <is>
          <t>是</t>
        </is>
      </c>
      <c r="Q1231" t="inlineStr">
        <is>
          <t>auto_pipeline;review_png_green</t>
        </is>
      </c>
      <c r="R1231" t="inlineStr">
        <is>
          <t>样品27</t>
        </is>
      </c>
    </row>
    <row r="1232">
      <c r="A1232" t="n">
        <v>1231</v>
      </c>
      <c r="B1232" t="inlineStr">
        <is>
          <t>27 (6).tif</t>
        </is>
      </c>
      <c r="C1232" t="inlineStr">
        <is>
          <t>27(6)-V08</t>
        </is>
      </c>
      <c r="D1232" t="n">
        <v>8</v>
      </c>
      <c r="E1232" t="inlineStr">
        <is>
          <t>primary</t>
        </is>
      </c>
      <c r="F1232" t="n">
        <v>218.8090737240076</v>
      </c>
      <c r="G1232">
        <f>2*SQRT(F1232/PI())</f>
        <v/>
      </c>
      <c r="H1232" t="n">
        <v>56.72523317129716</v>
      </c>
      <c r="I1232" t="n">
        <v>719</v>
      </c>
      <c r="J1232" t="n">
        <v>448</v>
      </c>
      <c r="K1232" t="n">
        <v>214.4328922495274</v>
      </c>
      <c r="L1232" t="n">
        <v>223.1852551984877</v>
      </c>
      <c r="M1232">
        <f>2*SQRT(K1232/PI())</f>
        <v/>
      </c>
      <c r="N1232">
        <f>2*SQRT(L1232/PI())</f>
        <v/>
      </c>
      <c r="P1232" t="inlineStr">
        <is>
          <t>是</t>
        </is>
      </c>
      <c r="Q1232" t="inlineStr">
        <is>
          <t>auto_pipeline;review_png_green</t>
        </is>
      </c>
      <c r="R1232" t="inlineStr">
        <is>
          <t>样品27</t>
        </is>
      </c>
    </row>
    <row r="1233">
      <c r="A1233" t="n">
        <v>1232</v>
      </c>
      <c r="B1233" t="inlineStr">
        <is>
          <t>27 (6).tif</t>
        </is>
      </c>
      <c r="C1233" t="inlineStr">
        <is>
          <t>27(6)-V09</t>
        </is>
      </c>
      <c r="D1233" t="n">
        <v>9</v>
      </c>
      <c r="E1233" t="inlineStr">
        <is>
          <t>primary</t>
        </is>
      </c>
      <c r="F1233" t="n">
        <v>106.2618147448015</v>
      </c>
      <c r="G1233">
        <f>2*SQRT(F1233/PI())</f>
        <v/>
      </c>
      <c r="H1233" t="n">
        <v>51.12580721792968</v>
      </c>
      <c r="I1233" t="n">
        <v>428</v>
      </c>
      <c r="J1233" t="n">
        <v>418</v>
      </c>
      <c r="K1233" t="n">
        <v>104.1365784499055</v>
      </c>
      <c r="L1233" t="n">
        <v>108.3870510396975</v>
      </c>
      <c r="M1233">
        <f>2*SQRT(K1233/PI())</f>
        <v/>
      </c>
      <c r="N1233">
        <f>2*SQRT(L1233/PI())</f>
        <v/>
      </c>
      <c r="P1233" t="inlineStr">
        <is>
          <t>是</t>
        </is>
      </c>
      <c r="Q1233" t="inlineStr">
        <is>
          <t>auto_pipeline;review_png_green</t>
        </is>
      </c>
      <c r="R1233" t="inlineStr">
        <is>
          <t>样品27</t>
        </is>
      </c>
    </row>
    <row r="1234">
      <c r="A1234" t="n">
        <v>1233</v>
      </c>
      <c r="B1234" t="inlineStr">
        <is>
          <t>27 (7).tif</t>
        </is>
      </c>
      <c r="C1234" t="inlineStr">
        <is>
          <t>27(7)-V01</t>
        </is>
      </c>
      <c r="D1234" t="n">
        <v>1</v>
      </c>
      <c r="E1234" t="inlineStr">
        <is>
          <t>primary</t>
        </is>
      </c>
      <c r="F1234" t="n">
        <v>1158.199432892249</v>
      </c>
      <c r="G1234">
        <f>2*SQRT(F1234/PI())</f>
        <v/>
      </c>
      <c r="H1234" t="n">
        <v>128.1675281472828</v>
      </c>
      <c r="I1234" t="n">
        <v>668</v>
      </c>
      <c r="J1234" t="n">
        <v>289</v>
      </c>
      <c r="K1234" t="n">
        <v>1135.035444234404</v>
      </c>
      <c r="L1234" t="n">
        <v>1181.363421550094</v>
      </c>
      <c r="M1234">
        <f>2*SQRT(K1234/PI())</f>
        <v/>
      </c>
      <c r="N1234">
        <f>2*SQRT(L1234/PI())</f>
        <v/>
      </c>
      <c r="P1234" t="inlineStr">
        <is>
          <t>是</t>
        </is>
      </c>
      <c r="Q1234" t="inlineStr">
        <is>
          <t>auto_pipeline;review_png_green</t>
        </is>
      </c>
      <c r="R1234" t="inlineStr">
        <is>
          <t>样品27</t>
        </is>
      </c>
    </row>
    <row r="1235">
      <c r="A1235" t="n">
        <v>1234</v>
      </c>
      <c r="B1235" t="inlineStr">
        <is>
          <t>27 (7).tif</t>
        </is>
      </c>
      <c r="C1235" t="inlineStr">
        <is>
          <t>27(7)-V02</t>
        </is>
      </c>
      <c r="D1235" t="n">
        <v>2</v>
      </c>
      <c r="E1235" t="inlineStr">
        <is>
          <t>primary</t>
        </is>
      </c>
      <c r="F1235" t="n">
        <v>718.241965973535</v>
      </c>
      <c r="G1235">
        <f>2*SQRT(F1235/PI())</f>
        <v/>
      </c>
      <c r="H1235" t="n">
        <v>104.7985120959904</v>
      </c>
      <c r="I1235" t="n">
        <v>522</v>
      </c>
      <c r="J1235" t="n">
        <v>397</v>
      </c>
      <c r="K1235" t="n">
        <v>703.8771266540643</v>
      </c>
      <c r="L1235" t="n">
        <v>732.6068052930057</v>
      </c>
      <c r="M1235">
        <f>2*SQRT(K1235/PI())</f>
        <v/>
      </c>
      <c r="N1235">
        <f>2*SQRT(L1235/PI())</f>
        <v/>
      </c>
      <c r="P1235" t="inlineStr">
        <is>
          <t>是</t>
        </is>
      </c>
      <c r="Q1235" t="inlineStr">
        <is>
          <t>auto_pipeline;review_png_green</t>
        </is>
      </c>
      <c r="R1235" t="inlineStr">
        <is>
          <t>样品27</t>
        </is>
      </c>
    </row>
    <row r="1236">
      <c r="A1236" t="n">
        <v>1235</v>
      </c>
      <c r="B1236" t="inlineStr">
        <is>
          <t>27 (7).tif</t>
        </is>
      </c>
      <c r="C1236" t="inlineStr">
        <is>
          <t>27(7)-V03</t>
        </is>
      </c>
      <c r="D1236" t="n">
        <v>3</v>
      </c>
      <c r="E1236" t="inlineStr">
        <is>
          <t>primary</t>
        </is>
      </c>
      <c r="F1236" t="n">
        <v>612.1219281663516</v>
      </c>
      <c r="G1236">
        <f>2*SQRT(F1236/PI())</f>
        <v/>
      </c>
      <c r="H1236" t="n">
        <v>97.71464547385339</v>
      </c>
      <c r="I1236" t="n">
        <v>416</v>
      </c>
      <c r="J1236" t="n">
        <v>480</v>
      </c>
      <c r="K1236" t="n">
        <v>599.8794896030246</v>
      </c>
      <c r="L1236" t="n">
        <v>624.3643667296786</v>
      </c>
      <c r="M1236">
        <f>2*SQRT(K1236/PI())</f>
        <v/>
      </c>
      <c r="N1236">
        <f>2*SQRT(L1236/PI())</f>
        <v/>
      </c>
      <c r="P1236" t="inlineStr">
        <is>
          <t>是</t>
        </is>
      </c>
      <c r="Q1236" t="inlineStr">
        <is>
          <t>auto_pipeline;review_png_green</t>
        </is>
      </c>
      <c r="R1236" t="inlineStr">
        <is>
          <t>样品27</t>
        </is>
      </c>
    </row>
    <row r="1237">
      <c r="A1237" t="n">
        <v>1236</v>
      </c>
      <c r="B1237" t="inlineStr">
        <is>
          <t>27 (7).tif</t>
        </is>
      </c>
      <c r="C1237" t="inlineStr">
        <is>
          <t>27(7)-V04</t>
        </is>
      </c>
      <c r="D1237" t="n">
        <v>4</v>
      </c>
      <c r="E1237" t="inlineStr">
        <is>
          <t>primary</t>
        </is>
      </c>
      <c r="F1237" t="n">
        <v>303.9697542533081</v>
      </c>
      <c r="G1237">
        <f>2*SQRT(F1237/PI())</f>
        <v/>
      </c>
      <c r="H1237" t="n">
        <v>67.62569738470989</v>
      </c>
      <c r="I1237" t="n">
        <v>100</v>
      </c>
      <c r="J1237" t="n">
        <v>301</v>
      </c>
      <c r="K1237" t="n">
        <v>297.890359168242</v>
      </c>
      <c r="L1237" t="n">
        <v>310.0491493383743</v>
      </c>
      <c r="M1237">
        <f>2*SQRT(K1237/PI())</f>
        <v/>
      </c>
      <c r="N1237">
        <f>2*SQRT(L1237/PI())</f>
        <v/>
      </c>
      <c r="P1237" t="inlineStr">
        <is>
          <t>是</t>
        </is>
      </c>
      <c r="Q1237" t="inlineStr">
        <is>
          <t>auto_pipeline;review_png_green</t>
        </is>
      </c>
      <c r="R1237" t="inlineStr">
        <is>
          <t>样品27</t>
        </is>
      </c>
    </row>
    <row r="1238">
      <c r="A1238" t="n">
        <v>1237</v>
      </c>
      <c r="B1238" t="inlineStr">
        <is>
          <t>28 (2).tif</t>
        </is>
      </c>
      <c r="C1238" t="inlineStr">
        <is>
          <t>28(2)-V01</t>
        </is>
      </c>
      <c r="D1238" t="n">
        <v>1</v>
      </c>
      <c r="E1238" t="inlineStr">
        <is>
          <t>primary</t>
        </is>
      </c>
      <c r="F1238" t="n">
        <v>773.2514177693762</v>
      </c>
      <c r="G1238">
        <f>2*SQRT(F1238/PI())</f>
        <v/>
      </c>
      <c r="H1238" t="n">
        <v>104.6930161766384</v>
      </c>
      <c r="I1238" t="n">
        <v>500</v>
      </c>
      <c r="J1238" t="n">
        <v>440</v>
      </c>
      <c r="K1238" t="n">
        <v>757.7863894139887</v>
      </c>
      <c r="L1238" t="n">
        <v>788.7164461247637</v>
      </c>
      <c r="M1238">
        <f>2*SQRT(K1238/PI())</f>
        <v/>
      </c>
      <c r="N1238">
        <f>2*SQRT(L1238/PI())</f>
        <v/>
      </c>
      <c r="O1238" t="inlineStr">
        <is>
          <t>28(2)-P01</t>
        </is>
      </c>
      <c r="P1238" t="inlineStr">
        <is>
          <t>是</t>
        </is>
      </c>
      <c r="Q1238" t="inlineStr">
        <is>
          <t>auto_pipeline;review_png_green</t>
        </is>
      </c>
      <c r="R1238" t="inlineStr">
        <is>
          <t>样品28</t>
        </is>
      </c>
    </row>
    <row r="1239">
      <c r="A1239" t="n">
        <v>1238</v>
      </c>
      <c r="B1239" t="inlineStr">
        <is>
          <t>28 (2).tif</t>
        </is>
      </c>
      <c r="C1239" t="inlineStr">
        <is>
          <t>28(2)-V02</t>
        </is>
      </c>
      <c r="D1239" t="n">
        <v>2</v>
      </c>
      <c r="E1239" t="inlineStr">
        <is>
          <t>primary</t>
        </is>
      </c>
      <c r="F1239" t="n">
        <v>555.1984877126654</v>
      </c>
      <c r="G1239">
        <f>2*SQRT(F1239/PI())</f>
        <v/>
      </c>
      <c r="H1239" t="n">
        <v>89.84860948894335</v>
      </c>
      <c r="I1239" t="n">
        <v>450</v>
      </c>
      <c r="J1239" t="n">
        <v>276</v>
      </c>
      <c r="K1239" t="n">
        <v>544.0945179584121</v>
      </c>
      <c r="L1239" t="n">
        <v>566.3024574669187</v>
      </c>
      <c r="M1239">
        <f>2*SQRT(K1239/PI())</f>
        <v/>
      </c>
      <c r="N1239">
        <f>2*SQRT(L1239/PI())</f>
        <v/>
      </c>
      <c r="O1239" t="inlineStr">
        <is>
          <t>28(2)-P01</t>
        </is>
      </c>
      <c r="P1239" t="inlineStr">
        <is>
          <t>是</t>
        </is>
      </c>
      <c r="Q1239" t="inlineStr">
        <is>
          <t>auto_pipeline;review_png_green</t>
        </is>
      </c>
      <c r="R1239" t="inlineStr">
        <is>
          <t>样品28</t>
        </is>
      </c>
    </row>
    <row r="1240">
      <c r="A1240" t="n">
        <v>1239</v>
      </c>
      <c r="B1240" t="inlineStr">
        <is>
          <t>28 (3).tif</t>
        </is>
      </c>
      <c r="C1240" t="inlineStr">
        <is>
          <t>28(3)-V01</t>
        </is>
      </c>
      <c r="D1240" t="n">
        <v>1</v>
      </c>
      <c r="E1240" t="inlineStr">
        <is>
          <t>primary</t>
        </is>
      </c>
      <c r="F1240" t="n">
        <v>812.8780718336484</v>
      </c>
      <c r="G1240">
        <f>2*SQRT(F1240/PI())</f>
        <v/>
      </c>
      <c r="H1240" t="n">
        <v>108.0439321631971</v>
      </c>
      <c r="I1240" t="n">
        <v>487</v>
      </c>
      <c r="J1240" t="n">
        <v>442</v>
      </c>
      <c r="K1240" t="n">
        <v>796.6205103969754</v>
      </c>
      <c r="L1240" t="n">
        <v>829.1356332703214</v>
      </c>
      <c r="M1240">
        <f>2*SQRT(K1240/PI())</f>
        <v/>
      </c>
      <c r="N1240">
        <f>2*SQRT(L1240/PI())</f>
        <v/>
      </c>
      <c r="O1240" t="inlineStr">
        <is>
          <t>28(3)-P01</t>
        </is>
      </c>
      <c r="P1240" t="inlineStr">
        <is>
          <t>是</t>
        </is>
      </c>
      <c r="Q1240" t="inlineStr">
        <is>
          <t>auto_pipeline;review_png_green</t>
        </is>
      </c>
      <c r="R1240" t="inlineStr">
        <is>
          <t>样品28</t>
        </is>
      </c>
    </row>
    <row r="1241">
      <c r="A1241" t="n">
        <v>1240</v>
      </c>
      <c r="B1241" t="inlineStr">
        <is>
          <t>28 (3).tif</t>
        </is>
      </c>
      <c r="C1241" t="inlineStr">
        <is>
          <t>28(3)-V02</t>
        </is>
      </c>
      <c r="D1241" t="n">
        <v>2</v>
      </c>
      <c r="E1241" t="inlineStr">
        <is>
          <t>primary</t>
        </is>
      </c>
      <c r="F1241" t="n">
        <v>757.1361058601134</v>
      </c>
      <c r="G1241">
        <f>2*SQRT(F1241/PI())</f>
        <v/>
      </c>
      <c r="H1241" t="n">
        <v>104.1836366446122</v>
      </c>
      <c r="I1241" t="n">
        <v>852</v>
      </c>
      <c r="J1241" t="n">
        <v>570</v>
      </c>
      <c r="K1241" t="n">
        <v>741.9933837429111</v>
      </c>
      <c r="L1241" t="n">
        <v>772.2788279773157</v>
      </c>
      <c r="M1241">
        <f>2*SQRT(K1241/PI())</f>
        <v/>
      </c>
      <c r="N1241">
        <f>2*SQRT(L1241/PI())</f>
        <v/>
      </c>
      <c r="P1241" t="inlineStr">
        <is>
          <t>是</t>
        </is>
      </c>
      <c r="Q1241" t="inlineStr">
        <is>
          <t>auto_pipeline;review_png_green</t>
        </is>
      </c>
      <c r="R1241" t="inlineStr">
        <is>
          <t>样品28</t>
        </is>
      </c>
    </row>
    <row r="1242">
      <c r="A1242" t="n">
        <v>1241</v>
      </c>
      <c r="B1242" t="inlineStr">
        <is>
          <t>28 (3).tif</t>
        </is>
      </c>
      <c r="C1242" t="inlineStr">
        <is>
          <t>28(3)-V03</t>
        </is>
      </c>
      <c r="D1242" t="n">
        <v>3</v>
      </c>
      <c r="E1242" t="inlineStr">
        <is>
          <t>primary</t>
        </is>
      </c>
      <c r="F1242" t="n">
        <v>577.9773156899811</v>
      </c>
      <c r="G1242">
        <f>2*SQRT(F1242/PI())</f>
        <v/>
      </c>
      <c r="H1242" t="n">
        <v>90.35798902096955</v>
      </c>
      <c r="I1242" t="n">
        <v>510</v>
      </c>
      <c r="J1242" t="n">
        <v>269</v>
      </c>
      <c r="K1242" t="n">
        <v>566.4177693761815</v>
      </c>
      <c r="L1242" t="n">
        <v>589.5368620037807</v>
      </c>
      <c r="M1242">
        <f>2*SQRT(K1242/PI())</f>
        <v/>
      </c>
      <c r="N1242">
        <f>2*SQRT(L1242/PI())</f>
        <v/>
      </c>
      <c r="O1242" t="inlineStr">
        <is>
          <t>28(3)-P01</t>
        </is>
      </c>
      <c r="P1242" t="inlineStr">
        <is>
          <t>是</t>
        </is>
      </c>
      <c r="Q1242" t="inlineStr">
        <is>
          <t>auto_pipeline;review_png_green</t>
        </is>
      </c>
      <c r="R1242" t="inlineStr">
        <is>
          <t>样品28</t>
        </is>
      </c>
    </row>
    <row r="1243">
      <c r="A1243" t="n">
        <v>1242</v>
      </c>
      <c r="B1243" t="inlineStr">
        <is>
          <t>28 (3).tif</t>
        </is>
      </c>
      <c r="C1243" t="inlineStr">
        <is>
          <t>28(3)-V04</t>
        </is>
      </c>
      <c r="D1243" t="n">
        <v>4</v>
      </c>
      <c r="E1243" t="inlineStr">
        <is>
          <t>primary</t>
        </is>
      </c>
      <c r="F1243" t="n">
        <v>342.367674858223</v>
      </c>
      <c r="G1243">
        <f>2*SQRT(F1243/PI())</f>
        <v/>
      </c>
      <c r="H1243" t="n">
        <v>73.90179678149845</v>
      </c>
      <c r="I1243" t="n">
        <v>337</v>
      </c>
      <c r="J1243" t="n">
        <v>107</v>
      </c>
      <c r="K1243" t="n">
        <v>335.5203213610586</v>
      </c>
      <c r="L1243" t="n">
        <v>349.2150283553875</v>
      </c>
      <c r="M1243">
        <f>2*SQRT(K1243/PI())</f>
        <v/>
      </c>
      <c r="N1243">
        <f>2*SQRT(L1243/PI())</f>
        <v/>
      </c>
      <c r="P1243" t="inlineStr">
        <is>
          <t>是</t>
        </is>
      </c>
      <c r="Q1243" t="inlineStr">
        <is>
          <t>auto_pipeline;review_png_green</t>
        </is>
      </c>
      <c r="R1243" t="inlineStr">
        <is>
          <t>样品28</t>
        </is>
      </c>
    </row>
    <row r="1244">
      <c r="A1244" t="n">
        <v>1243</v>
      </c>
      <c r="B1244" t="inlineStr">
        <is>
          <t>28 (4).tif</t>
        </is>
      </c>
      <c r="C1244" t="inlineStr">
        <is>
          <t>28(4)-V01</t>
        </is>
      </c>
      <c r="D1244" t="n">
        <v>1</v>
      </c>
      <c r="E1244" t="inlineStr">
        <is>
          <t>primary</t>
        </is>
      </c>
      <c r="F1244" t="n">
        <v>546.17202268431</v>
      </c>
      <c r="G1244">
        <f>2*SQRT(F1244/PI())</f>
        <v/>
      </c>
      <c r="H1244" t="n">
        <v>88.36416882017384</v>
      </c>
      <c r="I1244" t="n">
        <v>555</v>
      </c>
      <c r="J1244" t="n">
        <v>287</v>
      </c>
      <c r="K1244" t="n">
        <v>535.2485822306238</v>
      </c>
      <c r="L1244" t="n">
        <v>557.0954631379963</v>
      </c>
      <c r="M1244">
        <f>2*SQRT(K1244/PI())</f>
        <v/>
      </c>
      <c r="N1244">
        <f>2*SQRT(L1244/PI())</f>
        <v/>
      </c>
      <c r="P1244" t="inlineStr">
        <is>
          <t>是</t>
        </is>
      </c>
      <c r="Q1244" t="inlineStr">
        <is>
          <t>auto_pipeline;review_png_green</t>
        </is>
      </c>
      <c r="R1244" t="inlineStr">
        <is>
          <t>样品28</t>
        </is>
      </c>
    </row>
    <row r="1245">
      <c r="A1245" t="n">
        <v>1244</v>
      </c>
      <c r="B1245" t="inlineStr">
        <is>
          <t>28 (4).tif</t>
        </is>
      </c>
      <c r="C1245" t="inlineStr">
        <is>
          <t>28(4)-V02</t>
        </is>
      </c>
      <c r="D1245" t="n">
        <v>2</v>
      </c>
      <c r="E1245" t="inlineStr">
        <is>
          <t>primary</t>
        </is>
      </c>
      <c r="F1245" t="n">
        <v>176.0869565217391</v>
      </c>
      <c r="G1245">
        <f>2*SQRT(F1245/PI())</f>
        <v/>
      </c>
      <c r="H1245" t="n">
        <v>50.06709912548894</v>
      </c>
      <c r="I1245" t="n">
        <v>787</v>
      </c>
      <c r="J1245" t="n">
        <v>211</v>
      </c>
      <c r="K1245" t="n">
        <v>172.5652173913043</v>
      </c>
      <c r="L1245" t="n">
        <v>179.6086956521739</v>
      </c>
      <c r="M1245">
        <f>2*SQRT(K1245/PI())</f>
        <v/>
      </c>
      <c r="N1245">
        <f>2*SQRT(L1245/PI())</f>
        <v/>
      </c>
      <c r="P1245" t="inlineStr">
        <is>
          <t>是</t>
        </is>
      </c>
      <c r="Q1245" t="inlineStr">
        <is>
          <t>auto_pipeline;review_png_green</t>
        </is>
      </c>
      <c r="R1245" t="inlineStr">
        <is>
          <t>样品28</t>
        </is>
      </c>
    </row>
    <row r="1246">
      <c r="A1246" t="n">
        <v>1245</v>
      </c>
      <c r="B1246" t="inlineStr">
        <is>
          <t>28 (5).tif</t>
        </is>
      </c>
      <c r="C1246" t="inlineStr">
        <is>
          <t>28(5)-V01</t>
        </is>
      </c>
      <c r="D1246" t="n">
        <v>1</v>
      </c>
      <c r="E1246" t="inlineStr">
        <is>
          <t>primary</t>
        </is>
      </c>
      <c r="F1246" t="n">
        <v>477.3393194706994</v>
      </c>
      <c r="G1246">
        <f>2*SQRT(F1246/PI())</f>
        <v/>
      </c>
      <c r="H1246" t="n">
        <v>84.29288146288498</v>
      </c>
      <c r="I1246" t="n">
        <v>416</v>
      </c>
      <c r="J1246" t="n">
        <v>417</v>
      </c>
      <c r="K1246" t="n">
        <v>467.7925330812854</v>
      </c>
      <c r="L1246" t="n">
        <v>486.8861058601134</v>
      </c>
      <c r="M1246">
        <f>2*SQRT(K1246/PI())</f>
        <v/>
      </c>
      <c r="N1246">
        <f>2*SQRT(L1246/PI())</f>
        <v/>
      </c>
      <c r="P1246" t="inlineStr">
        <is>
          <t>是</t>
        </is>
      </c>
      <c r="Q1246" t="inlineStr">
        <is>
          <t>auto_pipeline;review_png_green</t>
        </is>
      </c>
      <c r="R1246" t="inlineStr">
        <is>
          <t>样品28</t>
        </is>
      </c>
    </row>
    <row r="1247">
      <c r="A1247" t="n">
        <v>1246</v>
      </c>
      <c r="B1247" t="inlineStr">
        <is>
          <t>28 (5).tif</t>
        </is>
      </c>
      <c r="C1247" t="inlineStr">
        <is>
          <t>28(5)-V02</t>
        </is>
      </c>
      <c r="D1247" t="n">
        <v>2</v>
      </c>
      <c r="E1247" t="inlineStr">
        <is>
          <t>primary</t>
        </is>
      </c>
      <c r="F1247" t="n">
        <v>178.1190926275993</v>
      </c>
      <c r="G1247">
        <f>2*SQRT(F1247/PI())</f>
        <v/>
      </c>
      <c r="H1247" t="n">
        <v>52.93048454367596</v>
      </c>
      <c r="I1247" t="n">
        <v>150</v>
      </c>
      <c r="J1247" t="n">
        <v>312</v>
      </c>
      <c r="K1247" t="n">
        <v>174.5567107750473</v>
      </c>
      <c r="L1247" t="n">
        <v>181.6814744801513</v>
      </c>
      <c r="M1247">
        <f>2*SQRT(K1247/PI())</f>
        <v/>
      </c>
      <c r="N1247">
        <f>2*SQRT(L1247/PI())</f>
        <v/>
      </c>
      <c r="P1247" t="inlineStr">
        <is>
          <t>是</t>
        </is>
      </c>
      <c r="Q1247" t="inlineStr">
        <is>
          <t>auto_pipeline;review_png_green</t>
        </is>
      </c>
      <c r="R1247" t="inlineStr">
        <is>
          <t>样品28</t>
        </is>
      </c>
    </row>
    <row r="1248">
      <c r="A1248" t="n">
        <v>1247</v>
      </c>
      <c r="B1248" t="inlineStr">
        <is>
          <t>28 (5).tif</t>
        </is>
      </c>
      <c r="C1248" t="inlineStr">
        <is>
          <t>28(5)-V03</t>
        </is>
      </c>
      <c r="D1248" t="n">
        <v>3</v>
      </c>
      <c r="E1248" t="inlineStr">
        <is>
          <t>primary</t>
        </is>
      </c>
      <c r="F1248" t="n">
        <v>165.9499054820416</v>
      </c>
      <c r="G1248">
        <f>2*SQRT(F1248/PI())</f>
        <v/>
      </c>
      <c r="H1248" t="n">
        <v>50.8093194598737</v>
      </c>
      <c r="I1248" t="n">
        <v>442</v>
      </c>
      <c r="J1248" t="n">
        <v>105</v>
      </c>
      <c r="K1248" t="n">
        <v>162.6309073724008</v>
      </c>
      <c r="L1248" t="n">
        <v>169.2689035916824</v>
      </c>
      <c r="M1248">
        <f>2*SQRT(K1248/PI())</f>
        <v/>
      </c>
      <c r="N1248">
        <f>2*SQRT(L1248/PI())</f>
        <v/>
      </c>
      <c r="P1248" t="inlineStr">
        <is>
          <t>是</t>
        </is>
      </c>
      <c r="Q1248" t="inlineStr">
        <is>
          <t>auto_pipeline;review_png_green</t>
        </is>
      </c>
      <c r="R1248" t="inlineStr">
        <is>
          <t>样品28</t>
        </is>
      </c>
    </row>
    <row r="1249">
      <c r="A1249" t="n">
        <v>1248</v>
      </c>
      <c r="B1249" t="inlineStr">
        <is>
          <t>28 (6).tif</t>
        </is>
      </c>
      <c r="C1249" t="inlineStr">
        <is>
          <t>28(6)-V01</t>
        </is>
      </c>
      <c r="D1249" t="n">
        <v>1</v>
      </c>
      <c r="E1249" t="inlineStr">
        <is>
          <t>primary</t>
        </is>
      </c>
      <c r="F1249" t="n">
        <v>588.5633270321362</v>
      </c>
      <c r="G1249">
        <f>2*SQRT(F1249/PI())</f>
        <v/>
      </c>
      <c r="H1249" t="n">
        <v>90.71817470633465</v>
      </c>
      <c r="I1249" t="n">
        <v>409</v>
      </c>
      <c r="J1249" t="n">
        <v>386</v>
      </c>
      <c r="K1249" t="n">
        <v>576.7920604914934</v>
      </c>
      <c r="L1249" t="n">
        <v>600.3345935727789</v>
      </c>
      <c r="M1249">
        <f>2*SQRT(K1249/PI())</f>
        <v/>
      </c>
      <c r="N1249">
        <f>2*SQRT(L1249/PI())</f>
        <v/>
      </c>
      <c r="P1249" t="inlineStr">
        <is>
          <t>是</t>
        </is>
      </c>
      <c r="Q1249" t="inlineStr">
        <is>
          <t>auto_pipeline;review_png_green</t>
        </is>
      </c>
      <c r="R1249" t="inlineStr">
        <is>
          <t>样品28</t>
        </is>
      </c>
    </row>
    <row r="1250">
      <c r="A1250" t="n">
        <v>1249</v>
      </c>
      <c r="B1250" t="inlineStr">
        <is>
          <t>28 (6).tif</t>
        </is>
      </c>
      <c r="C1250" t="inlineStr">
        <is>
          <t>28(6)-V02</t>
        </is>
      </c>
      <c r="D1250" t="n">
        <v>2</v>
      </c>
      <c r="E1250" t="inlineStr">
        <is>
          <t>primary</t>
        </is>
      </c>
      <c r="F1250" t="n">
        <v>373.8185255198488</v>
      </c>
      <c r="G1250">
        <f>2*SQRT(F1250/PI())</f>
        <v/>
      </c>
      <c r="H1250" t="n">
        <v>77.65659638073133</v>
      </c>
      <c r="I1250" t="n">
        <v>119</v>
      </c>
      <c r="J1250" t="n">
        <v>289</v>
      </c>
      <c r="K1250" t="n">
        <v>366.3421550094518</v>
      </c>
      <c r="L1250" t="n">
        <v>381.2948960302458</v>
      </c>
      <c r="M1250">
        <f>2*SQRT(K1250/PI())</f>
        <v/>
      </c>
      <c r="N1250">
        <f>2*SQRT(L1250/PI())</f>
        <v/>
      </c>
      <c r="P1250" t="inlineStr">
        <is>
          <t>是</t>
        </is>
      </c>
      <c r="Q1250" t="inlineStr">
        <is>
          <t>auto_pipeline;review_png_green</t>
        </is>
      </c>
      <c r="R1250" t="inlineStr">
        <is>
          <t>样品28</t>
        </is>
      </c>
    </row>
    <row r="1251">
      <c r="A1251" t="n">
        <v>1250</v>
      </c>
      <c r="B1251" t="inlineStr">
        <is>
          <t>28 (6).tif</t>
        </is>
      </c>
      <c r="C1251" t="inlineStr">
        <is>
          <t>28(6)-V03</t>
        </is>
      </c>
      <c r="D1251" t="n">
        <v>3</v>
      </c>
      <c r="E1251" t="inlineStr">
        <is>
          <t>primary</t>
        </is>
      </c>
      <c r="F1251" t="n">
        <v>148.3223062381853</v>
      </c>
      <c r="G1251">
        <f>2*SQRT(F1251/PI())</f>
        <v/>
      </c>
      <c r="H1251" t="n">
        <v>47.58574835632158</v>
      </c>
      <c r="I1251" t="n">
        <v>797</v>
      </c>
      <c r="J1251" t="n">
        <v>451</v>
      </c>
      <c r="K1251" t="n">
        <v>145.3558601134216</v>
      </c>
      <c r="L1251" t="n">
        <v>151.288752362949</v>
      </c>
      <c r="M1251">
        <f>2*SQRT(K1251/PI())</f>
        <v/>
      </c>
      <c r="N1251">
        <f>2*SQRT(L1251/PI())</f>
        <v/>
      </c>
      <c r="P1251" t="inlineStr">
        <is>
          <t>是</t>
        </is>
      </c>
      <c r="Q1251" t="inlineStr">
        <is>
          <t>auto_pipeline;review_png_green</t>
        </is>
      </c>
      <c r="R1251" t="inlineStr">
        <is>
          <t>样品28</t>
        </is>
      </c>
    </row>
    <row r="1252">
      <c r="A1252" t="n">
        <v>1251</v>
      </c>
      <c r="B1252" t="inlineStr">
        <is>
          <t>28 (7).tif</t>
        </is>
      </c>
      <c r="C1252" t="inlineStr">
        <is>
          <t>28(7)-V01</t>
        </is>
      </c>
      <c r="D1252" t="n">
        <v>1</v>
      </c>
      <c r="E1252" t="inlineStr">
        <is>
          <t>primary</t>
        </is>
      </c>
      <c r="F1252" t="n">
        <v>708.4593572778828</v>
      </c>
      <c r="G1252">
        <f>2*SQRT(F1252/PI())</f>
        <v/>
      </c>
      <c r="H1252" t="n">
        <v>100.494383936343</v>
      </c>
      <c r="I1252" t="n">
        <v>569</v>
      </c>
      <c r="J1252" t="n">
        <v>367</v>
      </c>
      <c r="K1252" t="n">
        <v>694.2901701323251</v>
      </c>
      <c r="L1252" t="n">
        <v>722.6285444234404</v>
      </c>
      <c r="M1252">
        <f>2*SQRT(K1252/PI())</f>
        <v/>
      </c>
      <c r="N1252">
        <f>2*SQRT(L1252/PI())</f>
        <v/>
      </c>
      <c r="P1252" t="inlineStr">
        <is>
          <t>是</t>
        </is>
      </c>
      <c r="Q1252" t="inlineStr">
        <is>
          <t>auto_pipeline;review_png_green</t>
        </is>
      </c>
      <c r="R1252" t="inlineStr">
        <is>
          <t>样品28</t>
        </is>
      </c>
    </row>
    <row r="1253">
      <c r="A1253" t="n">
        <v>1252</v>
      </c>
      <c r="B1253" t="inlineStr">
        <is>
          <t>28 (7).tif</t>
        </is>
      </c>
      <c r="C1253" t="inlineStr">
        <is>
          <t>28(7)-V02</t>
        </is>
      </c>
      <c r="D1253" t="n">
        <v>2</v>
      </c>
      <c r="E1253" t="inlineStr">
        <is>
          <t>primary</t>
        </is>
      </c>
      <c r="F1253" t="n">
        <v>117.4385633270321</v>
      </c>
      <c r="G1253">
        <f>2*SQRT(F1253/PI())</f>
        <v/>
      </c>
      <c r="H1253" t="n">
        <v>41.41514487888502</v>
      </c>
      <c r="I1253" t="n">
        <v>408</v>
      </c>
      <c r="J1253" t="n">
        <v>82</v>
      </c>
      <c r="K1253" t="n">
        <v>115.0897920604915</v>
      </c>
      <c r="L1253" t="n">
        <v>119.7873345935728</v>
      </c>
      <c r="M1253">
        <f>2*SQRT(K1253/PI())</f>
        <v/>
      </c>
      <c r="N1253">
        <f>2*SQRT(L1253/PI())</f>
        <v/>
      </c>
      <c r="P1253" t="inlineStr">
        <is>
          <t>是</t>
        </is>
      </c>
      <c r="Q1253" t="inlineStr">
        <is>
          <t>auto_pipeline;review_png_green</t>
        </is>
      </c>
      <c r="R1253" t="inlineStr">
        <is>
          <t>样品28</t>
        </is>
      </c>
    </row>
    <row r="1254">
      <c r="A1254" t="n">
        <v>1253</v>
      </c>
      <c r="B1254" t="inlineStr">
        <is>
          <t>28 (8).tif</t>
        </is>
      </c>
      <c r="C1254" t="inlineStr">
        <is>
          <t>28(8)-V01</t>
        </is>
      </c>
      <c r="D1254" t="n">
        <v>1</v>
      </c>
      <c r="E1254" t="inlineStr">
        <is>
          <t>primary</t>
        </is>
      </c>
      <c r="F1254" t="n">
        <v>566.6824196597354</v>
      </c>
      <c r="G1254">
        <f>2*SQRT(F1254/PI())</f>
        <v/>
      </c>
      <c r="H1254" t="n">
        <v>89.48842380357824</v>
      </c>
      <c r="I1254" t="n">
        <v>458</v>
      </c>
      <c r="J1254" t="n">
        <v>448</v>
      </c>
      <c r="K1254" t="n">
        <v>555.3487712665407</v>
      </c>
      <c r="L1254" t="n">
        <v>578.0160680529301</v>
      </c>
      <c r="M1254">
        <f>2*SQRT(K1254/PI())</f>
        <v/>
      </c>
      <c r="N1254">
        <f>2*SQRT(L1254/PI())</f>
        <v/>
      </c>
      <c r="O1254" t="inlineStr">
        <is>
          <t>28(8)-P01</t>
        </is>
      </c>
      <c r="P1254" t="inlineStr">
        <is>
          <t>是</t>
        </is>
      </c>
      <c r="Q1254" t="inlineStr">
        <is>
          <t>auto_pipeline;review_png_green</t>
        </is>
      </c>
      <c r="R1254" t="inlineStr">
        <is>
          <t>样品28</t>
        </is>
      </c>
    </row>
    <row r="1255">
      <c r="A1255" t="n">
        <v>1254</v>
      </c>
      <c r="B1255" t="inlineStr">
        <is>
          <t>28 (8).tif</t>
        </is>
      </c>
      <c r="C1255" t="inlineStr">
        <is>
          <t>28(8)-V02</t>
        </is>
      </c>
      <c r="D1255" t="n">
        <v>2</v>
      </c>
      <c r="E1255" t="inlineStr">
        <is>
          <t>primary</t>
        </is>
      </c>
      <c r="F1255" t="n">
        <v>462.6417769376181</v>
      </c>
      <c r="G1255">
        <f>2*SQRT(F1255/PI())</f>
        <v/>
      </c>
      <c r="H1255" t="n">
        <v>81.83337965737218</v>
      </c>
      <c r="I1255" t="n">
        <v>560</v>
      </c>
      <c r="J1255" t="n">
        <v>346</v>
      </c>
      <c r="K1255" t="n">
        <v>453.3889413988658</v>
      </c>
      <c r="L1255" t="n">
        <v>471.8946124763705</v>
      </c>
      <c r="M1255">
        <f>2*SQRT(K1255/PI())</f>
        <v/>
      </c>
      <c r="N1255">
        <f>2*SQRT(L1255/PI())</f>
        <v/>
      </c>
      <c r="O1255" t="inlineStr">
        <is>
          <t>28(8)-P01</t>
        </is>
      </c>
      <c r="P1255" t="inlineStr">
        <is>
          <t>是</t>
        </is>
      </c>
      <c r="Q1255" t="inlineStr">
        <is>
          <t>auto_pipeline;review_png_green</t>
        </is>
      </c>
      <c r="R1255" t="inlineStr">
        <is>
          <t>样品28</t>
        </is>
      </c>
    </row>
    <row r="1256">
      <c r="A1256" t="n">
        <v>1255</v>
      </c>
      <c r="B1256" t="inlineStr">
        <is>
          <t>29 (1).tif</t>
        </is>
      </c>
      <c r="C1256" t="inlineStr">
        <is>
          <t>29(1)-V01</t>
        </is>
      </c>
      <c r="D1256" t="n">
        <v>1</v>
      </c>
      <c r="E1256" t="inlineStr">
        <is>
          <t>primary</t>
        </is>
      </c>
      <c r="F1256" t="n">
        <v>568.9035916824197</v>
      </c>
      <c r="G1256">
        <f>2*SQRT(F1256/PI())</f>
        <v/>
      </c>
      <c r="H1256" t="n">
        <v>90.35798902096955</v>
      </c>
      <c r="I1256" t="n">
        <v>442</v>
      </c>
      <c r="J1256" t="n">
        <v>390</v>
      </c>
      <c r="K1256" t="n">
        <v>557.5255198487713</v>
      </c>
      <c r="L1256" t="n">
        <v>580.2816635160681</v>
      </c>
      <c r="M1256">
        <f>2*SQRT(K1256/PI())</f>
        <v/>
      </c>
      <c r="N1256">
        <f>2*SQRT(L1256/PI())</f>
        <v/>
      </c>
      <c r="O1256" t="inlineStr">
        <is>
          <t>29(1)-P01</t>
        </is>
      </c>
      <c r="P1256" t="inlineStr">
        <is>
          <t>是</t>
        </is>
      </c>
      <c r="Q1256" t="inlineStr">
        <is>
          <t>auto_pipeline;review_png_green</t>
        </is>
      </c>
      <c r="R1256" t="inlineStr">
        <is>
          <t>样品29</t>
        </is>
      </c>
    </row>
    <row r="1257">
      <c r="A1257" t="n">
        <v>1256</v>
      </c>
      <c r="B1257" t="inlineStr">
        <is>
          <t>29 (1).tif</t>
        </is>
      </c>
      <c r="C1257" t="inlineStr">
        <is>
          <t>29(1)-V02</t>
        </is>
      </c>
      <c r="D1257" t="n">
        <v>2</v>
      </c>
      <c r="E1257" t="inlineStr">
        <is>
          <t>primary</t>
        </is>
      </c>
      <c r="F1257" t="n">
        <v>437.3345935727788</v>
      </c>
      <c r="G1257">
        <f>2*SQRT(F1257/PI())</f>
        <v/>
      </c>
      <c r="H1257" t="n">
        <v>79.96690433958302</v>
      </c>
      <c r="I1257" t="n">
        <v>549</v>
      </c>
      <c r="J1257" t="n">
        <v>304</v>
      </c>
      <c r="K1257" t="n">
        <v>428.5879017013232</v>
      </c>
      <c r="L1257" t="n">
        <v>446.0812854442344</v>
      </c>
      <c r="M1257">
        <f>2*SQRT(K1257/PI())</f>
        <v/>
      </c>
      <c r="N1257">
        <f>2*SQRT(L1257/PI())</f>
        <v/>
      </c>
      <c r="O1257" t="inlineStr">
        <is>
          <t>29(1)-P01</t>
        </is>
      </c>
      <c r="P1257" t="inlineStr">
        <is>
          <t>是</t>
        </is>
      </c>
      <c r="Q1257" t="inlineStr">
        <is>
          <t>auto_pipeline;review_png_green</t>
        </is>
      </c>
      <c r="R1257" t="inlineStr">
        <is>
          <t>样品29</t>
        </is>
      </c>
    </row>
    <row r="1258">
      <c r="A1258" t="n">
        <v>1257</v>
      </c>
      <c r="B1258" t="inlineStr">
        <is>
          <t>29 (1).tif</t>
        </is>
      </c>
      <c r="C1258" t="inlineStr">
        <is>
          <t>29(1)-V03</t>
        </is>
      </c>
      <c r="D1258" t="n">
        <v>3</v>
      </c>
      <c r="E1258" t="inlineStr">
        <is>
          <t>primary</t>
        </is>
      </c>
      <c r="F1258" t="n">
        <v>187.9725897920605</v>
      </c>
      <c r="G1258">
        <f>2*SQRT(F1258/PI())</f>
        <v/>
      </c>
      <c r="H1258" t="n">
        <v>54.24388240212979</v>
      </c>
      <c r="I1258" t="n">
        <v>571</v>
      </c>
      <c r="J1258" t="n">
        <v>207</v>
      </c>
      <c r="K1258" t="n">
        <v>184.2131379962193</v>
      </c>
      <c r="L1258" t="n">
        <v>191.7320415879017</v>
      </c>
      <c r="M1258">
        <f>2*SQRT(K1258/PI())</f>
        <v/>
      </c>
      <c r="N1258">
        <f>2*SQRT(L1258/PI())</f>
        <v/>
      </c>
      <c r="P1258" t="inlineStr">
        <is>
          <t>是</t>
        </is>
      </c>
      <c r="Q1258" t="inlineStr">
        <is>
          <t>auto_pipeline;review_png_green</t>
        </is>
      </c>
      <c r="R1258" t="inlineStr">
        <is>
          <t>样品29</t>
        </is>
      </c>
    </row>
    <row r="1259">
      <c r="A1259" t="n">
        <v>1258</v>
      </c>
      <c r="B1259" t="inlineStr">
        <is>
          <t>29 (2).tif</t>
        </is>
      </c>
      <c r="C1259" t="inlineStr">
        <is>
          <t>29(2)-V01</t>
        </is>
      </c>
      <c r="D1259" t="n">
        <v>1</v>
      </c>
      <c r="E1259" t="inlineStr">
        <is>
          <t>primary</t>
        </is>
      </c>
      <c r="F1259" t="n">
        <v>789.5557655954632</v>
      </c>
      <c r="G1259">
        <f>2*SQRT(F1259/PI())</f>
        <v/>
      </c>
      <c r="H1259" t="n">
        <v>105.3078916280166</v>
      </c>
      <c r="I1259" t="n">
        <v>834</v>
      </c>
      <c r="J1259" t="n">
        <v>329</v>
      </c>
      <c r="K1259" t="n">
        <v>773.7646502835539</v>
      </c>
      <c r="L1259" t="n">
        <v>805.3468809073725</v>
      </c>
      <c r="M1259">
        <f>2*SQRT(K1259/PI())</f>
        <v/>
      </c>
      <c r="N1259">
        <f>2*SQRT(L1259/PI())</f>
        <v/>
      </c>
      <c r="P1259" t="inlineStr">
        <is>
          <t>是</t>
        </is>
      </c>
      <c r="Q1259" t="inlineStr">
        <is>
          <t>auto_pipeline;review_png_green</t>
        </is>
      </c>
      <c r="R1259" t="inlineStr">
        <is>
          <t>样品29</t>
        </is>
      </c>
    </row>
    <row r="1260">
      <c r="A1260" t="n">
        <v>1259</v>
      </c>
      <c r="B1260" t="inlineStr">
        <is>
          <t>29 (2).tif</t>
        </is>
      </c>
      <c r="C1260" t="inlineStr">
        <is>
          <t>29(2)-V02</t>
        </is>
      </c>
      <c r="D1260" t="n">
        <v>2</v>
      </c>
      <c r="E1260" t="inlineStr">
        <is>
          <t>primary</t>
        </is>
      </c>
      <c r="F1260" t="n">
        <v>520.5576559546314</v>
      </c>
      <c r="G1260">
        <f>2*SQRT(F1260/PI())</f>
        <v/>
      </c>
      <c r="H1260" t="n">
        <v>86.15935678067414</v>
      </c>
      <c r="I1260" t="n">
        <v>458</v>
      </c>
      <c r="J1260" t="n">
        <v>90</v>
      </c>
      <c r="K1260" t="n">
        <v>510.1465028355387</v>
      </c>
      <c r="L1260" t="n">
        <v>530.9688090737241</v>
      </c>
      <c r="M1260">
        <f>2*SQRT(K1260/PI())</f>
        <v/>
      </c>
      <c r="N1260">
        <f>2*SQRT(L1260/PI())</f>
        <v/>
      </c>
      <c r="P1260" t="inlineStr">
        <is>
          <t>是</t>
        </is>
      </c>
      <c r="Q1260" t="inlineStr">
        <is>
          <t>auto_pipeline;review_png_green</t>
        </is>
      </c>
      <c r="R1260" t="inlineStr">
        <is>
          <t>样品29</t>
        </is>
      </c>
    </row>
    <row r="1261">
      <c r="A1261" t="n">
        <v>1260</v>
      </c>
      <c r="B1261" t="inlineStr">
        <is>
          <t>29 (2).tif</t>
        </is>
      </c>
      <c r="C1261" t="inlineStr">
        <is>
          <t>29(2)-V03</t>
        </is>
      </c>
      <c r="D1261" t="n">
        <v>3</v>
      </c>
      <c r="E1261" t="inlineStr">
        <is>
          <t>primary</t>
        </is>
      </c>
      <c r="F1261" t="n">
        <v>399.3383742911153</v>
      </c>
      <c r="G1261">
        <f>2*SQRT(F1261/PI())</f>
        <v/>
      </c>
      <c r="H1261" t="n">
        <v>75.15339664790942</v>
      </c>
      <c r="I1261" t="n">
        <v>509</v>
      </c>
      <c r="J1261" t="n">
        <v>446</v>
      </c>
      <c r="K1261" t="n">
        <v>391.351606805293</v>
      </c>
      <c r="L1261" t="n">
        <v>407.3251417769376</v>
      </c>
      <c r="M1261">
        <f>2*SQRT(K1261/PI())</f>
        <v/>
      </c>
      <c r="N1261">
        <f>2*SQRT(L1261/PI())</f>
        <v/>
      </c>
      <c r="O1261" t="inlineStr">
        <is>
          <t>29(2)-P01</t>
        </is>
      </c>
      <c r="P1261" t="inlineStr">
        <is>
          <t>是</t>
        </is>
      </c>
      <c r="Q1261" t="inlineStr">
        <is>
          <t>auto_pipeline;review_png_green</t>
        </is>
      </c>
      <c r="R1261" t="inlineStr">
        <is>
          <t>样品29</t>
        </is>
      </c>
    </row>
    <row r="1262">
      <c r="A1262" t="n">
        <v>1261</v>
      </c>
      <c r="B1262" t="inlineStr">
        <is>
          <t>29 (2).tif</t>
        </is>
      </c>
      <c r="C1262" t="inlineStr">
        <is>
          <t>29(2)-V04</t>
        </is>
      </c>
      <c r="D1262" t="n">
        <v>4</v>
      </c>
      <c r="E1262" t="inlineStr">
        <is>
          <t>primary</t>
        </is>
      </c>
      <c r="F1262" t="n">
        <v>383.9792060491494</v>
      </c>
      <c r="G1262">
        <f>2*SQRT(F1262/PI())</f>
        <v/>
      </c>
      <c r="H1262" t="n">
        <v>74.029141664505</v>
      </c>
      <c r="I1262" t="n">
        <v>691</v>
      </c>
      <c r="J1262" t="n">
        <v>521</v>
      </c>
      <c r="K1262" t="n">
        <v>376.2996219281663</v>
      </c>
      <c r="L1262" t="n">
        <v>391.6587901701324</v>
      </c>
      <c r="M1262">
        <f>2*SQRT(K1262/PI())</f>
        <v/>
      </c>
      <c r="N1262">
        <f>2*SQRT(L1262/PI())</f>
        <v/>
      </c>
      <c r="P1262" t="inlineStr">
        <is>
          <t>是</t>
        </is>
      </c>
      <c r="Q1262" t="inlineStr">
        <is>
          <t>auto_pipeline;review_png_green</t>
        </is>
      </c>
      <c r="R1262" t="inlineStr">
        <is>
          <t>样品29</t>
        </is>
      </c>
    </row>
    <row r="1263">
      <c r="A1263" t="n">
        <v>1262</v>
      </c>
      <c r="B1263" t="inlineStr">
        <is>
          <t>29 (2).tif</t>
        </is>
      </c>
      <c r="C1263" t="inlineStr">
        <is>
          <t>29(2)-V05</t>
        </is>
      </c>
      <c r="D1263" t="n">
        <v>5</v>
      </c>
      <c r="E1263" t="inlineStr">
        <is>
          <t>primary</t>
        </is>
      </c>
      <c r="F1263" t="n">
        <v>334.4990548204159</v>
      </c>
      <c r="G1263">
        <f>2*SQRT(F1263/PI())</f>
        <v/>
      </c>
      <c r="H1263" t="n">
        <v>69.83050942420959</v>
      </c>
      <c r="I1263" t="n">
        <v>262</v>
      </c>
      <c r="J1263" t="n">
        <v>491</v>
      </c>
      <c r="K1263" t="n">
        <v>327.8090737240076</v>
      </c>
      <c r="L1263" t="n">
        <v>341.1890359168242</v>
      </c>
      <c r="M1263">
        <f>2*SQRT(K1263/PI())</f>
        <v/>
      </c>
      <c r="N1263">
        <f>2*SQRT(L1263/PI())</f>
        <v/>
      </c>
      <c r="P1263" t="inlineStr">
        <is>
          <t>是</t>
        </is>
      </c>
      <c r="Q1263" t="inlineStr">
        <is>
          <t>auto_pipeline;review_png_green</t>
        </is>
      </c>
      <c r="R1263" t="inlineStr">
        <is>
          <t>样品29</t>
        </is>
      </c>
    </row>
    <row r="1264">
      <c r="A1264" t="n">
        <v>1263</v>
      </c>
      <c r="B1264" t="inlineStr">
        <is>
          <t>29 (2).tif</t>
        </is>
      </c>
      <c r="C1264" t="inlineStr">
        <is>
          <t>29(2)-V06</t>
        </is>
      </c>
      <c r="D1264" t="n">
        <v>6</v>
      </c>
      <c r="E1264" t="inlineStr">
        <is>
          <t>primary</t>
        </is>
      </c>
      <c r="F1264" t="n">
        <v>327.0085066162571</v>
      </c>
      <c r="G1264">
        <f>2*SQRT(F1264/PI())</f>
        <v/>
      </c>
      <c r="H1264" t="n">
        <v>67.85853818706843</v>
      </c>
      <c r="I1264" t="n">
        <v>498</v>
      </c>
      <c r="J1264" t="n">
        <v>315</v>
      </c>
      <c r="K1264" t="n">
        <v>320.4683364839319</v>
      </c>
      <c r="L1264" t="n">
        <v>333.5486767485822</v>
      </c>
      <c r="M1264">
        <f>2*SQRT(K1264/PI())</f>
        <v/>
      </c>
      <c r="N1264">
        <f>2*SQRT(L1264/PI())</f>
        <v/>
      </c>
      <c r="O1264" t="inlineStr">
        <is>
          <t>29(2)-P01</t>
        </is>
      </c>
      <c r="P1264" t="inlineStr">
        <is>
          <t>是</t>
        </is>
      </c>
      <c r="Q1264" t="inlineStr">
        <is>
          <t>auto_pipeline;review_png_green</t>
        </is>
      </c>
      <c r="R1264" t="inlineStr">
        <is>
          <t>样品29</t>
        </is>
      </c>
    </row>
    <row r="1265">
      <c r="A1265" t="n">
        <v>1264</v>
      </c>
      <c r="B1265" t="inlineStr">
        <is>
          <t>29 (2).tif</t>
        </is>
      </c>
      <c r="C1265" t="inlineStr">
        <is>
          <t>29(2)-V07</t>
        </is>
      </c>
      <c r="D1265" t="n">
        <v>7</v>
      </c>
      <c r="E1265" t="inlineStr">
        <is>
          <t>primary</t>
        </is>
      </c>
      <c r="F1265" t="n">
        <v>288.0434782608696</v>
      </c>
      <c r="G1265">
        <f>2*SQRT(F1265/PI())</f>
        <v/>
      </c>
      <c r="H1265" t="n">
        <v>64.76231196652287</v>
      </c>
      <c r="I1265" t="n">
        <v>774</v>
      </c>
      <c r="J1265" t="n">
        <v>135</v>
      </c>
      <c r="K1265" t="n">
        <v>282.2826086956522</v>
      </c>
      <c r="L1265" t="n">
        <v>293.8043478260869</v>
      </c>
      <c r="M1265">
        <f>2*SQRT(K1265/PI())</f>
        <v/>
      </c>
      <c r="N1265">
        <f>2*SQRT(L1265/PI())</f>
        <v/>
      </c>
      <c r="P1265" t="inlineStr">
        <is>
          <t>是</t>
        </is>
      </c>
      <c r="Q1265" t="inlineStr">
        <is>
          <t>auto_pipeline;review_png_green</t>
        </is>
      </c>
      <c r="R1265" t="inlineStr">
        <is>
          <t>样品29</t>
        </is>
      </c>
    </row>
    <row r="1266">
      <c r="A1266" t="n">
        <v>1265</v>
      </c>
      <c r="B1266" t="inlineStr">
        <is>
          <t>29 (2).tif</t>
        </is>
      </c>
      <c r="C1266" t="inlineStr">
        <is>
          <t>29(2)-V08</t>
        </is>
      </c>
      <c r="D1266" t="n">
        <v>8</v>
      </c>
      <c r="E1266" t="inlineStr">
        <is>
          <t>primary</t>
        </is>
      </c>
      <c r="F1266" t="n">
        <v>119.8724007561437</v>
      </c>
      <c r="G1266">
        <f>2*SQRT(F1266/PI())</f>
        <v/>
      </c>
      <c r="H1266" t="n">
        <v>42.41205497928288</v>
      </c>
      <c r="I1266" t="n">
        <v>223</v>
      </c>
      <c r="J1266" t="n">
        <v>583</v>
      </c>
      <c r="K1266" t="n">
        <v>117.4749527410208</v>
      </c>
      <c r="L1266" t="n">
        <v>122.2698487712665</v>
      </c>
      <c r="M1266">
        <f>2*SQRT(K1266/PI())</f>
        <v/>
      </c>
      <c r="N1266">
        <f>2*SQRT(L1266/PI())</f>
        <v/>
      </c>
      <c r="P1266" t="inlineStr">
        <is>
          <t>是</t>
        </is>
      </c>
      <c r="Q1266" t="inlineStr">
        <is>
          <t>auto_pipeline;review_png_green</t>
        </is>
      </c>
      <c r="R1266" t="inlineStr">
        <is>
          <t>样品29</t>
        </is>
      </c>
    </row>
    <row r="1267">
      <c r="A1267" t="n">
        <v>1266</v>
      </c>
      <c r="B1267" t="inlineStr">
        <is>
          <t>29 (3).tif</t>
        </is>
      </c>
      <c r="C1267" t="inlineStr">
        <is>
          <t>29(3)-V01</t>
        </is>
      </c>
      <c r="D1267" t="n">
        <v>1</v>
      </c>
      <c r="E1267" t="inlineStr">
        <is>
          <t>primary</t>
        </is>
      </c>
      <c r="F1267" t="n">
        <v>561.2948960302457</v>
      </c>
      <c r="G1267">
        <f>2*SQRT(F1267/PI())</f>
        <v/>
      </c>
      <c r="H1267" t="n">
        <v>88.87354835220005</v>
      </c>
      <c r="I1267" t="n">
        <v>542</v>
      </c>
      <c r="J1267" t="n">
        <v>435</v>
      </c>
      <c r="K1267" t="n">
        <v>550.0689981096408</v>
      </c>
      <c r="L1267" t="n">
        <v>572.5207939508506</v>
      </c>
      <c r="M1267">
        <f>2*SQRT(K1267/PI())</f>
        <v/>
      </c>
      <c r="N1267">
        <f>2*SQRT(L1267/PI())</f>
        <v/>
      </c>
      <c r="P1267" t="inlineStr">
        <is>
          <t>是</t>
        </is>
      </c>
      <c r="Q1267" t="inlineStr">
        <is>
          <t>auto_pipeline;review_png_green</t>
        </is>
      </c>
      <c r="R1267" t="inlineStr">
        <is>
          <t>样品29</t>
        </is>
      </c>
    </row>
    <row r="1268">
      <c r="A1268" t="n">
        <v>1267</v>
      </c>
      <c r="B1268" t="inlineStr">
        <is>
          <t>29 (3).tif</t>
        </is>
      </c>
      <c r="C1268" t="inlineStr">
        <is>
          <t>29(3)-V02</t>
        </is>
      </c>
      <c r="D1268" t="n">
        <v>2</v>
      </c>
      <c r="E1268" t="inlineStr">
        <is>
          <t>primary</t>
        </is>
      </c>
      <c r="F1268" t="n">
        <v>518.7145557655955</v>
      </c>
      <c r="G1268">
        <f>2*SQRT(F1268/PI())</f>
        <v/>
      </c>
      <c r="H1268" t="n">
        <v>87.13441791741744</v>
      </c>
      <c r="I1268" t="n">
        <v>229</v>
      </c>
      <c r="J1268" t="n">
        <v>267</v>
      </c>
      <c r="K1268" t="n">
        <v>508.3402646502836</v>
      </c>
      <c r="L1268" t="n">
        <v>529.0888468809075</v>
      </c>
      <c r="M1268">
        <f>2*SQRT(K1268/PI())</f>
        <v/>
      </c>
      <c r="N1268">
        <f>2*SQRT(L1268/PI())</f>
        <v/>
      </c>
      <c r="P1268" t="inlineStr">
        <is>
          <t>是</t>
        </is>
      </c>
      <c r="Q1268" t="inlineStr">
        <is>
          <t>auto_pipeline;review_png_green</t>
        </is>
      </c>
      <c r="R1268" t="inlineStr">
        <is>
          <t>样品29</t>
        </is>
      </c>
    </row>
    <row r="1269">
      <c r="A1269" t="n">
        <v>1268</v>
      </c>
      <c r="B1269" t="inlineStr">
        <is>
          <t>29 (3).tif</t>
        </is>
      </c>
      <c r="C1269" t="inlineStr">
        <is>
          <t>29(3)-V03</t>
        </is>
      </c>
      <c r="D1269" t="n">
        <v>3</v>
      </c>
      <c r="E1269" t="inlineStr">
        <is>
          <t>primary</t>
        </is>
      </c>
      <c r="F1269" t="n">
        <v>427.6937618147448</v>
      </c>
      <c r="G1269">
        <f>2*SQRT(F1269/PI())</f>
        <v/>
      </c>
      <c r="H1269" t="n">
        <v>80.68727571031322</v>
      </c>
      <c r="I1269" t="n">
        <v>508</v>
      </c>
      <c r="J1269" t="n">
        <v>299</v>
      </c>
      <c r="K1269" t="n">
        <v>419.1398865784499</v>
      </c>
      <c r="L1269" t="n">
        <v>436.2476370510397</v>
      </c>
      <c r="M1269">
        <f>2*SQRT(K1269/PI())</f>
        <v/>
      </c>
      <c r="N1269">
        <f>2*SQRT(L1269/PI())</f>
        <v/>
      </c>
      <c r="P1269" t="inlineStr">
        <is>
          <t>是</t>
        </is>
      </c>
      <c r="Q1269" t="inlineStr">
        <is>
          <t>auto_pipeline;review_png_green</t>
        </is>
      </c>
      <c r="R1269" t="inlineStr">
        <is>
          <t>样品29</t>
        </is>
      </c>
    </row>
    <row r="1270">
      <c r="A1270" t="n">
        <v>1269</v>
      </c>
      <c r="B1270" t="inlineStr">
        <is>
          <t>29 (3).tif</t>
        </is>
      </c>
      <c r="C1270" t="inlineStr">
        <is>
          <t>29(3)-V04</t>
        </is>
      </c>
      <c r="D1270" t="n">
        <v>4</v>
      </c>
      <c r="E1270" t="inlineStr">
        <is>
          <t>primary</t>
        </is>
      </c>
      <c r="F1270" t="n">
        <v>137.8780718336484</v>
      </c>
      <c r="G1270">
        <f>2*SQRT(F1270/PI())</f>
        <v/>
      </c>
      <c r="H1270" t="n">
        <v>45.48643223617388</v>
      </c>
      <c r="I1270" t="n">
        <v>609</v>
      </c>
      <c r="J1270" t="n">
        <v>570</v>
      </c>
      <c r="K1270" t="n">
        <v>135.1205103969754</v>
      </c>
      <c r="L1270" t="n">
        <v>140.6356332703214</v>
      </c>
      <c r="M1270">
        <f>2*SQRT(K1270/PI())</f>
        <v/>
      </c>
      <c r="N1270">
        <f>2*SQRT(L1270/PI())</f>
        <v/>
      </c>
      <c r="P1270" t="inlineStr">
        <is>
          <t>是</t>
        </is>
      </c>
      <c r="Q1270" t="inlineStr">
        <is>
          <t>auto_pipeline;review_png_green</t>
        </is>
      </c>
      <c r="R1270" t="inlineStr">
        <is>
          <t>样品29</t>
        </is>
      </c>
    </row>
    <row r="1271">
      <c r="A1271" t="n">
        <v>1270</v>
      </c>
      <c r="B1271" t="inlineStr">
        <is>
          <t>29 (4).tif</t>
        </is>
      </c>
      <c r="C1271" t="inlineStr">
        <is>
          <t>29(4)-V01</t>
        </is>
      </c>
      <c r="D1271" t="n">
        <v>1</v>
      </c>
      <c r="E1271" t="inlineStr">
        <is>
          <t>primary</t>
        </is>
      </c>
      <c r="F1271" t="n">
        <v>711.8147448015122</v>
      </c>
      <c r="G1271">
        <f>2*SQRT(F1271/PI())</f>
        <v/>
      </c>
      <c r="H1271" t="n">
        <v>100.599879855695</v>
      </c>
      <c r="I1271" t="n">
        <v>458</v>
      </c>
      <c r="J1271" t="n">
        <v>146</v>
      </c>
      <c r="K1271" t="n">
        <v>697.578449905482</v>
      </c>
      <c r="L1271" t="n">
        <v>726.0510396975425</v>
      </c>
      <c r="M1271">
        <f>2*SQRT(K1271/PI())</f>
        <v/>
      </c>
      <c r="N1271">
        <f>2*SQRT(L1271/PI())</f>
        <v/>
      </c>
      <c r="P1271" t="inlineStr">
        <is>
          <t>是</t>
        </is>
      </c>
      <c r="Q1271" t="inlineStr">
        <is>
          <t>auto_pipeline;review_png_green</t>
        </is>
      </c>
      <c r="R1271" t="inlineStr">
        <is>
          <t>样品29</t>
        </is>
      </c>
    </row>
    <row r="1272">
      <c r="A1272" t="n">
        <v>1271</v>
      </c>
      <c r="B1272" t="inlineStr">
        <is>
          <t>29 (4).tif</t>
        </is>
      </c>
      <c r="C1272" t="inlineStr">
        <is>
          <t>29(4)-V02</t>
        </is>
      </c>
      <c r="D1272" t="n">
        <v>2</v>
      </c>
      <c r="E1272" t="inlineStr">
        <is>
          <t>primary</t>
        </is>
      </c>
      <c r="F1272" t="n">
        <v>661.6729678638941</v>
      </c>
      <c r="G1272">
        <f>2*SQRT(F1272/PI())</f>
        <v/>
      </c>
      <c r="H1272" t="n">
        <v>96.65593738141267</v>
      </c>
      <c r="I1272" t="n">
        <v>549</v>
      </c>
      <c r="J1272" t="n">
        <v>446</v>
      </c>
      <c r="K1272" t="n">
        <v>648.4395085066162</v>
      </c>
      <c r="L1272" t="n">
        <v>674.906427221172</v>
      </c>
      <c r="M1272">
        <f>2*SQRT(K1272/PI())</f>
        <v/>
      </c>
      <c r="N1272">
        <f>2*SQRT(L1272/PI())</f>
        <v/>
      </c>
      <c r="P1272" t="inlineStr">
        <is>
          <t>是</t>
        </is>
      </c>
      <c r="Q1272" t="inlineStr">
        <is>
          <t>auto_pipeline;review_png_green</t>
        </is>
      </c>
      <c r="R1272" t="inlineStr">
        <is>
          <t>样品29</t>
        </is>
      </c>
    </row>
    <row r="1273">
      <c r="A1273" t="n">
        <v>1272</v>
      </c>
      <c r="B1273" t="inlineStr">
        <is>
          <t>29 (4).tif</t>
        </is>
      </c>
      <c r="C1273" t="inlineStr">
        <is>
          <t>29(4)-V03</t>
        </is>
      </c>
      <c r="D1273" t="n">
        <v>3</v>
      </c>
      <c r="E1273" t="inlineStr">
        <is>
          <t>primary</t>
        </is>
      </c>
      <c r="F1273" t="n">
        <v>418.4310018903592</v>
      </c>
      <c r="G1273">
        <f>2*SQRT(F1273/PI())</f>
        <v/>
      </c>
      <c r="H1273" t="n">
        <v>78.12227798544842</v>
      </c>
      <c r="I1273" t="n">
        <v>497</v>
      </c>
      <c r="J1273" t="n">
        <v>304</v>
      </c>
      <c r="K1273" t="n">
        <v>410.062381852552</v>
      </c>
      <c r="L1273" t="n">
        <v>426.7996219281664</v>
      </c>
      <c r="M1273">
        <f>2*SQRT(K1273/PI())</f>
        <v/>
      </c>
      <c r="N1273">
        <f>2*SQRT(L1273/PI())</f>
        <v/>
      </c>
      <c r="P1273" t="inlineStr">
        <is>
          <t>是</t>
        </is>
      </c>
      <c r="Q1273" t="inlineStr">
        <is>
          <t>auto_pipeline;review_png_green</t>
        </is>
      </c>
      <c r="R1273" t="inlineStr">
        <is>
          <t>样品29</t>
        </is>
      </c>
    </row>
    <row r="1274">
      <c r="A1274" t="n">
        <v>1273</v>
      </c>
      <c r="B1274" t="inlineStr">
        <is>
          <t>29 (4).tif</t>
        </is>
      </c>
      <c r="C1274" t="inlineStr">
        <is>
          <t>29(4)-V04</t>
        </is>
      </c>
      <c r="D1274" t="n">
        <v>4</v>
      </c>
      <c r="E1274" t="inlineStr">
        <is>
          <t>primary</t>
        </is>
      </c>
      <c r="F1274" t="n">
        <v>166.375236294896</v>
      </c>
      <c r="G1274">
        <f>2*SQRT(F1274/PI())</f>
        <v/>
      </c>
      <c r="H1274" t="n">
        <v>50.55462969386059</v>
      </c>
      <c r="I1274" t="n">
        <v>765</v>
      </c>
      <c r="J1274" t="n">
        <v>640</v>
      </c>
      <c r="K1274" t="n">
        <v>163.0477315689981</v>
      </c>
      <c r="L1274" t="n">
        <v>169.702741020794</v>
      </c>
      <c r="M1274">
        <f>2*SQRT(K1274/PI())</f>
        <v/>
      </c>
      <c r="N1274">
        <f>2*SQRT(L1274/PI())</f>
        <v/>
      </c>
      <c r="P1274" t="inlineStr">
        <is>
          <t>是</t>
        </is>
      </c>
      <c r="Q1274" t="inlineStr">
        <is>
          <t>auto_pipeline;review_png_green</t>
        </is>
      </c>
      <c r="R1274" t="inlineStr">
        <is>
          <t>样品29</t>
        </is>
      </c>
    </row>
    <row r="1275">
      <c r="A1275" t="n">
        <v>1274</v>
      </c>
      <c r="B1275" t="inlineStr">
        <is>
          <t>29 (5).tif</t>
        </is>
      </c>
      <c r="C1275" t="inlineStr">
        <is>
          <t>29(5)-V01</t>
        </is>
      </c>
      <c r="D1275" t="n">
        <v>1</v>
      </c>
      <c r="E1275" t="inlineStr">
        <is>
          <t>primary</t>
        </is>
      </c>
      <c r="F1275" t="n">
        <v>779.0170132325142</v>
      </c>
      <c r="G1275">
        <f>2*SQRT(F1275/PI())</f>
        <v/>
      </c>
      <c r="H1275" t="n">
        <v>104.6930161766384</v>
      </c>
      <c r="I1275" t="n">
        <v>655</v>
      </c>
      <c r="J1275" t="n">
        <v>394</v>
      </c>
      <c r="K1275" t="n">
        <v>763.4366729678638</v>
      </c>
      <c r="L1275" t="n">
        <v>794.5973534971645</v>
      </c>
      <c r="M1275">
        <f>2*SQRT(K1275/PI())</f>
        <v/>
      </c>
      <c r="N1275">
        <f>2*SQRT(L1275/PI())</f>
        <v/>
      </c>
      <c r="P1275" t="inlineStr">
        <is>
          <t>是</t>
        </is>
      </c>
      <c r="Q1275" t="inlineStr">
        <is>
          <t>auto_pipeline;review_png_green</t>
        </is>
      </c>
      <c r="R1275" t="inlineStr">
        <is>
          <t>样品29</t>
        </is>
      </c>
    </row>
    <row r="1276">
      <c r="A1276" t="n">
        <v>1275</v>
      </c>
      <c r="B1276" t="inlineStr">
        <is>
          <t>29 (5).tif</t>
        </is>
      </c>
      <c r="C1276" t="inlineStr">
        <is>
          <t>29(5)-V02</t>
        </is>
      </c>
      <c r="D1276" t="n">
        <v>2</v>
      </c>
      <c r="E1276" t="inlineStr">
        <is>
          <t>primary</t>
        </is>
      </c>
      <c r="F1276" t="n">
        <v>661.0586011342155</v>
      </c>
      <c r="G1276">
        <f>2*SQRT(F1276/PI())</f>
        <v/>
      </c>
      <c r="H1276" t="n">
        <v>96.65593738141267</v>
      </c>
      <c r="I1276" t="n">
        <v>489</v>
      </c>
      <c r="J1276" t="n">
        <v>335</v>
      </c>
      <c r="K1276" t="n">
        <v>647.8374291115312</v>
      </c>
      <c r="L1276" t="n">
        <v>674.2797731568998</v>
      </c>
      <c r="M1276">
        <f>2*SQRT(K1276/PI())</f>
        <v/>
      </c>
      <c r="N1276">
        <f>2*SQRT(L1276/PI())</f>
        <v/>
      </c>
      <c r="O1276" t="inlineStr">
        <is>
          <t>29(5)-P01</t>
        </is>
      </c>
      <c r="P1276" t="inlineStr">
        <is>
          <t>是</t>
        </is>
      </c>
      <c r="Q1276" t="inlineStr">
        <is>
          <t>auto_pipeline;review_png_green</t>
        </is>
      </c>
      <c r="R1276" t="inlineStr">
        <is>
          <t>样品29</t>
        </is>
      </c>
    </row>
    <row r="1277">
      <c r="A1277" t="n">
        <v>1276</v>
      </c>
      <c r="B1277" t="inlineStr">
        <is>
          <t>29 (5).tif</t>
        </is>
      </c>
      <c r="C1277" t="inlineStr">
        <is>
          <t>29(5)-V03</t>
        </is>
      </c>
      <c r="D1277" t="n">
        <v>3</v>
      </c>
      <c r="E1277" t="inlineStr">
        <is>
          <t>primary</t>
        </is>
      </c>
      <c r="F1277" t="n">
        <v>593.4310018903592</v>
      </c>
      <c r="G1277">
        <f>2*SQRT(F1277/PI())</f>
        <v/>
      </c>
      <c r="H1277" t="n">
        <v>91.58773992372595</v>
      </c>
      <c r="I1277" t="n">
        <v>344</v>
      </c>
      <c r="J1277" t="n">
        <v>327</v>
      </c>
      <c r="K1277" t="n">
        <v>581.562381852552</v>
      </c>
      <c r="L1277" t="n">
        <v>605.2996219281664</v>
      </c>
      <c r="M1277">
        <f>2*SQRT(K1277/PI())</f>
        <v/>
      </c>
      <c r="N1277">
        <f>2*SQRT(L1277/PI())</f>
        <v/>
      </c>
      <c r="O1277" t="inlineStr">
        <is>
          <t>29(5)-P01</t>
        </is>
      </c>
      <c r="P1277" t="inlineStr">
        <is>
          <t>是</t>
        </is>
      </c>
      <c r="Q1277" t="inlineStr">
        <is>
          <t>auto_pipeline;review_png_green</t>
        </is>
      </c>
      <c r="R1277" t="inlineStr">
        <is>
          <t>样品29</t>
        </is>
      </c>
    </row>
    <row r="1278">
      <c r="A1278" t="n">
        <v>1277</v>
      </c>
      <c r="B1278" t="inlineStr">
        <is>
          <t>29 (5).tif</t>
        </is>
      </c>
      <c r="C1278" t="inlineStr">
        <is>
          <t>29(5)-V04</t>
        </is>
      </c>
      <c r="D1278" t="n">
        <v>4</v>
      </c>
      <c r="E1278" t="inlineStr">
        <is>
          <t>primary</t>
        </is>
      </c>
      <c r="F1278" t="n">
        <v>208.4357277882798</v>
      </c>
      <c r="G1278">
        <f>2*SQRT(F1278/PI())</f>
        <v/>
      </c>
      <c r="H1278" t="n">
        <v>59.7777614645336</v>
      </c>
      <c r="I1278" t="n">
        <v>281</v>
      </c>
      <c r="J1278" t="n">
        <v>419</v>
      </c>
      <c r="K1278" t="n">
        <v>204.2670132325142</v>
      </c>
      <c r="L1278" t="n">
        <v>212.6044423440454</v>
      </c>
      <c r="M1278">
        <f>2*SQRT(K1278/PI())</f>
        <v/>
      </c>
      <c r="N1278">
        <f>2*SQRT(L1278/PI())</f>
        <v/>
      </c>
      <c r="P1278" t="inlineStr">
        <is>
          <t>是</t>
        </is>
      </c>
      <c r="Q1278" t="inlineStr">
        <is>
          <t>auto_pipeline;review_png_green</t>
        </is>
      </c>
      <c r="R1278" t="inlineStr">
        <is>
          <t>样品29</t>
        </is>
      </c>
    </row>
    <row r="1279">
      <c r="A1279" t="n">
        <v>1278</v>
      </c>
      <c r="B1279" t="inlineStr">
        <is>
          <t>29 (5).tif</t>
        </is>
      </c>
      <c r="C1279" t="inlineStr">
        <is>
          <t>29(5)-V05</t>
        </is>
      </c>
      <c r="D1279" t="n">
        <v>5</v>
      </c>
      <c r="E1279" t="inlineStr">
        <is>
          <t>primary</t>
        </is>
      </c>
      <c r="F1279" t="n">
        <v>176.4177693761815</v>
      </c>
      <c r="G1279">
        <f>2*SQRT(F1279/PI())</f>
        <v/>
      </c>
      <c r="H1279" t="n">
        <v>51.04216026223224</v>
      </c>
      <c r="I1279" t="n">
        <v>804</v>
      </c>
      <c r="J1279" t="n">
        <v>554</v>
      </c>
      <c r="K1279" t="n">
        <v>172.8894139886578</v>
      </c>
      <c r="L1279" t="n">
        <v>179.9461247637051</v>
      </c>
      <c r="M1279">
        <f>2*SQRT(K1279/PI())</f>
        <v/>
      </c>
      <c r="N1279">
        <f>2*SQRT(L1279/PI())</f>
        <v/>
      </c>
      <c r="P1279" t="inlineStr">
        <is>
          <t>是</t>
        </is>
      </c>
      <c r="Q1279" t="inlineStr">
        <is>
          <t>auto_pipeline;review_png_green</t>
        </is>
      </c>
      <c r="R1279" t="inlineStr">
        <is>
          <t>样品29</t>
        </is>
      </c>
    </row>
    <row r="1280">
      <c r="A1280" t="n">
        <v>1279</v>
      </c>
      <c r="B1280" t="inlineStr">
        <is>
          <t>29 (5).tif</t>
        </is>
      </c>
      <c r="C1280" t="inlineStr">
        <is>
          <t>29(5)-V06</t>
        </is>
      </c>
      <c r="D1280" t="n">
        <v>6</v>
      </c>
      <c r="E1280" t="inlineStr">
        <is>
          <t>primary</t>
        </is>
      </c>
      <c r="F1280" t="n">
        <v>168.3364839319471</v>
      </c>
      <c r="G1280">
        <f>2*SQRT(F1280/PI())</f>
        <v/>
      </c>
      <c r="H1280" t="n">
        <v>62.42640614509583</v>
      </c>
      <c r="I1280" t="n">
        <v>258</v>
      </c>
      <c r="J1280" t="n">
        <v>177</v>
      </c>
      <c r="K1280" t="n">
        <v>164.9697542533081</v>
      </c>
      <c r="L1280" t="n">
        <v>171.703213610586</v>
      </c>
      <c r="M1280">
        <f>2*SQRT(K1280/PI())</f>
        <v/>
      </c>
      <c r="N1280">
        <f>2*SQRT(L1280/PI())</f>
        <v/>
      </c>
      <c r="P1280" t="inlineStr">
        <is>
          <t>是</t>
        </is>
      </c>
      <c r="Q1280" t="inlineStr">
        <is>
          <t>auto_pipeline;review_png_green</t>
        </is>
      </c>
      <c r="R1280" t="inlineStr">
        <is>
          <t>样品29</t>
        </is>
      </c>
    </row>
    <row r="1281">
      <c r="A1281" t="n">
        <v>1280</v>
      </c>
      <c r="B1281" t="inlineStr">
        <is>
          <t>29 (5).tif</t>
        </is>
      </c>
      <c r="C1281" t="inlineStr">
        <is>
          <t>29(5)-V07</t>
        </is>
      </c>
      <c r="D1281" t="n">
        <v>7</v>
      </c>
      <c r="E1281" t="inlineStr">
        <is>
          <t>primary</t>
        </is>
      </c>
      <c r="F1281" t="n">
        <v>154.2533081285444</v>
      </c>
      <c r="G1281">
        <f>2*SQRT(F1281/PI())</f>
        <v/>
      </c>
      <c r="H1281" t="n">
        <v>48.07327892469323</v>
      </c>
      <c r="I1281" t="n">
        <v>136</v>
      </c>
      <c r="J1281" t="n">
        <v>137</v>
      </c>
      <c r="K1281" t="n">
        <v>151.1682419659736</v>
      </c>
      <c r="L1281" t="n">
        <v>157.3383742911153</v>
      </c>
      <c r="M1281">
        <f>2*SQRT(K1281/PI())</f>
        <v/>
      </c>
      <c r="N1281">
        <f>2*SQRT(L1281/PI())</f>
        <v/>
      </c>
      <c r="P1281" t="inlineStr">
        <is>
          <t>是</t>
        </is>
      </c>
      <c r="Q1281" t="inlineStr">
        <is>
          <t>auto_pipeline;review_png_green</t>
        </is>
      </c>
      <c r="R1281" t="inlineStr">
        <is>
          <t>样品29</t>
        </is>
      </c>
    </row>
    <row r="1282">
      <c r="A1282" t="n">
        <v>1281</v>
      </c>
      <c r="B1282" t="inlineStr">
        <is>
          <t>29 (5).tif</t>
        </is>
      </c>
      <c r="C1282" t="inlineStr">
        <is>
          <t>29(5)-V08</t>
        </is>
      </c>
      <c r="D1282" t="n">
        <v>8</v>
      </c>
      <c r="E1282" t="inlineStr">
        <is>
          <t>primary</t>
        </is>
      </c>
      <c r="F1282" t="n">
        <v>133.5302457466919</v>
      </c>
      <c r="G1282">
        <f>2*SQRT(F1282/PI())</f>
        <v/>
      </c>
      <c r="H1282" t="n">
        <v>46.56698929226916</v>
      </c>
      <c r="I1282" t="n">
        <v>262</v>
      </c>
      <c r="J1282" t="n">
        <v>261</v>
      </c>
      <c r="K1282" t="n">
        <v>130.859640831758</v>
      </c>
      <c r="L1282" t="n">
        <v>136.2008506616257</v>
      </c>
      <c r="M1282">
        <f>2*SQRT(K1282/PI())</f>
        <v/>
      </c>
      <c r="N1282">
        <f>2*SQRT(L1282/PI())</f>
        <v/>
      </c>
      <c r="P1282" t="inlineStr">
        <is>
          <t>是</t>
        </is>
      </c>
      <c r="Q1282" t="inlineStr">
        <is>
          <t>auto_pipeline;review_png_green</t>
        </is>
      </c>
      <c r="R1282" t="inlineStr">
        <is>
          <t>样品29</t>
        </is>
      </c>
    </row>
    <row r="1283">
      <c r="A1283" t="n">
        <v>1282</v>
      </c>
      <c r="B1283" t="inlineStr">
        <is>
          <t>29 (6).tif</t>
        </is>
      </c>
      <c r="C1283" t="inlineStr">
        <is>
          <t>29(6)-V01</t>
        </is>
      </c>
      <c r="D1283" t="n">
        <v>1</v>
      </c>
      <c r="E1283" t="inlineStr">
        <is>
          <t>primary</t>
        </is>
      </c>
      <c r="F1283" t="n">
        <v>817.0841209829867</v>
      </c>
      <c r="G1283">
        <f>2*SQRT(F1283/PI())</f>
        <v/>
      </c>
      <c r="H1283" t="n">
        <v>108.6588076145753</v>
      </c>
      <c r="I1283" t="n">
        <v>534</v>
      </c>
      <c r="J1283" t="n">
        <v>268</v>
      </c>
      <c r="K1283" t="n">
        <v>800.742438563327</v>
      </c>
      <c r="L1283" t="n">
        <v>833.4258034026465</v>
      </c>
      <c r="M1283">
        <f>2*SQRT(K1283/PI())</f>
        <v/>
      </c>
      <c r="N1283">
        <f>2*SQRT(L1283/PI())</f>
        <v/>
      </c>
      <c r="P1283" t="inlineStr">
        <is>
          <t>是</t>
        </is>
      </c>
      <c r="Q1283" t="inlineStr">
        <is>
          <t>auto_pipeline;review_png_green</t>
        </is>
      </c>
      <c r="R1283" t="inlineStr">
        <is>
          <t>样品29</t>
        </is>
      </c>
    </row>
    <row r="1284">
      <c r="A1284" t="n">
        <v>1283</v>
      </c>
      <c r="B1284" t="inlineStr">
        <is>
          <t>29 (6).tif</t>
        </is>
      </c>
      <c r="C1284" t="inlineStr">
        <is>
          <t>29(6)-V02</t>
        </is>
      </c>
      <c r="D1284" t="n">
        <v>2</v>
      </c>
      <c r="E1284" t="inlineStr">
        <is>
          <t>primary</t>
        </is>
      </c>
      <c r="F1284" t="n">
        <v>702.2684310018903</v>
      </c>
      <c r="G1284">
        <f>2*SQRT(F1284/PI())</f>
        <v/>
      </c>
      <c r="H1284" t="n">
        <v>100.3451900896819</v>
      </c>
      <c r="I1284" t="n">
        <v>517</v>
      </c>
      <c r="J1284" t="n">
        <v>442</v>
      </c>
      <c r="K1284" t="n">
        <v>688.2230623818525</v>
      </c>
      <c r="L1284" t="n">
        <v>716.3137996219282</v>
      </c>
      <c r="M1284">
        <f>2*SQRT(K1284/PI())</f>
        <v/>
      </c>
      <c r="N1284">
        <f>2*SQRT(L1284/PI())</f>
        <v/>
      </c>
      <c r="P1284" t="inlineStr">
        <is>
          <t>是</t>
        </is>
      </c>
      <c r="Q1284" t="inlineStr">
        <is>
          <t>auto_pipeline;review_png_green</t>
        </is>
      </c>
      <c r="R1284" t="inlineStr">
        <is>
          <t>样品29</t>
        </is>
      </c>
    </row>
    <row r="1285">
      <c r="A1285" t="n">
        <v>1284</v>
      </c>
      <c r="B1285" t="inlineStr">
        <is>
          <t>29 (6).tif</t>
        </is>
      </c>
      <c r="C1285" t="inlineStr">
        <is>
          <t>29(6)-V03</t>
        </is>
      </c>
      <c r="D1285" t="n">
        <v>3</v>
      </c>
      <c r="E1285" t="inlineStr">
        <is>
          <t>primary</t>
        </is>
      </c>
      <c r="F1285" t="n">
        <v>612.0746691871456</v>
      </c>
      <c r="G1285">
        <f>2*SQRT(F1285/PI())</f>
        <v/>
      </c>
      <c r="H1285" t="n">
        <v>94.17458661224531</v>
      </c>
      <c r="I1285" t="n">
        <v>495</v>
      </c>
      <c r="J1285" t="n">
        <v>603</v>
      </c>
      <c r="K1285" t="n">
        <v>599.8331758034026</v>
      </c>
      <c r="L1285" t="n">
        <v>624.3161625708885</v>
      </c>
      <c r="M1285">
        <f>2*SQRT(K1285/PI())</f>
        <v/>
      </c>
      <c r="N1285">
        <f>2*SQRT(L1285/PI())</f>
        <v/>
      </c>
      <c r="P1285" t="inlineStr">
        <is>
          <t>是</t>
        </is>
      </c>
      <c r="Q1285" t="inlineStr">
        <is>
          <t>auto_pipeline;review_png_green</t>
        </is>
      </c>
      <c r="R1285" t="inlineStr">
        <is>
          <t>样品29</t>
        </is>
      </c>
    </row>
    <row r="1286">
      <c r="A1286" t="n">
        <v>1285</v>
      </c>
      <c r="B1286" t="inlineStr">
        <is>
          <t>29 (7).tif</t>
        </is>
      </c>
      <c r="C1286" t="inlineStr">
        <is>
          <t>29(7)-V01</t>
        </is>
      </c>
      <c r="D1286" t="n">
        <v>1</v>
      </c>
      <c r="E1286" t="inlineStr">
        <is>
          <t>primary</t>
        </is>
      </c>
      <c r="F1286" t="n">
        <v>637.0037807183365</v>
      </c>
      <c r="G1286">
        <f>2*SQRT(F1286/PI())</f>
        <v/>
      </c>
      <c r="H1286" t="n">
        <v>107.0289219980654</v>
      </c>
      <c r="I1286" t="n">
        <v>739</v>
      </c>
      <c r="J1286" t="n">
        <v>57</v>
      </c>
      <c r="K1286" t="n">
        <v>624.2637051039698</v>
      </c>
      <c r="L1286" t="n">
        <v>649.7438563327033</v>
      </c>
      <c r="M1286">
        <f>2*SQRT(K1286/PI())</f>
        <v/>
      </c>
      <c r="N1286">
        <f>2*SQRT(L1286/PI())</f>
        <v/>
      </c>
      <c r="P1286" t="inlineStr">
        <is>
          <t>是</t>
        </is>
      </c>
      <c r="Q1286" t="inlineStr">
        <is>
          <t>auto_pipeline;review_png_green</t>
        </is>
      </c>
      <c r="R1286" t="inlineStr">
        <is>
          <t>样品29</t>
        </is>
      </c>
    </row>
    <row r="1287">
      <c r="A1287" t="n">
        <v>1286</v>
      </c>
      <c r="B1287" t="inlineStr">
        <is>
          <t>29 (7).tif</t>
        </is>
      </c>
      <c r="C1287" t="inlineStr">
        <is>
          <t>29(7)-V02</t>
        </is>
      </c>
      <c r="D1287" t="n">
        <v>2</v>
      </c>
      <c r="E1287" t="inlineStr">
        <is>
          <t>primary</t>
        </is>
      </c>
      <c r="F1287" t="n">
        <v>600.2835538752363</v>
      </c>
      <c r="G1287">
        <f>2*SQRT(F1287/PI())</f>
        <v/>
      </c>
      <c r="H1287" t="n">
        <v>92.45730514111726</v>
      </c>
      <c r="I1287" t="n">
        <v>394</v>
      </c>
      <c r="J1287" t="n">
        <v>385</v>
      </c>
      <c r="K1287" t="n">
        <v>588.2778827977315</v>
      </c>
      <c r="L1287" t="n">
        <v>612.2892249527411</v>
      </c>
      <c r="M1287">
        <f>2*SQRT(K1287/PI())</f>
        <v/>
      </c>
      <c r="N1287">
        <f>2*SQRT(L1287/PI())</f>
        <v/>
      </c>
      <c r="P1287" t="inlineStr">
        <is>
          <t>是</t>
        </is>
      </c>
      <c r="Q1287" t="inlineStr">
        <is>
          <t>auto_pipeline;review_png_green</t>
        </is>
      </c>
      <c r="R1287" t="inlineStr">
        <is>
          <t>样品29</t>
        </is>
      </c>
    </row>
    <row r="1288">
      <c r="A1288" t="n">
        <v>1287</v>
      </c>
      <c r="B1288" t="inlineStr">
        <is>
          <t>29 (7).tif</t>
        </is>
      </c>
      <c r="C1288" t="inlineStr">
        <is>
          <t>29(7)-V03</t>
        </is>
      </c>
      <c r="D1288" t="n">
        <v>3</v>
      </c>
      <c r="E1288" t="inlineStr">
        <is>
          <t>primary</t>
        </is>
      </c>
      <c r="F1288" t="n">
        <v>574.1493383742911</v>
      </c>
      <c r="G1288">
        <f>2*SQRT(F1288/PI())</f>
        <v/>
      </c>
      <c r="H1288" t="n">
        <v>90.46348494032155</v>
      </c>
      <c r="I1288" t="n">
        <v>793</v>
      </c>
      <c r="J1288" t="n">
        <v>302</v>
      </c>
      <c r="K1288" t="n">
        <v>562.6663516068053</v>
      </c>
      <c r="L1288" t="n">
        <v>585.632325141777</v>
      </c>
      <c r="M1288">
        <f>2*SQRT(K1288/PI())</f>
        <v/>
      </c>
      <c r="N1288">
        <f>2*SQRT(L1288/PI())</f>
        <v/>
      </c>
      <c r="P1288" t="inlineStr">
        <is>
          <t>是</t>
        </is>
      </c>
      <c r="Q1288" t="inlineStr">
        <is>
          <t>auto_pipeline;review_png_green</t>
        </is>
      </c>
      <c r="R1288" t="inlineStr">
        <is>
          <t>样品29</t>
        </is>
      </c>
    </row>
    <row r="1289">
      <c r="A1289" t="n">
        <v>1288</v>
      </c>
      <c r="B1289" t="inlineStr">
        <is>
          <t>29 (7).tif</t>
        </is>
      </c>
      <c r="C1289" t="inlineStr">
        <is>
          <t>29(7)-V04</t>
        </is>
      </c>
      <c r="D1289" t="n">
        <v>4</v>
      </c>
      <c r="E1289" t="inlineStr">
        <is>
          <t>primary</t>
        </is>
      </c>
      <c r="F1289" t="n">
        <v>505.1748582230624</v>
      </c>
      <c r="G1289">
        <f>2*SQRT(F1289/PI())</f>
        <v/>
      </c>
      <c r="H1289" t="n">
        <v>86.03201189766759</v>
      </c>
      <c r="I1289" t="n">
        <v>584</v>
      </c>
      <c r="J1289" t="n">
        <v>338</v>
      </c>
      <c r="K1289" t="n">
        <v>495.0713610586011</v>
      </c>
      <c r="L1289" t="n">
        <v>515.2783553875236</v>
      </c>
      <c r="M1289">
        <f>2*SQRT(K1289/PI())</f>
        <v/>
      </c>
      <c r="N1289">
        <f>2*SQRT(L1289/PI())</f>
        <v/>
      </c>
      <c r="P1289" t="inlineStr">
        <is>
          <t>是</t>
        </is>
      </c>
      <c r="Q1289" t="inlineStr">
        <is>
          <t>auto_pipeline;review_png_green</t>
        </is>
      </c>
      <c r="R1289" t="inlineStr">
        <is>
          <t>样品29</t>
        </is>
      </c>
    </row>
    <row r="1290">
      <c r="A1290" t="n">
        <v>1289</v>
      </c>
      <c r="B1290" t="inlineStr">
        <is>
          <t>29 (7).tif</t>
        </is>
      </c>
      <c r="C1290" t="inlineStr">
        <is>
          <t>29(7)-V05</t>
        </is>
      </c>
      <c r="D1290" t="n">
        <v>5</v>
      </c>
      <c r="E1290" t="inlineStr">
        <is>
          <t>primary</t>
        </is>
      </c>
      <c r="F1290" t="n">
        <v>470.0614366729679</v>
      </c>
      <c r="G1290">
        <f>2*SQRT(F1290/PI())</f>
        <v/>
      </c>
      <c r="H1290" t="n">
        <v>82.19356534273727</v>
      </c>
      <c r="I1290" t="n">
        <v>197</v>
      </c>
      <c r="J1290" t="n">
        <v>442</v>
      </c>
      <c r="K1290" t="n">
        <v>460.6602079395085</v>
      </c>
      <c r="L1290" t="n">
        <v>479.4626654064273</v>
      </c>
      <c r="M1290">
        <f>2*SQRT(K1290/PI())</f>
        <v/>
      </c>
      <c r="N1290">
        <f>2*SQRT(L1290/PI())</f>
        <v/>
      </c>
      <c r="P1290" t="inlineStr">
        <is>
          <t>是</t>
        </is>
      </c>
      <c r="Q1290" t="inlineStr">
        <is>
          <t>auto_pipeline;review_png_green</t>
        </is>
      </c>
      <c r="R1290" t="inlineStr">
        <is>
          <t>样品29</t>
        </is>
      </c>
    </row>
    <row r="1291">
      <c r="A1291" t="n">
        <v>1290</v>
      </c>
      <c r="B1291" t="inlineStr">
        <is>
          <t>29 (7).tif</t>
        </is>
      </c>
      <c r="C1291" t="inlineStr">
        <is>
          <t>29(7)-V06</t>
        </is>
      </c>
      <c r="D1291" t="n">
        <v>6</v>
      </c>
      <c r="E1291" t="inlineStr">
        <is>
          <t>primary</t>
        </is>
      </c>
      <c r="F1291" t="n">
        <v>198.9130434782609</v>
      </c>
      <c r="G1291">
        <f>2*SQRT(F1291/PI())</f>
        <v/>
      </c>
      <c r="H1291" t="n">
        <v>67.98588307007499</v>
      </c>
      <c r="I1291" t="n">
        <v>807</v>
      </c>
      <c r="J1291" t="n">
        <v>636</v>
      </c>
      <c r="K1291" t="n">
        <v>194.9347826086957</v>
      </c>
      <c r="L1291" t="n">
        <v>202.8913043478261</v>
      </c>
      <c r="M1291">
        <f>2*SQRT(K1291/PI())</f>
        <v/>
      </c>
      <c r="N1291">
        <f>2*SQRT(L1291/PI())</f>
        <v/>
      </c>
      <c r="P1291" t="inlineStr">
        <is>
          <t>是</t>
        </is>
      </c>
      <c r="Q1291" t="inlineStr">
        <is>
          <t>auto_pipeline;review_png_green</t>
        </is>
      </c>
      <c r="R1291" t="inlineStr">
        <is>
          <t>样品29</t>
        </is>
      </c>
    </row>
    <row r="1292">
      <c r="A1292" t="n">
        <v>1291</v>
      </c>
      <c r="B1292" t="inlineStr">
        <is>
          <t>29 (8).tif</t>
        </is>
      </c>
      <c r="C1292" t="inlineStr">
        <is>
          <t>29(8)-V01</t>
        </is>
      </c>
      <c r="D1292" t="n">
        <v>1</v>
      </c>
      <c r="E1292" t="inlineStr">
        <is>
          <t>primary</t>
        </is>
      </c>
      <c r="F1292" t="n">
        <v>892.8166351606806</v>
      </c>
      <c r="G1292">
        <f>2*SQRT(F1292/PI())</f>
        <v/>
      </c>
      <c r="H1292" t="n">
        <v>112.7300949718641</v>
      </c>
      <c r="I1292" t="n">
        <v>534</v>
      </c>
      <c r="J1292" t="n">
        <v>322</v>
      </c>
      <c r="K1292" t="n">
        <v>874.9603024574669</v>
      </c>
      <c r="L1292" t="n">
        <v>910.6729678638942</v>
      </c>
      <c r="M1292">
        <f>2*SQRT(K1292/PI())</f>
        <v/>
      </c>
      <c r="N1292">
        <f>2*SQRT(L1292/PI())</f>
        <v/>
      </c>
      <c r="P1292" t="inlineStr">
        <is>
          <t>是</t>
        </is>
      </c>
      <c r="Q1292" t="inlineStr">
        <is>
          <t>auto_pipeline;review_png_green</t>
        </is>
      </c>
      <c r="R1292" t="inlineStr">
        <is>
          <t>样品29</t>
        </is>
      </c>
    </row>
    <row r="1293">
      <c r="A1293" t="n">
        <v>1292</v>
      </c>
      <c r="B1293" t="inlineStr">
        <is>
          <t>29 (8).tif</t>
        </is>
      </c>
      <c r="C1293" t="inlineStr">
        <is>
          <t>29(8)-V02</t>
        </is>
      </c>
      <c r="D1293" t="n">
        <v>2</v>
      </c>
      <c r="E1293" t="inlineStr">
        <is>
          <t>primary</t>
        </is>
      </c>
      <c r="F1293" t="n">
        <v>745.4867674858223</v>
      </c>
      <c r="G1293">
        <f>2*SQRT(F1293/PI())</f>
        <v/>
      </c>
      <c r="H1293" t="n">
        <v>103.5906101568885</v>
      </c>
      <c r="I1293" t="n">
        <v>432</v>
      </c>
      <c r="J1293" t="n">
        <v>486</v>
      </c>
      <c r="K1293" t="n">
        <v>730.5770321361058</v>
      </c>
      <c r="L1293" t="n">
        <v>760.3965028355387</v>
      </c>
      <c r="M1293">
        <f>2*SQRT(K1293/PI())</f>
        <v/>
      </c>
      <c r="N1293">
        <f>2*SQRT(L1293/PI())</f>
        <v/>
      </c>
      <c r="P1293" t="inlineStr">
        <is>
          <t>是</t>
        </is>
      </c>
      <c r="Q1293" t="inlineStr">
        <is>
          <t>auto_pipeline;review_png_green</t>
        </is>
      </c>
      <c r="R1293" t="inlineStr">
        <is>
          <t>样品29</t>
        </is>
      </c>
    </row>
    <row r="1294">
      <c r="A1294" t="n">
        <v>1293</v>
      </c>
      <c r="B1294" t="inlineStr">
        <is>
          <t>29 (8).tif</t>
        </is>
      </c>
      <c r="C1294" t="inlineStr">
        <is>
          <t>29(8)-V03</t>
        </is>
      </c>
      <c r="D1294" t="n">
        <v>3</v>
      </c>
      <c r="E1294" t="inlineStr">
        <is>
          <t>primary</t>
        </is>
      </c>
      <c r="F1294" t="n">
        <v>175.023629489603</v>
      </c>
      <c r="G1294">
        <f>2*SQRT(F1294/PI())</f>
        <v/>
      </c>
      <c r="H1294" t="n">
        <v>51.4241949112519</v>
      </c>
      <c r="I1294" t="n">
        <v>72</v>
      </c>
      <c r="J1294" t="n">
        <v>402</v>
      </c>
      <c r="K1294" t="n">
        <v>171.523156899811</v>
      </c>
      <c r="L1294" t="n">
        <v>178.5241020793951</v>
      </c>
      <c r="M1294">
        <f>2*SQRT(K1294/PI())</f>
        <v/>
      </c>
      <c r="N1294">
        <f>2*SQRT(L1294/PI())</f>
        <v/>
      </c>
      <c r="P1294" t="inlineStr">
        <is>
          <t>是</t>
        </is>
      </c>
      <c r="Q1294" t="inlineStr">
        <is>
          <t>auto_pipeline;review_png_green</t>
        </is>
      </c>
      <c r="R1294" t="inlineStr">
        <is>
          <t>样品29</t>
        </is>
      </c>
    </row>
    <row r="1295">
      <c r="A1295" t="n">
        <v>1294</v>
      </c>
      <c r="B1295" t="inlineStr">
        <is>
          <t>29 (8).tif</t>
        </is>
      </c>
      <c r="C1295" t="inlineStr">
        <is>
          <t>29(8)-V04</t>
        </is>
      </c>
      <c r="D1295" t="n">
        <v>4</v>
      </c>
      <c r="E1295" t="inlineStr">
        <is>
          <t>primary</t>
        </is>
      </c>
      <c r="F1295" t="n">
        <v>148.5113421550095</v>
      </c>
      <c r="G1295">
        <f>2*SQRT(F1295/PI())</f>
        <v/>
      </c>
      <c r="H1295" t="n">
        <v>53.22512333807738</v>
      </c>
      <c r="I1295" t="n">
        <v>479</v>
      </c>
      <c r="J1295" t="n">
        <v>183</v>
      </c>
      <c r="K1295" t="n">
        <v>145.5411153119093</v>
      </c>
      <c r="L1295" t="n">
        <v>151.4815689981097</v>
      </c>
      <c r="M1295">
        <f>2*SQRT(K1295/PI())</f>
        <v/>
      </c>
      <c r="N1295">
        <f>2*SQRT(L1295/PI())</f>
        <v/>
      </c>
      <c r="P1295" t="inlineStr">
        <is>
          <t>是</t>
        </is>
      </c>
      <c r="Q1295" t="inlineStr">
        <is>
          <t>auto_pipeline;review_png_green</t>
        </is>
      </c>
      <c r="R1295" t="inlineStr">
        <is>
          <t>样品29</t>
        </is>
      </c>
    </row>
    <row r="1296">
      <c r="A1296" t="n">
        <v>1295</v>
      </c>
      <c r="B1296" t="inlineStr">
        <is>
          <t>29 (8).tif</t>
        </is>
      </c>
      <c r="C1296" t="inlineStr">
        <is>
          <t>29(8)-V05</t>
        </is>
      </c>
      <c r="D1296" t="n">
        <v>5</v>
      </c>
      <c r="E1296" t="inlineStr">
        <is>
          <t>primary</t>
        </is>
      </c>
      <c r="F1296" t="n">
        <v>131.0018903591682</v>
      </c>
      <c r="G1296">
        <f>2*SQRT(F1296/PI())</f>
        <v/>
      </c>
      <c r="H1296" t="n">
        <v>47.09821778794993</v>
      </c>
      <c r="I1296" t="n">
        <v>776</v>
      </c>
      <c r="J1296" t="n">
        <v>225</v>
      </c>
      <c r="K1296" t="n">
        <v>128.3818525519849</v>
      </c>
      <c r="L1296" t="n">
        <v>133.6219281663516</v>
      </c>
      <c r="M1296">
        <f>2*SQRT(K1296/PI())</f>
        <v/>
      </c>
      <c r="N1296">
        <f>2*SQRT(L1296/PI())</f>
        <v/>
      </c>
      <c r="P1296" t="inlineStr">
        <is>
          <t>是</t>
        </is>
      </c>
      <c r="Q1296" t="inlineStr">
        <is>
          <t>auto_pipeline;review_png_green</t>
        </is>
      </c>
      <c r="R1296" t="inlineStr">
        <is>
          <t>样品29</t>
        </is>
      </c>
    </row>
    <row r="1297">
      <c r="A1297" t="n">
        <v>1296</v>
      </c>
      <c r="B1297" t="inlineStr">
        <is>
          <t>29 (9).tif</t>
        </is>
      </c>
      <c r="C1297" t="inlineStr">
        <is>
          <t>29(9)-V01</t>
        </is>
      </c>
      <c r="D1297" t="n">
        <v>1</v>
      </c>
      <c r="E1297" t="inlineStr">
        <is>
          <t>primary</t>
        </is>
      </c>
      <c r="F1297" t="n">
        <v>833.5538752362949</v>
      </c>
      <c r="G1297">
        <f>2*SQRT(F1297/PI())</f>
        <v/>
      </c>
      <c r="H1297" t="n">
        <v>111.4566461417986</v>
      </c>
      <c r="I1297" t="n">
        <v>398</v>
      </c>
      <c r="J1297" t="n">
        <v>294</v>
      </c>
      <c r="K1297" t="n">
        <v>816.882797731569</v>
      </c>
      <c r="L1297" t="n">
        <v>850.2249527410207</v>
      </c>
      <c r="M1297">
        <f>2*SQRT(K1297/PI())</f>
        <v/>
      </c>
      <c r="N1297">
        <f>2*SQRT(L1297/PI())</f>
        <v/>
      </c>
      <c r="O1297" t="inlineStr">
        <is>
          <t>29(9)-P01</t>
        </is>
      </c>
      <c r="P1297" t="inlineStr">
        <is>
          <t>是</t>
        </is>
      </c>
      <c r="Q1297" t="inlineStr">
        <is>
          <t>auto_pipeline;review_png_green</t>
        </is>
      </c>
      <c r="R1297" t="inlineStr">
        <is>
          <t>样品29</t>
        </is>
      </c>
    </row>
    <row r="1298">
      <c r="A1298" t="n">
        <v>1297</v>
      </c>
      <c r="B1298" t="inlineStr">
        <is>
          <t>29 (9).tif</t>
        </is>
      </c>
      <c r="C1298" t="inlineStr">
        <is>
          <t>29(9)-V02</t>
        </is>
      </c>
      <c r="D1298" t="n">
        <v>2</v>
      </c>
      <c r="E1298" t="inlineStr">
        <is>
          <t>primary</t>
        </is>
      </c>
      <c r="F1298" t="n">
        <v>709.1682419659735</v>
      </c>
      <c r="G1298">
        <f>2*SQRT(F1298/PI())</f>
        <v/>
      </c>
      <c r="H1298" t="n">
        <v>100.494383936343</v>
      </c>
      <c r="I1298" t="n">
        <v>554</v>
      </c>
      <c r="J1298" t="n">
        <v>383</v>
      </c>
      <c r="K1298" t="n">
        <v>694.9848771266541</v>
      </c>
      <c r="L1298" t="n">
        <v>723.3516068052929</v>
      </c>
      <c r="M1298">
        <f>2*SQRT(K1298/PI())</f>
        <v/>
      </c>
      <c r="N1298">
        <f>2*SQRT(L1298/PI())</f>
        <v/>
      </c>
      <c r="O1298" t="inlineStr">
        <is>
          <t>29(9)-P01</t>
        </is>
      </c>
      <c r="P1298" t="inlineStr">
        <is>
          <t>是</t>
        </is>
      </c>
      <c r="Q1298" t="inlineStr">
        <is>
          <t>auto_pipeline;review_png_green</t>
        </is>
      </c>
      <c r="R1298" t="inlineStr">
        <is>
          <t>样品29</t>
        </is>
      </c>
    </row>
    <row r="1299">
      <c r="A1299" t="n">
        <v>1298</v>
      </c>
      <c r="B1299" t="inlineStr">
        <is>
          <t>29 (9).tif</t>
        </is>
      </c>
      <c r="C1299" t="inlineStr">
        <is>
          <t>29(9)-V03</t>
        </is>
      </c>
      <c r="D1299" t="n">
        <v>3</v>
      </c>
      <c r="E1299" t="inlineStr">
        <is>
          <t>primary</t>
        </is>
      </c>
      <c r="F1299" t="n">
        <v>614.3431001890359</v>
      </c>
      <c r="G1299">
        <f>2*SQRT(F1299/PI())</f>
        <v/>
      </c>
      <c r="H1299" t="n">
        <v>92.94483570948891</v>
      </c>
      <c r="I1299" t="n">
        <v>694</v>
      </c>
      <c r="J1299" t="n">
        <v>472</v>
      </c>
      <c r="K1299" t="n">
        <v>602.0562381852552</v>
      </c>
      <c r="L1299" t="n">
        <v>626.6299621928166</v>
      </c>
      <c r="M1299">
        <f>2*SQRT(K1299/PI())</f>
        <v/>
      </c>
      <c r="N1299">
        <f>2*SQRT(L1299/PI())</f>
        <v/>
      </c>
      <c r="P1299" t="inlineStr">
        <is>
          <t>是</t>
        </is>
      </c>
      <c r="Q1299" t="inlineStr">
        <is>
          <t>auto_pipeline;review_png_green</t>
        </is>
      </c>
      <c r="R1299" t="inlineStr">
        <is>
          <t>样品29</t>
        </is>
      </c>
    </row>
    <row r="1300">
      <c r="A1300" t="n">
        <v>1299</v>
      </c>
      <c r="B1300" t="inlineStr">
        <is>
          <t>30 (1).tif</t>
        </is>
      </c>
      <c r="C1300" t="inlineStr">
        <is>
          <t>30(1)-V01</t>
        </is>
      </c>
      <c r="D1300" t="n">
        <v>1</v>
      </c>
      <c r="E1300" t="inlineStr">
        <is>
          <t>primary</t>
        </is>
      </c>
      <c r="F1300" t="n">
        <v>1158.199432892249</v>
      </c>
      <c r="G1300">
        <f>2*SQRT(F1300/PI())</f>
        <v/>
      </c>
      <c r="H1300" t="n">
        <v>132.0059747022131</v>
      </c>
      <c r="I1300" t="n">
        <v>689</v>
      </c>
      <c r="J1300" t="n">
        <v>143</v>
      </c>
      <c r="K1300" t="n">
        <v>1135.035444234404</v>
      </c>
      <c r="L1300" t="n">
        <v>1181.363421550094</v>
      </c>
      <c r="M1300">
        <f>2*SQRT(K1300/PI())</f>
        <v/>
      </c>
      <c r="N1300">
        <f>2*SQRT(L1300/PI())</f>
        <v/>
      </c>
      <c r="P1300" t="inlineStr">
        <is>
          <t>是</t>
        </is>
      </c>
      <c r="Q1300" t="inlineStr">
        <is>
          <t>auto_pipeline;review_png_green</t>
        </is>
      </c>
      <c r="R1300" t="inlineStr">
        <is>
          <t>样品30</t>
        </is>
      </c>
    </row>
    <row r="1301">
      <c r="A1301" t="n">
        <v>1300</v>
      </c>
      <c r="B1301" t="inlineStr">
        <is>
          <t>30 (1).tif</t>
        </is>
      </c>
      <c r="C1301" t="inlineStr">
        <is>
          <t>30(1)-V02</t>
        </is>
      </c>
      <c r="D1301" t="n">
        <v>2</v>
      </c>
      <c r="E1301" t="inlineStr">
        <is>
          <t>primary</t>
        </is>
      </c>
      <c r="F1301" t="n">
        <v>1053.969754253308</v>
      </c>
      <c r="G1301">
        <f>2*SQRT(F1301/PI())</f>
        <v/>
      </c>
      <c r="H1301" t="n">
        <v>122.2516144358594</v>
      </c>
      <c r="I1301" t="n">
        <v>322</v>
      </c>
      <c r="J1301" t="n">
        <v>130</v>
      </c>
      <c r="K1301" t="n">
        <v>1032.890359168242</v>
      </c>
      <c r="L1301" t="n">
        <v>1075.049149338374</v>
      </c>
      <c r="M1301">
        <f>2*SQRT(K1301/PI())</f>
        <v/>
      </c>
      <c r="N1301">
        <f>2*SQRT(L1301/PI())</f>
        <v/>
      </c>
      <c r="P1301" t="inlineStr">
        <is>
          <t>是</t>
        </is>
      </c>
      <c r="Q1301" t="inlineStr">
        <is>
          <t>auto_pipeline;review_png_green</t>
        </is>
      </c>
      <c r="R1301" t="inlineStr">
        <is>
          <t>样品30</t>
        </is>
      </c>
    </row>
    <row r="1302">
      <c r="A1302" t="n">
        <v>1301</v>
      </c>
      <c r="B1302" t="inlineStr">
        <is>
          <t>30 (1).tif</t>
        </is>
      </c>
      <c r="C1302" t="inlineStr">
        <is>
          <t>30(1)-V03</t>
        </is>
      </c>
      <c r="D1302" t="n">
        <v>3</v>
      </c>
      <c r="E1302" t="inlineStr">
        <is>
          <t>primary</t>
        </is>
      </c>
      <c r="F1302" t="n">
        <v>526.5122873345936</v>
      </c>
      <c r="G1302">
        <f>2*SQRT(F1302/PI())</f>
        <v/>
      </c>
      <c r="H1302" t="n">
        <v>88.00398313480875</v>
      </c>
      <c r="I1302" t="n">
        <v>534</v>
      </c>
      <c r="J1302" t="n">
        <v>365</v>
      </c>
      <c r="K1302" t="n">
        <v>515.9820415879017</v>
      </c>
      <c r="L1302" t="n">
        <v>537.0425330812855</v>
      </c>
      <c r="M1302">
        <f>2*SQRT(K1302/PI())</f>
        <v/>
      </c>
      <c r="N1302">
        <f>2*SQRT(L1302/PI())</f>
        <v/>
      </c>
      <c r="O1302" t="inlineStr">
        <is>
          <t>30(1)-P01</t>
        </is>
      </c>
      <c r="P1302" t="inlineStr">
        <is>
          <t>是</t>
        </is>
      </c>
      <c r="Q1302" t="inlineStr">
        <is>
          <t>auto_pipeline;review_png_green</t>
        </is>
      </c>
      <c r="R1302" t="inlineStr">
        <is>
          <t>样品30</t>
        </is>
      </c>
    </row>
    <row r="1303">
      <c r="A1303" t="n">
        <v>1302</v>
      </c>
      <c r="B1303" t="inlineStr">
        <is>
          <t>30 (1).tif</t>
        </is>
      </c>
      <c r="C1303" t="inlineStr">
        <is>
          <t>30(1)-V04</t>
        </is>
      </c>
      <c r="D1303" t="n">
        <v>4</v>
      </c>
      <c r="E1303" t="inlineStr">
        <is>
          <t>primary</t>
        </is>
      </c>
      <c r="F1303" t="n">
        <v>501.0869565217391</v>
      </c>
      <c r="G1303">
        <f>2*SQRT(F1303/PI())</f>
        <v/>
      </c>
      <c r="H1303" t="n">
        <v>85.54448132929595</v>
      </c>
      <c r="I1303" t="n">
        <v>452</v>
      </c>
      <c r="J1303" t="n">
        <v>274</v>
      </c>
      <c r="K1303" t="n">
        <v>491.0652173913043</v>
      </c>
      <c r="L1303" t="n">
        <v>511.1086956521739</v>
      </c>
      <c r="M1303">
        <f>2*SQRT(K1303/PI())</f>
        <v/>
      </c>
      <c r="N1303">
        <f>2*SQRT(L1303/PI())</f>
        <v/>
      </c>
      <c r="O1303" t="inlineStr">
        <is>
          <t>30(1)-P01</t>
        </is>
      </c>
      <c r="P1303" t="inlineStr">
        <is>
          <t>是</t>
        </is>
      </c>
      <c r="Q1303" t="inlineStr">
        <is>
          <t>auto_pipeline;review_png_green</t>
        </is>
      </c>
      <c r="R1303" t="inlineStr">
        <is>
          <t>样品30</t>
        </is>
      </c>
    </row>
    <row r="1304">
      <c r="A1304" t="n">
        <v>1303</v>
      </c>
      <c r="B1304" t="inlineStr">
        <is>
          <t>30 (1).tif</t>
        </is>
      </c>
      <c r="C1304" t="inlineStr">
        <is>
          <t>30(1)-V05</t>
        </is>
      </c>
      <c r="D1304" t="n">
        <v>5</v>
      </c>
      <c r="E1304" t="inlineStr">
        <is>
          <t>primary</t>
        </is>
      </c>
      <c r="F1304" t="n">
        <v>302.2448015122873</v>
      </c>
      <c r="G1304">
        <f>2*SQRT(F1304/PI())</f>
        <v/>
      </c>
      <c r="H1304" t="n">
        <v>66.88347705032514</v>
      </c>
      <c r="I1304" t="n">
        <v>468</v>
      </c>
      <c r="J1304" t="n">
        <v>571</v>
      </c>
      <c r="K1304" t="n">
        <v>296.1999054820416</v>
      </c>
      <c r="L1304" t="n">
        <v>308.2896975425331</v>
      </c>
      <c r="M1304">
        <f>2*SQRT(K1304/PI())</f>
        <v/>
      </c>
      <c r="N1304">
        <f>2*SQRT(L1304/PI())</f>
        <v/>
      </c>
      <c r="P1304" t="inlineStr">
        <is>
          <t>是</t>
        </is>
      </c>
      <c r="Q1304" t="inlineStr">
        <is>
          <t>auto_pipeline;review_png_green</t>
        </is>
      </c>
      <c r="R1304" t="inlineStr">
        <is>
          <t>样品30</t>
        </is>
      </c>
    </row>
    <row r="1305">
      <c r="A1305" t="n">
        <v>1304</v>
      </c>
      <c r="B1305" t="inlineStr">
        <is>
          <t>30 (1).tif</t>
        </is>
      </c>
      <c r="C1305" t="inlineStr">
        <is>
          <t>30(1)-V06</t>
        </is>
      </c>
      <c r="D1305" t="n">
        <v>6</v>
      </c>
      <c r="E1305" t="inlineStr">
        <is>
          <t>primary</t>
        </is>
      </c>
      <c r="F1305" t="n">
        <v>143.5727788279773</v>
      </c>
      <c r="G1305">
        <f>2*SQRT(F1305/PI())</f>
        <v/>
      </c>
      <c r="H1305" t="n">
        <v>53.22887223699819</v>
      </c>
      <c r="I1305" t="n">
        <v>574</v>
      </c>
      <c r="J1305" t="n">
        <v>85</v>
      </c>
      <c r="K1305" t="n">
        <v>140.7013232514178</v>
      </c>
      <c r="L1305" t="n">
        <v>146.4442344045369</v>
      </c>
      <c r="M1305">
        <f>2*SQRT(K1305/PI())</f>
        <v/>
      </c>
      <c r="N1305">
        <f>2*SQRT(L1305/PI())</f>
        <v/>
      </c>
      <c r="P1305" t="inlineStr">
        <is>
          <t>是</t>
        </is>
      </c>
      <c r="Q1305" t="inlineStr">
        <is>
          <t>auto_pipeline;review_png_green</t>
        </is>
      </c>
      <c r="R1305" t="inlineStr">
        <is>
          <t>样品30</t>
        </is>
      </c>
    </row>
    <row r="1306">
      <c r="A1306" t="n">
        <v>1305</v>
      </c>
      <c r="B1306" t="inlineStr">
        <is>
          <t>30 (2).tif</t>
        </is>
      </c>
      <c r="C1306" t="inlineStr">
        <is>
          <t>30(2)-V01</t>
        </is>
      </c>
      <c r="D1306" t="n">
        <v>1</v>
      </c>
      <c r="E1306" t="inlineStr">
        <is>
          <t>primary</t>
        </is>
      </c>
      <c r="F1306" t="n">
        <v>805.1748582230624</v>
      </c>
      <c r="G1306">
        <f>2*SQRT(F1306/PI())</f>
        <v/>
      </c>
      <c r="H1306" t="n">
        <v>106.6649874137795</v>
      </c>
      <c r="I1306" t="n">
        <v>558</v>
      </c>
      <c r="J1306" t="n">
        <v>457</v>
      </c>
      <c r="K1306" t="n">
        <v>789.0713610586012</v>
      </c>
      <c r="L1306" t="n">
        <v>821.2783553875237</v>
      </c>
      <c r="M1306">
        <f>2*SQRT(K1306/PI())</f>
        <v/>
      </c>
      <c r="N1306">
        <f>2*SQRT(L1306/PI())</f>
        <v/>
      </c>
      <c r="O1306" t="inlineStr">
        <is>
          <t>30(2)-P01</t>
        </is>
      </c>
      <c r="P1306" t="inlineStr">
        <is>
          <t>是</t>
        </is>
      </c>
      <c r="Q1306" t="inlineStr">
        <is>
          <t>auto_pipeline;review_png_green</t>
        </is>
      </c>
      <c r="R1306" t="inlineStr">
        <is>
          <t>样品30</t>
        </is>
      </c>
    </row>
    <row r="1307">
      <c r="A1307" t="n">
        <v>1306</v>
      </c>
      <c r="B1307" t="inlineStr">
        <is>
          <t>30 (2).tif</t>
        </is>
      </c>
      <c r="C1307" t="inlineStr">
        <is>
          <t>30(2)-V02</t>
        </is>
      </c>
      <c r="D1307" t="n">
        <v>2</v>
      </c>
      <c r="E1307" t="inlineStr">
        <is>
          <t>primary</t>
        </is>
      </c>
      <c r="F1307" t="n">
        <v>640.5954631379963</v>
      </c>
      <c r="G1307">
        <f>2*SQRT(F1307/PI())</f>
        <v/>
      </c>
      <c r="H1307" t="n">
        <v>94.91680694663006</v>
      </c>
      <c r="I1307" t="n">
        <v>432</v>
      </c>
      <c r="J1307" t="n">
        <v>340</v>
      </c>
      <c r="K1307" t="n">
        <v>627.7835538752363</v>
      </c>
      <c r="L1307" t="n">
        <v>653.4073724007562</v>
      </c>
      <c r="M1307">
        <f>2*SQRT(K1307/PI())</f>
        <v/>
      </c>
      <c r="N1307">
        <f>2*SQRT(L1307/PI())</f>
        <v/>
      </c>
      <c r="O1307" t="inlineStr">
        <is>
          <t>30(2)-P01</t>
        </is>
      </c>
      <c r="P1307" t="inlineStr">
        <is>
          <t>是</t>
        </is>
      </c>
      <c r="Q1307" t="inlineStr">
        <is>
          <t>auto_pipeline;review_png_green</t>
        </is>
      </c>
      <c r="R1307" t="inlineStr">
        <is>
          <t>样品30</t>
        </is>
      </c>
    </row>
    <row r="1308">
      <c r="A1308" t="n">
        <v>1307</v>
      </c>
      <c r="B1308" t="inlineStr">
        <is>
          <t>30 (2).tif</t>
        </is>
      </c>
      <c r="C1308" t="inlineStr">
        <is>
          <t>30(2)-V03</t>
        </is>
      </c>
      <c r="D1308" t="n">
        <v>3</v>
      </c>
      <c r="E1308" t="inlineStr">
        <is>
          <t>primary</t>
        </is>
      </c>
      <c r="F1308" t="n">
        <v>147.140831758034</v>
      </c>
      <c r="G1308">
        <f>2*SQRT(F1308/PI())</f>
        <v/>
      </c>
      <c r="H1308" t="n">
        <v>49.07018902509109</v>
      </c>
      <c r="I1308" t="n">
        <v>619</v>
      </c>
      <c r="J1308" t="n">
        <v>57</v>
      </c>
      <c r="K1308" t="n">
        <v>144.1980151228734</v>
      </c>
      <c r="L1308" t="n">
        <v>150.0836483931947</v>
      </c>
      <c r="M1308">
        <f>2*SQRT(K1308/PI())</f>
        <v/>
      </c>
      <c r="N1308">
        <f>2*SQRT(L1308/PI())</f>
        <v/>
      </c>
      <c r="P1308" t="inlineStr">
        <is>
          <t>是</t>
        </is>
      </c>
      <c r="Q1308" t="inlineStr">
        <is>
          <t>auto_pipeline;review_png_green</t>
        </is>
      </c>
      <c r="R1308" t="inlineStr">
        <is>
          <t>样品30</t>
        </is>
      </c>
    </row>
    <row r="1309">
      <c r="A1309" t="n">
        <v>1308</v>
      </c>
      <c r="B1309" t="inlineStr">
        <is>
          <t>30 (3).tif</t>
        </is>
      </c>
      <c r="C1309" t="inlineStr">
        <is>
          <t>30(3)-V01</t>
        </is>
      </c>
      <c r="D1309" t="n">
        <v>1</v>
      </c>
      <c r="E1309" t="inlineStr">
        <is>
          <t>primary</t>
        </is>
      </c>
      <c r="F1309" t="n">
        <v>583.8374291115312</v>
      </c>
      <c r="G1309">
        <f>2*SQRT(F1309/PI())</f>
        <v/>
      </c>
      <c r="H1309" t="n">
        <v>90.97286447234775</v>
      </c>
      <c r="I1309" t="n">
        <v>612</v>
      </c>
      <c r="J1309" t="n">
        <v>388</v>
      </c>
      <c r="K1309" t="n">
        <v>572.1606805293005</v>
      </c>
      <c r="L1309" t="n">
        <v>595.5141776937618</v>
      </c>
      <c r="M1309">
        <f>2*SQRT(K1309/PI())</f>
        <v/>
      </c>
      <c r="N1309">
        <f>2*SQRT(L1309/PI())</f>
        <v/>
      </c>
      <c r="P1309" t="inlineStr">
        <is>
          <t>是</t>
        </is>
      </c>
      <c r="Q1309" t="inlineStr">
        <is>
          <t>auto_pipeline;review_png_green</t>
        </is>
      </c>
      <c r="R1309" t="inlineStr">
        <is>
          <t>样品30</t>
        </is>
      </c>
    </row>
    <row r="1310">
      <c r="A1310" t="n">
        <v>1309</v>
      </c>
      <c r="B1310" t="inlineStr">
        <is>
          <t>30 (3).tif</t>
        </is>
      </c>
      <c r="C1310" t="inlineStr">
        <is>
          <t>30(3)-V02</t>
        </is>
      </c>
      <c r="D1310" t="n">
        <v>2</v>
      </c>
      <c r="E1310" t="inlineStr">
        <is>
          <t>primary</t>
        </is>
      </c>
      <c r="F1310" t="n">
        <v>567.6275992438564</v>
      </c>
      <c r="G1310">
        <f>2*SQRT(F1310/PI())</f>
        <v/>
      </c>
      <c r="H1310" t="n">
        <v>91.58773992372595</v>
      </c>
      <c r="I1310" t="n">
        <v>792</v>
      </c>
      <c r="J1310" t="n">
        <v>444</v>
      </c>
      <c r="K1310" t="n">
        <v>556.2750472589793</v>
      </c>
      <c r="L1310" t="n">
        <v>578.9801512287335</v>
      </c>
      <c r="M1310">
        <f>2*SQRT(K1310/PI())</f>
        <v/>
      </c>
      <c r="N1310">
        <f>2*SQRT(L1310/PI())</f>
        <v/>
      </c>
      <c r="P1310" t="inlineStr">
        <is>
          <t>是</t>
        </is>
      </c>
      <c r="Q1310" t="inlineStr">
        <is>
          <t>auto_pipeline;review_png_green</t>
        </is>
      </c>
      <c r="R1310" t="inlineStr">
        <is>
          <t>样品30</t>
        </is>
      </c>
    </row>
    <row r="1311">
      <c r="A1311" t="n">
        <v>1310</v>
      </c>
      <c r="B1311" t="inlineStr">
        <is>
          <t>30 (3).tif</t>
        </is>
      </c>
      <c r="C1311" t="inlineStr">
        <is>
          <t>30(3)-V03</t>
        </is>
      </c>
      <c r="D1311" t="n">
        <v>3</v>
      </c>
      <c r="E1311" t="inlineStr">
        <is>
          <t>primary</t>
        </is>
      </c>
      <c r="F1311" t="n">
        <v>495.132325141777</v>
      </c>
      <c r="G1311">
        <f>2*SQRT(F1311/PI())</f>
        <v/>
      </c>
      <c r="H1311" t="n">
        <v>83.80535089451334</v>
      </c>
      <c r="I1311" t="n">
        <v>462</v>
      </c>
      <c r="J1311" t="n">
        <v>355</v>
      </c>
      <c r="K1311" t="n">
        <v>485.2296786389414</v>
      </c>
      <c r="L1311" t="n">
        <v>505.0349716446125</v>
      </c>
      <c r="M1311">
        <f>2*SQRT(K1311/PI())</f>
        <v/>
      </c>
      <c r="N1311">
        <f>2*SQRT(L1311/PI())</f>
        <v/>
      </c>
      <c r="P1311" t="inlineStr">
        <is>
          <t>是</t>
        </is>
      </c>
      <c r="Q1311" t="inlineStr">
        <is>
          <t>auto_pipeline;review_png_green</t>
        </is>
      </c>
      <c r="R1311" t="inlineStr">
        <is>
          <t>样品30</t>
        </is>
      </c>
    </row>
    <row r="1312">
      <c r="A1312" t="n">
        <v>1311</v>
      </c>
      <c r="B1312" t="inlineStr">
        <is>
          <t>30 (3).tif</t>
        </is>
      </c>
      <c r="C1312" t="inlineStr">
        <is>
          <t>30(3)-V04</t>
        </is>
      </c>
      <c r="D1312" t="n">
        <v>4</v>
      </c>
      <c r="E1312" t="inlineStr">
        <is>
          <t>primary</t>
        </is>
      </c>
      <c r="F1312" t="n">
        <v>163.5396975425331</v>
      </c>
      <c r="G1312">
        <f>2*SQRT(F1312/PI())</f>
        <v/>
      </c>
      <c r="H1312" t="n">
        <v>51.0640092258868</v>
      </c>
      <c r="I1312" t="n">
        <v>273</v>
      </c>
      <c r="J1312" t="n">
        <v>97</v>
      </c>
      <c r="K1312" t="n">
        <v>160.2689035916824</v>
      </c>
      <c r="L1312" t="n">
        <v>166.8104914933838</v>
      </c>
      <c r="M1312">
        <f>2*SQRT(K1312/PI())</f>
        <v/>
      </c>
      <c r="N1312">
        <f>2*SQRT(L1312/PI())</f>
        <v/>
      </c>
      <c r="P1312" t="inlineStr">
        <is>
          <t>是</t>
        </is>
      </c>
      <c r="Q1312" t="inlineStr">
        <is>
          <t>auto_pipeline;review_png_green</t>
        </is>
      </c>
      <c r="R1312" t="inlineStr">
        <is>
          <t>样品30</t>
        </is>
      </c>
    </row>
    <row r="1313">
      <c r="A1313" t="n">
        <v>1312</v>
      </c>
      <c r="B1313" t="inlineStr">
        <is>
          <t>30 (3).tif</t>
        </is>
      </c>
      <c r="C1313" t="inlineStr">
        <is>
          <t>30(3)-V05</t>
        </is>
      </c>
      <c r="D1313" t="n">
        <v>5</v>
      </c>
      <c r="E1313" t="inlineStr">
        <is>
          <t>primary</t>
        </is>
      </c>
      <c r="F1313" t="n">
        <v>150</v>
      </c>
      <c r="G1313">
        <f>2*SQRT(F1313/PI())</f>
        <v/>
      </c>
      <c r="H1313" t="n">
        <v>51.70073364091956</v>
      </c>
      <c r="I1313" t="n">
        <v>149</v>
      </c>
      <c r="J1313" t="n">
        <v>316</v>
      </c>
      <c r="K1313" t="n">
        <v>147</v>
      </c>
      <c r="L1313" t="n">
        <v>153</v>
      </c>
      <c r="M1313">
        <f>2*SQRT(K1313/PI())</f>
        <v/>
      </c>
      <c r="N1313">
        <f>2*SQRT(L1313/PI())</f>
        <v/>
      </c>
      <c r="P1313" t="inlineStr">
        <is>
          <t>是</t>
        </is>
      </c>
      <c r="Q1313" t="inlineStr">
        <is>
          <t>auto_pipeline;review_png_green</t>
        </is>
      </c>
      <c r="R1313" t="inlineStr">
        <is>
          <t>样品30</t>
        </is>
      </c>
    </row>
    <row r="1314">
      <c r="A1314" t="n">
        <v>1313</v>
      </c>
      <c r="B1314" t="inlineStr">
        <is>
          <t>30 (3).tif</t>
        </is>
      </c>
      <c r="C1314" t="inlineStr">
        <is>
          <t>30(3)-V06</t>
        </is>
      </c>
      <c r="D1314" t="n">
        <v>6</v>
      </c>
      <c r="E1314" t="inlineStr">
        <is>
          <t>primary</t>
        </is>
      </c>
      <c r="F1314" t="n">
        <v>136.2003780718337</v>
      </c>
      <c r="G1314">
        <f>2*SQRT(F1314/PI())</f>
        <v/>
      </c>
      <c r="H1314" t="n">
        <v>44.12933645041092</v>
      </c>
      <c r="I1314" t="n">
        <v>75</v>
      </c>
      <c r="J1314" t="n">
        <v>497</v>
      </c>
      <c r="K1314" t="n">
        <v>133.476370510397</v>
      </c>
      <c r="L1314" t="n">
        <v>138.9243856332703</v>
      </c>
      <c r="M1314">
        <f>2*SQRT(K1314/PI())</f>
        <v/>
      </c>
      <c r="N1314">
        <f>2*SQRT(L1314/PI())</f>
        <v/>
      </c>
      <c r="P1314" t="inlineStr">
        <is>
          <t>是</t>
        </is>
      </c>
      <c r="Q1314" t="inlineStr">
        <is>
          <t>auto_pipeline;review_png_green</t>
        </is>
      </c>
      <c r="R1314" t="inlineStr">
        <is>
          <t>样品30</t>
        </is>
      </c>
    </row>
    <row r="1315">
      <c r="A1315" t="n">
        <v>1314</v>
      </c>
      <c r="B1315" t="inlineStr">
        <is>
          <t>30 (4).tif</t>
        </is>
      </c>
      <c r="C1315" t="inlineStr">
        <is>
          <t>30(4)-V01</t>
        </is>
      </c>
      <c r="D1315" t="n">
        <v>1</v>
      </c>
      <c r="E1315" t="inlineStr">
        <is>
          <t>primary</t>
        </is>
      </c>
      <c r="F1315" t="n">
        <v>693.194706994329</v>
      </c>
      <c r="G1315">
        <f>2*SQRT(F1315/PI())</f>
        <v/>
      </c>
      <c r="H1315" t="n">
        <v>98.75525350156038</v>
      </c>
      <c r="I1315" t="n">
        <v>425</v>
      </c>
      <c r="J1315" t="n">
        <v>301</v>
      </c>
      <c r="K1315" t="n">
        <v>679.3308128544423</v>
      </c>
      <c r="L1315" t="n">
        <v>707.0586011342156</v>
      </c>
      <c r="M1315">
        <f>2*SQRT(K1315/PI())</f>
        <v/>
      </c>
      <c r="N1315">
        <f>2*SQRT(L1315/PI())</f>
        <v/>
      </c>
      <c r="O1315" t="inlineStr">
        <is>
          <t>30(4)-P01</t>
        </is>
      </c>
      <c r="P1315" t="inlineStr">
        <is>
          <t>是</t>
        </is>
      </c>
      <c r="Q1315" t="inlineStr">
        <is>
          <t>auto_pipeline;review_png_green</t>
        </is>
      </c>
      <c r="R1315" t="inlineStr">
        <is>
          <t>样品30</t>
        </is>
      </c>
    </row>
    <row r="1316">
      <c r="A1316" t="n">
        <v>1315</v>
      </c>
      <c r="B1316" t="inlineStr">
        <is>
          <t>30 (4).tif</t>
        </is>
      </c>
      <c r="C1316" t="inlineStr">
        <is>
          <t>30(4)-V02</t>
        </is>
      </c>
      <c r="D1316" t="n">
        <v>2</v>
      </c>
      <c r="E1316" t="inlineStr">
        <is>
          <t>primary</t>
        </is>
      </c>
      <c r="F1316" t="n">
        <v>588.0198487712665</v>
      </c>
      <c r="G1316">
        <f>2*SQRT(F1316/PI())</f>
        <v/>
      </c>
      <c r="H1316" t="n">
        <v>92.0752704920976</v>
      </c>
      <c r="I1316" t="n">
        <v>517</v>
      </c>
      <c r="J1316" t="n">
        <v>431</v>
      </c>
      <c r="K1316" t="n">
        <v>576.2594517958412</v>
      </c>
      <c r="L1316" t="n">
        <v>599.7802457466919</v>
      </c>
      <c r="M1316">
        <f>2*SQRT(K1316/PI())</f>
        <v/>
      </c>
      <c r="N1316">
        <f>2*SQRT(L1316/PI())</f>
        <v/>
      </c>
      <c r="O1316" t="inlineStr">
        <is>
          <t>30(4)-P01</t>
        </is>
      </c>
      <c r="P1316" t="inlineStr">
        <is>
          <t>是</t>
        </is>
      </c>
      <c r="Q1316" t="inlineStr">
        <is>
          <t>auto_pipeline;review_png_green</t>
        </is>
      </c>
      <c r="R1316" t="inlineStr">
        <is>
          <t>样品30</t>
        </is>
      </c>
    </row>
    <row r="1317">
      <c r="A1317" t="n">
        <v>1316</v>
      </c>
      <c r="B1317" t="inlineStr">
        <is>
          <t>30 (4).tif</t>
        </is>
      </c>
      <c r="C1317" t="inlineStr">
        <is>
          <t>30(4)-V03</t>
        </is>
      </c>
      <c r="D1317" t="n">
        <v>3</v>
      </c>
      <c r="E1317" t="inlineStr">
        <is>
          <t>primary</t>
        </is>
      </c>
      <c r="F1317" t="n">
        <v>461.1767485822306</v>
      </c>
      <c r="G1317">
        <f>2*SQRT(F1317/PI())</f>
        <v/>
      </c>
      <c r="H1317" t="n">
        <v>90.31803999258123</v>
      </c>
      <c r="I1317" t="n">
        <v>969</v>
      </c>
      <c r="J1317" t="n">
        <v>456</v>
      </c>
      <c r="K1317" t="n">
        <v>451.953213610586</v>
      </c>
      <c r="L1317" t="n">
        <v>470.4002835538752</v>
      </c>
      <c r="M1317">
        <f>2*SQRT(K1317/PI())</f>
        <v/>
      </c>
      <c r="N1317">
        <f>2*SQRT(L1317/PI())</f>
        <v/>
      </c>
      <c r="P1317" t="inlineStr">
        <is>
          <t>是</t>
        </is>
      </c>
      <c r="Q1317" t="inlineStr">
        <is>
          <t>auto_pipeline;review_png_green</t>
        </is>
      </c>
      <c r="R1317" t="inlineStr">
        <is>
          <t>样品30</t>
        </is>
      </c>
    </row>
    <row r="1318">
      <c r="A1318" t="n">
        <v>1317</v>
      </c>
      <c r="B1318" t="inlineStr">
        <is>
          <t>30 (4).tif</t>
        </is>
      </c>
      <c r="C1318" t="inlineStr">
        <is>
          <t>30(4)-V04</t>
        </is>
      </c>
      <c r="D1318" t="n">
        <v>4</v>
      </c>
      <c r="E1318" t="inlineStr">
        <is>
          <t>primary</t>
        </is>
      </c>
      <c r="F1318" t="n">
        <v>392.296786389414</v>
      </c>
      <c r="G1318">
        <f>2*SQRT(F1318/PI())</f>
        <v/>
      </c>
      <c r="H1318" t="n">
        <v>76.27765163131382</v>
      </c>
      <c r="I1318" t="n">
        <v>130</v>
      </c>
      <c r="J1318" t="n">
        <v>116</v>
      </c>
      <c r="K1318" t="n">
        <v>384.4508506616257</v>
      </c>
      <c r="L1318" t="n">
        <v>400.1427221172023</v>
      </c>
      <c r="M1318">
        <f>2*SQRT(K1318/PI())</f>
        <v/>
      </c>
      <c r="N1318">
        <f>2*SQRT(L1318/PI())</f>
        <v/>
      </c>
      <c r="P1318" t="inlineStr">
        <is>
          <t>是</t>
        </is>
      </c>
      <c r="Q1318" t="inlineStr">
        <is>
          <t>auto_pipeline;review_png_green</t>
        </is>
      </c>
      <c r="R1318" t="inlineStr">
        <is>
          <t>样品30</t>
        </is>
      </c>
    </row>
    <row r="1319">
      <c r="A1319" t="n">
        <v>1318</v>
      </c>
      <c r="B1319" t="inlineStr">
        <is>
          <t>30 (4).tif</t>
        </is>
      </c>
      <c r="C1319" t="inlineStr">
        <is>
          <t>30(4)-V05</t>
        </is>
      </c>
      <c r="D1319" t="n">
        <v>5</v>
      </c>
      <c r="E1319" t="inlineStr">
        <is>
          <t>primary</t>
        </is>
      </c>
      <c r="F1319" t="n">
        <v>307.6086956521739</v>
      </c>
      <c r="G1319">
        <f>2*SQRT(F1319/PI())</f>
        <v/>
      </c>
      <c r="H1319" t="n">
        <v>69.83050942420959</v>
      </c>
      <c r="I1319" t="n">
        <v>268</v>
      </c>
      <c r="J1319" t="n">
        <v>81</v>
      </c>
      <c r="K1319" t="n">
        <v>301.4565217391304</v>
      </c>
      <c r="L1319" t="n">
        <v>313.7608695652174</v>
      </c>
      <c r="M1319">
        <f>2*SQRT(K1319/PI())</f>
        <v/>
      </c>
      <c r="N1319">
        <f>2*SQRT(L1319/PI())</f>
        <v/>
      </c>
      <c r="P1319" t="inlineStr">
        <is>
          <t>是</t>
        </is>
      </c>
      <c r="Q1319" t="inlineStr">
        <is>
          <t>auto_pipeline;review_png_green</t>
        </is>
      </c>
      <c r="R1319" t="inlineStr">
        <is>
          <t>样品30</t>
        </is>
      </c>
    </row>
    <row r="1320">
      <c r="A1320" t="n">
        <v>1319</v>
      </c>
      <c r="B1320" t="inlineStr">
        <is>
          <t>30 (4).tif</t>
        </is>
      </c>
      <c r="C1320" t="inlineStr">
        <is>
          <t>30(4)-V06</t>
        </is>
      </c>
      <c r="D1320" t="n">
        <v>6</v>
      </c>
      <c r="E1320" t="inlineStr">
        <is>
          <t>primary</t>
        </is>
      </c>
      <c r="F1320" t="n">
        <v>241.0680529300567</v>
      </c>
      <c r="G1320">
        <f>2*SQRT(F1320/PI())</f>
        <v/>
      </c>
      <c r="H1320" t="n">
        <v>64.14743651514468</v>
      </c>
      <c r="I1320" t="n">
        <v>760</v>
      </c>
      <c r="J1320" t="n">
        <v>299</v>
      </c>
      <c r="K1320" t="n">
        <v>236.2466918714556</v>
      </c>
      <c r="L1320" t="n">
        <v>245.8894139886579</v>
      </c>
      <c r="M1320">
        <f>2*SQRT(K1320/PI())</f>
        <v/>
      </c>
      <c r="N1320">
        <f>2*SQRT(L1320/PI())</f>
        <v/>
      </c>
      <c r="P1320" t="inlineStr">
        <is>
          <t>是</t>
        </is>
      </c>
      <c r="Q1320" t="inlineStr">
        <is>
          <t>auto_pipeline;review_png_green</t>
        </is>
      </c>
      <c r="R1320" t="inlineStr">
        <is>
          <t>样品30</t>
        </is>
      </c>
    </row>
    <row r="1321">
      <c r="A1321" t="n">
        <v>1320</v>
      </c>
      <c r="B1321" t="inlineStr">
        <is>
          <t>30 (4).tif</t>
        </is>
      </c>
      <c r="C1321" t="inlineStr">
        <is>
          <t>30(4)-V07</t>
        </is>
      </c>
      <c r="D1321" t="n">
        <v>7</v>
      </c>
      <c r="E1321" t="inlineStr">
        <is>
          <t>primary</t>
        </is>
      </c>
      <c r="F1321" t="n">
        <v>174.3383742911153</v>
      </c>
      <c r="G1321">
        <f>2*SQRT(F1321/PI())</f>
        <v/>
      </c>
      <c r="H1321" t="n">
        <v>54.37122728513634</v>
      </c>
      <c r="I1321" t="n">
        <v>489</v>
      </c>
      <c r="J1321" t="n">
        <v>567</v>
      </c>
      <c r="K1321" t="n">
        <v>170.851606805293</v>
      </c>
      <c r="L1321" t="n">
        <v>177.8251417769376</v>
      </c>
      <c r="M1321">
        <f>2*SQRT(K1321/PI())</f>
        <v/>
      </c>
      <c r="N1321">
        <f>2*SQRT(L1321/PI())</f>
        <v/>
      </c>
      <c r="P1321" t="inlineStr">
        <is>
          <t>是</t>
        </is>
      </c>
      <c r="Q1321" t="inlineStr">
        <is>
          <t>auto_pipeline;review_png_green</t>
        </is>
      </c>
      <c r="R1321" t="inlineStr">
        <is>
          <t>样品30</t>
        </is>
      </c>
    </row>
    <row r="1322">
      <c r="A1322" t="n">
        <v>1321</v>
      </c>
      <c r="B1322" t="inlineStr">
        <is>
          <t>30 (4).tif</t>
        </is>
      </c>
      <c r="C1322" t="inlineStr">
        <is>
          <t>30(4)-V08</t>
        </is>
      </c>
      <c r="D1322" t="n">
        <v>8</v>
      </c>
      <c r="E1322" t="inlineStr">
        <is>
          <t>primary</t>
        </is>
      </c>
      <c r="F1322" t="n">
        <v>137.3345935727788</v>
      </c>
      <c r="G1322">
        <f>2*SQRT(F1322/PI())</f>
        <v/>
      </c>
      <c r="H1322" t="n">
        <v>44.12933645041092</v>
      </c>
      <c r="I1322" t="n">
        <v>316</v>
      </c>
      <c r="J1322" t="n">
        <v>217</v>
      </c>
      <c r="K1322" t="n">
        <v>134.5879017013233</v>
      </c>
      <c r="L1322" t="n">
        <v>140.0812854442344</v>
      </c>
      <c r="M1322">
        <f>2*SQRT(K1322/PI())</f>
        <v/>
      </c>
      <c r="N1322">
        <f>2*SQRT(L1322/PI())</f>
        <v/>
      </c>
      <c r="P1322" t="inlineStr">
        <is>
          <t>是</t>
        </is>
      </c>
      <c r="Q1322" t="inlineStr">
        <is>
          <t>auto_pipeline;review_png_green</t>
        </is>
      </c>
      <c r="R1322" t="inlineStr">
        <is>
          <t>样品30</t>
        </is>
      </c>
    </row>
    <row r="1323">
      <c r="A1323" t="n">
        <v>1322</v>
      </c>
      <c r="B1323" t="inlineStr">
        <is>
          <t>30 (5).tif</t>
        </is>
      </c>
      <c r="C1323" t="inlineStr">
        <is>
          <t>30(5)-V01</t>
        </is>
      </c>
      <c r="D1323" t="n">
        <v>1</v>
      </c>
      <c r="E1323" t="inlineStr">
        <is>
          <t>primary</t>
        </is>
      </c>
      <c r="F1323" t="n">
        <v>832.1833648393194</v>
      </c>
      <c r="G1323">
        <f>2*SQRT(F1323/PI())</f>
        <v/>
      </c>
      <c r="H1323" t="n">
        <v>108.2767729655556</v>
      </c>
      <c r="I1323" t="n">
        <v>523</v>
      </c>
      <c r="J1323" t="n">
        <v>470</v>
      </c>
      <c r="K1323" t="n">
        <v>815.5396975425331</v>
      </c>
      <c r="L1323" t="n">
        <v>848.8270321361058</v>
      </c>
      <c r="M1323">
        <f>2*SQRT(K1323/PI())</f>
        <v/>
      </c>
      <c r="N1323">
        <f>2*SQRT(L1323/PI())</f>
        <v/>
      </c>
      <c r="P1323" t="inlineStr">
        <is>
          <t>是</t>
        </is>
      </c>
      <c r="Q1323" t="inlineStr">
        <is>
          <t>auto_pipeline;review_png_green</t>
        </is>
      </c>
      <c r="R1323" t="inlineStr">
        <is>
          <t>样品30</t>
        </is>
      </c>
    </row>
    <row r="1324">
      <c r="A1324" t="n">
        <v>1323</v>
      </c>
      <c r="B1324" t="inlineStr">
        <is>
          <t>30 (5).tif</t>
        </is>
      </c>
      <c r="C1324" t="inlineStr">
        <is>
          <t>30(5)-V02</t>
        </is>
      </c>
      <c r="D1324" t="n">
        <v>2</v>
      </c>
      <c r="E1324" t="inlineStr">
        <is>
          <t>primary</t>
        </is>
      </c>
      <c r="F1324" t="n">
        <v>207.2069943289225</v>
      </c>
      <c r="G1324">
        <f>2*SQRT(F1324/PI())</f>
        <v/>
      </c>
      <c r="H1324" t="n">
        <v>54.3930762487909</v>
      </c>
      <c r="I1324" t="n">
        <v>398</v>
      </c>
      <c r="J1324" t="n">
        <v>502</v>
      </c>
      <c r="K1324" t="n">
        <v>203.062854442344</v>
      </c>
      <c r="L1324" t="n">
        <v>211.3511342155009</v>
      </c>
      <c r="M1324">
        <f>2*SQRT(K1324/PI())</f>
        <v/>
      </c>
      <c r="N1324">
        <f>2*SQRT(L1324/PI())</f>
        <v/>
      </c>
      <c r="P1324" t="inlineStr">
        <is>
          <t>是</t>
        </is>
      </c>
      <c r="Q1324" t="inlineStr">
        <is>
          <t>auto_pipeline;review_png_green</t>
        </is>
      </c>
      <c r="R1324" t="inlineStr">
        <is>
          <t>样品30</t>
        </is>
      </c>
    </row>
    <row r="1325">
      <c r="A1325" t="n">
        <v>1324</v>
      </c>
      <c r="B1325" t="inlineStr">
        <is>
          <t>30 (5).tif</t>
        </is>
      </c>
      <c r="C1325" t="inlineStr">
        <is>
          <t>30(5)-V03</t>
        </is>
      </c>
      <c r="D1325" t="n">
        <v>3</v>
      </c>
      <c r="E1325" t="inlineStr">
        <is>
          <t>primary</t>
        </is>
      </c>
      <c r="F1325" t="n">
        <v>162.1691871455577</v>
      </c>
      <c r="G1325">
        <f>2*SQRT(F1325/PI())</f>
        <v/>
      </c>
      <c r="H1325" t="n">
        <v>48.81549925907798</v>
      </c>
      <c r="I1325" t="n">
        <v>983</v>
      </c>
      <c r="J1325" t="n">
        <v>182</v>
      </c>
      <c r="K1325" t="n">
        <v>158.9258034026465</v>
      </c>
      <c r="L1325" t="n">
        <v>165.4125708884688</v>
      </c>
      <c r="M1325">
        <f>2*SQRT(K1325/PI())</f>
        <v/>
      </c>
      <c r="N1325">
        <f>2*SQRT(L1325/PI())</f>
        <v/>
      </c>
      <c r="P1325" t="inlineStr">
        <is>
          <t>是</t>
        </is>
      </c>
      <c r="Q1325" t="inlineStr">
        <is>
          <t>auto_pipeline;review_png_green</t>
        </is>
      </c>
      <c r="R1325" t="inlineStr">
        <is>
          <t>样品30</t>
        </is>
      </c>
    </row>
    <row r="1326">
      <c r="A1326" t="n">
        <v>1325</v>
      </c>
      <c r="B1326" t="inlineStr">
        <is>
          <t>30 (6).tif</t>
        </is>
      </c>
      <c r="C1326" t="inlineStr">
        <is>
          <t>30(6)-V01</t>
        </is>
      </c>
      <c r="D1326" t="n">
        <v>1</v>
      </c>
      <c r="E1326" t="inlineStr">
        <is>
          <t>primary</t>
        </is>
      </c>
      <c r="F1326" t="n">
        <v>832.9395085066162</v>
      </c>
      <c r="G1326">
        <f>2*SQRT(F1326/PI())</f>
        <v/>
      </c>
      <c r="H1326" t="n">
        <v>108.2767729655556</v>
      </c>
      <c r="I1326" t="n">
        <v>425</v>
      </c>
      <c r="J1326" t="n">
        <v>362</v>
      </c>
      <c r="K1326" t="n">
        <v>816.2807183364839</v>
      </c>
      <c r="L1326" t="n">
        <v>849.5982986767485</v>
      </c>
      <c r="M1326">
        <f>2*SQRT(K1326/PI())</f>
        <v/>
      </c>
      <c r="N1326">
        <f>2*SQRT(L1326/PI())</f>
        <v/>
      </c>
      <c r="O1326" t="inlineStr">
        <is>
          <t>30(6)-P01</t>
        </is>
      </c>
      <c r="P1326" t="inlineStr">
        <is>
          <t>是</t>
        </is>
      </c>
      <c r="Q1326" t="inlineStr">
        <is>
          <t>auto_pipeline;review_png_green</t>
        </is>
      </c>
      <c r="R1326" t="inlineStr">
        <is>
          <t>样品30</t>
        </is>
      </c>
    </row>
    <row r="1327">
      <c r="A1327" t="n">
        <v>1326</v>
      </c>
      <c r="B1327" t="inlineStr">
        <is>
          <t>30 (6).tif</t>
        </is>
      </c>
      <c r="C1327" t="inlineStr">
        <is>
          <t>30(6)-V02</t>
        </is>
      </c>
      <c r="D1327" t="n">
        <v>2</v>
      </c>
      <c r="E1327" t="inlineStr">
        <is>
          <t>primary</t>
        </is>
      </c>
      <c r="F1327" t="n">
        <v>640.8317580340265</v>
      </c>
      <c r="G1327">
        <f>2*SQRT(F1327/PI())</f>
        <v/>
      </c>
      <c r="H1327" t="n">
        <v>97.88568828416906</v>
      </c>
      <c r="I1327" t="n">
        <v>945</v>
      </c>
      <c r="J1327" t="n">
        <v>87</v>
      </c>
      <c r="K1327" t="n">
        <v>628.0151228733459</v>
      </c>
      <c r="L1327" t="n">
        <v>653.6483931947071</v>
      </c>
      <c r="M1327">
        <f>2*SQRT(K1327/PI())</f>
        <v/>
      </c>
      <c r="N1327">
        <f>2*SQRT(L1327/PI())</f>
        <v/>
      </c>
      <c r="P1327" t="inlineStr">
        <is>
          <t>是</t>
        </is>
      </c>
      <c r="Q1327" t="inlineStr">
        <is>
          <t>auto_pipeline;review_png_green</t>
        </is>
      </c>
      <c r="R1327" t="inlineStr">
        <is>
          <t>样品30</t>
        </is>
      </c>
    </row>
    <row r="1328">
      <c r="A1328" t="n">
        <v>1327</v>
      </c>
      <c r="B1328" t="inlineStr">
        <is>
          <t>30 (6).tif</t>
        </is>
      </c>
      <c r="C1328" t="inlineStr">
        <is>
          <t>30(6)-V03</t>
        </is>
      </c>
      <c r="D1328" t="n">
        <v>3</v>
      </c>
      <c r="E1328" t="inlineStr">
        <is>
          <t>primary</t>
        </is>
      </c>
      <c r="F1328" t="n">
        <v>481.9234404536862</v>
      </c>
      <c r="G1328">
        <f>2*SQRT(F1328/PI())</f>
        <v/>
      </c>
      <c r="H1328" t="n">
        <v>82.44825510875039</v>
      </c>
      <c r="I1328" t="n">
        <v>754</v>
      </c>
      <c r="J1328" t="n">
        <v>477</v>
      </c>
      <c r="K1328" t="n">
        <v>472.2849716446125</v>
      </c>
      <c r="L1328" t="n">
        <v>491.56190926276</v>
      </c>
      <c r="M1328">
        <f>2*SQRT(K1328/PI())</f>
        <v/>
      </c>
      <c r="N1328">
        <f>2*SQRT(L1328/PI())</f>
        <v/>
      </c>
      <c r="P1328" t="inlineStr">
        <is>
          <t>是</t>
        </is>
      </c>
      <c r="Q1328" t="inlineStr">
        <is>
          <t>auto_pipeline;review_png_green</t>
        </is>
      </c>
      <c r="R1328" t="inlineStr">
        <is>
          <t>样品30</t>
        </is>
      </c>
    </row>
    <row r="1329">
      <c r="A1329" t="n">
        <v>1328</v>
      </c>
      <c r="B1329" t="inlineStr">
        <is>
          <t>30 (6).tif</t>
        </is>
      </c>
      <c r="C1329" t="inlineStr">
        <is>
          <t>30(6)-V04</t>
        </is>
      </c>
      <c r="D1329" t="n">
        <v>4</v>
      </c>
      <c r="E1329" t="inlineStr">
        <is>
          <t>primary</t>
        </is>
      </c>
      <c r="F1329" t="n">
        <v>452.9773156899811</v>
      </c>
      <c r="G1329">
        <f>2*SQRT(F1329/PI())</f>
        <v/>
      </c>
      <c r="H1329" t="n">
        <v>80.22159410559613</v>
      </c>
      <c r="I1329" t="n">
        <v>734</v>
      </c>
      <c r="J1329" t="n">
        <v>200</v>
      </c>
      <c r="K1329" t="n">
        <v>443.9177693761815</v>
      </c>
      <c r="L1329" t="n">
        <v>462.0368620037807</v>
      </c>
      <c r="M1329">
        <f>2*SQRT(K1329/PI())</f>
        <v/>
      </c>
      <c r="N1329">
        <f>2*SQRT(L1329/PI())</f>
        <v/>
      </c>
      <c r="P1329" t="inlineStr">
        <is>
          <t>是</t>
        </is>
      </c>
      <c r="Q1329" t="inlineStr">
        <is>
          <t>auto_pipeline;review_png_green</t>
        </is>
      </c>
      <c r="R1329" t="inlineStr">
        <is>
          <t>样品30</t>
        </is>
      </c>
    </row>
    <row r="1330">
      <c r="A1330" t="n">
        <v>1329</v>
      </c>
      <c r="B1330" t="inlineStr">
        <is>
          <t>30 (6).tif</t>
        </is>
      </c>
      <c r="C1330" t="inlineStr">
        <is>
          <t>30(6)-V05</t>
        </is>
      </c>
      <c r="D1330" t="n">
        <v>5</v>
      </c>
      <c r="E1330" t="inlineStr">
        <is>
          <t>primary</t>
        </is>
      </c>
      <c r="F1330" t="n">
        <v>346.8572778827977</v>
      </c>
      <c r="G1330">
        <f>2*SQRT(F1330/PI())</f>
        <v/>
      </c>
      <c r="H1330" t="n">
        <v>72.20636427402496</v>
      </c>
      <c r="I1330" t="n">
        <v>295</v>
      </c>
      <c r="J1330" t="n">
        <v>306</v>
      </c>
      <c r="K1330" t="n">
        <v>339.9201323251418</v>
      </c>
      <c r="L1330" t="n">
        <v>353.7944234404537</v>
      </c>
      <c r="M1330">
        <f>2*SQRT(K1330/PI())</f>
        <v/>
      </c>
      <c r="N1330">
        <f>2*SQRT(L1330/PI())</f>
        <v/>
      </c>
      <c r="P1330" t="inlineStr">
        <is>
          <t>是</t>
        </is>
      </c>
      <c r="Q1330" t="inlineStr">
        <is>
          <t>auto_pipeline;review_png_green</t>
        </is>
      </c>
      <c r="R1330" t="inlineStr">
        <is>
          <t>样品30</t>
        </is>
      </c>
    </row>
    <row r="1331">
      <c r="A1331" t="n">
        <v>1330</v>
      </c>
      <c r="B1331" t="inlineStr">
        <is>
          <t>30 (6).tif</t>
        </is>
      </c>
      <c r="C1331" t="inlineStr">
        <is>
          <t>30(6)-V06</t>
        </is>
      </c>
      <c r="D1331" t="n">
        <v>6</v>
      </c>
      <c r="E1331" t="inlineStr">
        <is>
          <t>primary</t>
        </is>
      </c>
      <c r="F1331" t="n">
        <v>302.5992438563327</v>
      </c>
      <c r="G1331">
        <f>2*SQRT(F1331/PI())</f>
        <v/>
      </c>
      <c r="H1331" t="n">
        <v>65.63187718391418</v>
      </c>
      <c r="I1331" t="n">
        <v>554</v>
      </c>
      <c r="J1331" t="n">
        <v>397</v>
      </c>
      <c r="K1331" t="n">
        <v>296.547258979206</v>
      </c>
      <c r="L1331" t="n">
        <v>308.6512287334593</v>
      </c>
      <c r="M1331">
        <f>2*SQRT(K1331/PI())</f>
        <v/>
      </c>
      <c r="N1331">
        <f>2*SQRT(L1331/PI())</f>
        <v/>
      </c>
      <c r="O1331" t="inlineStr">
        <is>
          <t>30(6)-P01</t>
        </is>
      </c>
      <c r="P1331" t="inlineStr">
        <is>
          <t>是</t>
        </is>
      </c>
      <c r="Q1331" t="inlineStr">
        <is>
          <t>auto_pipeline;review_png_green</t>
        </is>
      </c>
      <c r="R1331" t="inlineStr">
        <is>
          <t>样品30</t>
        </is>
      </c>
    </row>
    <row r="1332">
      <c r="A1332" t="n">
        <v>1331</v>
      </c>
      <c r="B1332" t="inlineStr">
        <is>
          <t>30 (6).tif</t>
        </is>
      </c>
      <c r="C1332" t="inlineStr">
        <is>
          <t>30(6)-V07</t>
        </is>
      </c>
      <c r="D1332" t="n">
        <v>7</v>
      </c>
      <c r="E1332" t="inlineStr">
        <is>
          <t>primary</t>
        </is>
      </c>
      <c r="F1332" t="n">
        <v>141.8714555765596</v>
      </c>
      <c r="G1332">
        <f>2*SQRT(F1332/PI())</f>
        <v/>
      </c>
      <c r="H1332" t="n">
        <v>44.48952213577602</v>
      </c>
      <c r="I1332" t="n">
        <v>423</v>
      </c>
      <c r="J1332" t="n">
        <v>493</v>
      </c>
      <c r="K1332" t="n">
        <v>139.0340264650283</v>
      </c>
      <c r="L1332" t="n">
        <v>144.7088846880908</v>
      </c>
      <c r="M1332">
        <f>2*SQRT(K1332/PI())</f>
        <v/>
      </c>
      <c r="N1332">
        <f>2*SQRT(L1332/PI())</f>
        <v/>
      </c>
      <c r="P1332" t="inlineStr">
        <is>
          <t>是</t>
        </is>
      </c>
      <c r="Q1332" t="inlineStr">
        <is>
          <t>auto_pipeline;review_png_green</t>
        </is>
      </c>
      <c r="R1332" t="inlineStr">
        <is>
          <t>样品30</t>
        </is>
      </c>
    </row>
    <row r="1333">
      <c r="A1333" t="n">
        <v>1332</v>
      </c>
      <c r="B1333" t="inlineStr">
        <is>
          <t>30 (6).tif</t>
        </is>
      </c>
      <c r="C1333" t="inlineStr">
        <is>
          <t>30(6)-V08</t>
        </is>
      </c>
      <c r="D1333" t="n">
        <v>8</v>
      </c>
      <c r="E1333" t="inlineStr">
        <is>
          <t>primary</t>
        </is>
      </c>
      <c r="F1333" t="n">
        <v>140.406427221172</v>
      </c>
      <c r="G1333">
        <f>2*SQRT(F1333/PI())</f>
        <v/>
      </c>
      <c r="H1333" t="n">
        <v>44.99890166780223</v>
      </c>
      <c r="I1333" t="n">
        <v>487</v>
      </c>
      <c r="J1333" t="n">
        <v>168</v>
      </c>
      <c r="K1333" t="n">
        <v>137.5982986767486</v>
      </c>
      <c r="L1333" t="n">
        <v>143.2145557655955</v>
      </c>
      <c r="M1333">
        <f>2*SQRT(K1333/PI())</f>
        <v/>
      </c>
      <c r="N1333">
        <f>2*SQRT(L1333/PI())</f>
        <v/>
      </c>
      <c r="P1333" t="inlineStr">
        <is>
          <t>是</t>
        </is>
      </c>
      <c r="Q1333" t="inlineStr">
        <is>
          <t>auto_pipeline;review_png_green</t>
        </is>
      </c>
      <c r="R1333" t="inlineStr">
        <is>
          <t>样品30</t>
        </is>
      </c>
    </row>
    <row r="1334">
      <c r="A1334" t="n">
        <v>1333</v>
      </c>
      <c r="B1334" t="inlineStr">
        <is>
          <t>30 (7).tif</t>
        </is>
      </c>
      <c r="C1334" t="inlineStr">
        <is>
          <t>30(7)-V01</t>
        </is>
      </c>
      <c r="D1334" t="n">
        <v>1</v>
      </c>
      <c r="E1334" t="inlineStr">
        <is>
          <t>primary</t>
        </is>
      </c>
      <c r="F1334" t="n">
        <v>708.2466918714556</v>
      </c>
      <c r="G1334">
        <f>2*SQRT(F1334/PI())</f>
        <v/>
      </c>
      <c r="H1334" t="n">
        <v>100.3670390533364</v>
      </c>
      <c r="I1334" t="n">
        <v>440</v>
      </c>
      <c r="J1334" t="n">
        <v>360</v>
      </c>
      <c r="K1334" t="n">
        <v>694.0817580340265</v>
      </c>
      <c r="L1334" t="n">
        <v>722.4116257088847</v>
      </c>
      <c r="M1334">
        <f>2*SQRT(K1334/PI())</f>
        <v/>
      </c>
      <c r="N1334">
        <f>2*SQRT(L1334/PI())</f>
        <v/>
      </c>
      <c r="O1334" t="inlineStr">
        <is>
          <t>30(7)-P01</t>
        </is>
      </c>
      <c r="P1334" t="inlineStr">
        <is>
          <t>是</t>
        </is>
      </c>
      <c r="Q1334" t="inlineStr">
        <is>
          <t>auto_pipeline;review_png_green</t>
        </is>
      </c>
      <c r="R1334" t="inlineStr">
        <is>
          <t>样品30</t>
        </is>
      </c>
    </row>
    <row r="1335">
      <c r="A1335" t="n">
        <v>1334</v>
      </c>
      <c r="B1335" t="inlineStr">
        <is>
          <t>30 (7).tif</t>
        </is>
      </c>
      <c r="C1335" t="inlineStr">
        <is>
          <t>30(7)-V02</t>
        </is>
      </c>
      <c r="D1335" t="n">
        <v>2</v>
      </c>
      <c r="E1335" t="inlineStr">
        <is>
          <t>primary</t>
        </is>
      </c>
      <c r="F1335" t="n">
        <v>478.7570888468809</v>
      </c>
      <c r="G1335">
        <f>2*SQRT(F1335/PI())</f>
        <v/>
      </c>
      <c r="H1335" t="n">
        <v>82.80844079411548</v>
      </c>
      <c r="I1335" t="n">
        <v>583</v>
      </c>
      <c r="J1335" t="n">
        <v>392</v>
      </c>
      <c r="K1335" t="n">
        <v>469.1819470699432</v>
      </c>
      <c r="L1335" t="n">
        <v>488.3322306238185</v>
      </c>
      <c r="M1335">
        <f>2*SQRT(K1335/PI())</f>
        <v/>
      </c>
      <c r="N1335">
        <f>2*SQRT(L1335/PI())</f>
        <v/>
      </c>
      <c r="O1335" t="inlineStr">
        <is>
          <t>30(7)-P01</t>
        </is>
      </c>
      <c r="P1335" t="inlineStr">
        <is>
          <t>是</t>
        </is>
      </c>
      <c r="Q1335" t="inlineStr">
        <is>
          <t>auto_pipeline;review_png_green</t>
        </is>
      </c>
      <c r="R1335" t="inlineStr">
        <is>
          <t>样品30</t>
        </is>
      </c>
    </row>
    <row r="1336">
      <c r="A1336" t="n">
        <v>1335</v>
      </c>
      <c r="B1336" t="inlineStr">
        <is>
          <t>30 (7).tif</t>
        </is>
      </c>
      <c r="C1336" t="inlineStr">
        <is>
          <t>30(7)-V03</t>
        </is>
      </c>
      <c r="D1336" t="n">
        <v>3</v>
      </c>
      <c r="E1336" t="inlineStr">
        <is>
          <t>primary</t>
        </is>
      </c>
      <c r="F1336" t="n">
        <v>228.5680529300567</v>
      </c>
      <c r="G1336">
        <f>2*SQRT(F1336/PI())</f>
        <v/>
      </c>
      <c r="H1336" t="n">
        <v>60.902016447938</v>
      </c>
      <c r="I1336" t="n">
        <v>815</v>
      </c>
      <c r="J1336" t="n">
        <v>465</v>
      </c>
      <c r="K1336" t="n">
        <v>223.9966918714556</v>
      </c>
      <c r="L1336" t="n">
        <v>233.1394139886579</v>
      </c>
      <c r="M1336">
        <f>2*SQRT(K1336/PI())</f>
        <v/>
      </c>
      <c r="N1336">
        <f>2*SQRT(L1336/PI())</f>
        <v/>
      </c>
      <c r="P1336" t="inlineStr">
        <is>
          <t>是</t>
        </is>
      </c>
      <c r="Q1336" t="inlineStr">
        <is>
          <t>auto_pipeline;review_png_green</t>
        </is>
      </c>
      <c r="R1336" t="inlineStr">
        <is>
          <t>样品30</t>
        </is>
      </c>
    </row>
    <row r="1337">
      <c r="A1337" t="n">
        <v>1336</v>
      </c>
      <c r="B1337" t="inlineStr">
        <is>
          <t>30 (7).tif</t>
        </is>
      </c>
      <c r="C1337" t="inlineStr">
        <is>
          <t>30(7)-V04</t>
        </is>
      </c>
      <c r="D1337" t="n">
        <v>4</v>
      </c>
      <c r="E1337" t="inlineStr">
        <is>
          <t>primary</t>
        </is>
      </c>
      <c r="F1337" t="n">
        <v>219.6124763705104</v>
      </c>
      <c r="G1337">
        <f>2*SQRT(F1337/PI())</f>
        <v/>
      </c>
      <c r="H1337" t="n">
        <v>58.71905337209287</v>
      </c>
      <c r="I1337" t="n">
        <v>717</v>
      </c>
      <c r="J1337" t="n">
        <v>417</v>
      </c>
      <c r="K1337" t="n">
        <v>215.2202268431002</v>
      </c>
      <c r="L1337" t="n">
        <v>224.0047258979206</v>
      </c>
      <c r="M1337">
        <f>2*SQRT(K1337/PI())</f>
        <v/>
      </c>
      <c r="N1337">
        <f>2*SQRT(L1337/PI())</f>
        <v/>
      </c>
      <c r="P1337" t="inlineStr">
        <is>
          <t>是</t>
        </is>
      </c>
      <c r="Q1337" t="inlineStr">
        <is>
          <t>auto_pipeline;review_png_green</t>
        </is>
      </c>
      <c r="R1337" t="inlineStr">
        <is>
          <t>样品30</t>
        </is>
      </c>
    </row>
    <row r="1338">
      <c r="A1338" t="n">
        <v>1337</v>
      </c>
      <c r="B1338" t="inlineStr">
        <is>
          <t>30 (7).tif</t>
        </is>
      </c>
      <c r="C1338" t="inlineStr">
        <is>
          <t>30(7)-V05</t>
        </is>
      </c>
      <c r="D1338" t="n">
        <v>5</v>
      </c>
      <c r="E1338" t="inlineStr">
        <is>
          <t>primary</t>
        </is>
      </c>
      <c r="F1338" t="n">
        <v>99.74007561436673</v>
      </c>
      <c r="G1338">
        <f>2*SQRT(F1338/PI())</f>
        <v/>
      </c>
      <c r="H1338" t="n">
        <v>38.82829819036566</v>
      </c>
      <c r="I1338" t="n">
        <v>65</v>
      </c>
      <c r="J1338" t="n">
        <v>373</v>
      </c>
      <c r="K1338" t="n">
        <v>97.74527410207939</v>
      </c>
      <c r="L1338" t="n">
        <v>101.7348771266541</v>
      </c>
      <c r="M1338">
        <f>2*SQRT(K1338/PI())</f>
        <v/>
      </c>
      <c r="N1338">
        <f>2*SQRT(L1338/PI())</f>
        <v/>
      </c>
      <c r="P1338" t="inlineStr">
        <is>
          <t>是</t>
        </is>
      </c>
      <c r="Q1338" t="inlineStr">
        <is>
          <t>auto_pipeline;review_png_green</t>
        </is>
      </c>
      <c r="R1338" t="inlineStr">
        <is>
          <t>样品30</t>
        </is>
      </c>
    </row>
    <row r="1339">
      <c r="A1339" t="n">
        <v>1338</v>
      </c>
      <c r="B1339" t="inlineStr">
        <is>
          <t>30 (8).tif</t>
        </is>
      </c>
      <c r="C1339" t="inlineStr">
        <is>
          <t>30(8)-V01</t>
        </is>
      </c>
      <c r="D1339" t="n">
        <v>1</v>
      </c>
      <c r="E1339" t="inlineStr">
        <is>
          <t>primary</t>
        </is>
      </c>
      <c r="F1339" t="n">
        <v>1148.724007561437</v>
      </c>
      <c r="G1339">
        <f>2*SQRT(F1339/PI())</f>
        <v/>
      </c>
      <c r="H1339" t="n">
        <v>127.6799975789112</v>
      </c>
      <c r="I1339" t="n">
        <v>217</v>
      </c>
      <c r="J1339" t="n">
        <v>386</v>
      </c>
      <c r="K1339" t="n">
        <v>1125.749527410208</v>
      </c>
      <c r="L1339" t="n">
        <v>1171.698487712665</v>
      </c>
      <c r="M1339">
        <f>2*SQRT(K1339/PI())</f>
        <v/>
      </c>
      <c r="N1339">
        <f>2*SQRT(L1339/PI())</f>
        <v/>
      </c>
      <c r="P1339" t="inlineStr">
        <is>
          <t>是</t>
        </is>
      </c>
      <c r="Q1339" t="inlineStr">
        <is>
          <t>auto_pipeline;review_png_green</t>
        </is>
      </c>
      <c r="R1339" t="inlineStr">
        <is>
          <t>样品30</t>
        </is>
      </c>
    </row>
    <row r="1340">
      <c r="A1340" t="n">
        <v>1339</v>
      </c>
      <c r="B1340" t="inlineStr">
        <is>
          <t>30 (8).tif</t>
        </is>
      </c>
      <c r="C1340" t="inlineStr">
        <is>
          <t>30(8)-V02</t>
        </is>
      </c>
      <c r="D1340" t="n">
        <v>2</v>
      </c>
      <c r="E1340" t="inlineStr">
        <is>
          <t>primary</t>
        </is>
      </c>
      <c r="F1340" t="n">
        <v>934.4517958412098</v>
      </c>
      <c r="G1340">
        <f>2*SQRT(F1340/PI())</f>
        <v/>
      </c>
      <c r="H1340" t="n">
        <v>115.6989763094031</v>
      </c>
      <c r="I1340" t="n">
        <v>638</v>
      </c>
      <c r="J1340" t="n">
        <v>352</v>
      </c>
      <c r="K1340" t="n">
        <v>915.7627599243856</v>
      </c>
      <c r="L1340" t="n">
        <v>953.140831758034</v>
      </c>
      <c r="M1340">
        <f>2*SQRT(K1340/PI())</f>
        <v/>
      </c>
      <c r="N1340">
        <f>2*SQRT(L1340/PI())</f>
        <v/>
      </c>
      <c r="O1340" t="inlineStr">
        <is>
          <t>30(8)-P01</t>
        </is>
      </c>
      <c r="P1340" t="inlineStr">
        <is>
          <t>是</t>
        </is>
      </c>
      <c r="Q1340" t="inlineStr">
        <is>
          <t>auto_pipeline;review_png_green</t>
        </is>
      </c>
      <c r="R1340" t="inlineStr">
        <is>
          <t>样品30</t>
        </is>
      </c>
    </row>
    <row r="1341">
      <c r="A1341" t="n">
        <v>1340</v>
      </c>
      <c r="B1341" t="inlineStr">
        <is>
          <t>30 (8).tif</t>
        </is>
      </c>
      <c r="C1341" t="inlineStr">
        <is>
          <t>30(8)-V03</t>
        </is>
      </c>
      <c r="D1341" t="n">
        <v>3</v>
      </c>
      <c r="E1341" t="inlineStr">
        <is>
          <t>primary</t>
        </is>
      </c>
      <c r="F1341" t="n">
        <v>800.921550094518</v>
      </c>
      <c r="G1341">
        <f>2*SQRT(F1341/PI())</f>
        <v/>
      </c>
      <c r="H1341" t="n">
        <v>109.3791789853055</v>
      </c>
      <c r="I1341" t="n">
        <v>733</v>
      </c>
      <c r="J1341" t="n">
        <v>571</v>
      </c>
      <c r="K1341" t="n">
        <v>784.9031190926277</v>
      </c>
      <c r="L1341" t="n">
        <v>816.9399810964084</v>
      </c>
      <c r="M1341">
        <f>2*SQRT(K1341/PI())</f>
        <v/>
      </c>
      <c r="N1341">
        <f>2*SQRT(L1341/PI())</f>
        <v/>
      </c>
      <c r="P1341" t="inlineStr">
        <is>
          <t>是</t>
        </is>
      </c>
      <c r="Q1341" t="inlineStr">
        <is>
          <t>auto_pipeline;review_png_green</t>
        </is>
      </c>
      <c r="R1341" t="inlineStr">
        <is>
          <t>样品30</t>
        </is>
      </c>
    </row>
    <row r="1342">
      <c r="A1342" t="n">
        <v>1341</v>
      </c>
      <c r="B1342" t="inlineStr">
        <is>
          <t>30 (8).tif</t>
        </is>
      </c>
      <c r="C1342" t="inlineStr">
        <is>
          <t>30(8)-V04</t>
        </is>
      </c>
      <c r="D1342" t="n">
        <v>4</v>
      </c>
      <c r="E1342" t="inlineStr">
        <is>
          <t>primary</t>
        </is>
      </c>
      <c r="F1342" t="n">
        <v>796.5500945179584</v>
      </c>
      <c r="G1342">
        <f>2*SQRT(F1342/PI())</f>
        <v/>
      </c>
      <c r="H1342" t="n">
        <v>106.1774568454079</v>
      </c>
      <c r="I1342" t="n">
        <v>475</v>
      </c>
      <c r="J1342" t="n">
        <v>356</v>
      </c>
      <c r="K1342" t="n">
        <v>780.6190926275992</v>
      </c>
      <c r="L1342" t="n">
        <v>812.4810964083176</v>
      </c>
      <c r="M1342">
        <f>2*SQRT(K1342/PI())</f>
        <v/>
      </c>
      <c r="N1342">
        <f>2*SQRT(L1342/PI())</f>
        <v/>
      </c>
      <c r="O1342" t="inlineStr">
        <is>
          <t>30(8)-P01</t>
        </is>
      </c>
      <c r="P1342" t="inlineStr">
        <is>
          <t>是</t>
        </is>
      </c>
      <c r="Q1342" t="inlineStr">
        <is>
          <t>auto_pipeline;review_png_green</t>
        </is>
      </c>
      <c r="R1342" t="inlineStr">
        <is>
          <t>样品30</t>
        </is>
      </c>
    </row>
    <row r="1343">
      <c r="A1343" t="n">
        <v>1342</v>
      </c>
      <c r="B1343" t="inlineStr">
        <is>
          <t>30 (8).tif</t>
        </is>
      </c>
      <c r="C1343" t="inlineStr">
        <is>
          <t>30(8)-V05</t>
        </is>
      </c>
      <c r="D1343" t="n">
        <v>5</v>
      </c>
      <c r="E1343" t="inlineStr">
        <is>
          <t>primary</t>
        </is>
      </c>
      <c r="F1343" t="n">
        <v>280.1039697542533</v>
      </c>
      <c r="G1343">
        <f>2*SQRT(F1343/PI())</f>
        <v/>
      </c>
      <c r="H1343" t="n">
        <v>62.66299584637517</v>
      </c>
      <c r="I1343" t="n">
        <v>484</v>
      </c>
      <c r="J1343" t="n">
        <v>130</v>
      </c>
      <c r="K1343" t="n">
        <v>274.5018903591682</v>
      </c>
      <c r="L1343" t="n">
        <v>285.7060491493384</v>
      </c>
      <c r="M1343">
        <f>2*SQRT(K1343/PI())</f>
        <v/>
      </c>
      <c r="N1343">
        <f>2*SQRT(L1343/PI())</f>
        <v/>
      </c>
      <c r="P1343" t="inlineStr">
        <is>
          <t>是</t>
        </is>
      </c>
      <c r="Q1343" t="inlineStr">
        <is>
          <t>auto_pipeline;review_png_green</t>
        </is>
      </c>
      <c r="R1343" t="inlineStr">
        <is>
          <t>样品30</t>
        </is>
      </c>
    </row>
    <row r="1344">
      <c r="A1344" t="n">
        <v>1343</v>
      </c>
      <c r="B1344" t="inlineStr">
        <is>
          <t>30 (8).tif</t>
        </is>
      </c>
      <c r="C1344" t="inlineStr">
        <is>
          <t>30(8)-V06</t>
        </is>
      </c>
      <c r="D1344" t="n">
        <v>6</v>
      </c>
      <c r="E1344" t="inlineStr">
        <is>
          <t>primary</t>
        </is>
      </c>
      <c r="F1344" t="n">
        <v>246.9990548204159</v>
      </c>
      <c r="G1344">
        <f>2*SQRT(F1344/PI())</f>
        <v/>
      </c>
      <c r="H1344" t="n">
        <v>60.58552868988203</v>
      </c>
      <c r="I1344" t="n">
        <v>574</v>
      </c>
      <c r="J1344" t="n">
        <v>585</v>
      </c>
      <c r="K1344" t="n">
        <v>242.0590737240076</v>
      </c>
      <c r="L1344" t="n">
        <v>251.9390359168242</v>
      </c>
      <c r="M1344">
        <f>2*SQRT(K1344/PI())</f>
        <v/>
      </c>
      <c r="N1344">
        <f>2*SQRT(L1344/PI())</f>
        <v/>
      </c>
      <c r="P1344" t="inlineStr">
        <is>
          <t>是</t>
        </is>
      </c>
      <c r="Q1344" t="inlineStr">
        <is>
          <t>auto_pipeline;review_png_green</t>
        </is>
      </c>
      <c r="R1344" t="inlineStr">
        <is>
          <t>样品30</t>
        </is>
      </c>
    </row>
    <row r="1345">
      <c r="A1345" t="n">
        <v>1344</v>
      </c>
      <c r="B1345" t="inlineStr">
        <is>
          <t>30 (8).tif</t>
        </is>
      </c>
      <c r="C1345" t="inlineStr">
        <is>
          <t>30(8)-V07</t>
        </is>
      </c>
      <c r="D1345" t="n">
        <v>7</v>
      </c>
      <c r="E1345" t="inlineStr">
        <is>
          <t>primary</t>
        </is>
      </c>
      <c r="F1345" t="n">
        <v>204.5368620037807</v>
      </c>
      <c r="G1345">
        <f>2*SQRT(F1345/PI())</f>
        <v/>
      </c>
      <c r="H1345" t="n">
        <v>57.80579022739244</v>
      </c>
      <c r="I1345" t="n">
        <v>500</v>
      </c>
      <c r="J1345" t="n">
        <v>632</v>
      </c>
      <c r="K1345" t="n">
        <v>200.4461247637051</v>
      </c>
      <c r="L1345" t="n">
        <v>208.6275992438563</v>
      </c>
      <c r="M1345">
        <f>2*SQRT(K1345/PI())</f>
        <v/>
      </c>
      <c r="N1345">
        <f>2*SQRT(L1345/PI())</f>
        <v/>
      </c>
      <c r="P1345" t="inlineStr">
        <is>
          <t>是</t>
        </is>
      </c>
      <c r="Q1345" t="inlineStr">
        <is>
          <t>auto_pipeline;review_png_green</t>
        </is>
      </c>
      <c r="R1345" t="inlineStr">
        <is>
          <t>样品30</t>
        </is>
      </c>
    </row>
    <row r="1346">
      <c r="A1346" t="n">
        <v>1345</v>
      </c>
      <c r="B1346" t="inlineStr">
        <is>
          <t>30 (9).tif</t>
        </is>
      </c>
      <c r="C1346" t="inlineStr">
        <is>
          <t>30(9)-V01</t>
        </is>
      </c>
      <c r="D1346" t="n">
        <v>1</v>
      </c>
      <c r="E1346" t="inlineStr">
        <is>
          <t>primary</t>
        </is>
      </c>
      <c r="F1346" t="n">
        <v>1043.218336483932</v>
      </c>
      <c r="G1346">
        <f>2*SQRT(F1346/PI())</f>
        <v/>
      </c>
      <c r="H1346" t="n">
        <v>121.0000145694484</v>
      </c>
      <c r="I1346" t="n">
        <v>299</v>
      </c>
      <c r="J1346" t="n">
        <v>183</v>
      </c>
      <c r="K1346" t="n">
        <v>1022.353969754253</v>
      </c>
      <c r="L1346" t="n">
        <v>1064.082703213611</v>
      </c>
      <c r="M1346">
        <f>2*SQRT(K1346/PI())</f>
        <v/>
      </c>
      <c r="N1346">
        <f>2*SQRT(L1346/PI())</f>
        <v/>
      </c>
      <c r="P1346" t="inlineStr">
        <is>
          <t>是</t>
        </is>
      </c>
      <c r="Q1346" t="inlineStr">
        <is>
          <t>auto_pipeline;review_png_green</t>
        </is>
      </c>
      <c r="R1346" t="inlineStr">
        <is>
          <t>样品30</t>
        </is>
      </c>
    </row>
    <row r="1347">
      <c r="A1347" t="n">
        <v>1346</v>
      </c>
      <c r="B1347" t="inlineStr">
        <is>
          <t>30 (9).tif</t>
        </is>
      </c>
      <c r="C1347" t="inlineStr">
        <is>
          <t>30(9)-V02</t>
        </is>
      </c>
      <c r="D1347" t="n">
        <v>2</v>
      </c>
      <c r="E1347" t="inlineStr">
        <is>
          <t>primary</t>
        </is>
      </c>
      <c r="F1347" t="n">
        <v>585.7041587901701</v>
      </c>
      <c r="G1347">
        <f>2*SQRT(F1347/PI())</f>
        <v/>
      </c>
      <c r="H1347" t="n">
        <v>91.10020935535431</v>
      </c>
      <c r="I1347" t="n">
        <v>654</v>
      </c>
      <c r="J1347" t="n">
        <v>578</v>
      </c>
      <c r="K1347" t="n">
        <v>573.9900756143667</v>
      </c>
      <c r="L1347" t="n">
        <v>597.4182419659736</v>
      </c>
      <c r="M1347">
        <f>2*SQRT(K1347/PI())</f>
        <v/>
      </c>
      <c r="N1347">
        <f>2*SQRT(L1347/PI())</f>
        <v/>
      </c>
      <c r="P1347" t="inlineStr">
        <is>
          <t>是</t>
        </is>
      </c>
      <c r="Q1347" t="inlineStr">
        <is>
          <t>auto_pipeline;review_png_green</t>
        </is>
      </c>
      <c r="R1347" t="inlineStr">
        <is>
          <t>样品30</t>
        </is>
      </c>
    </row>
    <row r="1348">
      <c r="A1348" t="n">
        <v>1347</v>
      </c>
      <c r="B1348" t="inlineStr">
        <is>
          <t>30 (9).tif</t>
        </is>
      </c>
      <c r="C1348" t="inlineStr">
        <is>
          <t>30(9)-V03</t>
        </is>
      </c>
      <c r="D1348" t="n">
        <v>3</v>
      </c>
      <c r="E1348" t="inlineStr">
        <is>
          <t>primary</t>
        </is>
      </c>
      <c r="F1348" t="n">
        <v>503.2608695652174</v>
      </c>
      <c r="G1348">
        <f>2*SQRT(F1348/PI())</f>
        <v/>
      </c>
      <c r="H1348" t="n">
        <v>84.67491611190464</v>
      </c>
      <c r="I1348" t="n">
        <v>444</v>
      </c>
      <c r="J1348" t="n">
        <v>360</v>
      </c>
      <c r="K1348" t="n">
        <v>493.195652173913</v>
      </c>
      <c r="L1348" t="n">
        <v>513.3260869565217</v>
      </c>
      <c r="M1348">
        <f>2*SQRT(K1348/PI())</f>
        <v/>
      </c>
      <c r="N1348">
        <f>2*SQRT(L1348/PI())</f>
        <v/>
      </c>
      <c r="O1348" t="inlineStr">
        <is>
          <t>30(9)-P01</t>
        </is>
      </c>
      <c r="P1348" t="inlineStr">
        <is>
          <t>是</t>
        </is>
      </c>
      <c r="Q1348" t="inlineStr">
        <is>
          <t>auto_pipeline;review_png_green</t>
        </is>
      </c>
      <c r="R1348" t="inlineStr">
        <is>
          <t>样品30</t>
        </is>
      </c>
    </row>
    <row r="1349">
      <c r="A1349" t="n">
        <v>1348</v>
      </c>
      <c r="B1349" t="inlineStr">
        <is>
          <t>30 (9).tif</t>
        </is>
      </c>
      <c r="C1349" t="inlineStr">
        <is>
          <t>30(9)-V04</t>
        </is>
      </c>
      <c r="D1349" t="n">
        <v>4</v>
      </c>
      <c r="E1349" t="inlineStr">
        <is>
          <t>primary</t>
        </is>
      </c>
      <c r="F1349" t="n">
        <v>434.3336483931947</v>
      </c>
      <c r="G1349">
        <f>2*SQRT(F1349/PI())</f>
        <v/>
      </c>
      <c r="H1349" t="n">
        <v>78.86449831983317</v>
      </c>
      <c r="I1349" t="n">
        <v>734</v>
      </c>
      <c r="J1349" t="n">
        <v>367</v>
      </c>
      <c r="K1349" t="n">
        <v>425.6469754253308</v>
      </c>
      <c r="L1349" t="n">
        <v>443.0203213610586</v>
      </c>
      <c r="M1349">
        <f>2*SQRT(K1349/PI())</f>
        <v/>
      </c>
      <c r="N1349">
        <f>2*SQRT(L1349/PI())</f>
        <v/>
      </c>
      <c r="P1349" t="inlineStr">
        <is>
          <t>是</t>
        </is>
      </c>
      <c r="Q1349" t="inlineStr">
        <is>
          <t>auto_pipeline;review_png_green</t>
        </is>
      </c>
      <c r="R1349" t="inlineStr">
        <is>
          <t>样品30</t>
        </is>
      </c>
    </row>
    <row r="1350">
      <c r="A1350" t="n">
        <v>1349</v>
      </c>
      <c r="B1350" t="inlineStr">
        <is>
          <t>30 (9).tif</t>
        </is>
      </c>
      <c r="C1350" t="inlineStr">
        <is>
          <t>30(9)-V05</t>
        </is>
      </c>
      <c r="D1350" t="n">
        <v>5</v>
      </c>
      <c r="E1350" t="inlineStr">
        <is>
          <t>primary</t>
        </is>
      </c>
      <c r="F1350" t="n">
        <v>377.6228733459357</v>
      </c>
      <c r="G1350">
        <f>2*SQRT(F1350/PI())</f>
        <v/>
      </c>
      <c r="H1350" t="n">
        <v>75.02605176490286</v>
      </c>
      <c r="I1350" t="n">
        <v>512</v>
      </c>
      <c r="J1350" t="n">
        <v>602</v>
      </c>
      <c r="K1350" t="n">
        <v>370.070415879017</v>
      </c>
      <c r="L1350" t="n">
        <v>385.1753308128544</v>
      </c>
      <c r="M1350">
        <f>2*SQRT(K1350/PI())</f>
        <v/>
      </c>
      <c r="N1350">
        <f>2*SQRT(L1350/PI())</f>
        <v/>
      </c>
      <c r="P1350" t="inlineStr">
        <is>
          <t>是</t>
        </is>
      </c>
      <c r="Q1350" t="inlineStr">
        <is>
          <t>auto_pipeline;review_png_green</t>
        </is>
      </c>
      <c r="R1350" t="inlineStr">
        <is>
          <t>样品30</t>
        </is>
      </c>
    </row>
    <row r="1351">
      <c r="A1351" t="n">
        <v>1350</v>
      </c>
      <c r="B1351" t="inlineStr">
        <is>
          <t>30 (9).tif</t>
        </is>
      </c>
      <c r="C1351" t="inlineStr">
        <is>
          <t>30(9)-V06</t>
        </is>
      </c>
      <c r="D1351" t="n">
        <v>6</v>
      </c>
      <c r="E1351" t="inlineStr">
        <is>
          <t>primary</t>
        </is>
      </c>
      <c r="F1351" t="n">
        <v>338.8468809073724</v>
      </c>
      <c r="G1351">
        <f>2*SQRT(F1351/PI())</f>
        <v/>
      </c>
      <c r="H1351" t="n">
        <v>70.3398889562358</v>
      </c>
      <c r="I1351" t="n">
        <v>558</v>
      </c>
      <c r="J1351" t="n">
        <v>364</v>
      </c>
      <c r="K1351" t="n">
        <v>332.069943289225</v>
      </c>
      <c r="L1351" t="n">
        <v>345.6238185255198</v>
      </c>
      <c r="M1351">
        <f>2*SQRT(K1351/PI())</f>
        <v/>
      </c>
      <c r="N1351">
        <f>2*SQRT(L1351/PI())</f>
        <v/>
      </c>
      <c r="O1351" t="inlineStr">
        <is>
          <t>30(9)-P01</t>
        </is>
      </c>
      <c r="P1351" t="inlineStr">
        <is>
          <t>是</t>
        </is>
      </c>
      <c r="Q1351" t="inlineStr">
        <is>
          <t>auto_pipeline;review_png_green</t>
        </is>
      </c>
      <c r="R1351" t="inlineStr">
        <is>
          <t>样品30</t>
        </is>
      </c>
    </row>
    <row r="1352">
      <c r="A1352" t="n">
        <v>1351</v>
      </c>
      <c r="B1352" t="inlineStr">
        <is>
          <t>30 (9).tif</t>
        </is>
      </c>
      <c r="C1352" t="inlineStr">
        <is>
          <t>30(9)-V07</t>
        </is>
      </c>
      <c r="D1352" t="n">
        <v>7</v>
      </c>
      <c r="E1352" t="inlineStr">
        <is>
          <t>primary</t>
        </is>
      </c>
      <c r="F1352" t="n">
        <v>216.5642722117202</v>
      </c>
      <c r="G1352">
        <f>2*SQRT(F1352/PI())</f>
        <v/>
      </c>
      <c r="H1352" t="n">
        <v>59.20658394046452</v>
      </c>
      <c r="I1352" t="n">
        <v>830</v>
      </c>
      <c r="J1352" t="n">
        <v>239</v>
      </c>
      <c r="K1352" t="n">
        <v>212.2329867674858</v>
      </c>
      <c r="L1352" t="n">
        <v>220.8955576559546</v>
      </c>
      <c r="M1352">
        <f>2*SQRT(K1352/PI())</f>
        <v/>
      </c>
      <c r="N1352">
        <f>2*SQRT(L1352/PI())</f>
        <v/>
      </c>
      <c r="P1352" t="inlineStr">
        <is>
          <t>是</t>
        </is>
      </c>
      <c r="Q1352" t="inlineStr">
        <is>
          <t>auto_pipeline;review_png_green</t>
        </is>
      </c>
      <c r="R1352" t="inlineStr">
        <is>
          <t>样品30</t>
        </is>
      </c>
    </row>
    <row r="1353">
      <c r="A1353" t="n">
        <v>1352</v>
      </c>
      <c r="B1353" t="inlineStr">
        <is>
          <t>30 (9).tif</t>
        </is>
      </c>
      <c r="C1353" t="inlineStr">
        <is>
          <t>30(9)-V08</t>
        </is>
      </c>
      <c r="D1353" t="n">
        <v>8</v>
      </c>
      <c r="E1353" t="inlineStr">
        <is>
          <t>primary</t>
        </is>
      </c>
      <c r="F1353" t="n">
        <v>166.351606805293</v>
      </c>
      <c r="G1353">
        <f>2*SQRT(F1353/PI())</f>
        <v/>
      </c>
      <c r="H1353" t="n">
        <v>57.9368840093198</v>
      </c>
      <c r="I1353" t="n">
        <v>249</v>
      </c>
      <c r="J1353" t="n">
        <v>516</v>
      </c>
      <c r="K1353" t="n">
        <v>163.0245746691872</v>
      </c>
      <c r="L1353" t="n">
        <v>169.6786389413989</v>
      </c>
      <c r="M1353">
        <f>2*SQRT(K1353/PI())</f>
        <v/>
      </c>
      <c r="N1353">
        <f>2*SQRT(L1353/PI())</f>
        <v/>
      </c>
      <c r="P1353" t="inlineStr">
        <is>
          <t>是</t>
        </is>
      </c>
      <c r="Q1353" t="inlineStr">
        <is>
          <t>auto_pipeline;review_png_green</t>
        </is>
      </c>
      <c r="R1353" t="inlineStr">
        <is>
          <t>样品30</t>
        </is>
      </c>
    </row>
    <row r="1354">
      <c r="A1354" t="n">
        <v>1353</v>
      </c>
      <c r="B1354" t="inlineStr">
        <is>
          <t>31 (1).tif</t>
        </is>
      </c>
      <c r="C1354" t="inlineStr">
        <is>
          <t>31(1)-V01</t>
        </is>
      </c>
      <c r="D1354" t="n">
        <v>1</v>
      </c>
      <c r="E1354" t="inlineStr">
        <is>
          <t>primary</t>
        </is>
      </c>
      <c r="F1354" t="n">
        <v>824.7873345935728</v>
      </c>
      <c r="G1354">
        <f>2*SQRT(F1354/PI())</f>
        <v/>
      </c>
      <c r="H1354" t="n">
        <v>109.6338687513186</v>
      </c>
      <c r="I1354" t="n">
        <v>441</v>
      </c>
      <c r="J1354" t="n">
        <v>423</v>
      </c>
      <c r="K1354" t="n">
        <v>808.2915879017014</v>
      </c>
      <c r="L1354" t="n">
        <v>841.2830812854443</v>
      </c>
      <c r="M1354">
        <f>2*SQRT(K1354/PI())</f>
        <v/>
      </c>
      <c r="N1354">
        <f>2*SQRT(L1354/PI())</f>
        <v/>
      </c>
      <c r="O1354" t="inlineStr">
        <is>
          <t>31(1)-P01</t>
        </is>
      </c>
      <c r="P1354" t="inlineStr">
        <is>
          <t>是</t>
        </is>
      </c>
      <c r="Q1354" t="inlineStr">
        <is>
          <t>auto_pipeline;review_png_green</t>
        </is>
      </c>
      <c r="R1354" t="inlineStr">
        <is>
          <t>样品31</t>
        </is>
      </c>
    </row>
    <row r="1355">
      <c r="A1355" t="n">
        <v>1354</v>
      </c>
      <c r="B1355" t="inlineStr">
        <is>
          <t>31 (1).tif</t>
        </is>
      </c>
      <c r="C1355" t="inlineStr">
        <is>
          <t>31(1)-V02</t>
        </is>
      </c>
      <c r="D1355" t="n">
        <v>2</v>
      </c>
      <c r="E1355" t="inlineStr">
        <is>
          <t>primary</t>
        </is>
      </c>
      <c r="F1355" t="n">
        <v>701.7013232514178</v>
      </c>
      <c r="G1355">
        <f>2*SQRT(F1355/PI())</f>
        <v/>
      </c>
      <c r="H1355" t="n">
        <v>101.8733286857605</v>
      </c>
      <c r="I1355" t="n">
        <v>557</v>
      </c>
      <c r="J1355" t="n">
        <v>303</v>
      </c>
      <c r="K1355" t="n">
        <v>687.6672967863894</v>
      </c>
      <c r="L1355" t="n">
        <v>715.7353497164461</v>
      </c>
      <c r="M1355">
        <f>2*SQRT(K1355/PI())</f>
        <v/>
      </c>
      <c r="N1355">
        <f>2*SQRT(L1355/PI())</f>
        <v/>
      </c>
      <c r="O1355" t="inlineStr">
        <is>
          <t>31(1)-P01</t>
        </is>
      </c>
      <c r="P1355" t="inlineStr">
        <is>
          <t>是</t>
        </is>
      </c>
      <c r="Q1355" t="inlineStr">
        <is>
          <t>auto_pipeline;review_png_green</t>
        </is>
      </c>
      <c r="R1355" t="inlineStr">
        <is>
          <t>样品31</t>
        </is>
      </c>
    </row>
    <row r="1356">
      <c r="A1356" t="n">
        <v>1355</v>
      </c>
      <c r="B1356" t="inlineStr">
        <is>
          <t>31 (1).tif</t>
        </is>
      </c>
      <c r="C1356" t="inlineStr">
        <is>
          <t>31(1)-V03</t>
        </is>
      </c>
      <c r="D1356" t="n">
        <v>3</v>
      </c>
      <c r="E1356" t="inlineStr">
        <is>
          <t>primary</t>
        </is>
      </c>
      <c r="F1356" t="n">
        <v>321.3374291115312</v>
      </c>
      <c r="G1356">
        <f>2*SQRT(F1356/PI())</f>
        <v/>
      </c>
      <c r="H1356" t="n">
        <v>83.90709791494452</v>
      </c>
      <c r="I1356" t="n">
        <v>701</v>
      </c>
      <c r="J1356" t="n">
        <v>119</v>
      </c>
      <c r="K1356" t="n">
        <v>314.9106805293006</v>
      </c>
      <c r="L1356" t="n">
        <v>327.7641776937618</v>
      </c>
      <c r="M1356">
        <f>2*SQRT(K1356/PI())</f>
        <v/>
      </c>
      <c r="N1356">
        <f>2*SQRT(L1356/PI())</f>
        <v/>
      </c>
      <c r="P1356" t="inlineStr">
        <is>
          <t>是</t>
        </is>
      </c>
      <c r="Q1356" t="inlineStr">
        <is>
          <t>auto_pipeline;review_png_green</t>
        </is>
      </c>
      <c r="R1356" t="inlineStr">
        <is>
          <t>样品31</t>
        </is>
      </c>
    </row>
    <row r="1357">
      <c r="A1357" t="n">
        <v>1356</v>
      </c>
      <c r="B1357" t="inlineStr">
        <is>
          <t>31 (2).tif</t>
        </is>
      </c>
      <c r="C1357" t="inlineStr">
        <is>
          <t>31(2)-V01</t>
        </is>
      </c>
      <c r="D1357" t="n">
        <v>1</v>
      </c>
      <c r="E1357" t="inlineStr">
        <is>
          <t>primary</t>
        </is>
      </c>
      <c r="F1357" t="n">
        <v>900.8270321361059</v>
      </c>
      <c r="G1357">
        <f>2*SQRT(F1357/PI())</f>
        <v/>
      </c>
      <c r="H1357" t="n">
        <v>112.9629357742227</v>
      </c>
      <c r="I1357" t="n">
        <v>374</v>
      </c>
      <c r="J1357" t="n">
        <v>382</v>
      </c>
      <c r="K1357" t="n">
        <v>882.8104914933838</v>
      </c>
      <c r="L1357" t="n">
        <v>918.843572778828</v>
      </c>
      <c r="M1357">
        <f>2*SQRT(K1357/PI())</f>
        <v/>
      </c>
      <c r="N1357">
        <f>2*SQRT(L1357/PI())</f>
        <v/>
      </c>
      <c r="P1357" t="inlineStr">
        <is>
          <t>是</t>
        </is>
      </c>
      <c r="Q1357" t="inlineStr">
        <is>
          <t>auto_pipeline;review_png_green</t>
        </is>
      </c>
      <c r="R1357" t="inlineStr">
        <is>
          <t>样品31</t>
        </is>
      </c>
    </row>
    <row r="1358">
      <c r="A1358" t="n">
        <v>1357</v>
      </c>
      <c r="B1358" t="inlineStr">
        <is>
          <t>31 (2).tif</t>
        </is>
      </c>
      <c r="C1358" t="inlineStr">
        <is>
          <t>31(2)-V02</t>
        </is>
      </c>
      <c r="D1358" t="n">
        <v>2</v>
      </c>
      <c r="E1358" t="inlineStr">
        <is>
          <t>primary</t>
        </is>
      </c>
      <c r="F1358" t="n">
        <v>694.8724007561436</v>
      </c>
      <c r="G1358">
        <f>2*SQRT(F1358/PI())</f>
        <v/>
      </c>
      <c r="H1358" t="n">
        <v>98.88259838456693</v>
      </c>
      <c r="I1358" t="n">
        <v>537</v>
      </c>
      <c r="J1358" t="n">
        <v>412</v>
      </c>
      <c r="K1358" t="n">
        <v>680.9749527410207</v>
      </c>
      <c r="L1358" t="n">
        <v>708.7698487712665</v>
      </c>
      <c r="M1358">
        <f>2*SQRT(K1358/PI())</f>
        <v/>
      </c>
      <c r="N1358">
        <f>2*SQRT(L1358/PI())</f>
        <v/>
      </c>
      <c r="P1358" t="inlineStr">
        <is>
          <t>是</t>
        </is>
      </c>
      <c r="Q1358" t="inlineStr">
        <is>
          <t>auto_pipeline;review_png_green</t>
        </is>
      </c>
      <c r="R1358" t="inlineStr">
        <is>
          <t>样品31</t>
        </is>
      </c>
    </row>
    <row r="1359">
      <c r="A1359" t="n">
        <v>1358</v>
      </c>
      <c r="B1359" t="inlineStr">
        <is>
          <t>31 (2).tif</t>
        </is>
      </c>
      <c r="C1359" t="inlineStr">
        <is>
          <t>31(2)-V03</t>
        </is>
      </c>
      <c r="D1359" t="n">
        <v>3</v>
      </c>
      <c r="E1359" t="inlineStr">
        <is>
          <t>primary</t>
        </is>
      </c>
      <c r="F1359" t="n">
        <v>333.1758034026465</v>
      </c>
      <c r="G1359">
        <f>2*SQRT(F1359/PI())</f>
        <v/>
      </c>
      <c r="H1359" t="n">
        <v>69.57581965819649</v>
      </c>
      <c r="I1359" t="n">
        <v>903</v>
      </c>
      <c r="J1359" t="n">
        <v>68</v>
      </c>
      <c r="K1359" t="n">
        <v>326.5122873345936</v>
      </c>
      <c r="L1359" t="n">
        <v>339.8393194706995</v>
      </c>
      <c r="M1359">
        <f>2*SQRT(K1359/PI())</f>
        <v/>
      </c>
      <c r="N1359">
        <f>2*SQRT(L1359/PI())</f>
        <v/>
      </c>
      <c r="P1359" t="inlineStr">
        <is>
          <t>是</t>
        </is>
      </c>
      <c r="Q1359" t="inlineStr">
        <is>
          <t>auto_pipeline;review_png_green</t>
        </is>
      </c>
      <c r="R1359" t="inlineStr">
        <is>
          <t>样品31</t>
        </is>
      </c>
    </row>
    <row r="1360">
      <c r="A1360" t="n">
        <v>1359</v>
      </c>
      <c r="B1360" t="inlineStr">
        <is>
          <t>31 (2).tif</t>
        </is>
      </c>
      <c r="C1360" t="inlineStr">
        <is>
          <t>31(2)-V04</t>
        </is>
      </c>
      <c r="D1360" t="n">
        <v>4</v>
      </c>
      <c r="E1360" t="inlineStr">
        <is>
          <t>primary</t>
        </is>
      </c>
      <c r="F1360" t="n">
        <v>152.0321361058601</v>
      </c>
      <c r="G1360">
        <f>2*SQRT(F1360/PI())</f>
        <v/>
      </c>
      <c r="H1360" t="n">
        <v>63.00508146700651</v>
      </c>
      <c r="I1360" t="n">
        <v>147</v>
      </c>
      <c r="J1360" t="n">
        <v>551</v>
      </c>
      <c r="K1360" t="n">
        <v>148.9914933837429</v>
      </c>
      <c r="L1360" t="n">
        <v>155.0727788279773</v>
      </c>
      <c r="M1360">
        <f>2*SQRT(K1360/PI())</f>
        <v/>
      </c>
      <c r="N1360">
        <f>2*SQRT(L1360/PI())</f>
        <v/>
      </c>
      <c r="P1360" t="inlineStr">
        <is>
          <t>是</t>
        </is>
      </c>
      <c r="Q1360" t="inlineStr">
        <is>
          <t>auto_pipeline;review_png_green</t>
        </is>
      </c>
      <c r="R1360" t="inlineStr">
        <is>
          <t>样品31</t>
        </is>
      </c>
    </row>
    <row r="1361">
      <c r="A1361" t="n">
        <v>1360</v>
      </c>
      <c r="B1361" t="inlineStr">
        <is>
          <t>31 (2).tif</t>
        </is>
      </c>
      <c r="C1361" t="inlineStr">
        <is>
          <t>31(2)-V05</t>
        </is>
      </c>
      <c r="D1361" t="n">
        <v>5</v>
      </c>
      <c r="E1361" t="inlineStr">
        <is>
          <t>primary</t>
        </is>
      </c>
      <c r="F1361" t="n">
        <v>127.5992438563327</v>
      </c>
      <c r="G1361">
        <f>2*SQRT(F1361/PI())</f>
        <v/>
      </c>
      <c r="H1361" t="n">
        <v>45.10439758715422</v>
      </c>
      <c r="I1361" t="n">
        <v>65</v>
      </c>
      <c r="J1361" t="n">
        <v>607</v>
      </c>
      <c r="K1361" t="n">
        <v>125.047258979206</v>
      </c>
      <c r="L1361" t="n">
        <v>130.1512287334594</v>
      </c>
      <c r="M1361">
        <f>2*SQRT(K1361/PI())</f>
        <v/>
      </c>
      <c r="N1361">
        <f>2*SQRT(L1361/PI())</f>
        <v/>
      </c>
      <c r="P1361" t="inlineStr">
        <is>
          <t>是</t>
        </is>
      </c>
      <c r="Q1361" t="inlineStr">
        <is>
          <t>auto_pipeline;review_png_green</t>
        </is>
      </c>
      <c r="R1361" t="inlineStr">
        <is>
          <t>样品31</t>
        </is>
      </c>
    </row>
    <row r="1362">
      <c r="A1362" t="n">
        <v>1361</v>
      </c>
      <c r="B1362" t="inlineStr">
        <is>
          <t>31 (3).tif</t>
        </is>
      </c>
      <c r="C1362" t="inlineStr">
        <is>
          <t>31(3)-V01</t>
        </is>
      </c>
      <c r="D1362" t="n">
        <v>1</v>
      </c>
      <c r="E1362" t="inlineStr">
        <is>
          <t>primary</t>
        </is>
      </c>
      <c r="F1362" t="n">
        <v>705.9310018903592</v>
      </c>
      <c r="G1362">
        <f>2*SQRT(F1362/PI())</f>
        <v/>
      </c>
      <c r="H1362" t="n">
        <v>99.75216360195823</v>
      </c>
      <c r="I1362" t="n">
        <v>71</v>
      </c>
      <c r="J1362" t="n">
        <v>383</v>
      </c>
      <c r="K1362" t="n">
        <v>691.812381852552</v>
      </c>
      <c r="L1362" t="n">
        <v>720.0496219281664</v>
      </c>
      <c r="M1362">
        <f>2*SQRT(K1362/PI())</f>
        <v/>
      </c>
      <c r="N1362">
        <f>2*SQRT(L1362/PI())</f>
        <v/>
      </c>
      <c r="P1362" t="inlineStr">
        <is>
          <t>是</t>
        </is>
      </c>
      <c r="Q1362" t="inlineStr">
        <is>
          <t>auto_pipeline;review_png_green</t>
        </is>
      </c>
      <c r="R1362" t="inlineStr">
        <is>
          <t>样品31</t>
        </is>
      </c>
    </row>
    <row r="1363">
      <c r="A1363" t="n">
        <v>1362</v>
      </c>
      <c r="B1363" t="inlineStr">
        <is>
          <t>31 (3).tif</t>
        </is>
      </c>
      <c r="C1363" t="inlineStr">
        <is>
          <t>31(3)-V02</t>
        </is>
      </c>
      <c r="D1363" t="n">
        <v>2</v>
      </c>
      <c r="E1363" t="inlineStr">
        <is>
          <t>primary</t>
        </is>
      </c>
      <c r="F1363" t="n">
        <v>680.4820415879017</v>
      </c>
      <c r="G1363">
        <f>2*SQRT(F1363/PI())</f>
        <v/>
      </c>
      <c r="H1363" t="n">
        <v>99.73031463830367</v>
      </c>
      <c r="I1363" t="n">
        <v>568</v>
      </c>
      <c r="J1363" t="n">
        <v>432</v>
      </c>
      <c r="K1363" t="n">
        <v>666.8724007561436</v>
      </c>
      <c r="L1363" t="n">
        <v>694.0916824196597</v>
      </c>
      <c r="M1363">
        <f>2*SQRT(K1363/PI())</f>
        <v/>
      </c>
      <c r="N1363">
        <f>2*SQRT(L1363/PI())</f>
        <v/>
      </c>
      <c r="O1363" t="inlineStr">
        <is>
          <t>31(3)-P01</t>
        </is>
      </c>
      <c r="P1363" t="inlineStr">
        <is>
          <t>是</t>
        </is>
      </c>
      <c r="Q1363" t="inlineStr">
        <is>
          <t>auto_pipeline;review_png_green</t>
        </is>
      </c>
      <c r="R1363" t="inlineStr">
        <is>
          <t>样品31</t>
        </is>
      </c>
    </row>
    <row r="1364">
      <c r="A1364" t="n">
        <v>1363</v>
      </c>
      <c r="B1364" t="inlineStr">
        <is>
          <t>31 (3).tif</t>
        </is>
      </c>
      <c r="C1364" t="inlineStr">
        <is>
          <t>31(3)-V03</t>
        </is>
      </c>
      <c r="D1364" t="n">
        <v>3</v>
      </c>
      <c r="E1364" t="inlineStr">
        <is>
          <t>primary</t>
        </is>
      </c>
      <c r="F1364" t="n">
        <v>548.5822306238185</v>
      </c>
      <c r="G1364">
        <f>2*SQRT(F1364/PI())</f>
        <v/>
      </c>
      <c r="H1364" t="n">
        <v>89.38292788422626</v>
      </c>
      <c r="I1364" t="n">
        <v>394</v>
      </c>
      <c r="J1364" t="n">
        <v>400</v>
      </c>
      <c r="K1364" t="n">
        <v>537.6105860113422</v>
      </c>
      <c r="L1364" t="n">
        <v>559.5538752362949</v>
      </c>
      <c r="M1364">
        <f>2*SQRT(K1364/PI())</f>
        <v/>
      </c>
      <c r="N1364">
        <f>2*SQRT(L1364/PI())</f>
        <v/>
      </c>
      <c r="O1364" t="inlineStr">
        <is>
          <t>31(3)-P01</t>
        </is>
      </c>
      <c r="P1364" t="inlineStr">
        <is>
          <t>是</t>
        </is>
      </c>
      <c r="Q1364" t="inlineStr">
        <is>
          <t>auto_pipeline;review_png_green</t>
        </is>
      </c>
      <c r="R1364" t="inlineStr">
        <is>
          <t>样品31</t>
        </is>
      </c>
    </row>
    <row r="1365">
      <c r="A1365" t="n">
        <v>1364</v>
      </c>
      <c r="B1365" t="inlineStr">
        <is>
          <t>31 (3).tif</t>
        </is>
      </c>
      <c r="C1365" t="inlineStr">
        <is>
          <t>31(3)-V04</t>
        </is>
      </c>
      <c r="D1365" t="n">
        <v>4</v>
      </c>
      <c r="E1365" t="inlineStr">
        <is>
          <t>primary</t>
        </is>
      </c>
      <c r="F1365" t="n">
        <v>136.7202268431002</v>
      </c>
      <c r="G1365">
        <f>2*SQRT(F1365/PI())</f>
        <v/>
      </c>
      <c r="H1365" t="n">
        <v>46.58883825592373</v>
      </c>
      <c r="I1365" t="n">
        <v>510</v>
      </c>
      <c r="J1365" t="n">
        <v>69</v>
      </c>
      <c r="K1365" t="n">
        <v>133.9858223062382</v>
      </c>
      <c r="L1365" t="n">
        <v>139.4546313799622</v>
      </c>
      <c r="M1365">
        <f>2*SQRT(K1365/PI())</f>
        <v/>
      </c>
      <c r="N1365">
        <f>2*SQRT(L1365/PI())</f>
        <v/>
      </c>
      <c r="P1365" t="inlineStr">
        <is>
          <t>是</t>
        </is>
      </c>
      <c r="Q1365" t="inlineStr">
        <is>
          <t>auto_pipeline;review_png_green</t>
        </is>
      </c>
      <c r="R1365" t="inlineStr">
        <is>
          <t>样品31</t>
        </is>
      </c>
    </row>
    <row r="1366">
      <c r="A1366" t="n">
        <v>1365</v>
      </c>
      <c r="B1366" t="inlineStr">
        <is>
          <t>31 (3).tif</t>
        </is>
      </c>
      <c r="C1366" t="inlineStr">
        <is>
          <t>31(3)-V05</t>
        </is>
      </c>
      <c r="D1366" t="n">
        <v>5</v>
      </c>
      <c r="E1366" t="inlineStr">
        <is>
          <t>primary</t>
        </is>
      </c>
      <c r="F1366" t="n">
        <v>128.3553875236295</v>
      </c>
      <c r="G1366">
        <f>2*SQRT(F1366/PI())</f>
        <v/>
      </c>
      <c r="H1366" t="n">
        <v>42.64489578164142</v>
      </c>
      <c r="I1366" t="n">
        <v>106</v>
      </c>
      <c r="J1366" t="n">
        <v>114</v>
      </c>
      <c r="K1366" t="n">
        <v>125.7882797731569</v>
      </c>
      <c r="L1366" t="n">
        <v>130.9224952741021</v>
      </c>
      <c r="M1366">
        <f>2*SQRT(K1366/PI())</f>
        <v/>
      </c>
      <c r="N1366">
        <f>2*SQRT(L1366/PI())</f>
        <v/>
      </c>
      <c r="P1366" t="inlineStr">
        <is>
          <t>是</t>
        </is>
      </c>
      <c r="Q1366" t="inlineStr">
        <is>
          <t>auto_pipeline;review_png_green</t>
        </is>
      </c>
      <c r="R1366" t="inlineStr">
        <is>
          <t>样品31</t>
        </is>
      </c>
    </row>
    <row r="1367">
      <c r="A1367" t="n">
        <v>1366</v>
      </c>
      <c r="B1367" t="inlineStr">
        <is>
          <t>31 (4).tif</t>
        </is>
      </c>
      <c r="C1367" t="inlineStr">
        <is>
          <t>31(4)-V01</t>
        </is>
      </c>
      <c r="D1367" t="n">
        <v>1</v>
      </c>
      <c r="E1367" t="inlineStr">
        <is>
          <t>primary</t>
        </is>
      </c>
      <c r="F1367" t="n">
        <v>616.351606805293</v>
      </c>
      <c r="G1367">
        <f>2*SQRT(F1367/PI())</f>
        <v/>
      </c>
      <c r="H1367" t="n">
        <v>95.02230286598206</v>
      </c>
      <c r="I1367" t="n">
        <v>473</v>
      </c>
      <c r="J1367" t="n">
        <v>329</v>
      </c>
      <c r="K1367" t="n">
        <v>604.0245746691871</v>
      </c>
      <c r="L1367" t="n">
        <v>628.678638941399</v>
      </c>
      <c r="M1367">
        <f>2*SQRT(K1367/PI())</f>
        <v/>
      </c>
      <c r="N1367">
        <f>2*SQRT(L1367/PI())</f>
        <v/>
      </c>
      <c r="P1367" t="inlineStr">
        <is>
          <t>是</t>
        </is>
      </c>
      <c r="Q1367" t="inlineStr">
        <is>
          <t>auto_pipeline;review_png_green</t>
        </is>
      </c>
      <c r="R1367" t="inlineStr">
        <is>
          <t>样品31</t>
        </is>
      </c>
    </row>
    <row r="1368">
      <c r="A1368" t="n">
        <v>1367</v>
      </c>
      <c r="B1368" t="inlineStr">
        <is>
          <t>31 (4).tif</t>
        </is>
      </c>
      <c r="C1368" t="inlineStr">
        <is>
          <t>31(4)-V02</t>
        </is>
      </c>
      <c r="D1368" t="n">
        <v>2</v>
      </c>
      <c r="E1368" t="inlineStr">
        <is>
          <t>primary</t>
        </is>
      </c>
      <c r="F1368" t="n">
        <v>184.617202268431</v>
      </c>
      <c r="G1368">
        <f>2*SQRT(F1368/PI())</f>
        <v/>
      </c>
      <c r="H1368" t="n">
        <v>51.78438059661699</v>
      </c>
      <c r="I1368" t="n">
        <v>235</v>
      </c>
      <c r="J1368" t="n">
        <v>389</v>
      </c>
      <c r="K1368" t="n">
        <v>180.9248582230624</v>
      </c>
      <c r="L1368" t="n">
        <v>188.3095463137996</v>
      </c>
      <c r="M1368">
        <f>2*SQRT(K1368/PI())</f>
        <v/>
      </c>
      <c r="N1368">
        <f>2*SQRT(L1368/PI())</f>
        <v/>
      </c>
      <c r="P1368" t="inlineStr">
        <is>
          <t>是</t>
        </is>
      </c>
      <c r="Q1368" t="inlineStr">
        <is>
          <t>auto_pipeline;review_png_green</t>
        </is>
      </c>
      <c r="R1368" t="inlineStr">
        <is>
          <t>样品31</t>
        </is>
      </c>
    </row>
    <row r="1369">
      <c r="A1369" t="n">
        <v>1368</v>
      </c>
      <c r="B1369" t="inlineStr">
        <is>
          <t>31 (4).tif</t>
        </is>
      </c>
      <c r="C1369" t="inlineStr">
        <is>
          <t>31(4)-V03</t>
        </is>
      </c>
      <c r="D1369" t="n">
        <v>3</v>
      </c>
      <c r="E1369" t="inlineStr">
        <is>
          <t>primary</t>
        </is>
      </c>
      <c r="F1369" t="n">
        <v>152.930056710775</v>
      </c>
      <c r="G1369">
        <f>2*SQRT(F1369/PI())</f>
        <v/>
      </c>
      <c r="H1369" t="n">
        <v>49.55771959346274</v>
      </c>
      <c r="I1369" t="n">
        <v>645</v>
      </c>
      <c r="J1369" t="n">
        <v>583</v>
      </c>
      <c r="K1369" t="n">
        <v>149.8714555765595</v>
      </c>
      <c r="L1369" t="n">
        <v>155.9886578449905</v>
      </c>
      <c r="M1369">
        <f>2*SQRT(K1369/PI())</f>
        <v/>
      </c>
      <c r="N1369">
        <f>2*SQRT(L1369/PI())</f>
        <v/>
      </c>
      <c r="P1369" t="inlineStr">
        <is>
          <t>是</t>
        </is>
      </c>
      <c r="Q1369" t="inlineStr">
        <is>
          <t>auto_pipeline;review_png_green</t>
        </is>
      </c>
      <c r="R1369" t="inlineStr">
        <is>
          <t>样品31</t>
        </is>
      </c>
    </row>
    <row r="1370">
      <c r="A1370" t="n">
        <v>1369</v>
      </c>
      <c r="B1370" t="inlineStr">
        <is>
          <t>31 (4).tif</t>
        </is>
      </c>
      <c r="C1370" t="inlineStr">
        <is>
          <t>31(4)-V04</t>
        </is>
      </c>
      <c r="D1370" t="n">
        <v>4</v>
      </c>
      <c r="E1370" t="inlineStr">
        <is>
          <t>primary</t>
        </is>
      </c>
      <c r="F1370" t="n">
        <v>110.8459357277883</v>
      </c>
      <c r="G1370">
        <f>2*SQRT(F1370/PI())</f>
        <v/>
      </c>
      <c r="H1370" t="n">
        <v>50.23814193580461</v>
      </c>
      <c r="I1370" t="n">
        <v>925</v>
      </c>
      <c r="J1370" t="n">
        <v>306</v>
      </c>
      <c r="K1370" t="n">
        <v>108.6290170132325</v>
      </c>
      <c r="L1370" t="n">
        <v>113.0628544423441</v>
      </c>
      <c r="M1370">
        <f>2*SQRT(K1370/PI())</f>
        <v/>
      </c>
      <c r="N1370">
        <f>2*SQRT(L1370/PI())</f>
        <v/>
      </c>
      <c r="P1370" t="inlineStr">
        <is>
          <t>是</t>
        </is>
      </c>
      <c r="Q1370" t="inlineStr">
        <is>
          <t>auto_pipeline;review_png_green</t>
        </is>
      </c>
      <c r="R1370" t="inlineStr">
        <is>
          <t>样品31</t>
        </is>
      </c>
    </row>
    <row r="1371">
      <c r="A1371" t="n">
        <v>1370</v>
      </c>
      <c r="B1371" t="inlineStr">
        <is>
          <t>31 (5).tif</t>
        </is>
      </c>
      <c r="C1371" t="inlineStr">
        <is>
          <t>31(5)-V01</t>
        </is>
      </c>
      <c r="D1371" t="n">
        <v>1</v>
      </c>
      <c r="E1371" t="inlineStr">
        <is>
          <t>primary</t>
        </is>
      </c>
      <c r="F1371" t="n">
        <v>862.1455576559547</v>
      </c>
      <c r="G1371">
        <f>2*SQRT(F1371/PI())</f>
        <v/>
      </c>
      <c r="H1371" t="n">
        <v>110.3760890857033</v>
      </c>
      <c r="I1371" t="n">
        <v>579</v>
      </c>
      <c r="J1371" t="n">
        <v>320</v>
      </c>
      <c r="K1371" t="n">
        <v>844.9026465028356</v>
      </c>
      <c r="L1371" t="n">
        <v>879.3884688090737</v>
      </c>
      <c r="M1371">
        <f>2*SQRT(K1371/PI())</f>
        <v/>
      </c>
      <c r="N1371">
        <f>2*SQRT(L1371/PI())</f>
        <v/>
      </c>
      <c r="O1371" t="inlineStr">
        <is>
          <t>31(5)-P01</t>
        </is>
      </c>
      <c r="P1371" t="inlineStr">
        <is>
          <t>是</t>
        </is>
      </c>
      <c r="Q1371" t="inlineStr">
        <is>
          <t>auto_pipeline;review_png_green</t>
        </is>
      </c>
      <c r="R1371" t="inlineStr">
        <is>
          <t>样品31</t>
        </is>
      </c>
    </row>
    <row r="1372">
      <c r="A1372" t="n">
        <v>1371</v>
      </c>
      <c r="B1372" t="inlineStr">
        <is>
          <t>31 (5).tif</t>
        </is>
      </c>
      <c r="C1372" t="inlineStr">
        <is>
          <t>31(5)-V02</t>
        </is>
      </c>
      <c r="D1372" t="n">
        <v>2</v>
      </c>
      <c r="E1372" t="inlineStr">
        <is>
          <t>primary</t>
        </is>
      </c>
      <c r="F1372" t="n">
        <v>651.6776937618148</v>
      </c>
      <c r="G1372">
        <f>2*SQRT(F1372/PI())</f>
        <v/>
      </c>
      <c r="H1372" t="n">
        <v>96.52859249840611</v>
      </c>
      <c r="I1372" t="n">
        <v>816</v>
      </c>
      <c r="J1372" t="n">
        <v>478</v>
      </c>
      <c r="K1372" t="n">
        <v>638.6441398865785</v>
      </c>
      <c r="L1372" t="n">
        <v>664.7112476370511</v>
      </c>
      <c r="M1372">
        <f>2*SQRT(K1372/PI())</f>
        <v/>
      </c>
      <c r="N1372">
        <f>2*SQRT(L1372/PI())</f>
        <v/>
      </c>
      <c r="P1372" t="inlineStr">
        <is>
          <t>是</t>
        </is>
      </c>
      <c r="Q1372" t="inlineStr">
        <is>
          <t>auto_pipeline;review_png_green</t>
        </is>
      </c>
      <c r="R1372" t="inlineStr">
        <is>
          <t>样品31</t>
        </is>
      </c>
    </row>
    <row r="1373">
      <c r="A1373" t="n">
        <v>1372</v>
      </c>
      <c r="B1373" t="inlineStr">
        <is>
          <t>31 (5).tif</t>
        </is>
      </c>
      <c r="C1373" t="inlineStr">
        <is>
          <t>31(5)-V03</t>
        </is>
      </c>
      <c r="D1373" t="n">
        <v>3</v>
      </c>
      <c r="E1373" t="inlineStr">
        <is>
          <t>primary</t>
        </is>
      </c>
      <c r="F1373" t="n">
        <v>594.3761814744802</v>
      </c>
      <c r="G1373">
        <f>2*SQRT(F1373/PI())</f>
        <v/>
      </c>
      <c r="H1373" t="n">
        <v>92.20261537510416</v>
      </c>
      <c r="I1373" t="n">
        <v>497</v>
      </c>
      <c r="J1373" t="n">
        <v>472</v>
      </c>
      <c r="K1373" t="n">
        <v>582.4886578449906</v>
      </c>
      <c r="L1373" t="n">
        <v>606.2637051039698</v>
      </c>
      <c r="M1373">
        <f>2*SQRT(K1373/PI())</f>
        <v/>
      </c>
      <c r="N1373">
        <f>2*SQRT(L1373/PI())</f>
        <v/>
      </c>
      <c r="O1373" t="inlineStr">
        <is>
          <t>31(5)-P01</t>
        </is>
      </c>
      <c r="P1373" t="inlineStr">
        <is>
          <t>是</t>
        </is>
      </c>
      <c r="Q1373" t="inlineStr">
        <is>
          <t>auto_pipeline;review_png_green</t>
        </is>
      </c>
      <c r="R1373" t="inlineStr">
        <is>
          <t>样品31</t>
        </is>
      </c>
    </row>
    <row r="1374">
      <c r="A1374" t="n">
        <v>1373</v>
      </c>
      <c r="B1374" t="inlineStr">
        <is>
          <t>31 (5).tif</t>
        </is>
      </c>
      <c r="C1374" t="inlineStr">
        <is>
          <t>31(5)-V04</t>
        </is>
      </c>
      <c r="D1374" t="n">
        <v>4</v>
      </c>
      <c r="E1374" t="inlineStr">
        <is>
          <t>primary</t>
        </is>
      </c>
      <c r="F1374" t="n">
        <v>465.9026465028355</v>
      </c>
      <c r="G1374">
        <f>2*SQRT(F1374/PI())</f>
        <v/>
      </c>
      <c r="H1374" t="n">
        <v>82.19356534273727</v>
      </c>
      <c r="I1374" t="n">
        <v>255</v>
      </c>
      <c r="J1374" t="n">
        <v>99</v>
      </c>
      <c r="K1374" t="n">
        <v>456.5845935727788</v>
      </c>
      <c r="L1374" t="n">
        <v>475.2206994328922</v>
      </c>
      <c r="M1374">
        <f>2*SQRT(K1374/PI())</f>
        <v/>
      </c>
      <c r="N1374">
        <f>2*SQRT(L1374/PI())</f>
        <v/>
      </c>
      <c r="P1374" t="inlineStr">
        <is>
          <t>是</t>
        </is>
      </c>
      <c r="Q1374" t="inlineStr">
        <is>
          <t>auto_pipeline;review_png_green</t>
        </is>
      </c>
      <c r="R1374" t="inlineStr">
        <is>
          <t>样品31</t>
        </is>
      </c>
    </row>
    <row r="1375">
      <c r="A1375" t="n">
        <v>1374</v>
      </c>
      <c r="B1375" t="inlineStr">
        <is>
          <t>31 (5).tif</t>
        </is>
      </c>
      <c r="C1375" t="inlineStr">
        <is>
          <t>31(5)-V05</t>
        </is>
      </c>
      <c r="D1375" t="n">
        <v>5</v>
      </c>
      <c r="E1375" t="inlineStr">
        <is>
          <t>primary</t>
        </is>
      </c>
      <c r="F1375" t="n">
        <v>164.3431001890359</v>
      </c>
      <c r="G1375">
        <f>2*SQRT(F1375/PI())</f>
        <v/>
      </c>
      <c r="H1375" t="n">
        <v>51.88987651596899</v>
      </c>
      <c r="I1375" t="n">
        <v>276</v>
      </c>
      <c r="J1375" t="n">
        <v>390</v>
      </c>
      <c r="K1375" t="n">
        <v>161.0562381852552</v>
      </c>
      <c r="L1375" t="n">
        <v>167.6299621928166</v>
      </c>
      <c r="M1375">
        <f>2*SQRT(K1375/PI())</f>
        <v/>
      </c>
      <c r="N1375">
        <f>2*SQRT(L1375/PI())</f>
        <v/>
      </c>
      <c r="P1375" t="inlineStr">
        <is>
          <t>是</t>
        </is>
      </c>
      <c r="Q1375" t="inlineStr">
        <is>
          <t>auto_pipeline;review_png_green</t>
        </is>
      </c>
      <c r="R1375" t="inlineStr">
        <is>
          <t>样品31</t>
        </is>
      </c>
    </row>
    <row r="1376">
      <c r="A1376" t="n">
        <v>1375</v>
      </c>
      <c r="B1376" t="inlineStr">
        <is>
          <t>31 (5).tif</t>
        </is>
      </c>
      <c r="C1376" t="inlineStr">
        <is>
          <t>31(5)-V06</t>
        </is>
      </c>
      <c r="D1376" t="n">
        <v>6</v>
      </c>
      <c r="E1376" t="inlineStr">
        <is>
          <t>primary</t>
        </is>
      </c>
      <c r="F1376" t="n">
        <v>130.9782608695652</v>
      </c>
      <c r="G1376">
        <f>2*SQRT(F1376/PI())</f>
        <v/>
      </c>
      <c r="H1376" t="n">
        <v>46.25050153421319</v>
      </c>
      <c r="I1376" t="n">
        <v>726</v>
      </c>
      <c r="J1376" t="n">
        <v>526</v>
      </c>
      <c r="K1376" t="n">
        <v>128.3586956521739</v>
      </c>
      <c r="L1376" t="n">
        <v>133.5978260869565</v>
      </c>
      <c r="M1376">
        <f>2*SQRT(K1376/PI())</f>
        <v/>
      </c>
      <c r="N1376">
        <f>2*SQRT(L1376/PI())</f>
        <v/>
      </c>
      <c r="P1376" t="inlineStr">
        <is>
          <t>是</t>
        </is>
      </c>
      <c r="Q1376" t="inlineStr">
        <is>
          <t>auto_pipeline;review_png_green</t>
        </is>
      </c>
      <c r="R1376" t="inlineStr">
        <is>
          <t>样品31</t>
        </is>
      </c>
    </row>
    <row r="1377">
      <c r="A1377" t="n">
        <v>1376</v>
      </c>
      <c r="B1377" t="inlineStr">
        <is>
          <t>31 (5).tif</t>
        </is>
      </c>
      <c r="C1377" t="inlineStr">
        <is>
          <t>31(5)-V07</t>
        </is>
      </c>
      <c r="D1377" t="n">
        <v>7</v>
      </c>
      <c r="E1377" t="inlineStr">
        <is>
          <t>primary</t>
        </is>
      </c>
      <c r="F1377" t="n">
        <v>121.9281663516068</v>
      </c>
      <c r="G1377">
        <f>2*SQRT(F1377/PI())</f>
        <v/>
      </c>
      <c r="H1377" t="n">
        <v>45.46458327251932</v>
      </c>
      <c r="I1377" t="n">
        <v>693</v>
      </c>
      <c r="J1377" t="n">
        <v>143</v>
      </c>
      <c r="K1377" t="n">
        <v>119.4896030245747</v>
      </c>
      <c r="L1377" t="n">
        <v>124.3667296786389</v>
      </c>
      <c r="M1377">
        <f>2*SQRT(K1377/PI())</f>
        <v/>
      </c>
      <c r="N1377">
        <f>2*SQRT(L1377/PI())</f>
        <v/>
      </c>
      <c r="P1377" t="inlineStr">
        <is>
          <t>是</t>
        </is>
      </c>
      <c r="Q1377" t="inlineStr">
        <is>
          <t>auto_pipeline;review_png_green</t>
        </is>
      </c>
      <c r="R1377" t="inlineStr">
        <is>
          <t>样品31</t>
        </is>
      </c>
    </row>
    <row r="1378">
      <c r="A1378" t="n">
        <v>1377</v>
      </c>
      <c r="B1378" t="inlineStr">
        <is>
          <t>31 (5).tif</t>
        </is>
      </c>
      <c r="C1378" t="inlineStr">
        <is>
          <t>31(5)-V08</t>
        </is>
      </c>
      <c r="D1378" t="n">
        <v>8</v>
      </c>
      <c r="E1378" t="inlineStr">
        <is>
          <t>primary</t>
        </is>
      </c>
      <c r="F1378" t="n">
        <v>114.1540642722117</v>
      </c>
      <c r="G1378">
        <f>2*SQRT(F1378/PI())</f>
        <v/>
      </c>
      <c r="H1378" t="n">
        <v>48.87729725112086</v>
      </c>
      <c r="I1378" t="n">
        <v>65</v>
      </c>
      <c r="J1378" t="n">
        <v>295</v>
      </c>
      <c r="K1378" t="n">
        <v>111.8709829867675</v>
      </c>
      <c r="L1378" t="n">
        <v>116.437145557656</v>
      </c>
      <c r="M1378">
        <f>2*SQRT(K1378/PI())</f>
        <v/>
      </c>
      <c r="N1378">
        <f>2*SQRT(L1378/PI())</f>
        <v/>
      </c>
      <c r="P1378" t="inlineStr">
        <is>
          <t>是</t>
        </is>
      </c>
      <c r="Q1378" t="inlineStr">
        <is>
          <t>auto_pipeline;review_png_green</t>
        </is>
      </c>
      <c r="R1378" t="inlineStr">
        <is>
          <t>样品31</t>
        </is>
      </c>
    </row>
    <row r="1379">
      <c r="A1379" t="n">
        <v>1378</v>
      </c>
      <c r="B1379" t="inlineStr">
        <is>
          <t>31 (6).tif</t>
        </is>
      </c>
      <c r="C1379" t="inlineStr">
        <is>
          <t>31(6)-V01</t>
        </is>
      </c>
      <c r="D1379" t="n">
        <v>1</v>
      </c>
      <c r="E1379" t="inlineStr">
        <is>
          <t>primary</t>
        </is>
      </c>
      <c r="F1379" t="n">
        <v>801.0869565217391</v>
      </c>
      <c r="G1379">
        <f>2*SQRT(F1379/PI())</f>
        <v/>
      </c>
      <c r="H1379" t="n">
        <v>107.1525179821512</v>
      </c>
      <c r="I1379" t="n">
        <v>435</v>
      </c>
      <c r="J1379" t="n">
        <v>340</v>
      </c>
      <c r="K1379" t="n">
        <v>785.0652173913044</v>
      </c>
      <c r="L1379" t="n">
        <v>817.1086956521739</v>
      </c>
      <c r="M1379">
        <f>2*SQRT(K1379/PI())</f>
        <v/>
      </c>
      <c r="N1379">
        <f>2*SQRT(L1379/PI())</f>
        <v/>
      </c>
      <c r="O1379" t="inlineStr">
        <is>
          <t>31(6)-P01</t>
        </is>
      </c>
      <c r="P1379" t="inlineStr">
        <is>
          <t>是</t>
        </is>
      </c>
      <c r="Q1379" t="inlineStr">
        <is>
          <t>auto_pipeline;review_png_green</t>
        </is>
      </c>
      <c r="R1379" t="inlineStr">
        <is>
          <t>样品31</t>
        </is>
      </c>
    </row>
    <row r="1380">
      <c r="A1380" t="n">
        <v>1379</v>
      </c>
      <c r="B1380" t="inlineStr">
        <is>
          <t>31 (6).tif</t>
        </is>
      </c>
      <c r="C1380" t="inlineStr">
        <is>
          <t>31(6)-V02</t>
        </is>
      </c>
      <c r="D1380" t="n">
        <v>2</v>
      </c>
      <c r="E1380" t="inlineStr">
        <is>
          <t>primary</t>
        </is>
      </c>
      <c r="F1380" t="n">
        <v>562.5708884688091</v>
      </c>
      <c r="G1380">
        <f>2*SQRT(F1380/PI())</f>
        <v/>
      </c>
      <c r="H1380" t="n">
        <v>89.74311356959136</v>
      </c>
      <c r="I1380" t="n">
        <v>554</v>
      </c>
      <c r="J1380" t="n">
        <v>411</v>
      </c>
      <c r="K1380" t="n">
        <v>551.3194706994329</v>
      </c>
      <c r="L1380" t="n">
        <v>573.8223062381853</v>
      </c>
      <c r="M1380">
        <f>2*SQRT(K1380/PI())</f>
        <v/>
      </c>
      <c r="N1380">
        <f>2*SQRT(L1380/PI())</f>
        <v/>
      </c>
      <c r="O1380" t="inlineStr">
        <is>
          <t>31(6)-P01</t>
        </is>
      </c>
      <c r="P1380" t="inlineStr">
        <is>
          <t>是</t>
        </is>
      </c>
      <c r="Q1380" t="inlineStr">
        <is>
          <t>auto_pipeline;review_png_green</t>
        </is>
      </c>
      <c r="R1380" t="inlineStr">
        <is>
          <t>样品31</t>
        </is>
      </c>
    </row>
    <row r="1381">
      <c r="A1381" t="n">
        <v>1380</v>
      </c>
      <c r="B1381" t="inlineStr">
        <is>
          <t>31 (6).tif</t>
        </is>
      </c>
      <c r="C1381" t="inlineStr">
        <is>
          <t>31(6)-V03</t>
        </is>
      </c>
      <c r="D1381" t="n">
        <v>3</v>
      </c>
      <c r="E1381" t="inlineStr">
        <is>
          <t>primary</t>
        </is>
      </c>
      <c r="F1381" t="n">
        <v>528.6389413988658</v>
      </c>
      <c r="G1381">
        <f>2*SQRT(F1381/PI())</f>
        <v/>
      </c>
      <c r="H1381" t="n">
        <v>86.87972815140434</v>
      </c>
      <c r="I1381" t="n">
        <v>833</v>
      </c>
      <c r="J1381" t="n">
        <v>66</v>
      </c>
      <c r="K1381" t="n">
        <v>518.0661625708884</v>
      </c>
      <c r="L1381" t="n">
        <v>539.2117202268431</v>
      </c>
      <c r="M1381">
        <f>2*SQRT(K1381/PI())</f>
        <v/>
      </c>
      <c r="N1381">
        <f>2*SQRT(L1381/PI())</f>
        <v/>
      </c>
      <c r="O1381" t="inlineStr">
        <is>
          <t>31(6)-P02</t>
        </is>
      </c>
      <c r="P1381" t="inlineStr">
        <is>
          <t>是</t>
        </is>
      </c>
      <c r="Q1381" t="inlineStr">
        <is>
          <t>auto_pipeline;review_png_green</t>
        </is>
      </c>
      <c r="R1381" t="inlineStr">
        <is>
          <t>样品31</t>
        </is>
      </c>
    </row>
    <row r="1382">
      <c r="A1382" t="n">
        <v>1381</v>
      </c>
      <c r="B1382" t="inlineStr">
        <is>
          <t>31 (6).tif</t>
        </is>
      </c>
      <c r="C1382" t="inlineStr">
        <is>
          <t>31(6)-V04</t>
        </is>
      </c>
      <c r="D1382" t="n">
        <v>4</v>
      </c>
      <c r="E1382" t="inlineStr">
        <is>
          <t>primary</t>
        </is>
      </c>
      <c r="F1382" t="n">
        <v>395.3686200378072</v>
      </c>
      <c r="G1382">
        <f>2*SQRT(F1382/PI())</f>
        <v/>
      </c>
      <c r="H1382" t="n">
        <v>82.76849176572716</v>
      </c>
      <c r="I1382" t="n">
        <v>916</v>
      </c>
      <c r="J1382" t="n">
        <v>165</v>
      </c>
      <c r="K1382" t="n">
        <v>387.461247637051</v>
      </c>
      <c r="L1382" t="n">
        <v>403.2759924385634</v>
      </c>
      <c r="M1382">
        <f>2*SQRT(K1382/PI())</f>
        <v/>
      </c>
      <c r="N1382">
        <f>2*SQRT(L1382/PI())</f>
        <v/>
      </c>
      <c r="O1382" t="inlineStr">
        <is>
          <t>31(6)-P02</t>
        </is>
      </c>
      <c r="P1382" t="inlineStr">
        <is>
          <t>是</t>
        </is>
      </c>
      <c r="Q1382" t="inlineStr">
        <is>
          <t>auto_pipeline;review_png_green</t>
        </is>
      </c>
      <c r="R1382" t="inlineStr">
        <is>
          <t>样品31</t>
        </is>
      </c>
    </row>
    <row r="1383">
      <c r="A1383" t="n">
        <v>1382</v>
      </c>
      <c r="B1383" t="inlineStr">
        <is>
          <t>31 (6).tif</t>
        </is>
      </c>
      <c r="C1383" t="inlineStr">
        <is>
          <t>31(6)-V05</t>
        </is>
      </c>
      <c r="D1383" t="n">
        <v>5</v>
      </c>
      <c r="E1383" t="inlineStr">
        <is>
          <t>primary</t>
        </is>
      </c>
      <c r="F1383" t="n">
        <v>136.507561436673</v>
      </c>
      <c r="G1383">
        <f>2*SQRT(F1383/PI())</f>
        <v/>
      </c>
      <c r="H1383" t="n">
        <v>46.25050153421319</v>
      </c>
      <c r="I1383" t="n">
        <v>858</v>
      </c>
      <c r="J1383" t="n">
        <v>301</v>
      </c>
      <c r="K1383" t="n">
        <v>133.7774102079395</v>
      </c>
      <c r="L1383" t="n">
        <v>139.2377126654064</v>
      </c>
      <c r="M1383">
        <f>2*SQRT(K1383/PI())</f>
        <v/>
      </c>
      <c r="N1383">
        <f>2*SQRT(L1383/PI())</f>
        <v/>
      </c>
      <c r="P1383" t="inlineStr">
        <is>
          <t>是</t>
        </is>
      </c>
      <c r="Q1383" t="inlineStr">
        <is>
          <t>auto_pipeline;review_png_green</t>
        </is>
      </c>
      <c r="R1383" t="inlineStr">
        <is>
          <t>样品31</t>
        </is>
      </c>
    </row>
    <row r="1384">
      <c r="A1384" t="n">
        <v>1383</v>
      </c>
      <c r="B1384" t="inlineStr">
        <is>
          <t>31 (6).tif</t>
        </is>
      </c>
      <c r="C1384" t="inlineStr">
        <is>
          <t>31(6)-V06</t>
        </is>
      </c>
      <c r="D1384" t="n">
        <v>6</v>
      </c>
      <c r="E1384" t="inlineStr">
        <is>
          <t>primary</t>
        </is>
      </c>
      <c r="F1384" t="n">
        <v>124.9054820415879</v>
      </c>
      <c r="G1384">
        <f>2*SQRT(F1384/PI())</f>
        <v/>
      </c>
      <c r="H1384" t="n">
        <v>55.40808641392252</v>
      </c>
      <c r="I1384" t="n">
        <v>132</v>
      </c>
      <c r="J1384" t="n">
        <v>400</v>
      </c>
      <c r="K1384" t="n">
        <v>122.4073724007561</v>
      </c>
      <c r="L1384" t="n">
        <v>127.4035916824197</v>
      </c>
      <c r="M1384">
        <f>2*SQRT(K1384/PI())</f>
        <v/>
      </c>
      <c r="N1384">
        <f>2*SQRT(L1384/PI())</f>
        <v/>
      </c>
      <c r="P1384" t="inlineStr">
        <is>
          <t>是</t>
        </is>
      </c>
      <c r="Q1384" t="inlineStr">
        <is>
          <t>auto_pipeline;review_png_green</t>
        </is>
      </c>
      <c r="R1384" t="inlineStr">
        <is>
          <t>样品31</t>
        </is>
      </c>
    </row>
    <row r="1385">
      <c r="A1385" t="n">
        <v>1384</v>
      </c>
      <c r="B1385" t="inlineStr">
        <is>
          <t>31 (6).tif</t>
        </is>
      </c>
      <c r="C1385" t="inlineStr">
        <is>
          <t>31(6)-V07</t>
        </is>
      </c>
      <c r="D1385" t="n">
        <v>7</v>
      </c>
      <c r="E1385" t="inlineStr">
        <is>
          <t>primary</t>
        </is>
      </c>
      <c r="F1385" t="n">
        <v>121.9517958412098</v>
      </c>
      <c r="G1385">
        <f>2*SQRT(F1385/PI())</f>
        <v/>
      </c>
      <c r="H1385" t="n">
        <v>45.59192815552587</v>
      </c>
      <c r="I1385" t="n">
        <v>895</v>
      </c>
      <c r="J1385" t="n">
        <v>627</v>
      </c>
      <c r="K1385" t="n">
        <v>119.5127599243856</v>
      </c>
      <c r="L1385" t="n">
        <v>124.390831758034</v>
      </c>
      <c r="M1385">
        <f>2*SQRT(K1385/PI())</f>
        <v/>
      </c>
      <c r="N1385">
        <f>2*SQRT(L1385/PI())</f>
        <v/>
      </c>
      <c r="P1385" t="inlineStr">
        <is>
          <t>是</t>
        </is>
      </c>
      <c r="Q1385" t="inlineStr">
        <is>
          <t>auto_pipeline;review_png_green</t>
        </is>
      </c>
      <c r="R1385" t="inlineStr">
        <is>
          <t>样品31</t>
        </is>
      </c>
    </row>
    <row r="1386">
      <c r="A1386" t="n">
        <v>1385</v>
      </c>
      <c r="B1386" t="inlineStr">
        <is>
          <t>31 (6).tif</t>
        </is>
      </c>
      <c r="C1386" t="inlineStr">
        <is>
          <t>31(6)-V08</t>
        </is>
      </c>
      <c r="D1386" t="n">
        <v>8</v>
      </c>
      <c r="E1386" t="inlineStr">
        <is>
          <t>primary</t>
        </is>
      </c>
      <c r="F1386" t="n">
        <v>112.547258979206</v>
      </c>
      <c r="G1386">
        <f>2*SQRT(F1386/PI())</f>
        <v/>
      </c>
      <c r="H1386" t="n">
        <v>42.87773658399996</v>
      </c>
      <c r="I1386" t="n">
        <v>973</v>
      </c>
      <c r="J1386" t="n">
        <v>61</v>
      </c>
      <c r="K1386" t="n">
        <v>110.2963137996219</v>
      </c>
      <c r="L1386" t="n">
        <v>114.7982041587902</v>
      </c>
      <c r="M1386">
        <f>2*SQRT(K1386/PI())</f>
        <v/>
      </c>
      <c r="N1386">
        <f>2*SQRT(L1386/PI())</f>
        <v/>
      </c>
      <c r="P1386" t="inlineStr">
        <is>
          <t>是</t>
        </is>
      </c>
      <c r="Q1386" t="inlineStr">
        <is>
          <t>auto_pipeline;review_png_green</t>
        </is>
      </c>
      <c r="R1386" t="inlineStr">
        <is>
          <t>样品31</t>
        </is>
      </c>
    </row>
    <row r="1387">
      <c r="A1387" t="n">
        <v>1386</v>
      </c>
      <c r="B1387" t="inlineStr">
        <is>
          <t>31 (7).tif</t>
        </is>
      </c>
      <c r="C1387" t="inlineStr">
        <is>
          <t>31(7)-V01</t>
        </is>
      </c>
      <c r="D1387" t="n">
        <v>1</v>
      </c>
      <c r="E1387" t="inlineStr">
        <is>
          <t>primary</t>
        </is>
      </c>
      <c r="F1387" t="n">
        <v>876.7013232514178</v>
      </c>
      <c r="G1387">
        <f>2*SQRT(F1387/PI())</f>
        <v/>
      </c>
      <c r="H1387" t="n">
        <v>110.9909645370815</v>
      </c>
      <c r="I1387" t="n">
        <v>478</v>
      </c>
      <c r="J1387" t="n">
        <v>303</v>
      </c>
      <c r="K1387" t="n">
        <v>859.1672967863894</v>
      </c>
      <c r="L1387" t="n">
        <v>894.2353497164461</v>
      </c>
      <c r="M1387">
        <f>2*SQRT(K1387/PI())</f>
        <v/>
      </c>
      <c r="N1387">
        <f>2*SQRT(L1387/PI())</f>
        <v/>
      </c>
      <c r="O1387" t="inlineStr">
        <is>
          <t>31(7)-P01</t>
        </is>
      </c>
      <c r="P1387" t="inlineStr">
        <is>
          <t>是</t>
        </is>
      </c>
      <c r="Q1387" t="inlineStr">
        <is>
          <t>auto_pipeline;review_png_green</t>
        </is>
      </c>
      <c r="R1387" t="inlineStr">
        <is>
          <t>样品31</t>
        </is>
      </c>
    </row>
    <row r="1388">
      <c r="A1388" t="n">
        <v>1387</v>
      </c>
      <c r="B1388" t="inlineStr">
        <is>
          <t>31 (7).tif</t>
        </is>
      </c>
      <c r="C1388" t="inlineStr">
        <is>
          <t>31(7)-V02</t>
        </is>
      </c>
      <c r="D1388" t="n">
        <v>2</v>
      </c>
      <c r="E1388" t="inlineStr">
        <is>
          <t>primary</t>
        </is>
      </c>
      <c r="F1388" t="n">
        <v>549.1020793950851</v>
      </c>
      <c r="G1388">
        <f>2*SQRT(F1388/PI())</f>
        <v/>
      </c>
      <c r="H1388" t="n">
        <v>88.00398313480875</v>
      </c>
      <c r="I1388" t="n">
        <v>476</v>
      </c>
      <c r="J1388" t="n">
        <v>468</v>
      </c>
      <c r="K1388" t="n">
        <v>538.1200378071834</v>
      </c>
      <c r="L1388" t="n">
        <v>560.0841209829867</v>
      </c>
      <c r="M1388">
        <f>2*SQRT(K1388/PI())</f>
        <v/>
      </c>
      <c r="N1388">
        <f>2*SQRT(L1388/PI())</f>
        <v/>
      </c>
      <c r="O1388" t="inlineStr">
        <is>
          <t>31(7)-P01</t>
        </is>
      </c>
      <c r="P1388" t="inlineStr">
        <is>
          <t>是</t>
        </is>
      </c>
      <c r="Q1388" t="inlineStr">
        <is>
          <t>auto_pipeline;review_png_green</t>
        </is>
      </c>
      <c r="R1388" t="inlineStr">
        <is>
          <t>样品31</t>
        </is>
      </c>
    </row>
    <row r="1389">
      <c r="A1389" t="n">
        <v>1388</v>
      </c>
      <c r="B1389" t="inlineStr">
        <is>
          <t>31 (7).tif</t>
        </is>
      </c>
      <c r="C1389" t="inlineStr">
        <is>
          <t>31(7)-V03</t>
        </is>
      </c>
      <c r="D1389" t="n">
        <v>3</v>
      </c>
      <c r="E1389" t="inlineStr">
        <is>
          <t>primary</t>
        </is>
      </c>
      <c r="F1389" t="n">
        <v>109.1682419659735</v>
      </c>
      <c r="G1389">
        <f>2*SQRT(F1389/PI())</f>
        <v/>
      </c>
      <c r="H1389" t="n">
        <v>47.50210140062415</v>
      </c>
      <c r="I1389" t="n">
        <v>471</v>
      </c>
      <c r="J1389" t="n">
        <v>628</v>
      </c>
      <c r="K1389" t="n">
        <v>106.9848771266541</v>
      </c>
      <c r="L1389" t="n">
        <v>111.351606805293</v>
      </c>
      <c r="M1389">
        <f>2*SQRT(K1389/PI())</f>
        <v/>
      </c>
      <c r="N1389">
        <f>2*SQRT(L1389/PI())</f>
        <v/>
      </c>
      <c r="P1389" t="inlineStr">
        <is>
          <t>是</t>
        </is>
      </c>
      <c r="Q1389" t="inlineStr">
        <is>
          <t>auto_pipeline;review_png_green</t>
        </is>
      </c>
      <c r="R1389" t="inlineStr">
        <is>
          <t>样品31</t>
        </is>
      </c>
    </row>
    <row r="1390">
      <c r="A1390" t="n">
        <v>1389</v>
      </c>
      <c r="B1390" t="inlineStr">
        <is>
          <t>31 (8).tif</t>
        </is>
      </c>
      <c r="C1390" t="inlineStr">
        <is>
          <t>31(8)-V01</t>
        </is>
      </c>
      <c r="D1390" t="n">
        <v>1</v>
      </c>
      <c r="E1390" t="inlineStr">
        <is>
          <t>primary</t>
        </is>
      </c>
      <c r="F1390" t="n">
        <v>980.3402646502835</v>
      </c>
      <c r="G1390">
        <f>2*SQRT(F1390/PI())</f>
        <v/>
      </c>
      <c r="H1390" t="n">
        <v>118.7733535662941</v>
      </c>
      <c r="I1390" t="n">
        <v>437</v>
      </c>
      <c r="J1390" t="n">
        <v>503</v>
      </c>
      <c r="K1390" t="n">
        <v>960.7334593572779</v>
      </c>
      <c r="L1390" t="n">
        <v>999.9470699432892</v>
      </c>
      <c r="M1390">
        <f>2*SQRT(K1390/PI())</f>
        <v/>
      </c>
      <c r="N1390">
        <f>2*SQRT(L1390/PI())</f>
        <v/>
      </c>
      <c r="O1390" t="inlineStr">
        <is>
          <t>31(8)-P01</t>
        </is>
      </c>
      <c r="P1390" t="inlineStr">
        <is>
          <t>是</t>
        </is>
      </c>
      <c r="Q1390" t="inlineStr">
        <is>
          <t>auto_pipeline;review_png_green</t>
        </is>
      </c>
      <c r="R1390" t="inlineStr">
        <is>
          <t>样品31</t>
        </is>
      </c>
    </row>
    <row r="1391">
      <c r="A1391" t="n">
        <v>1390</v>
      </c>
      <c r="B1391" t="inlineStr">
        <is>
          <t>31 (8).tif</t>
        </is>
      </c>
      <c r="C1391" t="inlineStr">
        <is>
          <t>31(8)-V02</t>
        </is>
      </c>
      <c r="D1391" t="n">
        <v>2</v>
      </c>
      <c r="E1391" t="inlineStr">
        <is>
          <t>primary</t>
        </is>
      </c>
      <c r="F1391" t="n">
        <v>714.5557655954632</v>
      </c>
      <c r="G1391">
        <f>2*SQRT(F1391/PI())</f>
        <v/>
      </c>
      <c r="H1391" t="n">
        <v>102.3390102904776</v>
      </c>
      <c r="I1391" t="n">
        <v>770</v>
      </c>
      <c r="J1391" t="n">
        <v>129</v>
      </c>
      <c r="K1391" t="n">
        <v>700.2646502835539</v>
      </c>
      <c r="L1391" t="n">
        <v>728.8468809073725</v>
      </c>
      <c r="M1391">
        <f>2*SQRT(K1391/PI())</f>
        <v/>
      </c>
      <c r="N1391">
        <f>2*SQRT(L1391/PI())</f>
        <v/>
      </c>
      <c r="P1391" t="inlineStr">
        <is>
          <t>是</t>
        </is>
      </c>
      <c r="Q1391" t="inlineStr">
        <is>
          <t>auto_pipeline;review_png_green</t>
        </is>
      </c>
      <c r="R1391" t="inlineStr">
        <is>
          <t>样品31</t>
        </is>
      </c>
    </row>
    <row r="1392">
      <c r="A1392" t="n">
        <v>1391</v>
      </c>
      <c r="B1392" t="inlineStr">
        <is>
          <t>31 (8).tif</t>
        </is>
      </c>
      <c r="C1392" t="inlineStr">
        <is>
          <t>31(8)-V03</t>
        </is>
      </c>
      <c r="D1392" t="n">
        <v>3</v>
      </c>
      <c r="E1392" t="inlineStr">
        <is>
          <t>primary</t>
        </is>
      </c>
      <c r="F1392" t="n">
        <v>525.945179584121</v>
      </c>
      <c r="G1392">
        <f>2*SQRT(F1392/PI())</f>
        <v/>
      </c>
      <c r="H1392" t="n">
        <v>90.61267878698266</v>
      </c>
      <c r="I1392" t="n">
        <v>531</v>
      </c>
      <c r="J1392" t="n">
        <v>376</v>
      </c>
      <c r="K1392" t="n">
        <v>515.4262759924386</v>
      </c>
      <c r="L1392" t="n">
        <v>536.4640831758034</v>
      </c>
      <c r="M1392">
        <f>2*SQRT(K1392/PI())</f>
        <v/>
      </c>
      <c r="N1392">
        <f>2*SQRT(L1392/PI())</f>
        <v/>
      </c>
      <c r="O1392" t="inlineStr">
        <is>
          <t>31(8)-P01</t>
        </is>
      </c>
      <c r="P1392" t="inlineStr">
        <is>
          <t>是</t>
        </is>
      </c>
      <c r="Q1392" t="inlineStr">
        <is>
          <t>auto_pipeline;review_png_green</t>
        </is>
      </c>
      <c r="R1392" t="inlineStr">
        <is>
          <t>样品31</t>
        </is>
      </c>
    </row>
    <row r="1393">
      <c r="A1393" t="n">
        <v>1392</v>
      </c>
      <c r="B1393" t="inlineStr">
        <is>
          <t>31 (8).tif</t>
        </is>
      </c>
      <c r="C1393" t="inlineStr">
        <is>
          <t>31(8)-V04</t>
        </is>
      </c>
      <c r="D1393" t="n">
        <v>4</v>
      </c>
      <c r="E1393" t="inlineStr">
        <is>
          <t>primary</t>
        </is>
      </c>
      <c r="F1393" t="n">
        <v>373.8657844990548</v>
      </c>
      <c r="G1393">
        <f>2*SQRT(F1393/PI())</f>
        <v/>
      </c>
      <c r="H1393" t="n">
        <v>72.90488668110059</v>
      </c>
      <c r="I1393" t="n">
        <v>621</v>
      </c>
      <c r="J1393" t="n">
        <v>261</v>
      </c>
      <c r="K1393" t="n">
        <v>366.3884688090737</v>
      </c>
      <c r="L1393" t="n">
        <v>381.3431001890359</v>
      </c>
      <c r="M1393">
        <f>2*SQRT(K1393/PI())</f>
        <v/>
      </c>
      <c r="N1393">
        <f>2*SQRT(L1393/PI())</f>
        <v/>
      </c>
      <c r="P1393" t="inlineStr">
        <is>
          <t>是</t>
        </is>
      </c>
      <c r="Q1393" t="inlineStr">
        <is>
          <t>auto_pipeline;review_png_green</t>
        </is>
      </c>
      <c r="R1393" t="inlineStr">
        <is>
          <t>样品31</t>
        </is>
      </c>
    </row>
    <row r="1394">
      <c r="A1394" t="n">
        <v>1393</v>
      </c>
      <c r="B1394" t="inlineStr">
        <is>
          <t>31 (8).tif</t>
        </is>
      </c>
      <c r="C1394" t="inlineStr">
        <is>
          <t>31(8)-V05</t>
        </is>
      </c>
      <c r="D1394" t="n">
        <v>5</v>
      </c>
      <c r="E1394" t="inlineStr">
        <is>
          <t>primary</t>
        </is>
      </c>
      <c r="F1394" t="n">
        <v>195.0378071833648</v>
      </c>
      <c r="G1394">
        <f>2*SQRT(F1394/PI())</f>
        <v/>
      </c>
      <c r="H1394" t="n">
        <v>60.62547771827034</v>
      </c>
      <c r="I1394" t="n">
        <v>639</v>
      </c>
      <c r="J1394" t="n">
        <v>113</v>
      </c>
      <c r="K1394" t="n">
        <v>191.1370510396975</v>
      </c>
      <c r="L1394" t="n">
        <v>198.9385633270321</v>
      </c>
      <c r="M1394">
        <f>2*SQRT(K1394/PI())</f>
        <v/>
      </c>
      <c r="N1394">
        <f>2*SQRT(L1394/PI())</f>
        <v/>
      </c>
      <c r="P1394" t="inlineStr">
        <is>
          <t>是</t>
        </is>
      </c>
      <c r="Q1394" t="inlineStr">
        <is>
          <t>auto_pipeline;review_png_green</t>
        </is>
      </c>
      <c r="R1394" t="inlineStr">
        <is>
          <t>样品31</t>
        </is>
      </c>
    </row>
    <row r="1395">
      <c r="A1395" t="n">
        <v>1394</v>
      </c>
      <c r="B1395" t="inlineStr">
        <is>
          <t>32 (1).tif</t>
        </is>
      </c>
      <c r="C1395" t="inlineStr">
        <is>
          <t>32(1)-V01</t>
        </is>
      </c>
      <c r="D1395" t="n">
        <v>1</v>
      </c>
      <c r="E1395" t="inlineStr">
        <is>
          <t>primary</t>
        </is>
      </c>
      <c r="F1395" t="n">
        <v>695.0378071833649</v>
      </c>
      <c r="G1395">
        <f>2*SQRT(F1395/PI())</f>
        <v/>
      </c>
      <c r="H1395" t="n">
        <v>98.75525350156038</v>
      </c>
      <c r="I1395" t="n">
        <v>436</v>
      </c>
      <c r="J1395" t="n">
        <v>348</v>
      </c>
      <c r="K1395" t="n">
        <v>681.1370510396976</v>
      </c>
      <c r="L1395" t="n">
        <v>708.9385633270322</v>
      </c>
      <c r="M1395">
        <f>2*SQRT(K1395/PI())</f>
        <v/>
      </c>
      <c r="N1395">
        <f>2*SQRT(L1395/PI())</f>
        <v/>
      </c>
      <c r="O1395" t="inlineStr">
        <is>
          <t>32(1)-P01</t>
        </is>
      </c>
      <c r="P1395" t="inlineStr">
        <is>
          <t>是</t>
        </is>
      </c>
      <c r="Q1395" t="inlineStr">
        <is>
          <t>auto_pipeline;review_png_green</t>
        </is>
      </c>
      <c r="R1395" t="inlineStr">
        <is>
          <t>样品32</t>
        </is>
      </c>
    </row>
    <row r="1396">
      <c r="A1396" t="n">
        <v>1395</v>
      </c>
      <c r="B1396" t="inlineStr">
        <is>
          <t>32 (1).tif</t>
        </is>
      </c>
      <c r="C1396" t="inlineStr">
        <is>
          <t>32(1)-V02</t>
        </is>
      </c>
      <c r="D1396" t="n">
        <v>2</v>
      </c>
      <c r="E1396" t="inlineStr">
        <is>
          <t>primary</t>
        </is>
      </c>
      <c r="F1396" t="n">
        <v>377.930056710775</v>
      </c>
      <c r="G1396">
        <f>2*SQRT(F1396/PI())</f>
        <v/>
      </c>
      <c r="H1396" t="n">
        <v>73.05408052776171</v>
      </c>
      <c r="I1396" t="n">
        <v>573</v>
      </c>
      <c r="J1396" t="n">
        <v>382</v>
      </c>
      <c r="K1396" t="n">
        <v>370.3714555765595</v>
      </c>
      <c r="L1396" t="n">
        <v>385.4886578449905</v>
      </c>
      <c r="M1396">
        <f>2*SQRT(K1396/PI())</f>
        <v/>
      </c>
      <c r="N1396">
        <f>2*SQRT(L1396/PI())</f>
        <v/>
      </c>
      <c r="O1396" t="inlineStr">
        <is>
          <t>32(1)-P01</t>
        </is>
      </c>
      <c r="P1396" t="inlineStr">
        <is>
          <t>是</t>
        </is>
      </c>
      <c r="Q1396" t="inlineStr">
        <is>
          <t>auto_pipeline;review_png_green</t>
        </is>
      </c>
      <c r="R1396" t="inlineStr">
        <is>
          <t>样品32</t>
        </is>
      </c>
    </row>
    <row r="1397">
      <c r="A1397" t="n">
        <v>1396</v>
      </c>
      <c r="B1397" t="inlineStr">
        <is>
          <t>32 (2).tif</t>
        </is>
      </c>
      <c r="C1397" t="inlineStr">
        <is>
          <t>32(2)-V01</t>
        </is>
      </c>
      <c r="D1397" t="n">
        <v>1</v>
      </c>
      <c r="E1397" t="inlineStr">
        <is>
          <t>primary</t>
        </is>
      </c>
      <c r="F1397" t="n">
        <v>616.6824196597354</v>
      </c>
      <c r="G1397">
        <f>2*SQRT(F1397/PI())</f>
        <v/>
      </c>
      <c r="H1397" t="n">
        <v>93.07218059249546</v>
      </c>
      <c r="I1397" t="n">
        <v>475</v>
      </c>
      <c r="J1397" t="n">
        <v>428</v>
      </c>
      <c r="K1397" t="n">
        <v>604.3487712665407</v>
      </c>
      <c r="L1397" t="n">
        <v>629.0160680529301</v>
      </c>
      <c r="M1397">
        <f>2*SQRT(K1397/PI())</f>
        <v/>
      </c>
      <c r="N1397">
        <f>2*SQRT(L1397/PI())</f>
        <v/>
      </c>
      <c r="O1397" t="inlineStr">
        <is>
          <t>32(2)-P01</t>
        </is>
      </c>
      <c r="P1397" t="inlineStr">
        <is>
          <t>是</t>
        </is>
      </c>
      <c r="Q1397" t="inlineStr">
        <is>
          <t>auto_pipeline;review_png_green</t>
        </is>
      </c>
      <c r="R1397" t="inlineStr">
        <is>
          <t>样品32</t>
        </is>
      </c>
    </row>
    <row r="1398">
      <c r="A1398" t="n">
        <v>1397</v>
      </c>
      <c r="B1398" t="inlineStr">
        <is>
          <t>32 (2).tif</t>
        </is>
      </c>
      <c r="C1398" t="inlineStr">
        <is>
          <t>32(2)-V02</t>
        </is>
      </c>
      <c r="D1398" t="n">
        <v>2</v>
      </c>
      <c r="E1398" t="inlineStr">
        <is>
          <t>primary</t>
        </is>
      </c>
      <c r="F1398" t="n">
        <v>586.3894139886578</v>
      </c>
      <c r="G1398">
        <f>2*SQRT(F1398/PI())</f>
        <v/>
      </c>
      <c r="H1398" t="n">
        <v>90.71817470633465</v>
      </c>
      <c r="I1398" t="n">
        <v>582</v>
      </c>
      <c r="J1398" t="n">
        <v>349</v>
      </c>
      <c r="K1398" t="n">
        <v>574.6616257088846</v>
      </c>
      <c r="L1398" t="n">
        <v>598.117202268431</v>
      </c>
      <c r="M1398">
        <f>2*SQRT(K1398/PI())</f>
        <v/>
      </c>
      <c r="N1398">
        <f>2*SQRT(L1398/PI())</f>
        <v/>
      </c>
      <c r="O1398" t="inlineStr">
        <is>
          <t>32(2)-P01</t>
        </is>
      </c>
      <c r="P1398" t="inlineStr">
        <is>
          <t>是</t>
        </is>
      </c>
      <c r="Q1398" t="inlineStr">
        <is>
          <t>auto_pipeline;review_png_green</t>
        </is>
      </c>
      <c r="R1398" t="inlineStr">
        <is>
          <t>样品32</t>
        </is>
      </c>
    </row>
    <row r="1399">
      <c r="A1399" t="n">
        <v>1398</v>
      </c>
      <c r="B1399" t="inlineStr">
        <is>
          <t>32 (2).tif</t>
        </is>
      </c>
      <c r="C1399" t="inlineStr">
        <is>
          <t>32(2)-V03</t>
        </is>
      </c>
      <c r="D1399" t="n">
        <v>3</v>
      </c>
      <c r="E1399" t="inlineStr">
        <is>
          <t>primary</t>
        </is>
      </c>
      <c r="F1399" t="n">
        <v>440.0519848771266</v>
      </c>
      <c r="G1399">
        <f>2*SQRT(F1399/PI())</f>
        <v/>
      </c>
      <c r="H1399" t="n">
        <v>80.96381443998088</v>
      </c>
      <c r="I1399" t="n">
        <v>327</v>
      </c>
      <c r="J1399" t="n">
        <v>68</v>
      </c>
      <c r="K1399" t="n">
        <v>431.2509451795841</v>
      </c>
      <c r="L1399" t="n">
        <v>448.8530245746692</v>
      </c>
      <c r="M1399">
        <f>2*SQRT(K1399/PI())</f>
        <v/>
      </c>
      <c r="N1399">
        <f>2*SQRT(L1399/PI())</f>
        <v/>
      </c>
      <c r="P1399" t="inlineStr">
        <is>
          <t>是</t>
        </is>
      </c>
      <c r="Q1399" t="inlineStr">
        <is>
          <t>auto_pipeline;review_png_green</t>
        </is>
      </c>
      <c r="R1399" t="inlineStr">
        <is>
          <t>样品32</t>
        </is>
      </c>
    </row>
    <row r="1400">
      <c r="A1400" t="n">
        <v>1399</v>
      </c>
      <c r="B1400" t="inlineStr">
        <is>
          <t>32 (2).tif</t>
        </is>
      </c>
      <c r="C1400" t="inlineStr">
        <is>
          <t>32(2)-V04</t>
        </is>
      </c>
      <c r="D1400" t="n">
        <v>4</v>
      </c>
      <c r="E1400" t="inlineStr">
        <is>
          <t>primary</t>
        </is>
      </c>
      <c r="F1400" t="n">
        <v>164.0831758034026</v>
      </c>
      <c r="G1400">
        <f>2*SQRT(F1400/PI())</f>
        <v/>
      </c>
      <c r="H1400" t="n">
        <v>59.24653296885283</v>
      </c>
      <c r="I1400" t="n">
        <v>168</v>
      </c>
      <c r="J1400" t="n">
        <v>407</v>
      </c>
      <c r="K1400" t="n">
        <v>160.8015122873346</v>
      </c>
      <c r="L1400" t="n">
        <v>167.3648393194707</v>
      </c>
      <c r="M1400">
        <f>2*SQRT(K1400/PI())</f>
        <v/>
      </c>
      <c r="N1400">
        <f>2*SQRT(L1400/PI())</f>
        <v/>
      </c>
      <c r="P1400" t="inlineStr">
        <is>
          <t>是</t>
        </is>
      </c>
      <c r="Q1400" t="inlineStr">
        <is>
          <t>auto_pipeline;review_png_green</t>
        </is>
      </c>
      <c r="R1400" t="inlineStr">
        <is>
          <t>样品32</t>
        </is>
      </c>
    </row>
    <row r="1401">
      <c r="A1401" t="n">
        <v>1400</v>
      </c>
      <c r="B1401" t="inlineStr">
        <is>
          <t>32 (2).tif</t>
        </is>
      </c>
      <c r="C1401" t="inlineStr">
        <is>
          <t>32(2)-V05</t>
        </is>
      </c>
      <c r="D1401" t="n">
        <v>5</v>
      </c>
      <c r="E1401" t="inlineStr">
        <is>
          <t>primary</t>
        </is>
      </c>
      <c r="F1401" t="n">
        <v>148.5822306238185</v>
      </c>
      <c r="G1401">
        <f>2*SQRT(F1401/PI())</f>
        <v/>
      </c>
      <c r="H1401" t="n">
        <v>47.35290755396304</v>
      </c>
      <c r="I1401" t="n">
        <v>917</v>
      </c>
      <c r="J1401" t="n">
        <v>258</v>
      </c>
      <c r="K1401" t="n">
        <v>145.6105860113421</v>
      </c>
      <c r="L1401" t="n">
        <v>151.5538752362949</v>
      </c>
      <c r="M1401">
        <f>2*SQRT(K1401/PI())</f>
        <v/>
      </c>
      <c r="N1401">
        <f>2*SQRT(L1401/PI())</f>
        <v/>
      </c>
      <c r="P1401" t="inlineStr">
        <is>
          <t>是</t>
        </is>
      </c>
      <c r="Q1401" t="inlineStr">
        <is>
          <t>auto_pipeline;review_png_green</t>
        </is>
      </c>
      <c r="R1401" t="inlineStr">
        <is>
          <t>样品32</t>
        </is>
      </c>
    </row>
    <row r="1402">
      <c r="A1402" t="n">
        <v>1401</v>
      </c>
      <c r="B1402" t="inlineStr">
        <is>
          <t>32 (2).tif</t>
        </is>
      </c>
      <c r="C1402" t="inlineStr">
        <is>
          <t>32(2)-V06</t>
        </is>
      </c>
      <c r="D1402" t="n">
        <v>6</v>
      </c>
      <c r="E1402" t="inlineStr">
        <is>
          <t>primary</t>
        </is>
      </c>
      <c r="F1402" t="n">
        <v>109.6880907372401</v>
      </c>
      <c r="G1402">
        <f>2*SQRT(F1402/PI())</f>
        <v/>
      </c>
      <c r="H1402" t="n">
        <v>40.54557966149371</v>
      </c>
      <c r="I1402" t="n">
        <v>243</v>
      </c>
      <c r="J1402" t="n">
        <v>127</v>
      </c>
      <c r="K1402" t="n">
        <v>107.4943289224953</v>
      </c>
      <c r="L1402" t="n">
        <v>111.8818525519849</v>
      </c>
      <c r="M1402">
        <f>2*SQRT(K1402/PI())</f>
        <v/>
      </c>
      <c r="N1402">
        <f>2*SQRT(L1402/PI())</f>
        <v/>
      </c>
      <c r="P1402" t="inlineStr">
        <is>
          <t>是</t>
        </is>
      </c>
      <c r="Q1402" t="inlineStr">
        <is>
          <t>auto_pipeline;review_png_green</t>
        </is>
      </c>
      <c r="R1402" t="inlineStr">
        <is>
          <t>样品32</t>
        </is>
      </c>
    </row>
    <row r="1403">
      <c r="A1403" t="n">
        <v>1402</v>
      </c>
      <c r="B1403" t="inlineStr">
        <is>
          <t>32 (3).tif</t>
        </is>
      </c>
      <c r="C1403" t="inlineStr">
        <is>
          <t>32(3)-V01</t>
        </is>
      </c>
      <c r="D1403" t="n">
        <v>1</v>
      </c>
      <c r="E1403" t="inlineStr">
        <is>
          <t>primary</t>
        </is>
      </c>
      <c r="F1403" t="n">
        <v>768.3364839319471</v>
      </c>
      <c r="G1403">
        <f>2*SQRT(F1403/PI())</f>
        <v/>
      </c>
      <c r="H1403" t="n">
        <v>103.8234509592471</v>
      </c>
      <c r="I1403" t="n">
        <v>521</v>
      </c>
      <c r="J1403" t="n">
        <v>325</v>
      </c>
      <c r="K1403" t="n">
        <v>752.9697542533081</v>
      </c>
      <c r="L1403" t="n">
        <v>783.7032136105861</v>
      </c>
      <c r="M1403">
        <f>2*SQRT(K1403/PI())</f>
        <v/>
      </c>
      <c r="N1403">
        <f>2*SQRT(L1403/PI())</f>
        <v/>
      </c>
      <c r="O1403" t="inlineStr">
        <is>
          <t>32(3)-P01</t>
        </is>
      </c>
      <c r="P1403" t="inlineStr">
        <is>
          <t>是</t>
        </is>
      </c>
      <c r="Q1403" t="inlineStr">
        <is>
          <t>auto_pipeline;review_png_green</t>
        </is>
      </c>
      <c r="R1403" t="inlineStr">
        <is>
          <t>样品32</t>
        </is>
      </c>
    </row>
    <row r="1404">
      <c r="A1404" t="n">
        <v>1403</v>
      </c>
      <c r="B1404" t="inlineStr">
        <is>
          <t>32 (3).tif</t>
        </is>
      </c>
      <c r="C1404" t="inlineStr">
        <is>
          <t>32(3)-V02</t>
        </is>
      </c>
      <c r="D1404" t="n">
        <v>2</v>
      </c>
      <c r="E1404" t="inlineStr">
        <is>
          <t>primary</t>
        </is>
      </c>
      <c r="F1404" t="n">
        <v>661.3894139886578</v>
      </c>
      <c r="G1404">
        <f>2*SQRT(F1404/PI())</f>
        <v/>
      </c>
      <c r="H1404" t="n">
        <v>96.65593738141267</v>
      </c>
      <c r="I1404" t="n">
        <v>397</v>
      </c>
      <c r="J1404" t="n">
        <v>406</v>
      </c>
      <c r="K1404" t="n">
        <v>648.1616257088846</v>
      </c>
      <c r="L1404" t="n">
        <v>674.617202268431</v>
      </c>
      <c r="M1404">
        <f>2*SQRT(K1404/PI())</f>
        <v/>
      </c>
      <c r="N1404">
        <f>2*SQRT(L1404/PI())</f>
        <v/>
      </c>
      <c r="O1404" t="inlineStr">
        <is>
          <t>32(3)-P01</t>
        </is>
      </c>
      <c r="P1404" t="inlineStr">
        <is>
          <t>是</t>
        </is>
      </c>
      <c r="Q1404" t="inlineStr">
        <is>
          <t>auto_pipeline;review_png_green</t>
        </is>
      </c>
      <c r="R1404" t="inlineStr">
        <is>
          <t>样品32</t>
        </is>
      </c>
    </row>
    <row r="1405">
      <c r="A1405" t="n">
        <v>1404</v>
      </c>
      <c r="B1405" t="inlineStr">
        <is>
          <t>32 (3).tif</t>
        </is>
      </c>
      <c r="C1405" t="inlineStr">
        <is>
          <t>32(3)-V03</t>
        </is>
      </c>
      <c r="D1405" t="n">
        <v>3</v>
      </c>
      <c r="E1405" t="inlineStr">
        <is>
          <t>primary</t>
        </is>
      </c>
      <c r="F1405" t="n">
        <v>434.0737240075615</v>
      </c>
      <c r="G1405">
        <f>2*SQRT(F1405/PI())</f>
        <v/>
      </c>
      <c r="H1405" t="n">
        <v>79.96690433958302</v>
      </c>
      <c r="I1405" t="n">
        <v>821</v>
      </c>
      <c r="J1405" t="n">
        <v>76</v>
      </c>
      <c r="K1405" t="n">
        <v>425.3922495274102</v>
      </c>
      <c r="L1405" t="n">
        <v>442.7551984877127</v>
      </c>
      <c r="M1405">
        <f>2*SQRT(K1405/PI())</f>
        <v/>
      </c>
      <c r="N1405">
        <f>2*SQRT(L1405/PI())</f>
        <v/>
      </c>
      <c r="P1405" t="inlineStr">
        <is>
          <t>是</t>
        </is>
      </c>
      <c r="Q1405" t="inlineStr">
        <is>
          <t>auto_pipeline;review_png_green</t>
        </is>
      </c>
      <c r="R1405" t="inlineStr">
        <is>
          <t>样品32</t>
        </is>
      </c>
    </row>
    <row r="1406">
      <c r="A1406" t="n">
        <v>1405</v>
      </c>
      <c r="B1406" t="inlineStr">
        <is>
          <t>32 (3).tif</t>
        </is>
      </c>
      <c r="C1406" t="inlineStr">
        <is>
          <t>32(3)-V04</t>
        </is>
      </c>
      <c r="D1406" t="n">
        <v>4</v>
      </c>
      <c r="E1406" t="inlineStr">
        <is>
          <t>primary</t>
        </is>
      </c>
      <c r="F1406" t="n">
        <v>160.3969754253308</v>
      </c>
      <c r="G1406">
        <f>2*SQRT(F1406/PI())</f>
        <v/>
      </c>
      <c r="H1406" t="n">
        <v>60.58177979096122</v>
      </c>
      <c r="I1406" t="n">
        <v>661</v>
      </c>
      <c r="J1406" t="n">
        <v>416</v>
      </c>
      <c r="K1406" t="n">
        <v>157.1890359168242</v>
      </c>
      <c r="L1406" t="n">
        <v>163.6049149338374</v>
      </c>
      <c r="M1406">
        <f>2*SQRT(K1406/PI())</f>
        <v/>
      </c>
      <c r="N1406">
        <f>2*SQRT(L1406/PI())</f>
        <v/>
      </c>
      <c r="P1406" t="inlineStr">
        <is>
          <t>是</t>
        </is>
      </c>
      <c r="Q1406" t="inlineStr">
        <is>
          <t>auto_pipeline;review_png_green</t>
        </is>
      </c>
      <c r="R1406" t="inlineStr">
        <is>
          <t>样品32</t>
        </is>
      </c>
    </row>
    <row r="1407">
      <c r="A1407" t="n">
        <v>1406</v>
      </c>
      <c r="B1407" t="inlineStr">
        <is>
          <t>32 (3).tif</t>
        </is>
      </c>
      <c r="C1407" t="inlineStr">
        <is>
          <t>32(3)-V05</t>
        </is>
      </c>
      <c r="D1407" t="n">
        <v>5</v>
      </c>
      <c r="E1407" t="inlineStr">
        <is>
          <t>primary</t>
        </is>
      </c>
      <c r="F1407" t="n">
        <v>109.4045368620038</v>
      </c>
      <c r="G1407">
        <f>2*SQRT(F1407/PI())</f>
        <v/>
      </c>
      <c r="H1407" t="n">
        <v>47.65129524728526</v>
      </c>
      <c r="I1407" t="n">
        <v>176</v>
      </c>
      <c r="J1407" t="n">
        <v>79</v>
      </c>
      <c r="K1407" t="n">
        <v>107.2164461247637</v>
      </c>
      <c r="L1407" t="n">
        <v>111.5926275992439</v>
      </c>
      <c r="M1407">
        <f>2*SQRT(K1407/PI())</f>
        <v/>
      </c>
      <c r="N1407">
        <f>2*SQRT(L1407/PI())</f>
        <v/>
      </c>
      <c r="P1407" t="inlineStr">
        <is>
          <t>是</t>
        </is>
      </c>
      <c r="Q1407" t="inlineStr">
        <is>
          <t>auto_pipeline;review_png_green</t>
        </is>
      </c>
      <c r="R1407" t="inlineStr">
        <is>
          <t>样品32</t>
        </is>
      </c>
    </row>
    <row r="1408">
      <c r="A1408" t="n">
        <v>1407</v>
      </c>
      <c r="B1408" t="inlineStr">
        <is>
          <t>32 (3).tif</t>
        </is>
      </c>
      <c r="C1408" t="inlineStr">
        <is>
          <t>32(3)-V06</t>
        </is>
      </c>
      <c r="D1408" t="n">
        <v>6</v>
      </c>
      <c r="E1408" t="inlineStr">
        <is>
          <t>primary</t>
        </is>
      </c>
      <c r="F1408" t="n">
        <v>104.5368620037807</v>
      </c>
      <c r="G1408">
        <f>2*SQRT(F1408/PI())</f>
        <v/>
      </c>
      <c r="H1408" t="n">
        <v>39.67601444410241</v>
      </c>
      <c r="I1408" t="n">
        <v>737</v>
      </c>
      <c r="J1408" t="n">
        <v>137</v>
      </c>
      <c r="K1408" t="n">
        <v>102.4461247637051</v>
      </c>
      <c r="L1408" t="n">
        <v>106.6275992438563</v>
      </c>
      <c r="M1408">
        <f>2*SQRT(K1408/PI())</f>
        <v/>
      </c>
      <c r="N1408">
        <f>2*SQRT(L1408/PI())</f>
        <v/>
      </c>
      <c r="P1408" t="inlineStr">
        <is>
          <t>是</t>
        </is>
      </c>
      <c r="Q1408" t="inlineStr">
        <is>
          <t>auto_pipeline;review_png_green</t>
        </is>
      </c>
      <c r="R1408" t="inlineStr">
        <is>
          <t>样品32</t>
        </is>
      </c>
    </row>
    <row r="1409">
      <c r="A1409" t="n">
        <v>1408</v>
      </c>
      <c r="B1409" t="inlineStr">
        <is>
          <t>32 (4).tif</t>
        </is>
      </c>
      <c r="C1409" t="inlineStr">
        <is>
          <t>32(4)-V01</t>
        </is>
      </c>
      <c r="D1409" t="n">
        <v>1</v>
      </c>
      <c r="E1409" t="inlineStr">
        <is>
          <t>primary</t>
        </is>
      </c>
      <c r="F1409" t="n">
        <v>872.7079395085066</v>
      </c>
      <c r="G1409">
        <f>2*SQRT(F1409/PI())</f>
        <v/>
      </c>
      <c r="H1409" t="n">
        <v>111.3729991861012</v>
      </c>
      <c r="I1409" t="n">
        <v>452</v>
      </c>
      <c r="J1409" t="n">
        <v>298</v>
      </c>
      <c r="K1409" t="n">
        <v>855.2537807183364</v>
      </c>
      <c r="L1409" t="n">
        <v>890.1620982986767</v>
      </c>
      <c r="M1409">
        <f>2*SQRT(K1409/PI())</f>
        <v/>
      </c>
      <c r="N1409">
        <f>2*SQRT(L1409/PI())</f>
        <v/>
      </c>
      <c r="P1409" t="inlineStr">
        <is>
          <t>是</t>
        </is>
      </c>
      <c r="Q1409" t="inlineStr">
        <is>
          <t>auto_pipeline;review_png_green</t>
        </is>
      </c>
      <c r="R1409" t="inlineStr">
        <is>
          <t>样品32</t>
        </is>
      </c>
    </row>
    <row r="1410">
      <c r="A1410" t="n">
        <v>1409</v>
      </c>
      <c r="B1410" t="inlineStr">
        <is>
          <t>32 (4).tif</t>
        </is>
      </c>
      <c r="C1410" t="inlineStr">
        <is>
          <t>32(4)-V02</t>
        </is>
      </c>
      <c r="D1410" t="n">
        <v>2</v>
      </c>
      <c r="E1410" t="inlineStr">
        <is>
          <t>primary</t>
        </is>
      </c>
      <c r="F1410" t="n">
        <v>566.7769376181475</v>
      </c>
      <c r="G1410">
        <f>2*SQRT(F1410/PI())</f>
        <v/>
      </c>
      <c r="H1410" t="n">
        <v>91.84242968973906</v>
      </c>
      <c r="I1410" t="n">
        <v>665</v>
      </c>
      <c r="J1410" t="n">
        <v>214</v>
      </c>
      <c r="K1410" t="n">
        <v>555.4413988657845</v>
      </c>
      <c r="L1410" t="n">
        <v>578.1124763705104</v>
      </c>
      <c r="M1410">
        <f>2*SQRT(K1410/PI())</f>
        <v/>
      </c>
      <c r="N1410">
        <f>2*SQRT(L1410/PI())</f>
        <v/>
      </c>
      <c r="P1410" t="inlineStr">
        <is>
          <t>是</t>
        </is>
      </c>
      <c r="Q1410" t="inlineStr">
        <is>
          <t>auto_pipeline;review_png_green</t>
        </is>
      </c>
      <c r="R1410" t="inlineStr">
        <is>
          <t>样品32</t>
        </is>
      </c>
    </row>
    <row r="1411">
      <c r="A1411" t="n">
        <v>1410</v>
      </c>
      <c r="B1411" t="inlineStr">
        <is>
          <t>32 (4).tif</t>
        </is>
      </c>
      <c r="C1411" t="inlineStr">
        <is>
          <t>32(4)-V03</t>
        </is>
      </c>
      <c r="D1411" t="n">
        <v>3</v>
      </c>
      <c r="E1411" t="inlineStr">
        <is>
          <t>primary</t>
        </is>
      </c>
      <c r="F1411" t="n">
        <v>479.6313799621928</v>
      </c>
      <c r="G1411">
        <f>2*SQRT(F1411/PI())</f>
        <v/>
      </c>
      <c r="H1411" t="n">
        <v>83.19047544313513</v>
      </c>
      <c r="I1411" t="n">
        <v>789</v>
      </c>
      <c r="J1411" t="n">
        <v>333</v>
      </c>
      <c r="K1411" t="n">
        <v>470.0387523629489</v>
      </c>
      <c r="L1411" t="n">
        <v>489.2240075614367</v>
      </c>
      <c r="M1411">
        <f>2*SQRT(K1411/PI())</f>
        <v/>
      </c>
      <c r="N1411">
        <f>2*SQRT(L1411/PI())</f>
        <v/>
      </c>
      <c r="P1411" t="inlineStr">
        <is>
          <t>是</t>
        </is>
      </c>
      <c r="Q1411" t="inlineStr">
        <is>
          <t>auto_pipeline;review_png_green</t>
        </is>
      </c>
      <c r="R1411" t="inlineStr">
        <is>
          <t>样品32</t>
        </is>
      </c>
    </row>
    <row r="1412">
      <c r="A1412" t="n">
        <v>1411</v>
      </c>
      <c r="B1412" t="inlineStr">
        <is>
          <t>32 (4).tif</t>
        </is>
      </c>
      <c r="C1412" t="inlineStr">
        <is>
          <t>32(4)-V04</t>
        </is>
      </c>
      <c r="D1412" t="n">
        <v>4</v>
      </c>
      <c r="E1412" t="inlineStr">
        <is>
          <t>primary</t>
        </is>
      </c>
      <c r="F1412" t="n">
        <v>449.054820415879</v>
      </c>
      <c r="G1412">
        <f>2*SQRT(F1412/PI())</f>
        <v/>
      </c>
      <c r="H1412" t="n">
        <v>80.83646955697432</v>
      </c>
      <c r="I1412" t="n">
        <v>68</v>
      </c>
      <c r="J1412" t="n">
        <v>284</v>
      </c>
      <c r="K1412" t="n">
        <v>440.0737240075615</v>
      </c>
      <c r="L1412" t="n">
        <v>458.0359168241966</v>
      </c>
      <c r="M1412">
        <f>2*SQRT(K1412/PI())</f>
        <v/>
      </c>
      <c r="N1412">
        <f>2*SQRT(L1412/PI())</f>
        <v/>
      </c>
      <c r="P1412" t="inlineStr">
        <is>
          <t>是</t>
        </is>
      </c>
      <c r="Q1412" t="inlineStr">
        <is>
          <t>auto_pipeline;review_png_green</t>
        </is>
      </c>
      <c r="R1412" t="inlineStr">
        <is>
          <t>样品32</t>
        </is>
      </c>
    </row>
    <row r="1413">
      <c r="A1413" t="n">
        <v>1412</v>
      </c>
      <c r="B1413" t="inlineStr">
        <is>
          <t>32 (4).tif</t>
        </is>
      </c>
      <c r="C1413" t="inlineStr">
        <is>
          <t>32(4)-V05</t>
        </is>
      </c>
      <c r="D1413" t="n">
        <v>5</v>
      </c>
      <c r="E1413" t="inlineStr">
        <is>
          <t>primary</t>
        </is>
      </c>
      <c r="F1413" t="n">
        <v>192.8638941398866</v>
      </c>
      <c r="G1413">
        <f>2*SQRT(F1413/PI())</f>
        <v/>
      </c>
      <c r="H1413" t="n">
        <v>57.63849631599758</v>
      </c>
      <c r="I1413" t="n">
        <v>173</v>
      </c>
      <c r="J1413" t="n">
        <v>369</v>
      </c>
      <c r="K1413" t="n">
        <v>189.0066162570888</v>
      </c>
      <c r="L1413" t="n">
        <v>196.7211720226843</v>
      </c>
      <c r="M1413">
        <f>2*SQRT(K1413/PI())</f>
        <v/>
      </c>
      <c r="N1413">
        <f>2*SQRT(L1413/PI())</f>
        <v/>
      </c>
      <c r="P1413" t="inlineStr">
        <is>
          <t>是</t>
        </is>
      </c>
      <c r="Q1413" t="inlineStr">
        <is>
          <t>auto_pipeline;review_png_green</t>
        </is>
      </c>
      <c r="R1413" t="inlineStr">
        <is>
          <t>样品32</t>
        </is>
      </c>
    </row>
    <row r="1414">
      <c r="A1414" t="n">
        <v>1413</v>
      </c>
      <c r="B1414" t="inlineStr">
        <is>
          <t>32 (5).tif</t>
        </is>
      </c>
      <c r="C1414" t="inlineStr">
        <is>
          <t>32(5)-V01</t>
        </is>
      </c>
      <c r="D1414" t="n">
        <v>1</v>
      </c>
      <c r="E1414" t="inlineStr">
        <is>
          <t>primary</t>
        </is>
      </c>
      <c r="F1414" t="n">
        <v>2344.966918714556</v>
      </c>
      <c r="G1414">
        <f>2*SQRT(F1414/PI())</f>
        <v/>
      </c>
      <c r="H1414" t="n">
        <v>193.4573197105657</v>
      </c>
      <c r="I1414" t="n">
        <v>753</v>
      </c>
      <c r="J1414" t="n">
        <v>315</v>
      </c>
      <c r="K1414" t="n">
        <v>2298.067580340265</v>
      </c>
      <c r="L1414" t="n">
        <v>2391.866257088847</v>
      </c>
      <c r="M1414">
        <f>2*SQRT(K1414/PI())</f>
        <v/>
      </c>
      <c r="N1414">
        <f>2*SQRT(L1414/PI())</f>
        <v/>
      </c>
      <c r="O1414" t="inlineStr">
        <is>
          <t>32(5)-P01</t>
        </is>
      </c>
      <c r="P1414" t="inlineStr">
        <is>
          <t>是</t>
        </is>
      </c>
      <c r="Q1414" t="inlineStr">
        <is>
          <t>auto_pipeline;review_png_green</t>
        </is>
      </c>
      <c r="R1414" t="inlineStr">
        <is>
          <t>样品32</t>
        </is>
      </c>
    </row>
    <row r="1415">
      <c r="A1415" t="n">
        <v>1414</v>
      </c>
      <c r="B1415" t="inlineStr">
        <is>
          <t>32 (5).tif</t>
        </is>
      </c>
      <c r="C1415" t="inlineStr">
        <is>
          <t>32(5)-V02</t>
        </is>
      </c>
      <c r="D1415" t="n">
        <v>2</v>
      </c>
      <c r="E1415" t="inlineStr">
        <is>
          <t>primary</t>
        </is>
      </c>
      <c r="F1415" t="n">
        <v>1241.682419659735</v>
      </c>
      <c r="G1415">
        <f>2*SQRT(F1415/PI())</f>
        <v/>
      </c>
      <c r="H1415" t="n">
        <v>131.8786298192066</v>
      </c>
      <c r="I1415" t="n">
        <v>528</v>
      </c>
      <c r="J1415" t="n">
        <v>477</v>
      </c>
      <c r="K1415" t="n">
        <v>1216.848771266541</v>
      </c>
      <c r="L1415" t="n">
        <v>1266.51606805293</v>
      </c>
      <c r="M1415">
        <f>2*SQRT(K1415/PI())</f>
        <v/>
      </c>
      <c r="N1415">
        <f>2*SQRT(L1415/PI())</f>
        <v/>
      </c>
      <c r="P1415" t="inlineStr">
        <is>
          <t>是</t>
        </is>
      </c>
      <c r="Q1415" t="inlineStr">
        <is>
          <t>auto_pipeline;review_png_green</t>
        </is>
      </c>
      <c r="R1415" t="inlineStr">
        <is>
          <t>样品32</t>
        </is>
      </c>
    </row>
    <row r="1416">
      <c r="A1416" t="n">
        <v>1415</v>
      </c>
      <c r="B1416" t="inlineStr">
        <is>
          <t>32 (5).tif</t>
        </is>
      </c>
      <c r="C1416" t="inlineStr">
        <is>
          <t>32(5)-V03</t>
        </is>
      </c>
      <c r="D1416" t="n">
        <v>3</v>
      </c>
      <c r="E1416" t="inlineStr">
        <is>
          <t>primary</t>
        </is>
      </c>
      <c r="F1416" t="n">
        <v>800</v>
      </c>
      <c r="G1416">
        <f>2*SQRT(F1416/PI())</f>
        <v/>
      </c>
      <c r="H1416" t="n">
        <v>105.9227670793948</v>
      </c>
      <c r="I1416" t="n">
        <v>541</v>
      </c>
      <c r="J1416" t="n">
        <v>291</v>
      </c>
      <c r="K1416" t="n">
        <v>784</v>
      </c>
      <c r="L1416" t="n">
        <v>816</v>
      </c>
      <c r="M1416">
        <f>2*SQRT(K1416/PI())</f>
        <v/>
      </c>
      <c r="N1416">
        <f>2*SQRT(L1416/PI())</f>
        <v/>
      </c>
      <c r="P1416" t="inlineStr">
        <is>
          <t>是</t>
        </is>
      </c>
      <c r="Q1416" t="inlineStr">
        <is>
          <t>auto_pipeline;review_png_green</t>
        </is>
      </c>
      <c r="R1416" t="inlineStr">
        <is>
          <t>样品32</t>
        </is>
      </c>
    </row>
    <row r="1417">
      <c r="A1417" t="n">
        <v>1416</v>
      </c>
      <c r="B1417" t="inlineStr">
        <is>
          <t>32 (5).tif</t>
        </is>
      </c>
      <c r="C1417" t="inlineStr">
        <is>
          <t>32(5)-V04</t>
        </is>
      </c>
      <c r="D1417" t="n">
        <v>4</v>
      </c>
      <c r="E1417" t="inlineStr">
        <is>
          <t>primary</t>
        </is>
      </c>
      <c r="F1417" t="n">
        <v>795.5576559546314</v>
      </c>
      <c r="G1417">
        <f>2*SQRT(F1417/PI())</f>
        <v/>
      </c>
      <c r="H1417" t="n">
        <v>107.5127036675163</v>
      </c>
      <c r="I1417" t="n">
        <v>106</v>
      </c>
      <c r="J1417" t="n">
        <v>435</v>
      </c>
      <c r="K1417" t="n">
        <v>779.6465028355387</v>
      </c>
      <c r="L1417" t="n">
        <v>811.4688090737241</v>
      </c>
      <c r="M1417">
        <f>2*SQRT(K1417/PI())</f>
        <v/>
      </c>
      <c r="N1417">
        <f>2*SQRT(L1417/PI())</f>
        <v/>
      </c>
      <c r="P1417" t="inlineStr">
        <is>
          <t>是</t>
        </is>
      </c>
      <c r="Q1417" t="inlineStr">
        <is>
          <t>auto_pipeline;review_png_green</t>
        </is>
      </c>
      <c r="R1417" t="inlineStr">
        <is>
          <t>样品32</t>
        </is>
      </c>
    </row>
    <row r="1418">
      <c r="A1418" t="n">
        <v>1417</v>
      </c>
      <c r="B1418" t="inlineStr">
        <is>
          <t>32 (5).tif</t>
        </is>
      </c>
      <c r="C1418" t="inlineStr">
        <is>
          <t>32(5)-V05</t>
        </is>
      </c>
      <c r="D1418" t="n">
        <v>5</v>
      </c>
      <c r="E1418" t="inlineStr">
        <is>
          <t>primary</t>
        </is>
      </c>
      <c r="F1418" t="n">
        <v>608.8374291115312</v>
      </c>
      <c r="G1418">
        <f>2*SQRT(F1418/PI())</f>
        <v/>
      </c>
      <c r="H1418" t="n">
        <v>96.6996353087218</v>
      </c>
      <c r="I1418" t="n">
        <v>173</v>
      </c>
      <c r="J1418" t="n">
        <v>585</v>
      </c>
      <c r="K1418" t="n">
        <v>596.6606805293005</v>
      </c>
      <c r="L1418" t="n">
        <v>621.0141776937618</v>
      </c>
      <c r="M1418">
        <f>2*SQRT(K1418/PI())</f>
        <v/>
      </c>
      <c r="N1418">
        <f>2*SQRT(L1418/PI())</f>
        <v/>
      </c>
      <c r="P1418" t="inlineStr">
        <is>
          <t>是</t>
        </is>
      </c>
      <c r="Q1418" t="inlineStr">
        <is>
          <t>auto_pipeline;review_png_green</t>
        </is>
      </c>
      <c r="R1418" t="inlineStr">
        <is>
          <t>样品32</t>
        </is>
      </c>
    </row>
    <row r="1419">
      <c r="A1419" t="n">
        <v>1418</v>
      </c>
      <c r="B1419" t="inlineStr">
        <is>
          <t>32 (5).tif</t>
        </is>
      </c>
      <c r="C1419" t="inlineStr">
        <is>
          <t>32(5)-V06</t>
        </is>
      </c>
      <c r="D1419" t="n">
        <v>6</v>
      </c>
      <c r="E1419" t="inlineStr">
        <is>
          <t>primary</t>
        </is>
      </c>
      <c r="F1419" t="n">
        <v>471.7155009451796</v>
      </c>
      <c r="G1419">
        <f>2*SQRT(F1419/PI())</f>
        <v/>
      </c>
      <c r="H1419" t="n">
        <v>81.57868989135908</v>
      </c>
      <c r="I1419" t="n">
        <v>845</v>
      </c>
      <c r="J1419" t="n">
        <v>377</v>
      </c>
      <c r="K1419" t="n">
        <v>462.281190926276</v>
      </c>
      <c r="L1419" t="n">
        <v>481.1498109640832</v>
      </c>
      <c r="M1419">
        <f>2*SQRT(K1419/PI())</f>
        <v/>
      </c>
      <c r="N1419">
        <f>2*SQRT(L1419/PI())</f>
        <v/>
      </c>
      <c r="O1419" t="inlineStr">
        <is>
          <t>32(5)-P01</t>
        </is>
      </c>
      <c r="P1419" t="inlineStr">
        <is>
          <t>是</t>
        </is>
      </c>
      <c r="Q1419" t="inlineStr">
        <is>
          <t>auto_pipeline;review_png_green</t>
        </is>
      </c>
      <c r="R1419" t="inlineStr">
        <is>
          <t>样品32</t>
        </is>
      </c>
    </row>
    <row r="1420">
      <c r="A1420" t="n">
        <v>1419</v>
      </c>
      <c r="B1420" t="inlineStr">
        <is>
          <t>32 (5).tif</t>
        </is>
      </c>
      <c r="C1420" t="inlineStr">
        <is>
          <t>32(5)-V07</t>
        </is>
      </c>
      <c r="D1420" t="n">
        <v>7</v>
      </c>
      <c r="E1420" t="inlineStr">
        <is>
          <t>primary</t>
        </is>
      </c>
      <c r="F1420" t="n">
        <v>416.5406427221172</v>
      </c>
      <c r="G1420">
        <f>2*SQRT(F1420/PI())</f>
        <v/>
      </c>
      <c r="H1420" t="n">
        <v>76.63783731667891</v>
      </c>
      <c r="I1420" t="n">
        <v>834</v>
      </c>
      <c r="J1420" t="n">
        <v>506</v>
      </c>
      <c r="K1420" t="n">
        <v>408.2098298676748</v>
      </c>
      <c r="L1420" t="n">
        <v>424.8714555765595</v>
      </c>
      <c r="M1420">
        <f>2*SQRT(K1420/PI())</f>
        <v/>
      </c>
      <c r="N1420">
        <f>2*SQRT(L1420/PI())</f>
        <v/>
      </c>
      <c r="P1420" t="inlineStr">
        <is>
          <t>是</t>
        </is>
      </c>
      <c r="Q1420" t="inlineStr">
        <is>
          <t>auto_pipeline;review_png_green</t>
        </is>
      </c>
      <c r="R1420" t="inlineStr">
        <is>
          <t>样品32</t>
        </is>
      </c>
    </row>
    <row r="1421">
      <c r="A1421" t="n">
        <v>1420</v>
      </c>
      <c r="B1421" t="inlineStr">
        <is>
          <t>32 (5).tif</t>
        </is>
      </c>
      <c r="C1421" t="inlineStr">
        <is>
          <t>32(5)-V08</t>
        </is>
      </c>
      <c r="D1421" t="n">
        <v>8</v>
      </c>
      <c r="E1421" t="inlineStr">
        <is>
          <t>primary</t>
        </is>
      </c>
      <c r="F1421" t="n">
        <v>157.65595463138</v>
      </c>
      <c r="G1421">
        <f>2*SQRT(F1421/PI())</f>
        <v/>
      </c>
      <c r="H1421" t="n">
        <v>48.32796869070634</v>
      </c>
      <c r="I1421" t="n">
        <v>74</v>
      </c>
      <c r="J1421" t="n">
        <v>313</v>
      </c>
      <c r="K1421" t="n">
        <v>154.5028355387524</v>
      </c>
      <c r="L1421" t="n">
        <v>160.8090737240076</v>
      </c>
      <c r="M1421">
        <f>2*SQRT(K1421/PI())</f>
        <v/>
      </c>
      <c r="N1421">
        <f>2*SQRT(L1421/PI())</f>
        <v/>
      </c>
      <c r="P1421" t="inlineStr">
        <is>
          <t>是</t>
        </is>
      </c>
      <c r="Q1421" t="inlineStr">
        <is>
          <t>auto_pipeline;review_png_green</t>
        </is>
      </c>
      <c r="R1421" t="inlineStr">
        <is>
          <t>样品32</t>
        </is>
      </c>
    </row>
    <row r="1422">
      <c r="A1422" t="n">
        <v>1421</v>
      </c>
      <c r="B1422" t="inlineStr">
        <is>
          <t>32 (5).tif</t>
        </is>
      </c>
      <c r="C1422" t="inlineStr">
        <is>
          <t>32(5)-V09</t>
        </is>
      </c>
      <c r="D1422" t="n">
        <v>9</v>
      </c>
      <c r="E1422" t="inlineStr">
        <is>
          <t>primary</t>
        </is>
      </c>
      <c r="F1422" t="n">
        <v>137.3109640831758</v>
      </c>
      <c r="G1422">
        <f>2*SQRT(F1422/PI())</f>
        <v/>
      </c>
      <c r="H1422" t="n">
        <v>44.25668133341748</v>
      </c>
      <c r="I1422" t="n">
        <v>834</v>
      </c>
      <c r="J1422" t="n">
        <v>609</v>
      </c>
      <c r="K1422" t="n">
        <v>134.5647448015123</v>
      </c>
      <c r="L1422" t="n">
        <v>140.0571833648393</v>
      </c>
      <c r="M1422">
        <f>2*SQRT(K1422/PI())</f>
        <v/>
      </c>
      <c r="N1422">
        <f>2*SQRT(L1422/PI())</f>
        <v/>
      </c>
      <c r="P1422" t="inlineStr">
        <is>
          <t>是</t>
        </is>
      </c>
      <c r="Q1422" t="inlineStr">
        <is>
          <t>auto_pipeline;review_png_green</t>
        </is>
      </c>
      <c r="R1422" t="inlineStr">
        <is>
          <t>样品32</t>
        </is>
      </c>
    </row>
    <row r="1423">
      <c r="A1423" t="n">
        <v>1422</v>
      </c>
      <c r="B1423" t="inlineStr">
        <is>
          <t>32 (6).tif</t>
        </is>
      </c>
      <c r="C1423" t="inlineStr">
        <is>
          <t>32(6)-V01</t>
        </is>
      </c>
      <c r="D1423" t="n">
        <v>1</v>
      </c>
      <c r="E1423" t="inlineStr">
        <is>
          <t>primary</t>
        </is>
      </c>
      <c r="F1423" t="n">
        <v>541.7060491493384</v>
      </c>
      <c r="G1423">
        <f>2*SQRT(F1423/PI())</f>
        <v/>
      </c>
      <c r="H1423" t="n">
        <v>87.26176280042399</v>
      </c>
      <c r="I1423" t="n">
        <v>477</v>
      </c>
      <c r="J1423" t="n">
        <v>438</v>
      </c>
      <c r="K1423" t="n">
        <v>530.8719281663516</v>
      </c>
      <c r="L1423" t="n">
        <v>552.5401701323251</v>
      </c>
      <c r="M1423">
        <f>2*SQRT(K1423/PI())</f>
        <v/>
      </c>
      <c r="N1423">
        <f>2*SQRT(L1423/PI())</f>
        <v/>
      </c>
      <c r="O1423" t="inlineStr">
        <is>
          <t>32(6)-P01</t>
        </is>
      </c>
      <c r="P1423" t="inlineStr">
        <is>
          <t>是</t>
        </is>
      </c>
      <c r="Q1423" t="inlineStr">
        <is>
          <t>auto_pipeline;review_png_green</t>
        </is>
      </c>
      <c r="R1423" t="inlineStr">
        <is>
          <t>样品32</t>
        </is>
      </c>
    </row>
    <row r="1424">
      <c r="A1424" t="n">
        <v>1423</v>
      </c>
      <c r="B1424" t="inlineStr">
        <is>
          <t>32 (6).tif</t>
        </is>
      </c>
      <c r="C1424" t="inlineStr">
        <is>
          <t>32(6)-V02</t>
        </is>
      </c>
      <c r="D1424" t="n">
        <v>2</v>
      </c>
      <c r="E1424" t="inlineStr">
        <is>
          <t>primary</t>
        </is>
      </c>
      <c r="F1424" t="n">
        <v>538.0198487712665</v>
      </c>
      <c r="G1424">
        <f>2*SQRT(F1424/PI())</f>
        <v/>
      </c>
      <c r="H1424" t="n">
        <v>89.7212646059368</v>
      </c>
      <c r="I1424" t="n">
        <v>544</v>
      </c>
      <c r="J1424" t="n">
        <v>307</v>
      </c>
      <c r="K1424" t="n">
        <v>527.2594517958412</v>
      </c>
      <c r="L1424" t="n">
        <v>548.7802457466919</v>
      </c>
      <c r="M1424">
        <f>2*SQRT(K1424/PI())</f>
        <v/>
      </c>
      <c r="N1424">
        <f>2*SQRT(L1424/PI())</f>
        <v/>
      </c>
      <c r="O1424" t="inlineStr">
        <is>
          <t>32(6)-P01</t>
        </is>
      </c>
      <c r="P1424" t="inlineStr">
        <is>
          <t>是</t>
        </is>
      </c>
      <c r="Q1424" t="inlineStr">
        <is>
          <t>auto_pipeline;review_png_green</t>
        </is>
      </c>
      <c r="R1424" t="inlineStr">
        <is>
          <t>样品32</t>
        </is>
      </c>
    </row>
    <row r="1425">
      <c r="A1425" t="n">
        <v>1424</v>
      </c>
      <c r="B1425" t="inlineStr">
        <is>
          <t>32 (6).tif</t>
        </is>
      </c>
      <c r="C1425" t="inlineStr">
        <is>
          <t>32(6)-V03</t>
        </is>
      </c>
      <c r="D1425" t="n">
        <v>3</v>
      </c>
      <c r="E1425" t="inlineStr">
        <is>
          <t>primary</t>
        </is>
      </c>
      <c r="F1425" t="n">
        <v>258.601134215501</v>
      </c>
      <c r="G1425">
        <f>2*SQRT(F1425/PI())</f>
        <v/>
      </c>
      <c r="H1425" t="n">
        <v>64.61311811986177</v>
      </c>
      <c r="I1425" t="n">
        <v>621</v>
      </c>
      <c r="J1425" t="n">
        <v>57</v>
      </c>
      <c r="K1425" t="n">
        <v>253.4291115311909</v>
      </c>
      <c r="L1425" t="n">
        <v>263.773156899811</v>
      </c>
      <c r="M1425">
        <f>2*SQRT(K1425/PI())</f>
        <v/>
      </c>
      <c r="N1425">
        <f>2*SQRT(L1425/PI())</f>
        <v/>
      </c>
      <c r="P1425" t="inlineStr">
        <is>
          <t>是</t>
        </is>
      </c>
      <c r="Q1425" t="inlineStr">
        <is>
          <t>auto_pipeline;review_png_green</t>
        </is>
      </c>
      <c r="R1425" t="inlineStr">
        <is>
          <t>样品32</t>
        </is>
      </c>
    </row>
    <row r="1426">
      <c r="A1426" t="n">
        <v>1425</v>
      </c>
      <c r="B1426" t="inlineStr">
        <is>
          <t>32 (7).tif</t>
        </is>
      </c>
      <c r="C1426" t="inlineStr">
        <is>
          <t>32(7)-V01</t>
        </is>
      </c>
      <c r="D1426" t="n">
        <v>1</v>
      </c>
      <c r="E1426" t="inlineStr">
        <is>
          <t>primary</t>
        </is>
      </c>
      <c r="F1426" t="n">
        <v>837.429111531191</v>
      </c>
      <c r="G1426">
        <f>2*SQRT(F1426/PI())</f>
        <v/>
      </c>
      <c r="H1426" t="n">
        <v>109.1463381829469</v>
      </c>
      <c r="I1426" t="n">
        <v>801</v>
      </c>
      <c r="J1426" t="n">
        <v>616</v>
      </c>
      <c r="K1426" t="n">
        <v>820.6805293005672</v>
      </c>
      <c r="L1426" t="n">
        <v>854.1776937618148</v>
      </c>
      <c r="M1426">
        <f>2*SQRT(K1426/PI())</f>
        <v/>
      </c>
      <c r="N1426">
        <f>2*SQRT(L1426/PI())</f>
        <v/>
      </c>
      <c r="P1426" t="inlineStr">
        <is>
          <t>是</t>
        </is>
      </c>
      <c r="Q1426" t="inlineStr">
        <is>
          <t>auto_pipeline;review_png_green</t>
        </is>
      </c>
      <c r="R1426" t="inlineStr">
        <is>
          <t>样品32</t>
        </is>
      </c>
    </row>
    <row r="1427">
      <c r="A1427" t="n">
        <v>1426</v>
      </c>
      <c r="B1427" t="inlineStr">
        <is>
          <t>32 (7).tif</t>
        </is>
      </c>
      <c r="C1427" t="inlineStr">
        <is>
          <t>32(7)-V02</t>
        </is>
      </c>
      <c r="D1427" t="n">
        <v>2</v>
      </c>
      <c r="E1427" t="inlineStr">
        <is>
          <t>primary</t>
        </is>
      </c>
      <c r="F1427" t="n">
        <v>715.31190926276</v>
      </c>
      <c r="G1427">
        <f>2*SQRT(F1427/PI())</f>
        <v/>
      </c>
      <c r="H1427" t="n">
        <v>100.494383936343</v>
      </c>
      <c r="I1427" t="n">
        <v>534</v>
      </c>
      <c r="J1427" t="n">
        <v>386</v>
      </c>
      <c r="K1427" t="n">
        <v>701.0056710775048</v>
      </c>
      <c r="L1427" t="n">
        <v>729.6181474480152</v>
      </c>
      <c r="M1427">
        <f>2*SQRT(K1427/PI())</f>
        <v/>
      </c>
      <c r="N1427">
        <f>2*SQRT(L1427/PI())</f>
        <v/>
      </c>
      <c r="P1427" t="inlineStr">
        <is>
          <t>是</t>
        </is>
      </c>
      <c r="Q1427" t="inlineStr">
        <is>
          <t>auto_pipeline;review_png_green</t>
        </is>
      </c>
      <c r="R1427" t="inlineStr">
        <is>
          <t>样品32</t>
        </is>
      </c>
    </row>
    <row r="1428">
      <c r="A1428" t="n">
        <v>1427</v>
      </c>
      <c r="B1428" t="inlineStr">
        <is>
          <t>32 (8).tif</t>
        </is>
      </c>
      <c r="C1428" t="inlineStr">
        <is>
          <t>32(8)-V01</t>
        </is>
      </c>
      <c r="D1428" t="n">
        <v>1</v>
      </c>
      <c r="E1428" t="inlineStr">
        <is>
          <t>primary</t>
        </is>
      </c>
      <c r="F1428" t="n">
        <v>1007.703213610586</v>
      </c>
      <c r="G1428">
        <f>2*SQRT(F1428/PI())</f>
        <v/>
      </c>
      <c r="H1428" t="n">
        <v>119.2827330983203</v>
      </c>
      <c r="I1428" t="n">
        <v>343</v>
      </c>
      <c r="J1428" t="n">
        <v>365</v>
      </c>
      <c r="K1428" t="n">
        <v>987.5491493383743</v>
      </c>
      <c r="L1428" t="n">
        <v>1027.857277882798</v>
      </c>
      <c r="M1428">
        <f>2*SQRT(K1428/PI())</f>
        <v/>
      </c>
      <c r="N1428">
        <f>2*SQRT(L1428/PI())</f>
        <v/>
      </c>
      <c r="O1428" t="inlineStr">
        <is>
          <t>32(8)-P01</t>
        </is>
      </c>
      <c r="P1428" t="inlineStr">
        <is>
          <t>是</t>
        </is>
      </c>
      <c r="Q1428" t="inlineStr">
        <is>
          <t>auto_pipeline;review_png_green</t>
        </is>
      </c>
      <c r="R1428" t="inlineStr">
        <is>
          <t>样品32</t>
        </is>
      </c>
    </row>
    <row r="1429">
      <c r="A1429" t="n">
        <v>1428</v>
      </c>
      <c r="B1429" t="inlineStr">
        <is>
          <t>32 (8).tif</t>
        </is>
      </c>
      <c r="C1429" t="inlineStr">
        <is>
          <t>32(8)-V02</t>
        </is>
      </c>
      <c r="D1429" t="n">
        <v>2</v>
      </c>
      <c r="E1429" t="inlineStr">
        <is>
          <t>primary</t>
        </is>
      </c>
      <c r="F1429" t="n">
        <v>815.3355387523629</v>
      </c>
      <c r="G1429">
        <f>2*SQRT(F1429/PI())</f>
        <v/>
      </c>
      <c r="H1429" t="n">
        <v>107.789242397184</v>
      </c>
      <c r="I1429" t="n">
        <v>696</v>
      </c>
      <c r="J1429" t="n">
        <v>516</v>
      </c>
      <c r="K1429" t="n">
        <v>799.0288279773157</v>
      </c>
      <c r="L1429" t="n">
        <v>831.6422495274102</v>
      </c>
      <c r="M1429">
        <f>2*SQRT(K1429/PI())</f>
        <v/>
      </c>
      <c r="N1429">
        <f>2*SQRT(L1429/PI())</f>
        <v/>
      </c>
      <c r="P1429" t="inlineStr">
        <is>
          <t>是</t>
        </is>
      </c>
      <c r="Q1429" t="inlineStr">
        <is>
          <t>auto_pipeline;review_png_green</t>
        </is>
      </c>
      <c r="R1429" t="inlineStr">
        <is>
          <t>样品32</t>
        </is>
      </c>
    </row>
    <row r="1430">
      <c r="A1430" t="n">
        <v>1429</v>
      </c>
      <c r="B1430" t="inlineStr">
        <is>
          <t>32 (8).tif</t>
        </is>
      </c>
      <c r="C1430" t="inlineStr">
        <is>
          <t>32(8)-V03</t>
        </is>
      </c>
      <c r="D1430" t="n">
        <v>3</v>
      </c>
      <c r="E1430" t="inlineStr">
        <is>
          <t>primary</t>
        </is>
      </c>
      <c r="F1430" t="n">
        <v>513.1143667296786</v>
      </c>
      <c r="G1430">
        <f>2*SQRT(F1430/PI())</f>
        <v/>
      </c>
      <c r="H1430" t="n">
        <v>85.77732213165449</v>
      </c>
      <c r="I1430" t="n">
        <v>495</v>
      </c>
      <c r="J1430" t="n">
        <v>424</v>
      </c>
      <c r="K1430" t="n">
        <v>502.8520793950851</v>
      </c>
      <c r="L1430" t="n">
        <v>523.3766540642722</v>
      </c>
      <c r="M1430">
        <f>2*SQRT(K1430/PI())</f>
        <v/>
      </c>
      <c r="N1430">
        <f>2*SQRT(L1430/PI())</f>
        <v/>
      </c>
      <c r="O1430" t="inlineStr">
        <is>
          <t>32(8)-P01</t>
        </is>
      </c>
      <c r="P1430" t="inlineStr">
        <is>
          <t>是</t>
        </is>
      </c>
      <c r="Q1430" t="inlineStr">
        <is>
          <t>auto_pipeline;review_png_green</t>
        </is>
      </c>
      <c r="R1430" t="inlineStr">
        <is>
          <t>样品32</t>
        </is>
      </c>
    </row>
    <row r="1431">
      <c r="A1431" t="n">
        <v>1430</v>
      </c>
      <c r="B1431" t="inlineStr">
        <is>
          <t>33 (1).tif</t>
        </is>
      </c>
      <c r="C1431" t="inlineStr">
        <is>
          <t>33(1)-V01</t>
        </is>
      </c>
      <c r="D1431" t="n">
        <v>1</v>
      </c>
      <c r="E1431" t="inlineStr">
        <is>
          <t>primary</t>
        </is>
      </c>
      <c r="F1431" t="n">
        <v>1563.634215500945</v>
      </c>
      <c r="G1431">
        <f>2*SQRT(F1431/PI())</f>
        <v/>
      </c>
      <c r="H1431" t="n">
        <v>149.9247586467992</v>
      </c>
      <c r="I1431" t="n">
        <v>583</v>
      </c>
      <c r="J1431" t="n">
        <v>375</v>
      </c>
      <c r="K1431" t="n">
        <v>1532.361531190926</v>
      </c>
      <c r="L1431" t="n">
        <v>1594.906899810964</v>
      </c>
      <c r="M1431">
        <f>2*SQRT(K1431/PI())</f>
        <v/>
      </c>
      <c r="N1431">
        <f>2*SQRT(L1431/PI())</f>
        <v/>
      </c>
      <c r="O1431" t="inlineStr">
        <is>
          <t>33(1)-P01</t>
        </is>
      </c>
      <c r="P1431" t="inlineStr">
        <is>
          <t>是</t>
        </is>
      </c>
      <c r="Q1431" t="inlineStr">
        <is>
          <t>auto_pipeline;review_png_green</t>
        </is>
      </c>
      <c r="R1431" t="inlineStr">
        <is>
          <t>样品33</t>
        </is>
      </c>
    </row>
    <row r="1432">
      <c r="A1432" t="n">
        <v>1431</v>
      </c>
      <c r="B1432" t="inlineStr">
        <is>
          <t>33 (1).tif</t>
        </is>
      </c>
      <c r="C1432" t="inlineStr">
        <is>
          <t>33(1)-V02</t>
        </is>
      </c>
      <c r="D1432" t="n">
        <v>2</v>
      </c>
      <c r="E1432" t="inlineStr">
        <is>
          <t>primary</t>
        </is>
      </c>
      <c r="F1432" t="n">
        <v>1325.897920604915</v>
      </c>
      <c r="G1432">
        <f>2*SQRT(F1432/PI())</f>
        <v/>
      </c>
      <c r="H1432" t="n">
        <v>138.1765781796497</v>
      </c>
      <c r="I1432" t="n">
        <v>349</v>
      </c>
      <c r="J1432" t="n">
        <v>345</v>
      </c>
      <c r="K1432" t="n">
        <v>1299.379962192817</v>
      </c>
      <c r="L1432" t="n">
        <v>1352.415879017013</v>
      </c>
      <c r="M1432">
        <f>2*SQRT(K1432/PI())</f>
        <v/>
      </c>
      <c r="N1432">
        <f>2*SQRT(L1432/PI())</f>
        <v/>
      </c>
      <c r="O1432" t="inlineStr">
        <is>
          <t>33(1)-P01</t>
        </is>
      </c>
      <c r="P1432" t="inlineStr">
        <is>
          <t>是</t>
        </is>
      </c>
      <c r="Q1432" t="inlineStr">
        <is>
          <t>auto_pipeline;review_png_green</t>
        </is>
      </c>
      <c r="R1432" t="inlineStr">
        <is>
          <t>样品33</t>
        </is>
      </c>
    </row>
    <row r="1433">
      <c r="A1433" t="n">
        <v>1432</v>
      </c>
      <c r="B1433" t="inlineStr">
        <is>
          <t>33 (1).tif</t>
        </is>
      </c>
      <c r="C1433" t="inlineStr">
        <is>
          <t>33(1)-V03</t>
        </is>
      </c>
      <c r="D1433" t="n">
        <v>3</v>
      </c>
      <c r="E1433" t="inlineStr">
        <is>
          <t>primary</t>
        </is>
      </c>
      <c r="F1433" t="n">
        <v>786.2712665406427</v>
      </c>
      <c r="G1433">
        <f>2*SQRT(F1433/PI())</f>
        <v/>
      </c>
      <c r="H1433" t="n">
        <v>106.6649874137795</v>
      </c>
      <c r="I1433" t="n">
        <v>896</v>
      </c>
      <c r="J1433" t="n">
        <v>517</v>
      </c>
      <c r="K1433" t="n">
        <v>770.5458412098299</v>
      </c>
      <c r="L1433" t="n">
        <v>801.9966918714556</v>
      </c>
      <c r="M1433">
        <f>2*SQRT(K1433/PI())</f>
        <v/>
      </c>
      <c r="N1433">
        <f>2*SQRT(L1433/PI())</f>
        <v/>
      </c>
      <c r="P1433" t="inlineStr">
        <is>
          <t>是</t>
        </is>
      </c>
      <c r="Q1433" t="inlineStr">
        <is>
          <t>auto_pipeline;review_png_green</t>
        </is>
      </c>
      <c r="R1433" t="inlineStr">
        <is>
          <t>样品33</t>
        </is>
      </c>
    </row>
    <row r="1434">
      <c r="A1434" t="n">
        <v>1433</v>
      </c>
      <c r="B1434" t="inlineStr">
        <is>
          <t>33 (1).tif</t>
        </is>
      </c>
      <c r="C1434" t="inlineStr">
        <is>
          <t>33(1)-V04</t>
        </is>
      </c>
      <c r="D1434" t="n">
        <v>4</v>
      </c>
      <c r="E1434" t="inlineStr">
        <is>
          <t>primary</t>
        </is>
      </c>
      <c r="F1434" t="n">
        <v>287.5708884688091</v>
      </c>
      <c r="G1434">
        <f>2*SQRT(F1434/PI())</f>
        <v/>
      </c>
      <c r="H1434" t="n">
        <v>63.53256106376648</v>
      </c>
      <c r="I1434" t="n">
        <v>106</v>
      </c>
      <c r="J1434" t="n">
        <v>236</v>
      </c>
      <c r="K1434" t="n">
        <v>281.8194706994329</v>
      </c>
      <c r="L1434" t="n">
        <v>293.3223062381853</v>
      </c>
      <c r="M1434">
        <f>2*SQRT(K1434/PI())</f>
        <v/>
      </c>
      <c r="N1434">
        <f>2*SQRT(L1434/PI())</f>
        <v/>
      </c>
      <c r="P1434" t="inlineStr">
        <is>
          <t>是</t>
        </is>
      </c>
      <c r="Q1434" t="inlineStr">
        <is>
          <t>auto_pipeline;review_png_green</t>
        </is>
      </c>
      <c r="R1434" t="inlineStr">
        <is>
          <t>样品33</t>
        </is>
      </c>
    </row>
    <row r="1435">
      <c r="A1435" t="n">
        <v>1434</v>
      </c>
      <c r="B1435" t="inlineStr">
        <is>
          <t>33 (1).tif</t>
        </is>
      </c>
      <c r="C1435" t="inlineStr">
        <is>
          <t>33(1)-V05</t>
        </is>
      </c>
      <c r="D1435" t="n">
        <v>5</v>
      </c>
      <c r="E1435" t="inlineStr">
        <is>
          <t>primary</t>
        </is>
      </c>
      <c r="F1435" t="n">
        <v>226.1342155009452</v>
      </c>
      <c r="G1435">
        <f>2*SQRT(F1435/PI())</f>
        <v/>
      </c>
      <c r="H1435" t="n">
        <v>65.0606996598451</v>
      </c>
      <c r="I1435" t="n">
        <v>905</v>
      </c>
      <c r="J1435" t="n">
        <v>47</v>
      </c>
      <c r="K1435" t="n">
        <v>221.6115311909263</v>
      </c>
      <c r="L1435" t="n">
        <v>230.6568998109641</v>
      </c>
      <c r="M1435">
        <f>2*SQRT(K1435/PI())</f>
        <v/>
      </c>
      <c r="N1435">
        <f>2*SQRT(L1435/PI())</f>
        <v/>
      </c>
      <c r="P1435" t="inlineStr">
        <is>
          <t>是</t>
        </is>
      </c>
      <c r="Q1435" t="inlineStr">
        <is>
          <t>auto_pipeline;review_png_green</t>
        </is>
      </c>
      <c r="R1435" t="inlineStr">
        <is>
          <t>样品33</t>
        </is>
      </c>
    </row>
    <row r="1436">
      <c r="A1436" t="n">
        <v>1435</v>
      </c>
      <c r="B1436" t="inlineStr">
        <is>
          <t>33 (1).tif</t>
        </is>
      </c>
      <c r="C1436" t="inlineStr">
        <is>
          <t>33(1)-V06</t>
        </is>
      </c>
      <c r="D1436" t="n">
        <v>6</v>
      </c>
      <c r="E1436" t="inlineStr">
        <is>
          <t>primary</t>
        </is>
      </c>
      <c r="F1436" t="n">
        <v>156.0255198487713</v>
      </c>
      <c r="G1436">
        <f>2*SQRT(F1436/PI())</f>
        <v/>
      </c>
      <c r="H1436" t="n">
        <v>48.20062380769978</v>
      </c>
      <c r="I1436" t="n">
        <v>275</v>
      </c>
      <c r="J1436" t="n">
        <v>624</v>
      </c>
      <c r="K1436" t="n">
        <v>152.9050094517958</v>
      </c>
      <c r="L1436" t="n">
        <v>159.1460302457467</v>
      </c>
      <c r="M1436">
        <f>2*SQRT(K1436/PI())</f>
        <v/>
      </c>
      <c r="N1436">
        <f>2*SQRT(L1436/PI())</f>
        <v/>
      </c>
      <c r="P1436" t="inlineStr">
        <is>
          <t>是</t>
        </is>
      </c>
      <c r="Q1436" t="inlineStr">
        <is>
          <t>auto_pipeline;review_png_green</t>
        </is>
      </c>
      <c r="R1436" t="inlineStr">
        <is>
          <t>样品33</t>
        </is>
      </c>
    </row>
    <row r="1437">
      <c r="A1437" t="n">
        <v>1436</v>
      </c>
      <c r="B1437" t="inlineStr">
        <is>
          <t>33 (1).tif</t>
        </is>
      </c>
      <c r="C1437" t="inlineStr">
        <is>
          <t>33(1)-V07</t>
        </is>
      </c>
      <c r="D1437" t="n">
        <v>7</v>
      </c>
      <c r="E1437" t="inlineStr">
        <is>
          <t>primary</t>
        </is>
      </c>
      <c r="F1437" t="n">
        <v>152.2684310018903</v>
      </c>
      <c r="G1437">
        <f>2*SQRT(F1437/PI())</f>
        <v/>
      </c>
      <c r="H1437" t="n">
        <v>52.99228253571884</v>
      </c>
      <c r="I1437" t="n">
        <v>121</v>
      </c>
      <c r="J1437" t="n">
        <v>530</v>
      </c>
      <c r="K1437" t="n">
        <v>149.2230623818525</v>
      </c>
      <c r="L1437" t="n">
        <v>155.3137996219282</v>
      </c>
      <c r="M1437">
        <f>2*SQRT(K1437/PI())</f>
        <v/>
      </c>
      <c r="N1437">
        <f>2*SQRT(L1437/PI())</f>
        <v/>
      </c>
      <c r="P1437" t="inlineStr">
        <is>
          <t>是</t>
        </is>
      </c>
      <c r="Q1437" t="inlineStr">
        <is>
          <t>auto_pipeline;review_png_green</t>
        </is>
      </c>
      <c r="R1437" t="inlineStr">
        <is>
          <t>样品33</t>
        </is>
      </c>
    </row>
    <row r="1438">
      <c r="A1438" t="n">
        <v>1437</v>
      </c>
      <c r="B1438" t="inlineStr">
        <is>
          <t>33 (1).tif</t>
        </is>
      </c>
      <c r="C1438" t="inlineStr">
        <is>
          <t>33(1)-V08</t>
        </is>
      </c>
      <c r="D1438" t="n">
        <v>8</v>
      </c>
      <c r="E1438" t="inlineStr">
        <is>
          <t>primary</t>
        </is>
      </c>
      <c r="F1438" t="n">
        <v>104.4423440453686</v>
      </c>
      <c r="G1438">
        <f>2*SQRT(F1438/PI())</f>
        <v/>
      </c>
      <c r="H1438" t="n">
        <v>41.52064079823701</v>
      </c>
      <c r="I1438" t="n">
        <v>201</v>
      </c>
      <c r="J1438" t="n">
        <v>587</v>
      </c>
      <c r="K1438" t="n">
        <v>102.3534971644612</v>
      </c>
      <c r="L1438" t="n">
        <v>106.531190926276</v>
      </c>
      <c r="M1438">
        <f>2*SQRT(K1438/PI())</f>
        <v/>
      </c>
      <c r="N1438">
        <f>2*SQRT(L1438/PI())</f>
        <v/>
      </c>
      <c r="P1438" t="inlineStr">
        <is>
          <t>是</t>
        </is>
      </c>
      <c r="Q1438" t="inlineStr">
        <is>
          <t>auto_pipeline;review_png_green</t>
        </is>
      </c>
      <c r="R1438" t="inlineStr">
        <is>
          <t>样品33</t>
        </is>
      </c>
    </row>
    <row r="1439">
      <c r="A1439" t="n">
        <v>1438</v>
      </c>
      <c r="B1439" t="inlineStr">
        <is>
          <t>33 (2).tif</t>
        </is>
      </c>
      <c r="C1439" t="inlineStr">
        <is>
          <t>33(2)-V01</t>
        </is>
      </c>
      <c r="D1439" t="n">
        <v>1</v>
      </c>
      <c r="E1439" t="inlineStr">
        <is>
          <t>primary</t>
        </is>
      </c>
      <c r="F1439" t="n">
        <v>796.1011342155009</v>
      </c>
      <c r="G1439">
        <f>2*SQRT(F1439/PI())</f>
        <v/>
      </c>
      <c r="H1439" t="n">
        <v>106.3048017284144</v>
      </c>
      <c r="I1439" t="n">
        <v>481</v>
      </c>
      <c r="J1439" t="n">
        <v>443</v>
      </c>
      <c r="K1439" t="n">
        <v>780.1791115311909</v>
      </c>
      <c r="L1439" t="n">
        <v>812.0231568998109</v>
      </c>
      <c r="M1439">
        <f>2*SQRT(K1439/PI())</f>
        <v/>
      </c>
      <c r="N1439">
        <f>2*SQRT(L1439/PI())</f>
        <v/>
      </c>
      <c r="P1439" t="inlineStr">
        <is>
          <t>是</t>
        </is>
      </c>
      <c r="Q1439" t="inlineStr">
        <is>
          <t>auto_pipeline;review_png_green</t>
        </is>
      </c>
      <c r="R1439" t="inlineStr">
        <is>
          <t>样品33</t>
        </is>
      </c>
    </row>
    <row r="1440">
      <c r="A1440" t="n">
        <v>1439</v>
      </c>
      <c r="B1440" t="inlineStr">
        <is>
          <t>33 (2).tif</t>
        </is>
      </c>
      <c r="C1440" t="inlineStr">
        <is>
          <t>33(2)-V02</t>
        </is>
      </c>
      <c r="D1440" t="n">
        <v>2</v>
      </c>
      <c r="E1440" t="inlineStr">
        <is>
          <t>primary</t>
        </is>
      </c>
      <c r="F1440" t="n">
        <v>648.8185255198488</v>
      </c>
      <c r="G1440">
        <f>2*SQRT(F1440/PI())</f>
        <v/>
      </c>
      <c r="H1440" t="n">
        <v>96.04106193003447</v>
      </c>
      <c r="I1440" t="n">
        <v>233</v>
      </c>
      <c r="J1440" t="n">
        <v>370</v>
      </c>
      <c r="K1440" t="n">
        <v>635.8421550094517</v>
      </c>
      <c r="L1440" t="n">
        <v>661.7948960302458</v>
      </c>
      <c r="M1440">
        <f>2*SQRT(K1440/PI())</f>
        <v/>
      </c>
      <c r="N1440">
        <f>2*SQRT(L1440/PI())</f>
        <v/>
      </c>
      <c r="P1440" t="inlineStr">
        <is>
          <t>是</t>
        </is>
      </c>
      <c r="Q1440" t="inlineStr">
        <is>
          <t>auto_pipeline;review_png_green</t>
        </is>
      </c>
      <c r="R1440" t="inlineStr">
        <is>
          <t>样品33</t>
        </is>
      </c>
    </row>
    <row r="1441">
      <c r="A1441" t="n">
        <v>1440</v>
      </c>
      <c r="B1441" t="inlineStr">
        <is>
          <t>33 (2).tif</t>
        </is>
      </c>
      <c r="C1441" t="inlineStr">
        <is>
          <t>33(2)-V03</t>
        </is>
      </c>
      <c r="D1441" t="n">
        <v>3</v>
      </c>
      <c r="E1441" t="inlineStr">
        <is>
          <t>primary</t>
        </is>
      </c>
      <c r="F1441" t="n">
        <v>137.7599243856333</v>
      </c>
      <c r="G1441">
        <f>2*SQRT(F1441/PI())</f>
        <v/>
      </c>
      <c r="H1441" t="n">
        <v>43.87464668439782</v>
      </c>
      <c r="I1441" t="n">
        <v>229</v>
      </c>
      <c r="J1441" t="n">
        <v>236</v>
      </c>
      <c r="K1441" t="n">
        <v>135.0047258979206</v>
      </c>
      <c r="L1441" t="n">
        <v>140.5151228733459</v>
      </c>
      <c r="M1441">
        <f>2*SQRT(K1441/PI())</f>
        <v/>
      </c>
      <c r="N1441">
        <f>2*SQRT(L1441/PI())</f>
        <v/>
      </c>
      <c r="P1441" t="inlineStr">
        <is>
          <t>是</t>
        </is>
      </c>
      <c r="Q1441" t="inlineStr">
        <is>
          <t>auto_pipeline;review_png_green</t>
        </is>
      </c>
      <c r="R1441" t="inlineStr">
        <is>
          <t>样品33</t>
        </is>
      </c>
    </row>
    <row r="1442">
      <c r="A1442" t="n">
        <v>1441</v>
      </c>
      <c r="B1442" t="inlineStr">
        <is>
          <t>33 (2).tif</t>
        </is>
      </c>
      <c r="C1442" t="inlineStr">
        <is>
          <t>33(2)-V04</t>
        </is>
      </c>
      <c r="D1442" t="n">
        <v>4</v>
      </c>
      <c r="E1442" t="inlineStr">
        <is>
          <t>primary</t>
        </is>
      </c>
      <c r="F1442" t="n">
        <v>131.9706994328922</v>
      </c>
      <c r="G1442">
        <f>2*SQRT(F1442/PI())</f>
        <v/>
      </c>
      <c r="H1442" t="n">
        <v>43.38711611602617</v>
      </c>
      <c r="I1442" t="n">
        <v>117</v>
      </c>
      <c r="J1442" t="n">
        <v>534</v>
      </c>
      <c r="K1442" t="n">
        <v>129.3312854442344</v>
      </c>
      <c r="L1442" t="n">
        <v>134.6101134215501</v>
      </c>
      <c r="M1442">
        <f>2*SQRT(K1442/PI())</f>
        <v/>
      </c>
      <c r="N1442">
        <f>2*SQRT(L1442/PI())</f>
        <v/>
      </c>
      <c r="P1442" t="inlineStr">
        <is>
          <t>是</t>
        </is>
      </c>
      <c r="Q1442" t="inlineStr">
        <is>
          <t>auto_pipeline;review_png_green</t>
        </is>
      </c>
      <c r="R1442" t="inlineStr">
        <is>
          <t>样品33</t>
        </is>
      </c>
    </row>
    <row r="1443">
      <c r="A1443" t="n">
        <v>1442</v>
      </c>
      <c r="B1443" t="inlineStr">
        <is>
          <t>33 (3).tif</t>
        </is>
      </c>
      <c r="C1443" t="inlineStr">
        <is>
          <t>33(3)-V01</t>
        </is>
      </c>
      <c r="D1443" t="n">
        <v>1</v>
      </c>
      <c r="E1443" t="inlineStr">
        <is>
          <t>primary</t>
        </is>
      </c>
      <c r="F1443" t="n">
        <v>969.6597353497165</v>
      </c>
      <c r="G1443">
        <f>2*SQRT(F1443/PI())</f>
        <v/>
      </c>
      <c r="H1443" t="n">
        <v>116.9287272121595</v>
      </c>
      <c r="I1443" t="n">
        <v>588</v>
      </c>
      <c r="J1443" t="n">
        <v>315</v>
      </c>
      <c r="K1443" t="n">
        <v>950.2665406427221</v>
      </c>
      <c r="L1443" t="n">
        <v>989.0529300567108</v>
      </c>
      <c r="M1443">
        <f>2*SQRT(K1443/PI())</f>
        <v/>
      </c>
      <c r="N1443">
        <f>2*SQRT(L1443/PI())</f>
        <v/>
      </c>
      <c r="P1443" t="inlineStr">
        <is>
          <t>是</t>
        </is>
      </c>
      <c r="Q1443" t="inlineStr">
        <is>
          <t>auto_pipeline;review_png_green</t>
        </is>
      </c>
      <c r="R1443" t="inlineStr">
        <is>
          <t>样品33</t>
        </is>
      </c>
    </row>
    <row r="1444">
      <c r="A1444" t="n">
        <v>1443</v>
      </c>
      <c r="B1444" t="inlineStr">
        <is>
          <t>33 (3).tif</t>
        </is>
      </c>
      <c r="C1444" t="inlineStr">
        <is>
          <t>33(3)-V02</t>
        </is>
      </c>
      <c r="D1444" t="n">
        <v>2</v>
      </c>
      <c r="E1444" t="inlineStr">
        <is>
          <t>primary</t>
        </is>
      </c>
      <c r="F1444" t="n">
        <v>835.5151228733459</v>
      </c>
      <c r="G1444">
        <f>2*SQRT(F1444/PI())</f>
        <v/>
      </c>
      <c r="H1444" t="n">
        <v>109.3791789853055</v>
      </c>
      <c r="I1444" t="n">
        <v>431</v>
      </c>
      <c r="J1444" t="n">
        <v>423</v>
      </c>
      <c r="K1444" t="n">
        <v>818.804820415879</v>
      </c>
      <c r="L1444" t="n">
        <v>852.2254253308129</v>
      </c>
      <c r="M1444">
        <f>2*SQRT(K1444/PI())</f>
        <v/>
      </c>
      <c r="N1444">
        <f>2*SQRT(L1444/PI())</f>
        <v/>
      </c>
      <c r="P1444" t="inlineStr">
        <is>
          <t>是</t>
        </is>
      </c>
      <c r="Q1444" t="inlineStr">
        <is>
          <t>auto_pipeline;review_png_green</t>
        </is>
      </c>
      <c r="R1444" t="inlineStr">
        <is>
          <t>样品33</t>
        </is>
      </c>
    </row>
    <row r="1445">
      <c r="A1445" t="n">
        <v>1444</v>
      </c>
      <c r="B1445" t="inlineStr">
        <is>
          <t>33 (3).tif</t>
        </is>
      </c>
      <c r="C1445" t="inlineStr">
        <is>
          <t>33(3)-V03</t>
        </is>
      </c>
      <c r="D1445" t="n">
        <v>3</v>
      </c>
      <c r="E1445" t="inlineStr">
        <is>
          <t>primary</t>
        </is>
      </c>
      <c r="F1445" t="n">
        <v>232.5141776937618</v>
      </c>
      <c r="G1445">
        <f>2*SQRT(F1445/PI())</f>
        <v/>
      </c>
      <c r="H1445" t="n">
        <v>63.84904882182246</v>
      </c>
      <c r="I1445" t="n">
        <v>187</v>
      </c>
      <c r="J1445" t="n">
        <v>252</v>
      </c>
      <c r="K1445" t="n">
        <v>227.8638941398866</v>
      </c>
      <c r="L1445" t="n">
        <v>237.164461247637</v>
      </c>
      <c r="M1445">
        <f>2*SQRT(K1445/PI())</f>
        <v/>
      </c>
      <c r="N1445">
        <f>2*SQRT(L1445/PI())</f>
        <v/>
      </c>
      <c r="P1445" t="inlineStr">
        <is>
          <t>是</t>
        </is>
      </c>
      <c r="Q1445" t="inlineStr">
        <is>
          <t>auto_pipeline;review_png_green</t>
        </is>
      </c>
      <c r="R1445" t="inlineStr">
        <is>
          <t>样品33</t>
        </is>
      </c>
    </row>
    <row r="1446">
      <c r="A1446" t="n">
        <v>1445</v>
      </c>
      <c r="B1446" t="inlineStr">
        <is>
          <t>33 (3).tif</t>
        </is>
      </c>
      <c r="C1446" t="inlineStr">
        <is>
          <t>33(3)-V04</t>
        </is>
      </c>
      <c r="D1446" t="n">
        <v>4</v>
      </c>
      <c r="E1446" t="inlineStr">
        <is>
          <t>primary</t>
        </is>
      </c>
      <c r="F1446" t="n">
        <v>130.2457466918715</v>
      </c>
      <c r="G1446">
        <f>2*SQRT(F1446/PI())</f>
        <v/>
      </c>
      <c r="H1446" t="n">
        <v>45.10439758715422</v>
      </c>
      <c r="I1446" t="n">
        <v>605</v>
      </c>
      <c r="J1446" t="n">
        <v>144</v>
      </c>
      <c r="K1446" t="n">
        <v>127.640831758034</v>
      </c>
      <c r="L1446" t="n">
        <v>132.8506616257089</v>
      </c>
      <c r="M1446">
        <f>2*SQRT(K1446/PI())</f>
        <v/>
      </c>
      <c r="N1446">
        <f>2*SQRT(L1446/PI())</f>
        <v/>
      </c>
      <c r="P1446" t="inlineStr">
        <is>
          <t>是</t>
        </is>
      </c>
      <c r="Q1446" t="inlineStr">
        <is>
          <t>auto_pipeline;review_png_green</t>
        </is>
      </c>
      <c r="R1446" t="inlineStr">
        <is>
          <t>样品33</t>
        </is>
      </c>
    </row>
    <row r="1447">
      <c r="A1447" t="n">
        <v>1446</v>
      </c>
      <c r="B1447" t="inlineStr">
        <is>
          <t>33 (3).tif</t>
        </is>
      </c>
      <c r="C1447" t="inlineStr">
        <is>
          <t>33(3)-V05</t>
        </is>
      </c>
      <c r="D1447" t="n">
        <v>5</v>
      </c>
      <c r="E1447" t="inlineStr">
        <is>
          <t>primary</t>
        </is>
      </c>
      <c r="F1447" t="n">
        <v>124.2911153119093</v>
      </c>
      <c r="G1447">
        <f>2*SQRT(F1447/PI())</f>
        <v/>
      </c>
      <c r="H1447" t="n">
        <v>42.28471009627632</v>
      </c>
      <c r="I1447" t="n">
        <v>172</v>
      </c>
      <c r="J1447" t="n">
        <v>359</v>
      </c>
      <c r="K1447" t="n">
        <v>121.8052930056711</v>
      </c>
      <c r="L1447" t="n">
        <v>126.7769376181475</v>
      </c>
      <c r="M1447">
        <f>2*SQRT(K1447/PI())</f>
        <v/>
      </c>
      <c r="N1447">
        <f>2*SQRT(L1447/PI())</f>
        <v/>
      </c>
      <c r="P1447" t="inlineStr">
        <is>
          <t>是</t>
        </is>
      </c>
      <c r="Q1447" t="inlineStr">
        <is>
          <t>auto_pipeline;review_png_green</t>
        </is>
      </c>
      <c r="R1447" t="inlineStr">
        <is>
          <t>样品33</t>
        </is>
      </c>
    </row>
    <row r="1448">
      <c r="A1448" t="n">
        <v>1447</v>
      </c>
      <c r="B1448" t="inlineStr">
        <is>
          <t>33 (3).tif</t>
        </is>
      </c>
      <c r="C1448" t="inlineStr">
        <is>
          <t>33(3)-V06</t>
        </is>
      </c>
      <c r="D1448" t="n">
        <v>6</v>
      </c>
      <c r="E1448" t="inlineStr">
        <is>
          <t>primary</t>
        </is>
      </c>
      <c r="F1448" t="n">
        <v>115.5245746691871</v>
      </c>
      <c r="G1448">
        <f>2*SQRT(F1448/PI())</f>
        <v/>
      </c>
      <c r="H1448" t="n">
        <v>44.76606086544368</v>
      </c>
      <c r="I1448" t="n">
        <v>148</v>
      </c>
      <c r="J1448" t="n">
        <v>298</v>
      </c>
      <c r="K1448" t="n">
        <v>113.2140831758034</v>
      </c>
      <c r="L1448" t="n">
        <v>117.8350661625709</v>
      </c>
      <c r="M1448">
        <f>2*SQRT(K1448/PI())</f>
        <v/>
      </c>
      <c r="N1448">
        <f>2*SQRT(L1448/PI())</f>
        <v/>
      </c>
      <c r="P1448" t="inlineStr">
        <is>
          <t>是</t>
        </is>
      </c>
      <c r="Q1448" t="inlineStr">
        <is>
          <t>auto_pipeline;review_png_green</t>
        </is>
      </c>
      <c r="R1448" t="inlineStr">
        <is>
          <t>样品33</t>
        </is>
      </c>
    </row>
    <row r="1449">
      <c r="A1449" t="n">
        <v>1448</v>
      </c>
      <c r="B1449" t="inlineStr">
        <is>
          <t>33 (4).tif</t>
        </is>
      </c>
      <c r="C1449" t="inlineStr">
        <is>
          <t>33(4)-V01</t>
        </is>
      </c>
      <c r="D1449" t="n">
        <v>1</v>
      </c>
      <c r="E1449" t="inlineStr">
        <is>
          <t>primary</t>
        </is>
      </c>
      <c r="F1449" t="n">
        <v>595.8175803402646</v>
      </c>
      <c r="G1449">
        <f>2*SQRT(F1449/PI())</f>
        <v/>
      </c>
      <c r="H1449" t="n">
        <v>92.83933979013692</v>
      </c>
      <c r="I1449" t="n">
        <v>943</v>
      </c>
      <c r="J1449" t="n">
        <v>252</v>
      </c>
      <c r="K1449" t="n">
        <v>583.9012287334593</v>
      </c>
      <c r="L1449" t="n">
        <v>607.7339319470699</v>
      </c>
      <c r="M1449">
        <f>2*SQRT(K1449/PI())</f>
        <v/>
      </c>
      <c r="N1449">
        <f>2*SQRT(L1449/PI())</f>
        <v/>
      </c>
      <c r="P1449" t="inlineStr">
        <is>
          <t>是</t>
        </is>
      </c>
      <c r="Q1449" t="inlineStr">
        <is>
          <t>auto_pipeline;review_png_green</t>
        </is>
      </c>
      <c r="R1449" t="inlineStr">
        <is>
          <t>样品33</t>
        </is>
      </c>
    </row>
    <row r="1450">
      <c r="A1450" t="n">
        <v>1449</v>
      </c>
      <c r="B1450" t="inlineStr">
        <is>
          <t>33 (4).tif</t>
        </is>
      </c>
      <c r="C1450" t="inlineStr">
        <is>
          <t>33(4)-V02</t>
        </is>
      </c>
      <c r="D1450" t="n">
        <v>2</v>
      </c>
      <c r="E1450" t="inlineStr">
        <is>
          <t>primary</t>
        </is>
      </c>
      <c r="F1450" t="n">
        <v>384.6880907372401</v>
      </c>
      <c r="G1450">
        <f>2*SQRT(F1450/PI())</f>
        <v/>
      </c>
      <c r="H1450" t="n">
        <v>73.41426621312681</v>
      </c>
      <c r="I1450" t="n">
        <v>416</v>
      </c>
      <c r="J1450" t="n">
        <v>386</v>
      </c>
      <c r="K1450" t="n">
        <v>376.9943289224953</v>
      </c>
      <c r="L1450" t="n">
        <v>392.3818525519849</v>
      </c>
      <c r="M1450">
        <f>2*SQRT(K1450/PI())</f>
        <v/>
      </c>
      <c r="N1450">
        <f>2*SQRT(L1450/PI())</f>
        <v/>
      </c>
      <c r="P1450" t="inlineStr">
        <is>
          <t>是</t>
        </is>
      </c>
      <c r="Q1450" t="inlineStr">
        <is>
          <t>auto_pipeline;review_png_green</t>
        </is>
      </c>
      <c r="R1450" t="inlineStr">
        <is>
          <t>样品33</t>
        </is>
      </c>
    </row>
    <row r="1451">
      <c r="A1451" t="n">
        <v>1450</v>
      </c>
      <c r="B1451" t="inlineStr">
        <is>
          <t>33 (4).tif</t>
        </is>
      </c>
      <c r="C1451" t="inlineStr">
        <is>
          <t>33(4)-V03</t>
        </is>
      </c>
      <c r="D1451" t="n">
        <v>3</v>
      </c>
      <c r="E1451" t="inlineStr">
        <is>
          <t>primary</t>
        </is>
      </c>
      <c r="F1451" t="n">
        <v>335.1606805293006</v>
      </c>
      <c r="G1451">
        <f>2*SQRT(F1451/PI())</f>
        <v/>
      </c>
      <c r="H1451" t="n">
        <v>68.60075852145319</v>
      </c>
      <c r="I1451" t="n">
        <v>254</v>
      </c>
      <c r="J1451" t="n">
        <v>368</v>
      </c>
      <c r="K1451" t="n">
        <v>328.4574669187145</v>
      </c>
      <c r="L1451" t="n">
        <v>341.8638941398866</v>
      </c>
      <c r="M1451">
        <f>2*SQRT(K1451/PI())</f>
        <v/>
      </c>
      <c r="N1451">
        <f>2*SQRT(L1451/PI())</f>
        <v/>
      </c>
      <c r="P1451" t="inlineStr">
        <is>
          <t>是</t>
        </is>
      </c>
      <c r="Q1451" t="inlineStr">
        <is>
          <t>auto_pipeline;review_png_green</t>
        </is>
      </c>
      <c r="R1451" t="inlineStr">
        <is>
          <t>样品33</t>
        </is>
      </c>
    </row>
    <row r="1452">
      <c r="A1452" t="n">
        <v>1451</v>
      </c>
      <c r="B1452" t="inlineStr">
        <is>
          <t>33 (4).tif</t>
        </is>
      </c>
      <c r="C1452" t="inlineStr">
        <is>
          <t>33(4)-V04</t>
        </is>
      </c>
      <c r="D1452" t="n">
        <v>4</v>
      </c>
      <c r="E1452" t="inlineStr">
        <is>
          <t>primary</t>
        </is>
      </c>
      <c r="F1452" t="n">
        <v>330.2693761814745</v>
      </c>
      <c r="G1452">
        <f>2*SQRT(F1452/PI())</f>
        <v/>
      </c>
      <c r="H1452" t="n">
        <v>68.98279317047285</v>
      </c>
      <c r="I1452" t="n">
        <v>550</v>
      </c>
      <c r="J1452" t="n">
        <v>392</v>
      </c>
      <c r="K1452" t="n">
        <v>323.663988657845</v>
      </c>
      <c r="L1452" t="n">
        <v>336.8747637051039</v>
      </c>
      <c r="M1452">
        <f>2*SQRT(K1452/PI())</f>
        <v/>
      </c>
      <c r="N1452">
        <f>2*SQRT(L1452/PI())</f>
        <v/>
      </c>
      <c r="P1452" t="inlineStr">
        <is>
          <t>是</t>
        </is>
      </c>
      <c r="Q1452" t="inlineStr">
        <is>
          <t>auto_pipeline;review_png_green</t>
        </is>
      </c>
      <c r="R1452" t="inlineStr">
        <is>
          <t>样品33</t>
        </is>
      </c>
    </row>
    <row r="1453">
      <c r="A1453" t="n">
        <v>1452</v>
      </c>
      <c r="B1453" t="inlineStr">
        <is>
          <t>33 (4).tif</t>
        </is>
      </c>
      <c r="C1453" t="inlineStr">
        <is>
          <t>33(4)-V05</t>
        </is>
      </c>
      <c r="D1453" t="n">
        <v>5</v>
      </c>
      <c r="E1453" t="inlineStr">
        <is>
          <t>primary</t>
        </is>
      </c>
      <c r="F1453" t="n">
        <v>137.1219281663516</v>
      </c>
      <c r="G1453">
        <f>2*SQRT(F1453/PI())</f>
        <v/>
      </c>
      <c r="H1453" t="n">
        <v>48.92099517842998</v>
      </c>
      <c r="I1453" t="n">
        <v>339</v>
      </c>
      <c r="J1453" t="n">
        <v>57</v>
      </c>
      <c r="K1453" t="n">
        <v>134.3794896030246</v>
      </c>
      <c r="L1453" t="n">
        <v>139.8643667296786</v>
      </c>
      <c r="M1453">
        <f>2*SQRT(K1453/PI())</f>
        <v/>
      </c>
      <c r="N1453">
        <f>2*SQRT(L1453/PI())</f>
        <v/>
      </c>
      <c r="P1453" t="inlineStr">
        <is>
          <t>是</t>
        </is>
      </c>
      <c r="Q1453" t="inlineStr">
        <is>
          <t>auto_pipeline;review_png_green</t>
        </is>
      </c>
      <c r="R1453" t="inlineStr">
        <is>
          <t>样品33</t>
        </is>
      </c>
    </row>
    <row r="1454">
      <c r="A1454" t="n">
        <v>1453</v>
      </c>
      <c r="B1454" t="inlineStr">
        <is>
          <t>33 (4).tif</t>
        </is>
      </c>
      <c r="C1454" t="inlineStr">
        <is>
          <t>33(4)-V06</t>
        </is>
      </c>
      <c r="D1454" t="n">
        <v>6</v>
      </c>
      <c r="E1454" t="inlineStr">
        <is>
          <t>primary</t>
        </is>
      </c>
      <c r="F1454" t="n">
        <v>108.3648393194707</v>
      </c>
      <c r="G1454">
        <f>2*SQRT(F1454/PI())</f>
        <v/>
      </c>
      <c r="H1454" t="n">
        <v>40.18539397612862</v>
      </c>
      <c r="I1454" t="n">
        <v>149</v>
      </c>
      <c r="J1454" t="n">
        <v>134</v>
      </c>
      <c r="K1454" t="n">
        <v>106.1975425330813</v>
      </c>
      <c r="L1454" t="n">
        <v>110.5321361058601</v>
      </c>
      <c r="M1454">
        <f>2*SQRT(K1454/PI())</f>
        <v/>
      </c>
      <c r="N1454">
        <f>2*SQRT(L1454/PI())</f>
        <v/>
      </c>
      <c r="P1454" t="inlineStr">
        <is>
          <t>是</t>
        </is>
      </c>
      <c r="Q1454" t="inlineStr">
        <is>
          <t>auto_pipeline;review_png_green</t>
        </is>
      </c>
      <c r="R1454" t="inlineStr">
        <is>
          <t>样品33</t>
        </is>
      </c>
    </row>
    <row r="1455">
      <c r="A1455" t="n">
        <v>1454</v>
      </c>
      <c r="B1455" t="inlineStr">
        <is>
          <t>33 (5).tif</t>
        </is>
      </c>
      <c r="C1455" t="inlineStr">
        <is>
          <t>33(5)-V01</t>
        </is>
      </c>
      <c r="D1455" t="n">
        <v>1</v>
      </c>
      <c r="E1455" t="inlineStr">
        <is>
          <t>primary</t>
        </is>
      </c>
      <c r="F1455" t="n">
        <v>882.632325141777</v>
      </c>
      <c r="G1455">
        <f>2*SQRT(F1455/PI())</f>
        <v/>
      </c>
      <c r="H1455" t="n">
        <v>111.9878746374794</v>
      </c>
      <c r="I1455" t="n">
        <v>477</v>
      </c>
      <c r="J1455" t="n">
        <v>314</v>
      </c>
      <c r="K1455" t="n">
        <v>864.9796786389414</v>
      </c>
      <c r="L1455" t="n">
        <v>900.2849716446125</v>
      </c>
      <c r="M1455">
        <f>2*SQRT(K1455/PI())</f>
        <v/>
      </c>
      <c r="N1455">
        <f>2*SQRT(L1455/PI())</f>
        <v/>
      </c>
      <c r="P1455" t="inlineStr">
        <is>
          <t>是</t>
        </is>
      </c>
      <c r="Q1455" t="inlineStr">
        <is>
          <t>auto_pipeline;review_png_green</t>
        </is>
      </c>
      <c r="R1455" t="inlineStr">
        <is>
          <t>样品33</t>
        </is>
      </c>
    </row>
    <row r="1456">
      <c r="A1456" t="n">
        <v>1455</v>
      </c>
      <c r="B1456" t="inlineStr">
        <is>
          <t>33 (5).tif</t>
        </is>
      </c>
      <c r="C1456" t="inlineStr">
        <is>
          <t>33(5)-V02</t>
        </is>
      </c>
      <c r="D1456" t="n">
        <v>2</v>
      </c>
      <c r="E1456" t="inlineStr">
        <is>
          <t>primary</t>
        </is>
      </c>
      <c r="F1456" t="n">
        <v>710.1843100189036</v>
      </c>
      <c r="G1456">
        <f>2*SQRT(F1456/PI())</f>
        <v/>
      </c>
      <c r="H1456" t="n">
        <v>100.7272247387015</v>
      </c>
      <c r="I1456" t="n">
        <v>579</v>
      </c>
      <c r="J1456" t="n">
        <v>475</v>
      </c>
      <c r="K1456" t="n">
        <v>695.9806238185255</v>
      </c>
      <c r="L1456" t="n">
        <v>724.3879962192817</v>
      </c>
      <c r="M1456">
        <f>2*SQRT(K1456/PI())</f>
        <v/>
      </c>
      <c r="N1456">
        <f>2*SQRT(L1456/PI())</f>
        <v/>
      </c>
      <c r="P1456" t="inlineStr">
        <is>
          <t>是</t>
        </is>
      </c>
      <c r="Q1456" t="inlineStr">
        <is>
          <t>auto_pipeline;review_png_green</t>
        </is>
      </c>
      <c r="R1456" t="inlineStr">
        <is>
          <t>样品33</t>
        </is>
      </c>
    </row>
    <row r="1457">
      <c r="A1457" t="n">
        <v>1456</v>
      </c>
      <c r="B1457" t="inlineStr">
        <is>
          <t>33 (5).tif</t>
        </is>
      </c>
      <c r="C1457" t="inlineStr">
        <is>
          <t>33(5)-V03</t>
        </is>
      </c>
      <c r="D1457" t="n">
        <v>3</v>
      </c>
      <c r="E1457" t="inlineStr">
        <is>
          <t>primary</t>
        </is>
      </c>
      <c r="F1457" t="n">
        <v>121.2665406427221</v>
      </c>
      <c r="G1457">
        <f>2*SQRT(F1457/PI())</f>
        <v/>
      </c>
      <c r="H1457" t="n">
        <v>46.18495464324951</v>
      </c>
      <c r="I1457" t="n">
        <v>96</v>
      </c>
      <c r="J1457" t="n">
        <v>572</v>
      </c>
      <c r="K1457" t="n">
        <v>118.8412098298677</v>
      </c>
      <c r="L1457" t="n">
        <v>123.6918714555766</v>
      </c>
      <c r="M1457">
        <f>2*SQRT(K1457/PI())</f>
        <v/>
      </c>
      <c r="N1457">
        <f>2*SQRT(L1457/PI())</f>
        <v/>
      </c>
      <c r="P1457" t="inlineStr">
        <is>
          <t>是</t>
        </is>
      </c>
      <c r="Q1457" t="inlineStr">
        <is>
          <t>auto_pipeline;review_png_green</t>
        </is>
      </c>
      <c r="R1457" t="inlineStr">
        <is>
          <t>样品33</t>
        </is>
      </c>
    </row>
    <row r="1458">
      <c r="A1458" t="n">
        <v>1457</v>
      </c>
      <c r="B1458" t="inlineStr">
        <is>
          <t>33 (6).tif</t>
        </is>
      </c>
      <c r="C1458" t="inlineStr">
        <is>
          <t>33(6)-V01</t>
        </is>
      </c>
      <c r="D1458" t="n">
        <v>1</v>
      </c>
      <c r="E1458" t="inlineStr">
        <is>
          <t>primary</t>
        </is>
      </c>
      <c r="F1458" t="n">
        <v>791.351606805293</v>
      </c>
      <c r="G1458">
        <f>2*SQRT(F1458/PI())</f>
        <v/>
      </c>
      <c r="H1458" t="n">
        <v>106.537642530773</v>
      </c>
      <c r="I1458" t="n">
        <v>681</v>
      </c>
      <c r="J1458" t="n">
        <v>176</v>
      </c>
      <c r="K1458" t="n">
        <v>775.5245746691871</v>
      </c>
      <c r="L1458" t="n">
        <v>807.178638941399</v>
      </c>
      <c r="M1458">
        <f>2*SQRT(K1458/PI())</f>
        <v/>
      </c>
      <c r="N1458">
        <f>2*SQRT(L1458/PI())</f>
        <v/>
      </c>
      <c r="O1458" t="inlineStr">
        <is>
          <t>33(6)-P01</t>
        </is>
      </c>
      <c r="P1458" t="inlineStr">
        <is>
          <t>是</t>
        </is>
      </c>
      <c r="Q1458" t="inlineStr">
        <is>
          <t>auto_pipeline;review_png_green</t>
        </is>
      </c>
      <c r="R1458" t="inlineStr">
        <is>
          <t>样品33</t>
        </is>
      </c>
    </row>
    <row r="1459">
      <c r="A1459" t="n">
        <v>1458</v>
      </c>
      <c r="B1459" t="inlineStr">
        <is>
          <t>33 (6).tif</t>
        </is>
      </c>
      <c r="C1459" t="inlineStr">
        <is>
          <t>33(6)-V02</t>
        </is>
      </c>
      <c r="D1459" t="n">
        <v>2</v>
      </c>
      <c r="E1459" t="inlineStr">
        <is>
          <t>primary</t>
        </is>
      </c>
      <c r="F1459" t="n">
        <v>550.6143667296786</v>
      </c>
      <c r="G1459">
        <f>2*SQRT(F1459/PI())</f>
        <v/>
      </c>
      <c r="H1459" t="n">
        <v>89.23373403756514</v>
      </c>
      <c r="I1459" t="n">
        <v>501</v>
      </c>
      <c r="J1459" t="n">
        <v>450</v>
      </c>
      <c r="K1459" t="n">
        <v>539.6020793950851</v>
      </c>
      <c r="L1459" t="n">
        <v>561.6266540642722</v>
      </c>
      <c r="M1459">
        <f>2*SQRT(K1459/PI())</f>
        <v/>
      </c>
      <c r="N1459">
        <f>2*SQRT(L1459/PI())</f>
        <v/>
      </c>
      <c r="P1459" t="inlineStr">
        <is>
          <t>是</t>
        </is>
      </c>
      <c r="Q1459" t="inlineStr">
        <is>
          <t>auto_pipeline;review_png_green</t>
        </is>
      </c>
      <c r="R1459" t="inlineStr">
        <is>
          <t>样品33</t>
        </is>
      </c>
    </row>
    <row r="1460">
      <c r="A1460" t="n">
        <v>1459</v>
      </c>
      <c r="B1460" t="inlineStr">
        <is>
          <t>33 (6).tif</t>
        </is>
      </c>
      <c r="C1460" t="inlineStr">
        <is>
          <t>33(6)-V03</t>
        </is>
      </c>
      <c r="D1460" t="n">
        <v>3</v>
      </c>
      <c r="E1460" t="inlineStr">
        <is>
          <t>primary</t>
        </is>
      </c>
      <c r="F1460" t="n">
        <v>541.0207939508507</v>
      </c>
      <c r="G1460">
        <f>2*SQRT(F1460/PI())</f>
        <v/>
      </c>
      <c r="H1460" t="n">
        <v>92.56280106046925</v>
      </c>
      <c r="I1460" t="n">
        <v>78</v>
      </c>
      <c r="J1460" t="n">
        <v>88</v>
      </c>
      <c r="K1460" t="n">
        <v>530.2003780718337</v>
      </c>
      <c r="L1460" t="n">
        <v>551.8412098298677</v>
      </c>
      <c r="M1460">
        <f>2*SQRT(K1460/PI())</f>
        <v/>
      </c>
      <c r="N1460">
        <f>2*SQRT(L1460/PI())</f>
        <v/>
      </c>
      <c r="P1460" t="inlineStr">
        <is>
          <t>是</t>
        </is>
      </c>
      <c r="Q1460" t="inlineStr">
        <is>
          <t>auto_pipeline;review_png_green</t>
        </is>
      </c>
      <c r="R1460" t="inlineStr">
        <is>
          <t>样品33</t>
        </is>
      </c>
    </row>
    <row r="1461">
      <c r="A1461" t="n">
        <v>1460</v>
      </c>
      <c r="B1461" t="inlineStr">
        <is>
          <t>33 (6).tif</t>
        </is>
      </c>
      <c r="C1461" t="inlineStr">
        <is>
          <t>33(6)-V04</t>
        </is>
      </c>
      <c r="D1461" t="n">
        <v>4</v>
      </c>
      <c r="E1461" t="inlineStr">
        <is>
          <t>primary</t>
        </is>
      </c>
      <c r="F1461" t="n">
        <v>369.8960302457467</v>
      </c>
      <c r="G1461">
        <f>2*SQRT(F1461/PI())</f>
        <v/>
      </c>
      <c r="H1461" t="n">
        <v>73.05408052776171</v>
      </c>
      <c r="I1461" t="n">
        <v>488</v>
      </c>
      <c r="J1461" t="n">
        <v>332</v>
      </c>
      <c r="K1461" t="n">
        <v>362.4981096408318</v>
      </c>
      <c r="L1461" t="n">
        <v>377.2939508506616</v>
      </c>
      <c r="M1461">
        <f>2*SQRT(K1461/PI())</f>
        <v/>
      </c>
      <c r="N1461">
        <f>2*SQRT(L1461/PI())</f>
        <v/>
      </c>
      <c r="P1461" t="inlineStr">
        <is>
          <t>是</t>
        </is>
      </c>
      <c r="Q1461" t="inlineStr">
        <is>
          <t>auto_pipeline;review_png_green</t>
        </is>
      </c>
      <c r="R1461" t="inlineStr">
        <is>
          <t>样品33</t>
        </is>
      </c>
    </row>
    <row r="1462">
      <c r="A1462" t="n">
        <v>1461</v>
      </c>
      <c r="B1462" t="inlineStr">
        <is>
          <t>33 (6).tif</t>
        </is>
      </c>
      <c r="C1462" t="inlineStr">
        <is>
          <t>33(6)-V05</t>
        </is>
      </c>
      <c r="D1462" t="n">
        <v>5</v>
      </c>
      <c r="E1462" t="inlineStr">
        <is>
          <t>primary</t>
        </is>
      </c>
      <c r="F1462" t="n">
        <v>365.6190926275992</v>
      </c>
      <c r="G1462">
        <f>2*SQRT(F1462/PI())</f>
        <v/>
      </c>
      <c r="H1462" t="n">
        <v>72.67204587874205</v>
      </c>
      <c r="I1462" t="n">
        <v>540</v>
      </c>
      <c r="J1462" t="n">
        <v>114</v>
      </c>
      <c r="K1462" t="n">
        <v>358.3067107750472</v>
      </c>
      <c r="L1462" t="n">
        <v>372.9314744801512</v>
      </c>
      <c r="M1462">
        <f>2*SQRT(K1462/PI())</f>
        <v/>
      </c>
      <c r="N1462">
        <f>2*SQRT(L1462/PI())</f>
        <v/>
      </c>
      <c r="O1462" t="inlineStr">
        <is>
          <t>33(6)-P01</t>
        </is>
      </c>
      <c r="P1462" t="inlineStr">
        <is>
          <t>是</t>
        </is>
      </c>
      <c r="Q1462" t="inlineStr">
        <is>
          <t>auto_pipeline;review_png_green</t>
        </is>
      </c>
      <c r="R1462" t="inlineStr">
        <is>
          <t>样品33</t>
        </is>
      </c>
    </row>
    <row r="1463">
      <c r="A1463" t="n">
        <v>1462</v>
      </c>
      <c r="B1463" t="inlineStr">
        <is>
          <t>33 (6).tif</t>
        </is>
      </c>
      <c r="C1463" t="inlineStr">
        <is>
          <t>33(6)-V06</t>
        </is>
      </c>
      <c r="D1463" t="n">
        <v>6</v>
      </c>
      <c r="E1463" t="inlineStr">
        <is>
          <t>primary</t>
        </is>
      </c>
      <c r="F1463" t="n">
        <v>187.4054820415879</v>
      </c>
      <c r="G1463">
        <f>2*SQRT(F1463/PI())</f>
        <v/>
      </c>
      <c r="H1463" t="n">
        <v>52.2937601286432</v>
      </c>
      <c r="I1463" t="n">
        <v>150</v>
      </c>
      <c r="J1463" t="n">
        <v>402</v>
      </c>
      <c r="K1463" t="n">
        <v>183.6573724007561</v>
      </c>
      <c r="L1463" t="n">
        <v>191.1535916824197</v>
      </c>
      <c r="M1463">
        <f>2*SQRT(K1463/PI())</f>
        <v/>
      </c>
      <c r="N1463">
        <f>2*SQRT(L1463/PI())</f>
        <v/>
      </c>
      <c r="P1463" t="inlineStr">
        <is>
          <t>是</t>
        </is>
      </c>
      <c r="Q1463" t="inlineStr">
        <is>
          <t>auto_pipeline;review_png_green</t>
        </is>
      </c>
      <c r="R1463" t="inlineStr">
        <is>
          <t>样品33</t>
        </is>
      </c>
    </row>
    <row r="1464">
      <c r="A1464" t="n">
        <v>1463</v>
      </c>
      <c r="B1464" t="inlineStr">
        <is>
          <t>33 (6).tif</t>
        </is>
      </c>
      <c r="C1464" t="inlineStr">
        <is>
          <t>33(6)-V07</t>
        </is>
      </c>
      <c r="D1464" t="n">
        <v>7</v>
      </c>
      <c r="E1464" t="inlineStr">
        <is>
          <t>primary</t>
        </is>
      </c>
      <c r="F1464" t="n">
        <v>174.2911153119093</v>
      </c>
      <c r="G1464">
        <f>2*SQRT(F1464/PI())</f>
        <v/>
      </c>
      <c r="H1464" t="n">
        <v>75.68087624466938</v>
      </c>
      <c r="I1464" t="n">
        <v>454</v>
      </c>
      <c r="J1464" t="n">
        <v>243</v>
      </c>
      <c r="K1464" t="n">
        <v>170.8052930056711</v>
      </c>
      <c r="L1464" t="n">
        <v>177.7769376181475</v>
      </c>
      <c r="M1464">
        <f>2*SQRT(K1464/PI())</f>
        <v/>
      </c>
      <c r="N1464">
        <f>2*SQRT(L1464/PI())</f>
        <v/>
      </c>
      <c r="P1464" t="inlineStr">
        <is>
          <t>是</t>
        </is>
      </c>
      <c r="Q1464" t="inlineStr">
        <is>
          <t>auto_pipeline;review_png_green</t>
        </is>
      </c>
      <c r="R1464" t="inlineStr">
        <is>
          <t>样品33</t>
        </is>
      </c>
    </row>
    <row r="1465">
      <c r="A1465" t="n">
        <v>1464</v>
      </c>
      <c r="B1465" t="inlineStr">
        <is>
          <t>33 (6).tif</t>
        </is>
      </c>
      <c r="C1465" t="inlineStr">
        <is>
          <t>33(6)-V08</t>
        </is>
      </c>
      <c r="D1465" t="n">
        <v>8</v>
      </c>
      <c r="E1465" t="inlineStr">
        <is>
          <t>primary</t>
        </is>
      </c>
      <c r="F1465" t="n">
        <v>131.2854442344045</v>
      </c>
      <c r="G1465">
        <f>2*SQRT(F1465/PI())</f>
        <v/>
      </c>
      <c r="H1465" t="n">
        <v>51.10395825427511</v>
      </c>
      <c r="I1465" t="n">
        <v>787</v>
      </c>
      <c r="J1465" t="n">
        <v>620</v>
      </c>
      <c r="K1465" t="n">
        <v>128.6597353497164</v>
      </c>
      <c r="L1465" t="n">
        <v>133.9111531190926</v>
      </c>
      <c r="M1465">
        <f>2*SQRT(K1465/PI())</f>
        <v/>
      </c>
      <c r="N1465">
        <f>2*SQRT(L1465/PI())</f>
        <v/>
      </c>
      <c r="P1465" t="inlineStr">
        <is>
          <t>是</t>
        </is>
      </c>
      <c r="Q1465" t="inlineStr">
        <is>
          <t>auto_pipeline;review_png_green</t>
        </is>
      </c>
      <c r="R1465" t="inlineStr">
        <is>
          <t>样品33</t>
        </is>
      </c>
    </row>
    <row r="1466">
      <c r="A1466" t="n">
        <v>1465</v>
      </c>
      <c r="B1466" t="inlineStr">
        <is>
          <t>33 (6).tif</t>
        </is>
      </c>
      <c r="C1466" t="inlineStr">
        <is>
          <t>33(6)-V09</t>
        </is>
      </c>
      <c r="D1466" t="n">
        <v>9</v>
      </c>
      <c r="E1466" t="inlineStr">
        <is>
          <t>primary</t>
        </is>
      </c>
      <c r="F1466" t="n">
        <v>120.3213610586011</v>
      </c>
      <c r="G1466">
        <f>2*SQRT(F1466/PI())</f>
        <v/>
      </c>
      <c r="H1466" t="n">
        <v>41.77533056425012</v>
      </c>
      <c r="I1466" t="n">
        <v>498</v>
      </c>
      <c r="J1466" t="n">
        <v>255</v>
      </c>
      <c r="K1466" t="n">
        <v>117.9149338374291</v>
      </c>
      <c r="L1466" t="n">
        <v>122.7277882797732</v>
      </c>
      <c r="M1466">
        <f>2*SQRT(K1466/PI())</f>
        <v/>
      </c>
      <c r="N1466">
        <f>2*SQRT(L1466/PI())</f>
        <v/>
      </c>
      <c r="P1466" t="inlineStr">
        <is>
          <t>是</t>
        </is>
      </c>
      <c r="Q1466" t="inlineStr">
        <is>
          <t>auto_pipeline;review_png_green</t>
        </is>
      </c>
      <c r="R1466" t="inlineStr">
        <is>
          <t>样品33</t>
        </is>
      </c>
    </row>
    <row r="1467">
      <c r="A1467" t="n">
        <v>1466</v>
      </c>
      <c r="B1467" t="inlineStr">
        <is>
          <t>33 (7).tif</t>
        </is>
      </c>
      <c r="C1467" t="inlineStr">
        <is>
          <t>33(7)-V01</t>
        </is>
      </c>
      <c r="D1467" t="n">
        <v>1</v>
      </c>
      <c r="E1467" t="inlineStr">
        <is>
          <t>primary</t>
        </is>
      </c>
      <c r="F1467" t="n">
        <v>982.4196597353497</v>
      </c>
      <c r="G1467">
        <f>2*SQRT(F1467/PI())</f>
        <v/>
      </c>
      <c r="H1467" t="n">
        <v>117.1834169781726</v>
      </c>
      <c r="I1467" t="n">
        <v>520</v>
      </c>
      <c r="J1467" t="n">
        <v>495</v>
      </c>
      <c r="K1467" t="n">
        <v>962.7712665406427</v>
      </c>
      <c r="L1467" t="n">
        <v>1002.068052930057</v>
      </c>
      <c r="M1467">
        <f>2*SQRT(K1467/PI())</f>
        <v/>
      </c>
      <c r="N1467">
        <f>2*SQRT(L1467/PI())</f>
        <v/>
      </c>
      <c r="O1467" t="inlineStr">
        <is>
          <t>33(7)-P01</t>
        </is>
      </c>
      <c r="P1467" t="inlineStr">
        <is>
          <t>是</t>
        </is>
      </c>
      <c r="Q1467" t="inlineStr">
        <is>
          <t>auto_pipeline;review_png_green</t>
        </is>
      </c>
      <c r="R1467" t="inlineStr">
        <is>
          <t>样品33</t>
        </is>
      </c>
    </row>
    <row r="1468">
      <c r="A1468" t="n">
        <v>1467</v>
      </c>
      <c r="B1468" t="inlineStr">
        <is>
          <t>33 (7).tif</t>
        </is>
      </c>
      <c r="C1468" t="inlineStr">
        <is>
          <t>33(7)-V02</t>
        </is>
      </c>
      <c r="D1468" t="n">
        <v>2</v>
      </c>
      <c r="E1468" t="inlineStr">
        <is>
          <t>primary</t>
        </is>
      </c>
      <c r="F1468" t="n">
        <v>907.3251417769376</v>
      </c>
      <c r="G1468">
        <f>2*SQRT(F1468/PI())</f>
        <v/>
      </c>
      <c r="H1468" t="n">
        <v>113.3449704232423</v>
      </c>
      <c r="I1468" t="n">
        <v>873</v>
      </c>
      <c r="J1468" t="n">
        <v>575</v>
      </c>
      <c r="K1468" t="n">
        <v>889.1786389413988</v>
      </c>
      <c r="L1468" t="n">
        <v>925.4716446124763</v>
      </c>
      <c r="M1468">
        <f>2*SQRT(K1468/PI())</f>
        <v/>
      </c>
      <c r="N1468">
        <f>2*SQRT(L1468/PI())</f>
        <v/>
      </c>
      <c r="P1468" t="inlineStr">
        <is>
          <t>是</t>
        </is>
      </c>
      <c r="Q1468" t="inlineStr">
        <is>
          <t>auto_pipeline;review_png_green</t>
        </is>
      </c>
      <c r="R1468" t="inlineStr">
        <is>
          <t>样品33</t>
        </is>
      </c>
    </row>
    <row r="1469">
      <c r="A1469" t="n">
        <v>1468</v>
      </c>
      <c r="B1469" t="inlineStr">
        <is>
          <t>33 (7).tif</t>
        </is>
      </c>
      <c r="C1469" t="inlineStr">
        <is>
          <t>33(7)-V03</t>
        </is>
      </c>
      <c r="D1469" t="n">
        <v>3</v>
      </c>
      <c r="E1469" t="inlineStr">
        <is>
          <t>primary</t>
        </is>
      </c>
      <c r="F1469" t="n">
        <v>777.859168241966</v>
      </c>
      <c r="G1469">
        <f>2*SQRT(F1469/PI())</f>
        <v/>
      </c>
      <c r="H1469" t="n">
        <v>104.5656712936318</v>
      </c>
      <c r="I1469" t="n">
        <v>499</v>
      </c>
      <c r="J1469" t="n">
        <v>314</v>
      </c>
      <c r="K1469" t="n">
        <v>762.3019848771266</v>
      </c>
      <c r="L1469" t="n">
        <v>793.4163516068054</v>
      </c>
      <c r="M1469">
        <f>2*SQRT(K1469/PI())</f>
        <v/>
      </c>
      <c r="N1469">
        <f>2*SQRT(L1469/PI())</f>
        <v/>
      </c>
      <c r="O1469" t="inlineStr">
        <is>
          <t>33(7)-P01</t>
        </is>
      </c>
      <c r="P1469" t="inlineStr">
        <is>
          <t>是</t>
        </is>
      </c>
      <c r="Q1469" t="inlineStr">
        <is>
          <t>auto_pipeline;review_png_green</t>
        </is>
      </c>
      <c r="R1469" t="inlineStr">
        <is>
          <t>样品33</t>
        </is>
      </c>
    </row>
    <row r="1470">
      <c r="A1470" t="n">
        <v>1469</v>
      </c>
      <c r="B1470" t="inlineStr">
        <is>
          <t>33 (7).tif</t>
        </is>
      </c>
      <c r="C1470" t="inlineStr">
        <is>
          <t>33(7)-V04</t>
        </is>
      </c>
      <c r="D1470" t="n">
        <v>4</v>
      </c>
      <c r="E1470" t="inlineStr">
        <is>
          <t>primary</t>
        </is>
      </c>
      <c r="F1470" t="n">
        <v>541.8950850661626</v>
      </c>
      <c r="G1470">
        <f>2*SQRT(F1470/PI())</f>
        <v/>
      </c>
      <c r="H1470" t="n">
        <v>87.26176280042399</v>
      </c>
      <c r="I1470" t="n">
        <v>877</v>
      </c>
      <c r="J1470" t="n">
        <v>384</v>
      </c>
      <c r="K1470" t="n">
        <v>531.0571833648393</v>
      </c>
      <c r="L1470" t="n">
        <v>552.7329867674858</v>
      </c>
      <c r="M1470">
        <f>2*SQRT(K1470/PI())</f>
        <v/>
      </c>
      <c r="N1470">
        <f>2*SQRT(L1470/PI())</f>
        <v/>
      </c>
      <c r="P1470" t="inlineStr">
        <is>
          <t>是</t>
        </is>
      </c>
      <c r="Q1470" t="inlineStr">
        <is>
          <t>auto_pipeline;review_png_green</t>
        </is>
      </c>
      <c r="R1470" t="inlineStr">
        <is>
          <t>样品33</t>
        </is>
      </c>
    </row>
    <row r="1471">
      <c r="A1471" t="n">
        <v>1470</v>
      </c>
      <c r="B1471" t="inlineStr">
        <is>
          <t>33 (7).tif</t>
        </is>
      </c>
      <c r="C1471" t="inlineStr">
        <is>
          <t>33(7)-V05</t>
        </is>
      </c>
      <c r="D1471" t="n">
        <v>5</v>
      </c>
      <c r="E1471" t="inlineStr">
        <is>
          <t>primary</t>
        </is>
      </c>
      <c r="F1471" t="n">
        <v>487.7362948960302</v>
      </c>
      <c r="G1471">
        <f>2*SQRT(F1471/PI())</f>
        <v/>
      </c>
      <c r="H1471" t="n">
        <v>84.54757122889809</v>
      </c>
      <c r="I1471" t="n">
        <v>186</v>
      </c>
      <c r="J1471" t="n">
        <v>331</v>
      </c>
      <c r="K1471" t="n">
        <v>477.9815689981097</v>
      </c>
      <c r="L1471" t="n">
        <v>497.4910207939508</v>
      </c>
      <c r="M1471">
        <f>2*SQRT(K1471/PI())</f>
        <v/>
      </c>
      <c r="N1471">
        <f>2*SQRT(L1471/PI())</f>
        <v/>
      </c>
      <c r="P1471" t="inlineStr">
        <is>
          <t>是</t>
        </is>
      </c>
      <c r="Q1471" t="inlineStr">
        <is>
          <t>auto_pipeline;review_png_green</t>
        </is>
      </c>
      <c r="R1471" t="inlineStr">
        <is>
          <t>样品33</t>
        </is>
      </c>
    </row>
    <row r="1472">
      <c r="A1472" t="n">
        <v>1471</v>
      </c>
      <c r="B1472" t="inlineStr">
        <is>
          <t>33 (7).tif</t>
        </is>
      </c>
      <c r="C1472" t="inlineStr">
        <is>
          <t>33(7)-V06</t>
        </is>
      </c>
      <c r="D1472" t="n">
        <v>6</v>
      </c>
      <c r="E1472" t="inlineStr">
        <is>
          <t>primary</t>
        </is>
      </c>
      <c r="F1472" t="n">
        <v>308.4829867674858</v>
      </c>
      <c r="G1472">
        <f>2*SQRT(F1472/PI())</f>
        <v/>
      </c>
      <c r="H1472" t="n">
        <v>66.37409751829894</v>
      </c>
      <c r="I1472" t="n">
        <v>525</v>
      </c>
      <c r="J1472" t="n">
        <v>338</v>
      </c>
      <c r="K1472" t="n">
        <v>302.3133270321361</v>
      </c>
      <c r="L1472" t="n">
        <v>314.6526465028356</v>
      </c>
      <c r="M1472">
        <f>2*SQRT(K1472/PI())</f>
        <v/>
      </c>
      <c r="N1472">
        <f>2*SQRT(L1472/PI())</f>
        <v/>
      </c>
      <c r="P1472" t="inlineStr">
        <is>
          <t>是</t>
        </is>
      </c>
      <c r="Q1472" t="inlineStr">
        <is>
          <t>auto_pipeline;review_png_green</t>
        </is>
      </c>
      <c r="R1472" t="inlineStr">
        <is>
          <t>样品33</t>
        </is>
      </c>
    </row>
    <row r="1473">
      <c r="A1473" t="n">
        <v>1472</v>
      </c>
      <c r="B1473" t="inlineStr">
        <is>
          <t>33 (7).tif</t>
        </is>
      </c>
      <c r="C1473" t="inlineStr">
        <is>
          <t>33(7)-V07</t>
        </is>
      </c>
      <c r="D1473" t="n">
        <v>7</v>
      </c>
      <c r="E1473" t="inlineStr">
        <is>
          <t>primary</t>
        </is>
      </c>
      <c r="F1473" t="n">
        <v>185.0189035916824</v>
      </c>
      <c r="G1473">
        <f>2*SQRT(F1473/PI())</f>
        <v/>
      </c>
      <c r="H1473" t="n">
        <v>57.99868200136267</v>
      </c>
      <c r="I1473" t="n">
        <v>72</v>
      </c>
      <c r="J1473" t="n">
        <v>430</v>
      </c>
      <c r="K1473" t="n">
        <v>181.3185255198488</v>
      </c>
      <c r="L1473" t="n">
        <v>188.7192816635161</v>
      </c>
      <c r="M1473">
        <f>2*SQRT(K1473/PI())</f>
        <v/>
      </c>
      <c r="N1473">
        <f>2*SQRT(L1473/PI())</f>
        <v/>
      </c>
      <c r="P1473" t="inlineStr">
        <is>
          <t>是</t>
        </is>
      </c>
      <c r="Q1473" t="inlineStr">
        <is>
          <t>auto_pipeline;review_png_green</t>
        </is>
      </c>
      <c r="R1473" t="inlineStr">
        <is>
          <t>样品33</t>
        </is>
      </c>
    </row>
    <row r="1474">
      <c r="A1474" t="n">
        <v>1473</v>
      </c>
      <c r="B1474" t="inlineStr">
        <is>
          <t>33 (8).tif</t>
        </is>
      </c>
      <c r="C1474" t="inlineStr">
        <is>
          <t>33(8)-V01</t>
        </is>
      </c>
      <c r="D1474" t="n">
        <v>1</v>
      </c>
      <c r="E1474" t="inlineStr">
        <is>
          <t>primary</t>
        </is>
      </c>
      <c r="F1474" t="n">
        <v>377.5283553875236</v>
      </c>
      <c r="G1474">
        <f>2*SQRT(F1474/PI())</f>
        <v/>
      </c>
      <c r="H1474" t="n">
        <v>72.92673564475515</v>
      </c>
      <c r="I1474" t="n">
        <v>444</v>
      </c>
      <c r="J1474" t="n">
        <v>410</v>
      </c>
      <c r="K1474" t="n">
        <v>369.9777882797732</v>
      </c>
      <c r="L1474" t="n">
        <v>385.0789224952741</v>
      </c>
      <c r="M1474">
        <f>2*SQRT(K1474/PI())</f>
        <v/>
      </c>
      <c r="N1474">
        <f>2*SQRT(L1474/PI())</f>
        <v/>
      </c>
      <c r="P1474" t="inlineStr">
        <is>
          <t>是</t>
        </is>
      </c>
      <c r="Q1474" t="inlineStr">
        <is>
          <t>auto_pipeline;review_png_green</t>
        </is>
      </c>
      <c r="R1474" t="inlineStr">
        <is>
          <t>样品33</t>
        </is>
      </c>
    </row>
    <row r="1475">
      <c r="A1475" t="n">
        <v>1474</v>
      </c>
      <c r="B1475" t="inlineStr">
        <is>
          <t>33 (8).tif</t>
        </is>
      </c>
      <c r="C1475" t="inlineStr">
        <is>
          <t>33(8)-V02</t>
        </is>
      </c>
      <c r="D1475" t="n">
        <v>2</v>
      </c>
      <c r="E1475" t="inlineStr">
        <is>
          <t>primary</t>
        </is>
      </c>
      <c r="F1475" t="n">
        <v>317.7693761814745</v>
      </c>
      <c r="G1475">
        <f>2*SQRT(F1475/PI())</f>
        <v/>
      </c>
      <c r="H1475" t="n">
        <v>67.11631785268369</v>
      </c>
      <c r="I1475" t="n">
        <v>871</v>
      </c>
      <c r="J1475" t="n">
        <v>624</v>
      </c>
      <c r="K1475" t="n">
        <v>311.413988657845</v>
      </c>
      <c r="L1475" t="n">
        <v>324.1247637051039</v>
      </c>
      <c r="M1475">
        <f>2*SQRT(K1475/PI())</f>
        <v/>
      </c>
      <c r="N1475">
        <f>2*SQRT(L1475/PI())</f>
        <v/>
      </c>
      <c r="P1475" t="inlineStr">
        <is>
          <t>是</t>
        </is>
      </c>
      <c r="Q1475" t="inlineStr">
        <is>
          <t>auto_pipeline;review_png_green</t>
        </is>
      </c>
      <c r="R1475" t="inlineStr">
        <is>
          <t>样品33</t>
        </is>
      </c>
    </row>
    <row r="1476">
      <c r="A1476" t="n">
        <v>1475</v>
      </c>
      <c r="B1476" t="inlineStr">
        <is>
          <t>33 (8).tif</t>
        </is>
      </c>
      <c r="C1476" t="inlineStr">
        <is>
          <t>33(8)-V03</t>
        </is>
      </c>
      <c r="D1476" t="n">
        <v>3</v>
      </c>
      <c r="E1476" t="inlineStr">
        <is>
          <t>primary</t>
        </is>
      </c>
      <c r="F1476" t="n">
        <v>306.1436672967864</v>
      </c>
      <c r="G1476">
        <f>2*SQRT(F1476/PI())</f>
        <v/>
      </c>
      <c r="H1476" t="n">
        <v>65.88656694992729</v>
      </c>
      <c r="I1476" t="n">
        <v>540</v>
      </c>
      <c r="J1476" t="n">
        <v>343</v>
      </c>
      <c r="K1476" t="n">
        <v>300.0207939508507</v>
      </c>
      <c r="L1476" t="n">
        <v>312.2665406427221</v>
      </c>
      <c r="M1476">
        <f>2*SQRT(K1476/PI())</f>
        <v/>
      </c>
      <c r="N1476">
        <f>2*SQRT(L1476/PI())</f>
        <v/>
      </c>
      <c r="P1476" t="inlineStr">
        <is>
          <t>是</t>
        </is>
      </c>
      <c r="Q1476" t="inlineStr">
        <is>
          <t>auto_pipeline;review_png_green</t>
        </is>
      </c>
      <c r="R1476" t="inlineStr">
        <is>
          <t>样品33</t>
        </is>
      </c>
    </row>
    <row r="1477">
      <c r="A1477" t="n">
        <v>1476</v>
      </c>
      <c r="B1477" t="inlineStr">
        <is>
          <t>33 (8).tif</t>
        </is>
      </c>
      <c r="C1477" t="inlineStr">
        <is>
          <t>33(8)-V04</t>
        </is>
      </c>
      <c r="D1477" t="n">
        <v>4</v>
      </c>
      <c r="E1477" t="inlineStr">
        <is>
          <t>primary</t>
        </is>
      </c>
      <c r="F1477" t="n">
        <v>248.086011342155</v>
      </c>
      <c r="G1477">
        <f>2*SQRT(F1477/PI())</f>
        <v/>
      </c>
      <c r="H1477" t="n">
        <v>62.28096119735552</v>
      </c>
      <c r="I1477" t="n">
        <v>235</v>
      </c>
      <c r="J1477" t="n">
        <v>540</v>
      </c>
      <c r="K1477" t="n">
        <v>243.1242911153119</v>
      </c>
      <c r="L1477" t="n">
        <v>253.0477315689981</v>
      </c>
      <c r="M1477">
        <f>2*SQRT(K1477/PI())</f>
        <v/>
      </c>
      <c r="N1477">
        <f>2*SQRT(L1477/PI())</f>
        <v/>
      </c>
      <c r="P1477" t="inlineStr">
        <is>
          <t>是</t>
        </is>
      </c>
      <c r="Q1477" t="inlineStr">
        <is>
          <t>auto_pipeline;review_png_green</t>
        </is>
      </c>
      <c r="R1477" t="inlineStr">
        <is>
          <t>样品33</t>
        </is>
      </c>
    </row>
    <row r="1478">
      <c r="A1478" t="n">
        <v>1477</v>
      </c>
      <c r="B1478" t="inlineStr">
        <is>
          <t>33 (8).tif</t>
        </is>
      </c>
      <c r="C1478" t="inlineStr">
        <is>
          <t>33(8)-V05</t>
        </is>
      </c>
      <c r="D1478" t="n">
        <v>5</v>
      </c>
      <c r="E1478" t="inlineStr">
        <is>
          <t>primary</t>
        </is>
      </c>
      <c r="F1478" t="n">
        <v>231.9234404536862</v>
      </c>
      <c r="G1478">
        <f>2*SQRT(F1478/PI())</f>
        <v/>
      </c>
      <c r="H1478" t="n">
        <v>60.28714099655981</v>
      </c>
      <c r="I1478" t="n">
        <v>64</v>
      </c>
      <c r="J1478" t="n">
        <v>127</v>
      </c>
      <c r="K1478" t="n">
        <v>227.2849716446125</v>
      </c>
      <c r="L1478" t="n">
        <v>236.5619092627599</v>
      </c>
      <c r="M1478">
        <f>2*SQRT(K1478/PI())</f>
        <v/>
      </c>
      <c r="N1478">
        <f>2*SQRT(L1478/PI())</f>
        <v/>
      </c>
      <c r="P1478" t="inlineStr">
        <is>
          <t>是</t>
        </is>
      </c>
      <c r="Q1478" t="inlineStr">
        <is>
          <t>auto_pipeline;review_png_green</t>
        </is>
      </c>
      <c r="R1478" t="inlineStr">
        <is>
          <t>样品33</t>
        </is>
      </c>
    </row>
    <row r="1479">
      <c r="A1479" t="n">
        <v>1478</v>
      </c>
      <c r="B1479" t="inlineStr">
        <is>
          <t>34 (1).tif</t>
        </is>
      </c>
      <c r="C1479" t="inlineStr">
        <is>
          <t>34(1)-V01</t>
        </is>
      </c>
      <c r="D1479" t="n">
        <v>1</v>
      </c>
      <c r="E1479" t="inlineStr">
        <is>
          <t>primary</t>
        </is>
      </c>
      <c r="F1479" t="n">
        <v>1194.588846880907</v>
      </c>
      <c r="G1479">
        <f>2*SQRT(F1479/PI())</f>
        <v/>
      </c>
      <c r="H1479" t="n">
        <v>130.8817197188087</v>
      </c>
      <c r="I1479" t="n">
        <v>458</v>
      </c>
      <c r="J1479" t="n">
        <v>457</v>
      </c>
      <c r="K1479" t="n">
        <v>1170.697069943289</v>
      </c>
      <c r="L1479" t="n">
        <v>1218.480623818526</v>
      </c>
      <c r="M1479">
        <f>2*SQRT(K1479/PI())</f>
        <v/>
      </c>
      <c r="N1479">
        <f>2*SQRT(L1479/PI())</f>
        <v/>
      </c>
      <c r="P1479" t="inlineStr">
        <is>
          <t>是</t>
        </is>
      </c>
      <c r="Q1479" t="inlineStr">
        <is>
          <t>auto_pipeline;review_png_green</t>
        </is>
      </c>
      <c r="R1479" t="inlineStr">
        <is>
          <t>样品34</t>
        </is>
      </c>
    </row>
    <row r="1480">
      <c r="A1480" t="n">
        <v>1479</v>
      </c>
      <c r="B1480" t="inlineStr">
        <is>
          <t>34 (1).tif</t>
        </is>
      </c>
      <c r="C1480" t="inlineStr">
        <is>
          <t>34(1)-V02</t>
        </is>
      </c>
      <c r="D1480" t="n">
        <v>2</v>
      </c>
      <c r="E1480" t="inlineStr">
        <is>
          <t>primary</t>
        </is>
      </c>
      <c r="F1480" t="n">
        <v>215.2646502835539</v>
      </c>
      <c r="G1480">
        <f>2*SQRT(F1480/PI())</f>
        <v/>
      </c>
      <c r="H1480" t="n">
        <v>57.70029430804045</v>
      </c>
      <c r="I1480" t="n">
        <v>162</v>
      </c>
      <c r="J1480" t="n">
        <v>540</v>
      </c>
      <c r="K1480" t="n">
        <v>210.9593572778828</v>
      </c>
      <c r="L1480" t="n">
        <v>219.5699432892249</v>
      </c>
      <c r="M1480">
        <f>2*SQRT(K1480/PI())</f>
        <v/>
      </c>
      <c r="N1480">
        <f>2*SQRT(L1480/PI())</f>
        <v/>
      </c>
      <c r="P1480" t="inlineStr">
        <is>
          <t>是</t>
        </is>
      </c>
      <c r="Q1480" t="inlineStr">
        <is>
          <t>auto_pipeline;review_png_green</t>
        </is>
      </c>
      <c r="R1480" t="inlineStr">
        <is>
          <t>样品34</t>
        </is>
      </c>
    </row>
    <row r="1481">
      <c r="A1481" t="n">
        <v>1480</v>
      </c>
      <c r="B1481" t="inlineStr">
        <is>
          <t>34 (1).tif</t>
        </is>
      </c>
      <c r="C1481" t="inlineStr">
        <is>
          <t>34(1)-V03</t>
        </is>
      </c>
      <c r="D1481" t="n">
        <v>3</v>
      </c>
      <c r="E1481" t="inlineStr">
        <is>
          <t>primary</t>
        </is>
      </c>
      <c r="F1481" t="n">
        <v>189.5557655954631</v>
      </c>
      <c r="G1481">
        <f>2*SQRT(F1481/PI())</f>
        <v/>
      </c>
      <c r="H1481" t="n">
        <v>64.9552037404931</v>
      </c>
      <c r="I1481" t="n">
        <v>269</v>
      </c>
      <c r="J1481" t="n">
        <v>281</v>
      </c>
      <c r="K1481" t="n">
        <v>185.7646502835539</v>
      </c>
      <c r="L1481" t="n">
        <v>193.3468809073724</v>
      </c>
      <c r="M1481">
        <f>2*SQRT(K1481/PI())</f>
        <v/>
      </c>
      <c r="N1481">
        <f>2*SQRT(L1481/PI())</f>
        <v/>
      </c>
      <c r="P1481" t="inlineStr">
        <is>
          <t>是</t>
        </is>
      </c>
      <c r="Q1481" t="inlineStr">
        <is>
          <t>auto_pipeline;review_png_green</t>
        </is>
      </c>
      <c r="R1481" t="inlineStr">
        <is>
          <t>样品34</t>
        </is>
      </c>
    </row>
    <row r="1482">
      <c r="A1482" t="n">
        <v>1481</v>
      </c>
      <c r="B1482" t="inlineStr">
        <is>
          <t>34 (1).tif</t>
        </is>
      </c>
      <c r="C1482" t="inlineStr">
        <is>
          <t>34(1)-V04</t>
        </is>
      </c>
      <c r="D1482" t="n">
        <v>4</v>
      </c>
      <c r="E1482" t="inlineStr">
        <is>
          <t>primary</t>
        </is>
      </c>
      <c r="F1482" t="n">
        <v>188.7759924385633</v>
      </c>
      <c r="G1482">
        <f>2*SQRT(F1482/PI())</f>
        <v/>
      </c>
      <c r="H1482" t="n">
        <v>55.21894353887309</v>
      </c>
      <c r="I1482" t="n">
        <v>205</v>
      </c>
      <c r="J1482" t="n">
        <v>593</v>
      </c>
      <c r="K1482" t="n">
        <v>185.0004725897921</v>
      </c>
      <c r="L1482" t="n">
        <v>192.5515122873346</v>
      </c>
      <c r="M1482">
        <f>2*SQRT(K1482/PI())</f>
        <v/>
      </c>
      <c r="N1482">
        <f>2*SQRT(L1482/PI())</f>
        <v/>
      </c>
      <c r="P1482" t="inlineStr">
        <is>
          <t>是</t>
        </is>
      </c>
      <c r="Q1482" t="inlineStr">
        <is>
          <t>auto_pipeline;review_png_green</t>
        </is>
      </c>
      <c r="R1482" t="inlineStr">
        <is>
          <t>样品34</t>
        </is>
      </c>
    </row>
    <row r="1483">
      <c r="A1483" t="n">
        <v>1482</v>
      </c>
      <c r="B1483" t="inlineStr">
        <is>
          <t>34 (1).tif</t>
        </is>
      </c>
      <c r="C1483" t="inlineStr">
        <is>
          <t>34(1)-V05</t>
        </is>
      </c>
      <c r="D1483" t="n">
        <v>5</v>
      </c>
      <c r="E1483" t="inlineStr">
        <is>
          <t>primary</t>
        </is>
      </c>
      <c r="F1483" t="n">
        <v>128.5916824196597</v>
      </c>
      <c r="G1483">
        <f>2*SQRT(F1483/PI())</f>
        <v/>
      </c>
      <c r="H1483" t="n">
        <v>42.64489578164142</v>
      </c>
      <c r="I1483" t="n">
        <v>136</v>
      </c>
      <c r="J1483" t="n">
        <v>461</v>
      </c>
      <c r="K1483" t="n">
        <v>126.0198487712666</v>
      </c>
      <c r="L1483" t="n">
        <v>131.163516068053</v>
      </c>
      <c r="M1483">
        <f>2*SQRT(K1483/PI())</f>
        <v/>
      </c>
      <c r="N1483">
        <f>2*SQRT(L1483/PI())</f>
        <v/>
      </c>
      <c r="P1483" t="inlineStr">
        <is>
          <t>是</t>
        </is>
      </c>
      <c r="Q1483" t="inlineStr">
        <is>
          <t>auto_pipeline;review_png_green</t>
        </is>
      </c>
      <c r="R1483" t="inlineStr">
        <is>
          <t>样品34</t>
        </is>
      </c>
    </row>
    <row r="1484">
      <c r="A1484" t="n">
        <v>1483</v>
      </c>
      <c r="B1484" t="inlineStr">
        <is>
          <t>34 (2).tif</t>
        </is>
      </c>
      <c r="C1484" t="inlineStr">
        <is>
          <t>34(2)-V01</t>
        </is>
      </c>
      <c r="D1484" t="n">
        <v>1</v>
      </c>
      <c r="E1484" t="inlineStr">
        <is>
          <t>primary</t>
        </is>
      </c>
      <c r="F1484" t="n">
        <v>3438.04347826087</v>
      </c>
      <c r="G1484">
        <f>2*SQRT(F1484/PI())</f>
        <v/>
      </c>
      <c r="H1484" t="n">
        <v>222.3421147595281</v>
      </c>
      <c r="I1484" t="n">
        <v>427</v>
      </c>
      <c r="J1484" t="n">
        <v>200</v>
      </c>
      <c r="K1484" t="n">
        <v>3369.282608695652</v>
      </c>
      <c r="L1484" t="n">
        <v>3506.804347826087</v>
      </c>
      <c r="M1484">
        <f>2*SQRT(K1484/PI())</f>
        <v/>
      </c>
      <c r="N1484">
        <f>2*SQRT(L1484/PI())</f>
        <v/>
      </c>
      <c r="P1484" t="inlineStr">
        <is>
          <t>是</t>
        </is>
      </c>
      <c r="Q1484" t="inlineStr">
        <is>
          <t>auto_pipeline;review_png_green</t>
        </is>
      </c>
      <c r="R1484" t="inlineStr">
        <is>
          <t>样品34</t>
        </is>
      </c>
    </row>
    <row r="1485">
      <c r="A1485" t="n">
        <v>1484</v>
      </c>
      <c r="B1485" t="inlineStr">
        <is>
          <t>34 (2).tif</t>
        </is>
      </c>
      <c r="C1485" t="inlineStr">
        <is>
          <t>34(2)-V02</t>
        </is>
      </c>
      <c r="D1485" t="n">
        <v>2</v>
      </c>
      <c r="E1485" t="inlineStr">
        <is>
          <t>primary</t>
        </is>
      </c>
      <c r="F1485" t="n">
        <v>796.3846880907372</v>
      </c>
      <c r="G1485">
        <f>2*SQRT(F1485/PI())</f>
        <v/>
      </c>
      <c r="H1485" t="n">
        <v>109.6775666786277</v>
      </c>
      <c r="I1485" t="n">
        <v>963</v>
      </c>
      <c r="J1485" t="n">
        <v>187</v>
      </c>
      <c r="K1485" t="n">
        <v>780.4569943289224</v>
      </c>
      <c r="L1485" t="n">
        <v>812.312381852552</v>
      </c>
      <c r="M1485">
        <f>2*SQRT(K1485/PI())</f>
        <v/>
      </c>
      <c r="N1485">
        <f>2*SQRT(L1485/PI())</f>
        <v/>
      </c>
      <c r="P1485" t="inlineStr">
        <is>
          <t>是</t>
        </is>
      </c>
      <c r="Q1485" t="inlineStr">
        <is>
          <t>auto_pipeline;review_png_green</t>
        </is>
      </c>
      <c r="R1485" t="inlineStr">
        <is>
          <t>样品34</t>
        </is>
      </c>
    </row>
    <row r="1486">
      <c r="A1486" t="n">
        <v>1485</v>
      </c>
      <c r="B1486" t="inlineStr">
        <is>
          <t>34 (2).tif</t>
        </is>
      </c>
      <c r="C1486" t="inlineStr">
        <is>
          <t>34(2)-V03</t>
        </is>
      </c>
      <c r="D1486" t="n">
        <v>3</v>
      </c>
      <c r="E1486" t="inlineStr">
        <is>
          <t>primary</t>
        </is>
      </c>
      <c r="F1486" t="n">
        <v>723.5822306238185</v>
      </c>
      <c r="G1486">
        <f>2*SQRT(F1486/PI())</f>
        <v/>
      </c>
      <c r="H1486" t="n">
        <v>101.1092593877212</v>
      </c>
      <c r="I1486" t="n">
        <v>492</v>
      </c>
      <c r="J1486" t="n">
        <v>462</v>
      </c>
      <c r="K1486" t="n">
        <v>709.1105860113421</v>
      </c>
      <c r="L1486" t="n">
        <v>738.053875236295</v>
      </c>
      <c r="M1486">
        <f>2*SQRT(K1486/PI())</f>
        <v/>
      </c>
      <c r="N1486">
        <f>2*SQRT(L1486/PI())</f>
        <v/>
      </c>
      <c r="O1486" t="inlineStr">
        <is>
          <t>34(2)-P01</t>
        </is>
      </c>
      <c r="P1486" t="inlineStr">
        <is>
          <t>是</t>
        </is>
      </c>
      <c r="Q1486" t="inlineStr">
        <is>
          <t>auto_pipeline;review_png_green</t>
        </is>
      </c>
      <c r="R1486" t="inlineStr">
        <is>
          <t>样品34</t>
        </is>
      </c>
    </row>
    <row r="1487">
      <c r="A1487" t="n">
        <v>1486</v>
      </c>
      <c r="B1487" t="inlineStr">
        <is>
          <t>34 (2).tif</t>
        </is>
      </c>
      <c r="C1487" t="inlineStr">
        <is>
          <t>34(2)-V04</t>
        </is>
      </c>
      <c r="D1487" t="n">
        <v>4</v>
      </c>
      <c r="E1487" t="inlineStr">
        <is>
          <t>primary</t>
        </is>
      </c>
      <c r="F1487" t="n">
        <v>723.2514177693762</v>
      </c>
      <c r="G1487">
        <f>2*SQRT(F1487/PI())</f>
        <v/>
      </c>
      <c r="H1487" t="n">
        <v>102.3390102904776</v>
      </c>
      <c r="I1487" t="n">
        <v>510</v>
      </c>
      <c r="J1487" t="n">
        <v>275</v>
      </c>
      <c r="K1487" t="n">
        <v>708.7863894139887</v>
      </c>
      <c r="L1487" t="n">
        <v>737.7164461247637</v>
      </c>
      <c r="M1487">
        <f>2*SQRT(K1487/PI())</f>
        <v/>
      </c>
      <c r="N1487">
        <f>2*SQRT(L1487/PI())</f>
        <v/>
      </c>
      <c r="O1487" t="inlineStr">
        <is>
          <t>34(2)-P01</t>
        </is>
      </c>
      <c r="P1487" t="inlineStr">
        <is>
          <t>是</t>
        </is>
      </c>
      <c r="Q1487" t="inlineStr">
        <is>
          <t>auto_pipeline;review_png_green</t>
        </is>
      </c>
      <c r="R1487" t="inlineStr">
        <is>
          <t>样品34</t>
        </is>
      </c>
    </row>
    <row r="1488">
      <c r="A1488" t="n">
        <v>1487</v>
      </c>
      <c r="B1488" t="inlineStr">
        <is>
          <t>34 (2).tif</t>
        </is>
      </c>
      <c r="C1488" t="inlineStr">
        <is>
          <t>34(2)-V05</t>
        </is>
      </c>
      <c r="D1488" t="n">
        <v>5</v>
      </c>
      <c r="E1488" t="inlineStr">
        <is>
          <t>primary</t>
        </is>
      </c>
      <c r="F1488" t="n">
        <v>192.9347826086957</v>
      </c>
      <c r="G1488">
        <f>2*SQRT(F1488/PI())</f>
        <v/>
      </c>
      <c r="H1488" t="n">
        <v>58.69720440843831</v>
      </c>
      <c r="I1488" t="n">
        <v>970</v>
      </c>
      <c r="J1488" t="n">
        <v>322</v>
      </c>
      <c r="K1488" t="n">
        <v>189.0760869565217</v>
      </c>
      <c r="L1488" t="n">
        <v>196.7934782608696</v>
      </c>
      <c r="M1488">
        <f>2*SQRT(K1488/PI())</f>
        <v/>
      </c>
      <c r="N1488">
        <f>2*SQRT(L1488/PI())</f>
        <v/>
      </c>
      <c r="P1488" t="inlineStr">
        <is>
          <t>是</t>
        </is>
      </c>
      <c r="Q1488" t="inlineStr">
        <is>
          <t>auto_pipeline;review_png_green</t>
        </is>
      </c>
      <c r="R1488" t="inlineStr">
        <is>
          <t>样品34</t>
        </is>
      </c>
    </row>
    <row r="1489">
      <c r="A1489" t="n">
        <v>1488</v>
      </c>
      <c r="B1489" t="inlineStr">
        <is>
          <t>34 (2).tif</t>
        </is>
      </c>
      <c r="C1489" t="inlineStr">
        <is>
          <t>34(2)-V06</t>
        </is>
      </c>
      <c r="D1489" t="n">
        <v>6</v>
      </c>
      <c r="E1489" t="inlineStr">
        <is>
          <t>primary</t>
        </is>
      </c>
      <c r="F1489" t="n">
        <v>140.1937618147448</v>
      </c>
      <c r="G1489">
        <f>2*SQRT(F1489/PI())</f>
        <v/>
      </c>
      <c r="H1489" t="n">
        <v>44.87155678479568</v>
      </c>
      <c r="I1489" t="n">
        <v>479</v>
      </c>
      <c r="J1489" t="n">
        <v>584</v>
      </c>
      <c r="K1489" t="n">
        <v>137.3898865784499</v>
      </c>
      <c r="L1489" t="n">
        <v>142.9976370510397</v>
      </c>
      <c r="M1489">
        <f>2*SQRT(K1489/PI())</f>
        <v/>
      </c>
      <c r="N1489">
        <f>2*SQRT(L1489/PI())</f>
        <v/>
      </c>
      <c r="P1489" t="inlineStr">
        <is>
          <t>是</t>
        </is>
      </c>
      <c r="Q1489" t="inlineStr">
        <is>
          <t>auto_pipeline;review_png_green</t>
        </is>
      </c>
      <c r="R1489" t="inlineStr">
        <is>
          <t>样品34</t>
        </is>
      </c>
    </row>
    <row r="1490">
      <c r="A1490" t="n">
        <v>1489</v>
      </c>
      <c r="B1490" t="inlineStr">
        <is>
          <t>34 (2).tif</t>
        </is>
      </c>
      <c r="C1490" t="inlineStr">
        <is>
          <t>34(2)-V07</t>
        </is>
      </c>
      <c r="D1490" t="n">
        <v>7</v>
      </c>
      <c r="E1490" t="inlineStr">
        <is>
          <t>primary</t>
        </is>
      </c>
      <c r="F1490" t="n">
        <v>130.8837429111531</v>
      </c>
      <c r="G1490">
        <f>2*SQRT(F1490/PI())</f>
        <v/>
      </c>
      <c r="H1490" t="n">
        <v>48.15692588039067</v>
      </c>
      <c r="I1490" t="n">
        <v>275</v>
      </c>
      <c r="J1490" t="n">
        <v>407</v>
      </c>
      <c r="K1490" t="n">
        <v>128.2660680529301</v>
      </c>
      <c r="L1490" t="n">
        <v>133.5014177693762</v>
      </c>
      <c r="M1490">
        <f>2*SQRT(K1490/PI())</f>
        <v/>
      </c>
      <c r="N1490">
        <f>2*SQRT(L1490/PI())</f>
        <v/>
      </c>
      <c r="P1490" t="inlineStr">
        <is>
          <t>是</t>
        </is>
      </c>
      <c r="Q1490" t="inlineStr">
        <is>
          <t>auto_pipeline;review_png_green</t>
        </is>
      </c>
      <c r="R1490" t="inlineStr">
        <is>
          <t>样品34</t>
        </is>
      </c>
    </row>
    <row r="1491">
      <c r="A1491" t="n">
        <v>1490</v>
      </c>
      <c r="B1491" t="inlineStr">
        <is>
          <t>34 (3).tif</t>
        </is>
      </c>
      <c r="C1491" t="inlineStr">
        <is>
          <t>34(3)-V01</t>
        </is>
      </c>
      <c r="D1491" t="n">
        <v>1</v>
      </c>
      <c r="E1491" t="inlineStr">
        <is>
          <t>primary</t>
        </is>
      </c>
      <c r="F1491" t="n">
        <v>867.5330812854443</v>
      </c>
      <c r="G1491">
        <f>2*SQRT(F1491/PI())</f>
        <v/>
      </c>
      <c r="H1491" t="n">
        <v>111.5003440691077</v>
      </c>
      <c r="I1491" t="n">
        <v>509</v>
      </c>
      <c r="J1491" t="n">
        <v>491</v>
      </c>
      <c r="K1491" t="n">
        <v>850.1824196597354</v>
      </c>
      <c r="L1491" t="n">
        <v>884.8837429111531</v>
      </c>
      <c r="M1491">
        <f>2*SQRT(K1491/PI())</f>
        <v/>
      </c>
      <c r="N1491">
        <f>2*SQRT(L1491/PI())</f>
        <v/>
      </c>
      <c r="P1491" t="inlineStr">
        <is>
          <t>是</t>
        </is>
      </c>
      <c r="Q1491" t="inlineStr">
        <is>
          <t>auto_pipeline;review_png_green</t>
        </is>
      </c>
      <c r="R1491" t="inlineStr">
        <is>
          <t>样品34</t>
        </is>
      </c>
    </row>
    <row r="1492">
      <c r="A1492" t="n">
        <v>1491</v>
      </c>
      <c r="B1492" t="inlineStr">
        <is>
          <t>34 (3).tif</t>
        </is>
      </c>
      <c r="C1492" t="inlineStr">
        <is>
          <t>34(3)-V02</t>
        </is>
      </c>
      <c r="D1492" t="n">
        <v>2</v>
      </c>
      <c r="E1492" t="inlineStr">
        <is>
          <t>primary</t>
        </is>
      </c>
      <c r="F1492" t="n">
        <v>566.304347826087</v>
      </c>
      <c r="G1492">
        <f>2*SQRT(F1492/PI())</f>
        <v/>
      </c>
      <c r="H1492" t="n">
        <v>90.89826754901721</v>
      </c>
      <c r="I1492" t="n">
        <v>60</v>
      </c>
      <c r="J1492" t="n">
        <v>577</v>
      </c>
      <c r="K1492" t="n">
        <v>554.9782608695652</v>
      </c>
      <c r="L1492" t="n">
        <v>577.6304347826087</v>
      </c>
      <c r="M1492">
        <f>2*SQRT(K1492/PI())</f>
        <v/>
      </c>
      <c r="N1492">
        <f>2*SQRT(L1492/PI())</f>
        <v/>
      </c>
      <c r="P1492" t="inlineStr">
        <is>
          <t>是</t>
        </is>
      </c>
      <c r="Q1492" t="inlineStr">
        <is>
          <t>auto_pipeline;review_png_green</t>
        </is>
      </c>
      <c r="R1492" t="inlineStr">
        <is>
          <t>样品34</t>
        </is>
      </c>
    </row>
    <row r="1493">
      <c r="A1493" t="n">
        <v>1492</v>
      </c>
      <c r="B1493" t="inlineStr">
        <is>
          <t>34 (3).tif</t>
        </is>
      </c>
      <c r="C1493" t="inlineStr">
        <is>
          <t>34(3)-V03</t>
        </is>
      </c>
      <c r="D1493" t="n">
        <v>3</v>
      </c>
      <c r="E1493" t="inlineStr">
        <is>
          <t>primary</t>
        </is>
      </c>
      <c r="F1493" t="n">
        <v>504.0170132325142</v>
      </c>
      <c r="G1493">
        <f>2*SQRT(F1493/PI())</f>
        <v/>
      </c>
      <c r="H1493" t="n">
        <v>85.79917109530905</v>
      </c>
      <c r="I1493" t="n">
        <v>508</v>
      </c>
      <c r="J1493" t="n">
        <v>293</v>
      </c>
      <c r="K1493" t="n">
        <v>493.9366729678638</v>
      </c>
      <c r="L1493" t="n">
        <v>514.0973534971645</v>
      </c>
      <c r="M1493">
        <f>2*SQRT(K1493/PI())</f>
        <v/>
      </c>
      <c r="N1493">
        <f>2*SQRT(L1493/PI())</f>
        <v/>
      </c>
      <c r="P1493" t="inlineStr">
        <is>
          <t>是</t>
        </is>
      </c>
      <c r="Q1493" t="inlineStr">
        <is>
          <t>auto_pipeline;review_png_green</t>
        </is>
      </c>
      <c r="R1493" t="inlineStr">
        <is>
          <t>样品34</t>
        </is>
      </c>
    </row>
    <row r="1494">
      <c r="A1494" t="n">
        <v>1493</v>
      </c>
      <c r="B1494" t="inlineStr">
        <is>
          <t>34 (3).tif</t>
        </is>
      </c>
      <c r="C1494" t="inlineStr">
        <is>
          <t>34(3)-V04</t>
        </is>
      </c>
      <c r="D1494" t="n">
        <v>4</v>
      </c>
      <c r="E1494" t="inlineStr">
        <is>
          <t>primary</t>
        </is>
      </c>
      <c r="F1494" t="n">
        <v>179.0642722117202</v>
      </c>
      <c r="G1494">
        <f>2*SQRT(F1494/PI())</f>
        <v/>
      </c>
      <c r="H1494" t="n">
        <v>51.80622956027155</v>
      </c>
      <c r="I1494" t="n">
        <v>223</v>
      </c>
      <c r="J1494" t="n">
        <v>124</v>
      </c>
      <c r="K1494" t="n">
        <v>175.4829867674858</v>
      </c>
      <c r="L1494" t="n">
        <v>182.6455576559546</v>
      </c>
      <c r="M1494">
        <f>2*SQRT(K1494/PI())</f>
        <v/>
      </c>
      <c r="N1494">
        <f>2*SQRT(L1494/PI())</f>
        <v/>
      </c>
      <c r="P1494" t="inlineStr">
        <is>
          <t>是</t>
        </is>
      </c>
      <c r="Q1494" t="inlineStr">
        <is>
          <t>auto_pipeline;review_png_green</t>
        </is>
      </c>
      <c r="R1494" t="inlineStr">
        <is>
          <t>样品34</t>
        </is>
      </c>
    </row>
    <row r="1495">
      <c r="A1495" t="n">
        <v>1494</v>
      </c>
      <c r="B1495" t="inlineStr">
        <is>
          <t>34 (3).tif</t>
        </is>
      </c>
      <c r="C1495" t="inlineStr">
        <is>
          <t>34(3)-V05</t>
        </is>
      </c>
      <c r="D1495" t="n">
        <v>5</v>
      </c>
      <c r="E1495" t="inlineStr">
        <is>
          <t>primary</t>
        </is>
      </c>
      <c r="F1495" t="n">
        <v>109.9716446124764</v>
      </c>
      <c r="G1495">
        <f>2*SQRT(F1495/PI())</f>
        <v/>
      </c>
      <c r="H1495" t="n">
        <v>39.93070421011551</v>
      </c>
      <c r="I1495" t="n">
        <v>863</v>
      </c>
      <c r="J1495" t="n">
        <v>166</v>
      </c>
      <c r="K1495" t="n">
        <v>107.7722117202268</v>
      </c>
      <c r="L1495" t="n">
        <v>112.1710775047259</v>
      </c>
      <c r="M1495">
        <f>2*SQRT(K1495/PI())</f>
        <v/>
      </c>
      <c r="N1495">
        <f>2*SQRT(L1495/PI())</f>
        <v/>
      </c>
      <c r="P1495" t="inlineStr">
        <is>
          <t>是</t>
        </is>
      </c>
      <c r="Q1495" t="inlineStr">
        <is>
          <t>auto_pipeline;review_png_green</t>
        </is>
      </c>
      <c r="R1495" t="inlineStr">
        <is>
          <t>样品34</t>
        </is>
      </c>
    </row>
    <row r="1496">
      <c r="A1496" t="n">
        <v>1495</v>
      </c>
      <c r="B1496" t="inlineStr">
        <is>
          <t>34 (4).tif</t>
        </is>
      </c>
      <c r="C1496" t="inlineStr">
        <is>
          <t>34(4)-V01</t>
        </is>
      </c>
      <c r="D1496" t="n">
        <v>1</v>
      </c>
      <c r="E1496" t="inlineStr">
        <is>
          <t>primary</t>
        </is>
      </c>
      <c r="F1496" t="n">
        <v>714.413988657845</v>
      </c>
      <c r="G1496">
        <f>2*SQRT(F1496/PI())</f>
        <v/>
      </c>
      <c r="H1496" t="n">
        <v>102.5937000564907</v>
      </c>
      <c r="I1496" t="n">
        <v>484</v>
      </c>
      <c r="J1496" t="n">
        <v>429</v>
      </c>
      <c r="K1496" t="n">
        <v>700.1257088846882</v>
      </c>
      <c r="L1496" t="n">
        <v>728.7022684310019</v>
      </c>
      <c r="M1496">
        <f>2*SQRT(K1496/PI())</f>
        <v/>
      </c>
      <c r="N1496">
        <f>2*SQRT(L1496/PI())</f>
        <v/>
      </c>
      <c r="P1496" t="inlineStr">
        <is>
          <t>是</t>
        </is>
      </c>
      <c r="Q1496" t="inlineStr">
        <is>
          <t>auto_pipeline;review_png_green</t>
        </is>
      </c>
      <c r="R1496" t="inlineStr">
        <is>
          <t>样品34</t>
        </is>
      </c>
    </row>
    <row r="1497">
      <c r="A1497" t="n">
        <v>1496</v>
      </c>
      <c r="B1497" t="inlineStr">
        <is>
          <t>34 (4).tif</t>
        </is>
      </c>
      <c r="C1497" t="inlineStr">
        <is>
          <t>34(4)-V02</t>
        </is>
      </c>
      <c r="D1497" t="n">
        <v>2</v>
      </c>
      <c r="E1497" t="inlineStr">
        <is>
          <t>primary</t>
        </is>
      </c>
      <c r="F1497" t="n">
        <v>430.5765595463138</v>
      </c>
      <c r="G1497">
        <f>2*SQRT(F1497/PI())</f>
        <v/>
      </c>
      <c r="H1497" t="n">
        <v>79.09733912219171</v>
      </c>
      <c r="I1497" t="n">
        <v>527</v>
      </c>
      <c r="J1497" t="n">
        <v>263</v>
      </c>
      <c r="K1497" t="n">
        <v>421.9650283553875</v>
      </c>
      <c r="L1497" t="n">
        <v>439.18809073724</v>
      </c>
      <c r="M1497">
        <f>2*SQRT(K1497/PI())</f>
        <v/>
      </c>
      <c r="N1497">
        <f>2*SQRT(L1497/PI())</f>
        <v/>
      </c>
      <c r="P1497" t="inlineStr">
        <is>
          <t>是</t>
        </is>
      </c>
      <c r="Q1497" t="inlineStr">
        <is>
          <t>auto_pipeline;review_png_green</t>
        </is>
      </c>
      <c r="R1497" t="inlineStr">
        <is>
          <t>样品34</t>
        </is>
      </c>
    </row>
    <row r="1498">
      <c r="A1498" t="n">
        <v>1497</v>
      </c>
      <c r="B1498" t="inlineStr">
        <is>
          <t>34 (5).tif</t>
        </is>
      </c>
      <c r="C1498" t="inlineStr">
        <is>
          <t>34(5)-V01</t>
        </is>
      </c>
      <c r="D1498" t="n">
        <v>1</v>
      </c>
      <c r="E1498" t="inlineStr">
        <is>
          <t>primary</t>
        </is>
      </c>
      <c r="F1498" t="n">
        <v>1100.921550094518</v>
      </c>
      <c r="G1498">
        <f>2*SQRT(F1498/PI())</f>
        <v/>
      </c>
      <c r="H1498" t="n">
        <v>132.3043623955353</v>
      </c>
      <c r="I1498" t="n">
        <v>438</v>
      </c>
      <c r="J1498" t="n">
        <v>355</v>
      </c>
      <c r="K1498" t="n">
        <v>1078.903119092628</v>
      </c>
      <c r="L1498" t="n">
        <v>1122.939981096408</v>
      </c>
      <c r="M1498">
        <f>2*SQRT(K1498/PI())</f>
        <v/>
      </c>
      <c r="N1498">
        <f>2*SQRT(L1498/PI())</f>
        <v/>
      </c>
      <c r="O1498" t="inlineStr">
        <is>
          <t>34(5)-P01</t>
        </is>
      </c>
      <c r="P1498" t="inlineStr">
        <is>
          <t>是</t>
        </is>
      </c>
      <c r="Q1498" t="inlineStr">
        <is>
          <t>auto_pipeline;review_png_green</t>
        </is>
      </c>
      <c r="R1498" t="inlineStr">
        <is>
          <t>样品34</t>
        </is>
      </c>
    </row>
    <row r="1499">
      <c r="A1499" t="n">
        <v>1498</v>
      </c>
      <c r="B1499" t="inlineStr">
        <is>
          <t>34 (5).tif</t>
        </is>
      </c>
      <c r="C1499" t="inlineStr">
        <is>
          <t>34(5)-V02</t>
        </is>
      </c>
      <c r="D1499" t="n">
        <v>2</v>
      </c>
      <c r="E1499" t="inlineStr">
        <is>
          <t>primary</t>
        </is>
      </c>
      <c r="F1499" t="n">
        <v>716.8005671077505</v>
      </c>
      <c r="G1499">
        <f>2*SQRT(F1499/PI())</f>
        <v/>
      </c>
      <c r="H1499" t="n">
        <v>101.2366042707277</v>
      </c>
      <c r="I1499" t="n">
        <v>588</v>
      </c>
      <c r="J1499" t="n">
        <v>310</v>
      </c>
      <c r="K1499" t="n">
        <v>702.4645557655954</v>
      </c>
      <c r="L1499" t="n">
        <v>731.1365784499055</v>
      </c>
      <c r="M1499">
        <f>2*SQRT(K1499/PI())</f>
        <v/>
      </c>
      <c r="N1499">
        <f>2*SQRT(L1499/PI())</f>
        <v/>
      </c>
      <c r="O1499" t="inlineStr">
        <is>
          <t>34(5)-P01</t>
        </is>
      </c>
      <c r="P1499" t="inlineStr">
        <is>
          <t>是</t>
        </is>
      </c>
      <c r="Q1499" t="inlineStr">
        <is>
          <t>auto_pipeline;review_png_green</t>
        </is>
      </c>
      <c r="R1499" t="inlineStr">
        <is>
          <t>样品34</t>
        </is>
      </c>
    </row>
    <row r="1500">
      <c r="A1500" t="n">
        <v>1499</v>
      </c>
      <c r="B1500" t="inlineStr">
        <is>
          <t>34 (5).tif</t>
        </is>
      </c>
      <c r="C1500" t="inlineStr">
        <is>
          <t>34(5)-V03</t>
        </is>
      </c>
      <c r="D1500" t="n">
        <v>3</v>
      </c>
      <c r="E1500" t="inlineStr">
        <is>
          <t>primary</t>
        </is>
      </c>
      <c r="F1500" t="n">
        <v>608.9319470699432</v>
      </c>
      <c r="G1500">
        <f>2*SQRT(F1500/PI())</f>
        <v/>
      </c>
      <c r="H1500" t="n">
        <v>95.53168239800826</v>
      </c>
      <c r="I1500" t="n">
        <v>874</v>
      </c>
      <c r="J1500" t="n">
        <v>508</v>
      </c>
      <c r="K1500" t="n">
        <v>596.7533081285444</v>
      </c>
      <c r="L1500" t="n">
        <v>621.1105860113421</v>
      </c>
      <c r="M1500">
        <f>2*SQRT(K1500/PI())</f>
        <v/>
      </c>
      <c r="N1500">
        <f>2*SQRT(L1500/PI())</f>
        <v/>
      </c>
      <c r="P1500" t="inlineStr">
        <is>
          <t>是</t>
        </is>
      </c>
      <c r="Q1500" t="inlineStr">
        <is>
          <t>auto_pipeline;review_png_green</t>
        </is>
      </c>
      <c r="R1500" t="inlineStr">
        <is>
          <t>样品34</t>
        </is>
      </c>
    </row>
    <row r="1501">
      <c r="A1501" t="n">
        <v>1500</v>
      </c>
      <c r="B1501" t="inlineStr">
        <is>
          <t>34 (5).tif</t>
        </is>
      </c>
      <c r="C1501" t="inlineStr">
        <is>
          <t>34(5)-V04</t>
        </is>
      </c>
      <c r="D1501" t="n">
        <v>4</v>
      </c>
      <c r="E1501" t="inlineStr">
        <is>
          <t>primary</t>
        </is>
      </c>
      <c r="F1501" t="n">
        <v>195.5340264650283</v>
      </c>
      <c r="G1501">
        <f>2*SQRT(F1501/PI())</f>
        <v/>
      </c>
      <c r="H1501" t="n">
        <v>54.90245578081711</v>
      </c>
      <c r="I1501" t="n">
        <v>388</v>
      </c>
      <c r="J1501" t="n">
        <v>297</v>
      </c>
      <c r="K1501" t="n">
        <v>191.6233459357278</v>
      </c>
      <c r="L1501" t="n">
        <v>199.4447069943289</v>
      </c>
      <c r="M1501">
        <f>2*SQRT(K1501/PI())</f>
        <v/>
      </c>
      <c r="N1501">
        <f>2*SQRT(L1501/PI())</f>
        <v/>
      </c>
      <c r="P1501" t="inlineStr">
        <is>
          <t>是</t>
        </is>
      </c>
      <c r="Q1501" t="inlineStr">
        <is>
          <t>auto_pipeline;review_png_green</t>
        </is>
      </c>
      <c r="R1501" t="inlineStr">
        <is>
          <t>样品34</t>
        </is>
      </c>
    </row>
    <row r="1502">
      <c r="A1502" t="n">
        <v>1501</v>
      </c>
      <c r="B1502" t="inlineStr">
        <is>
          <t>34 (5).tif</t>
        </is>
      </c>
      <c r="C1502" t="inlineStr">
        <is>
          <t>34(5)-V05</t>
        </is>
      </c>
      <c r="D1502" t="n">
        <v>5</v>
      </c>
      <c r="E1502" t="inlineStr">
        <is>
          <t>primary</t>
        </is>
      </c>
      <c r="F1502" t="n">
        <v>192.6512287334594</v>
      </c>
      <c r="G1502">
        <f>2*SQRT(F1502/PI())</f>
        <v/>
      </c>
      <c r="H1502" t="n">
        <v>58.29332079576409</v>
      </c>
      <c r="I1502" t="n">
        <v>431</v>
      </c>
      <c r="J1502" t="n">
        <v>160</v>
      </c>
      <c r="K1502" t="n">
        <v>188.7982041587902</v>
      </c>
      <c r="L1502" t="n">
        <v>196.5042533081285</v>
      </c>
      <c r="M1502">
        <f>2*SQRT(K1502/PI())</f>
        <v/>
      </c>
      <c r="N1502">
        <f>2*SQRT(L1502/PI())</f>
        <v/>
      </c>
      <c r="P1502" t="inlineStr">
        <is>
          <t>是</t>
        </is>
      </c>
      <c r="Q1502" t="inlineStr">
        <is>
          <t>auto_pipeline;review_png_green</t>
        </is>
      </c>
      <c r="R1502" t="inlineStr">
        <is>
          <t>样品34</t>
        </is>
      </c>
    </row>
    <row r="1503">
      <c r="A1503" t="n">
        <v>1502</v>
      </c>
      <c r="B1503" t="inlineStr">
        <is>
          <t>34 (5).tif</t>
        </is>
      </c>
      <c r="C1503" t="inlineStr">
        <is>
          <t>34(5)-V06</t>
        </is>
      </c>
      <c r="D1503" t="n">
        <v>6</v>
      </c>
      <c r="E1503" t="inlineStr">
        <is>
          <t>primary</t>
        </is>
      </c>
      <c r="F1503" t="n">
        <v>150.8034026465028</v>
      </c>
      <c r="G1503">
        <f>2*SQRT(F1503/PI())</f>
        <v/>
      </c>
      <c r="H1503" t="n">
        <v>46.48334233657173</v>
      </c>
      <c r="I1503" t="n">
        <v>201</v>
      </c>
      <c r="J1503" t="n">
        <v>101</v>
      </c>
      <c r="K1503" t="n">
        <v>147.7873345935728</v>
      </c>
      <c r="L1503" t="n">
        <v>153.8194706994329</v>
      </c>
      <c r="M1503">
        <f>2*SQRT(K1503/PI())</f>
        <v/>
      </c>
      <c r="N1503">
        <f>2*SQRT(L1503/PI())</f>
        <v/>
      </c>
      <c r="P1503" t="inlineStr">
        <is>
          <t>是</t>
        </is>
      </c>
      <c r="Q1503" t="inlineStr">
        <is>
          <t>auto_pipeline;review_png_green</t>
        </is>
      </c>
      <c r="R1503" t="inlineStr">
        <is>
          <t>样品34</t>
        </is>
      </c>
    </row>
    <row r="1504">
      <c r="A1504" t="n">
        <v>1503</v>
      </c>
      <c r="B1504" t="inlineStr">
        <is>
          <t>34 (5).tif</t>
        </is>
      </c>
      <c r="C1504" t="inlineStr">
        <is>
          <t>34(5)-V07</t>
        </is>
      </c>
      <c r="D1504" t="n">
        <v>7</v>
      </c>
      <c r="E1504" t="inlineStr">
        <is>
          <t>primary</t>
        </is>
      </c>
      <c r="F1504" t="n">
        <v>111.7911153119093</v>
      </c>
      <c r="G1504">
        <f>2*SQRT(F1504/PI())</f>
        <v/>
      </c>
      <c r="H1504" t="n">
        <v>42.05186929391778</v>
      </c>
      <c r="I1504" t="n">
        <v>437</v>
      </c>
      <c r="J1504" t="n">
        <v>509</v>
      </c>
      <c r="K1504" t="n">
        <v>109.5552930056711</v>
      </c>
      <c r="L1504" t="n">
        <v>114.0269376181475</v>
      </c>
      <c r="M1504">
        <f>2*SQRT(K1504/PI())</f>
        <v/>
      </c>
      <c r="N1504">
        <f>2*SQRT(L1504/PI())</f>
        <v/>
      </c>
      <c r="P1504" t="inlineStr">
        <is>
          <t>是</t>
        </is>
      </c>
      <c r="Q1504" t="inlineStr">
        <is>
          <t>auto_pipeline;review_png_green</t>
        </is>
      </c>
      <c r="R1504" t="inlineStr">
        <is>
          <t>样品34</t>
        </is>
      </c>
    </row>
    <row r="1505">
      <c r="A1505" t="n">
        <v>1504</v>
      </c>
      <c r="B1505" t="inlineStr">
        <is>
          <t>34 (6).tif</t>
        </is>
      </c>
      <c r="C1505" t="inlineStr">
        <is>
          <t>34(6)-V01</t>
        </is>
      </c>
      <c r="D1505" t="n">
        <v>1</v>
      </c>
      <c r="E1505" t="inlineStr">
        <is>
          <t>primary</t>
        </is>
      </c>
      <c r="F1505" t="n">
        <v>1433.081285444234</v>
      </c>
      <c r="G1505">
        <f>2*SQRT(F1505/PI())</f>
        <v/>
      </c>
      <c r="H1505" t="n">
        <v>142.2697145005931</v>
      </c>
      <c r="I1505" t="n">
        <v>366</v>
      </c>
      <c r="J1505" t="n">
        <v>394</v>
      </c>
      <c r="K1505" t="n">
        <v>1404.41965973535</v>
      </c>
      <c r="L1505" t="n">
        <v>1461.742911153119</v>
      </c>
      <c r="M1505">
        <f>2*SQRT(K1505/PI())</f>
        <v/>
      </c>
      <c r="N1505">
        <f>2*SQRT(L1505/PI())</f>
        <v/>
      </c>
      <c r="O1505" t="inlineStr">
        <is>
          <t>34(6)-P01</t>
        </is>
      </c>
      <c r="P1505" t="inlineStr">
        <is>
          <t>是</t>
        </is>
      </c>
      <c r="Q1505" t="inlineStr">
        <is>
          <t>auto_pipeline;review_png_green</t>
        </is>
      </c>
      <c r="R1505" t="inlineStr">
        <is>
          <t>样品34</t>
        </is>
      </c>
    </row>
    <row r="1506">
      <c r="A1506" t="n">
        <v>1505</v>
      </c>
      <c r="B1506" t="inlineStr">
        <is>
          <t>34 (6).tif</t>
        </is>
      </c>
      <c r="C1506" t="inlineStr">
        <is>
          <t>34(6)-V02</t>
        </is>
      </c>
      <c r="D1506" t="n">
        <v>2</v>
      </c>
      <c r="E1506" t="inlineStr">
        <is>
          <t>primary</t>
        </is>
      </c>
      <c r="F1506" t="n">
        <v>1335.822306238185</v>
      </c>
      <c r="G1506">
        <f>2*SQRT(F1506/PI())</f>
        <v/>
      </c>
      <c r="H1506" t="n">
        <v>136.6921375108802</v>
      </c>
      <c r="I1506" t="n">
        <v>577</v>
      </c>
      <c r="J1506" t="n">
        <v>320</v>
      </c>
      <c r="K1506" t="n">
        <v>1309.105860113422</v>
      </c>
      <c r="L1506" t="n">
        <v>1362.538752362949</v>
      </c>
      <c r="M1506">
        <f>2*SQRT(K1506/PI())</f>
        <v/>
      </c>
      <c r="N1506">
        <f>2*SQRT(L1506/PI())</f>
        <v/>
      </c>
      <c r="O1506" t="inlineStr">
        <is>
          <t>34(6)-P01</t>
        </is>
      </c>
      <c r="P1506" t="inlineStr">
        <is>
          <t>是</t>
        </is>
      </c>
      <c r="Q1506" t="inlineStr">
        <is>
          <t>auto_pipeline;review_png_green</t>
        </is>
      </c>
      <c r="R1506" t="inlineStr">
        <is>
          <t>样品34</t>
        </is>
      </c>
    </row>
    <row r="1507">
      <c r="A1507" t="n">
        <v>1506</v>
      </c>
      <c r="B1507" t="inlineStr">
        <is>
          <t>34 (6).tif</t>
        </is>
      </c>
      <c r="C1507" t="inlineStr">
        <is>
          <t>34(6)-V03</t>
        </is>
      </c>
      <c r="D1507" t="n">
        <v>3</v>
      </c>
      <c r="E1507" t="inlineStr">
        <is>
          <t>primary</t>
        </is>
      </c>
      <c r="F1507" t="n">
        <v>112.3109640831758</v>
      </c>
      <c r="G1507">
        <f>2*SQRT(F1507/PI())</f>
        <v/>
      </c>
      <c r="H1507" t="n">
        <v>40.67292454450027</v>
      </c>
      <c r="I1507" t="n">
        <v>501</v>
      </c>
      <c r="J1507" t="n">
        <v>499</v>
      </c>
      <c r="K1507" t="n">
        <v>110.0647448015123</v>
      </c>
      <c r="L1507" t="n">
        <v>114.5571833648393</v>
      </c>
      <c r="M1507">
        <f>2*SQRT(K1507/PI())</f>
        <v/>
      </c>
      <c r="N1507">
        <f>2*SQRT(L1507/PI())</f>
        <v/>
      </c>
      <c r="P1507" t="inlineStr">
        <is>
          <t>是</t>
        </is>
      </c>
      <c r="Q1507" t="inlineStr">
        <is>
          <t>auto_pipeline;review_png_green</t>
        </is>
      </c>
      <c r="R1507" t="inlineStr">
        <is>
          <t>样品34</t>
        </is>
      </c>
    </row>
    <row r="1508">
      <c r="A1508" t="n">
        <v>1507</v>
      </c>
      <c r="B1508" t="inlineStr">
        <is>
          <t>34 (6).tif</t>
        </is>
      </c>
      <c r="C1508" t="inlineStr">
        <is>
          <t>34(6)-V04</t>
        </is>
      </c>
      <c r="D1508" t="n">
        <v>4</v>
      </c>
      <c r="E1508" t="inlineStr">
        <is>
          <t>primary</t>
        </is>
      </c>
      <c r="F1508" t="n">
        <v>111.554820415879</v>
      </c>
      <c r="G1508">
        <f>2*SQRT(F1508/PI())</f>
        <v/>
      </c>
      <c r="H1508" t="n">
        <v>41.28779999587847</v>
      </c>
      <c r="I1508" t="n">
        <v>791</v>
      </c>
      <c r="J1508" t="n">
        <v>80</v>
      </c>
      <c r="K1508" t="n">
        <v>109.3237240075614</v>
      </c>
      <c r="L1508" t="n">
        <v>113.7859168241966</v>
      </c>
      <c r="M1508">
        <f>2*SQRT(K1508/PI())</f>
        <v/>
      </c>
      <c r="N1508">
        <f>2*SQRT(L1508/PI())</f>
        <v/>
      </c>
      <c r="P1508" t="inlineStr">
        <is>
          <t>是</t>
        </is>
      </c>
      <c r="Q1508" t="inlineStr">
        <is>
          <t>auto_pipeline;review_png_green</t>
        </is>
      </c>
      <c r="R1508" t="inlineStr">
        <is>
          <t>样品34</t>
        </is>
      </c>
    </row>
    <row r="1509">
      <c r="A1509" t="n">
        <v>1508</v>
      </c>
      <c r="B1509" t="inlineStr">
        <is>
          <t>34 (7).tif</t>
        </is>
      </c>
      <c r="C1509" t="inlineStr">
        <is>
          <t>34(7)-V01</t>
        </is>
      </c>
      <c r="D1509" t="n">
        <v>1</v>
      </c>
      <c r="E1509" t="inlineStr">
        <is>
          <t>primary</t>
        </is>
      </c>
      <c r="F1509" t="n">
        <v>959.1682419659735</v>
      </c>
      <c r="G1509">
        <f>2*SQRT(F1509/PI())</f>
        <v/>
      </c>
      <c r="H1509" t="n">
        <v>116.0591619947682</v>
      </c>
      <c r="I1509" t="n">
        <v>552</v>
      </c>
      <c r="J1509" t="n">
        <v>356</v>
      </c>
      <c r="K1509" t="n">
        <v>939.9848771266541</v>
      </c>
      <c r="L1509" t="n">
        <v>978.3516068052929</v>
      </c>
      <c r="M1509">
        <f>2*SQRT(K1509/PI())</f>
        <v/>
      </c>
      <c r="N1509">
        <f>2*SQRT(L1509/PI())</f>
        <v/>
      </c>
      <c r="O1509" t="inlineStr">
        <is>
          <t>34(7)-P01</t>
        </is>
      </c>
      <c r="P1509" t="inlineStr">
        <is>
          <t>是</t>
        </is>
      </c>
      <c r="Q1509" t="inlineStr">
        <is>
          <t>auto_pipeline;review_png_green</t>
        </is>
      </c>
      <c r="R1509" t="inlineStr">
        <is>
          <t>样品34</t>
        </is>
      </c>
    </row>
    <row r="1510">
      <c r="A1510" t="n">
        <v>1509</v>
      </c>
      <c r="B1510" t="inlineStr">
        <is>
          <t>34 (7).tif</t>
        </is>
      </c>
      <c r="C1510" t="inlineStr">
        <is>
          <t>34(7)-V02</t>
        </is>
      </c>
      <c r="D1510" t="n">
        <v>2</v>
      </c>
      <c r="E1510" t="inlineStr">
        <is>
          <t>primary</t>
        </is>
      </c>
      <c r="F1510" t="n">
        <v>790.0283553875237</v>
      </c>
      <c r="G1510">
        <f>2*SQRT(F1510/PI())</f>
        <v/>
      </c>
      <c r="H1510" t="n">
        <v>105.3078916280166</v>
      </c>
      <c r="I1510" t="n">
        <v>376</v>
      </c>
      <c r="J1510" t="n">
        <v>309</v>
      </c>
      <c r="K1510" t="n">
        <v>774.2277882797732</v>
      </c>
      <c r="L1510" t="n">
        <v>805.8289224952741</v>
      </c>
      <c r="M1510">
        <f>2*SQRT(K1510/PI())</f>
        <v/>
      </c>
      <c r="N1510">
        <f>2*SQRT(L1510/PI())</f>
        <v/>
      </c>
      <c r="O1510" t="inlineStr">
        <is>
          <t>34(7)-P01</t>
        </is>
      </c>
      <c r="P1510" t="inlineStr">
        <is>
          <t>是</t>
        </is>
      </c>
      <c r="Q1510" t="inlineStr">
        <is>
          <t>auto_pipeline;review_png_green</t>
        </is>
      </c>
      <c r="R1510" t="inlineStr">
        <is>
          <t>样品34</t>
        </is>
      </c>
    </row>
    <row r="1511">
      <c r="A1511" t="n">
        <v>1510</v>
      </c>
      <c r="B1511" t="inlineStr">
        <is>
          <t>34 (7).tif</t>
        </is>
      </c>
      <c r="C1511" t="inlineStr">
        <is>
          <t>34(7)-V03</t>
        </is>
      </c>
      <c r="D1511" t="n">
        <v>3</v>
      </c>
      <c r="E1511" t="inlineStr">
        <is>
          <t>primary</t>
        </is>
      </c>
      <c r="F1511" t="n">
        <v>341.6824196597353</v>
      </c>
      <c r="G1511">
        <f>2*SQRT(F1511/PI())</f>
        <v/>
      </c>
      <c r="H1511" t="n">
        <v>69.4703237388445</v>
      </c>
      <c r="I1511" t="n">
        <v>81</v>
      </c>
      <c r="J1511" t="n">
        <v>588</v>
      </c>
      <c r="K1511" t="n">
        <v>334.8487712665406</v>
      </c>
      <c r="L1511" t="n">
        <v>348.5160680529301</v>
      </c>
      <c r="M1511">
        <f>2*SQRT(K1511/PI())</f>
        <v/>
      </c>
      <c r="N1511">
        <f>2*SQRT(L1511/PI())</f>
        <v/>
      </c>
      <c r="P1511" t="inlineStr">
        <is>
          <t>是</t>
        </is>
      </c>
      <c r="Q1511" t="inlineStr">
        <is>
          <t>auto_pipeline;review_png_green</t>
        </is>
      </c>
      <c r="R1511" t="inlineStr">
        <is>
          <t>样品34</t>
        </is>
      </c>
    </row>
    <row r="1512">
      <c r="A1512" t="n">
        <v>1511</v>
      </c>
      <c r="B1512" t="inlineStr">
        <is>
          <t>34 (7).tif</t>
        </is>
      </c>
      <c r="C1512" t="inlineStr">
        <is>
          <t>34(7)-V04</t>
        </is>
      </c>
      <c r="D1512" t="n">
        <v>4</v>
      </c>
      <c r="E1512" t="inlineStr">
        <is>
          <t>primary</t>
        </is>
      </c>
      <c r="F1512" t="n">
        <v>167.7930056710775</v>
      </c>
      <c r="G1512">
        <f>2*SQRT(F1512/PI())</f>
        <v/>
      </c>
      <c r="H1512" t="n">
        <v>50.55462969386059</v>
      </c>
      <c r="I1512" t="n">
        <v>386</v>
      </c>
      <c r="J1512" t="n">
        <v>108</v>
      </c>
      <c r="K1512" t="n">
        <v>164.437145557656</v>
      </c>
      <c r="L1512" t="n">
        <v>171.1488657844991</v>
      </c>
      <c r="M1512">
        <f>2*SQRT(K1512/PI())</f>
        <v/>
      </c>
      <c r="N1512">
        <f>2*SQRT(L1512/PI())</f>
        <v/>
      </c>
      <c r="P1512" t="inlineStr">
        <is>
          <t>是</t>
        </is>
      </c>
      <c r="Q1512" t="inlineStr">
        <is>
          <t>auto_pipeline;review_png_green</t>
        </is>
      </c>
      <c r="R1512" t="inlineStr">
        <is>
          <t>样品34</t>
        </is>
      </c>
    </row>
    <row r="1513">
      <c r="A1513" t="n">
        <v>1512</v>
      </c>
      <c r="B1513" t="inlineStr">
        <is>
          <t>34 (7).tif</t>
        </is>
      </c>
      <c r="C1513" t="inlineStr">
        <is>
          <t>34(7)-V05</t>
        </is>
      </c>
      <c r="D1513" t="n">
        <v>5</v>
      </c>
      <c r="E1513" t="inlineStr">
        <is>
          <t>primary</t>
        </is>
      </c>
      <c r="F1513" t="n">
        <v>157.5378071833648</v>
      </c>
      <c r="G1513">
        <f>2*SQRT(F1513/PI())</f>
        <v/>
      </c>
      <c r="H1513" t="n">
        <v>55.56102915950444</v>
      </c>
      <c r="I1513" t="n">
        <v>451</v>
      </c>
      <c r="J1513" t="n">
        <v>228</v>
      </c>
      <c r="K1513" t="n">
        <v>154.3870510396975</v>
      </c>
      <c r="L1513" t="n">
        <v>160.6885633270321</v>
      </c>
      <c r="M1513">
        <f>2*SQRT(K1513/PI())</f>
        <v/>
      </c>
      <c r="N1513">
        <f>2*SQRT(L1513/PI())</f>
        <v/>
      </c>
      <c r="P1513" t="inlineStr">
        <is>
          <t>是</t>
        </is>
      </c>
      <c r="Q1513" t="inlineStr">
        <is>
          <t>auto_pipeline;review_png_green</t>
        </is>
      </c>
      <c r="R1513" t="inlineStr">
        <is>
          <t>样品34</t>
        </is>
      </c>
    </row>
    <row r="1514">
      <c r="A1514" t="n">
        <v>1513</v>
      </c>
      <c r="B1514" t="inlineStr">
        <is>
          <t>34 (7).tif</t>
        </is>
      </c>
      <c r="C1514" t="inlineStr">
        <is>
          <t>34(7)-V06</t>
        </is>
      </c>
      <c r="D1514" t="n">
        <v>6</v>
      </c>
      <c r="E1514" t="inlineStr">
        <is>
          <t>primary</t>
        </is>
      </c>
      <c r="F1514" t="n">
        <v>118.5727788279773</v>
      </c>
      <c r="G1514">
        <f>2*SQRT(F1514/PI())</f>
        <v/>
      </c>
      <c r="H1514" t="n">
        <v>48.73185230338055</v>
      </c>
      <c r="I1514" t="n">
        <v>842</v>
      </c>
      <c r="J1514" t="n">
        <v>478</v>
      </c>
      <c r="K1514" t="n">
        <v>116.2013232514178</v>
      </c>
      <c r="L1514" t="n">
        <v>120.9442344045369</v>
      </c>
      <c r="M1514">
        <f>2*SQRT(K1514/PI())</f>
        <v/>
      </c>
      <c r="N1514">
        <f>2*SQRT(L1514/PI())</f>
        <v/>
      </c>
      <c r="P1514" t="inlineStr">
        <is>
          <t>是</t>
        </is>
      </c>
      <c r="Q1514" t="inlineStr">
        <is>
          <t>auto_pipeline;review_png_green</t>
        </is>
      </c>
      <c r="R1514" t="inlineStr">
        <is>
          <t>样品34</t>
        </is>
      </c>
    </row>
    <row r="1515">
      <c r="A1515" t="n">
        <v>1514</v>
      </c>
      <c r="B1515" t="inlineStr">
        <is>
          <t>34 (7).tif</t>
        </is>
      </c>
      <c r="C1515" t="inlineStr">
        <is>
          <t>34(7)-V07</t>
        </is>
      </c>
      <c r="D1515" t="n">
        <v>7</v>
      </c>
      <c r="E1515" t="inlineStr">
        <is>
          <t>primary</t>
        </is>
      </c>
      <c r="F1515" t="n">
        <v>113.9886578449906</v>
      </c>
      <c r="G1515">
        <f>2*SQRT(F1515/PI())</f>
        <v/>
      </c>
      <c r="H1515" t="n">
        <v>40.80026942750682</v>
      </c>
      <c r="I1515" t="n">
        <v>476</v>
      </c>
      <c r="J1515" t="n">
        <v>35</v>
      </c>
      <c r="K1515" t="n">
        <v>111.7088846880907</v>
      </c>
      <c r="L1515" t="n">
        <v>116.2684310018904</v>
      </c>
      <c r="M1515">
        <f>2*SQRT(K1515/PI())</f>
        <v/>
      </c>
      <c r="N1515">
        <f>2*SQRT(L1515/PI())</f>
        <v/>
      </c>
      <c r="P1515" t="inlineStr">
        <is>
          <t>是</t>
        </is>
      </c>
      <c r="Q1515" t="inlineStr">
        <is>
          <t>auto_pipeline;review_png_green</t>
        </is>
      </c>
      <c r="R1515" t="inlineStr">
        <is>
          <t>样品34</t>
        </is>
      </c>
    </row>
    <row r="1516">
      <c r="A1516" t="n">
        <v>1515</v>
      </c>
      <c r="B1516" t="inlineStr">
        <is>
          <t>34 (8).tif</t>
        </is>
      </c>
      <c r="C1516" t="inlineStr">
        <is>
          <t>34(8)-V01</t>
        </is>
      </c>
      <c r="D1516" t="n">
        <v>1</v>
      </c>
      <c r="E1516" t="inlineStr">
        <is>
          <t>primary</t>
        </is>
      </c>
      <c r="F1516" t="n">
        <v>935.586011342155</v>
      </c>
      <c r="G1516">
        <f>2*SQRT(F1516/PI())</f>
        <v/>
      </c>
      <c r="H1516" t="n">
        <v>121.0218635331029</v>
      </c>
      <c r="I1516" t="n">
        <v>837</v>
      </c>
      <c r="J1516" t="n">
        <v>434</v>
      </c>
      <c r="K1516" t="n">
        <v>916.8742911153118</v>
      </c>
      <c r="L1516" t="n">
        <v>954.2977315689981</v>
      </c>
      <c r="M1516">
        <f>2*SQRT(K1516/PI())</f>
        <v/>
      </c>
      <c r="N1516">
        <f>2*SQRT(L1516/PI())</f>
        <v/>
      </c>
      <c r="P1516" t="inlineStr">
        <is>
          <t>是</t>
        </is>
      </c>
      <c r="Q1516" t="inlineStr">
        <is>
          <t>auto_pipeline;review_png_green</t>
        </is>
      </c>
      <c r="R1516" t="inlineStr">
        <is>
          <t>样品34</t>
        </is>
      </c>
    </row>
    <row r="1517">
      <c r="A1517" t="n">
        <v>1516</v>
      </c>
      <c r="B1517" t="inlineStr">
        <is>
          <t>34 (8).tif</t>
        </is>
      </c>
      <c r="C1517" t="inlineStr">
        <is>
          <t>34(8)-V02</t>
        </is>
      </c>
      <c r="D1517" t="n">
        <v>2</v>
      </c>
      <c r="E1517" t="inlineStr">
        <is>
          <t>primary</t>
        </is>
      </c>
      <c r="F1517" t="n">
        <v>899.1965973534972</v>
      </c>
      <c r="G1517">
        <f>2*SQRT(F1517/PI())</f>
        <v/>
      </c>
      <c r="H1517" t="n">
        <v>112.7300949718641</v>
      </c>
      <c r="I1517" t="n">
        <v>477</v>
      </c>
      <c r="J1517" t="n">
        <v>305</v>
      </c>
      <c r="K1517" t="n">
        <v>881.2126654064272</v>
      </c>
      <c r="L1517" t="n">
        <v>917.1805293005672</v>
      </c>
      <c r="M1517">
        <f>2*SQRT(K1517/PI())</f>
        <v/>
      </c>
      <c r="N1517">
        <f>2*SQRT(L1517/PI())</f>
        <v/>
      </c>
      <c r="O1517" t="inlineStr">
        <is>
          <t>34(8)-P01</t>
        </is>
      </c>
      <c r="P1517" t="inlineStr">
        <is>
          <t>是</t>
        </is>
      </c>
      <c r="Q1517" t="inlineStr">
        <is>
          <t>auto_pipeline;review_png_green</t>
        </is>
      </c>
      <c r="R1517" t="inlineStr">
        <is>
          <t>样品34</t>
        </is>
      </c>
    </row>
    <row r="1518">
      <c r="A1518" t="n">
        <v>1517</v>
      </c>
      <c r="B1518" t="inlineStr">
        <is>
          <t>34 (8).tif</t>
        </is>
      </c>
      <c r="C1518" t="inlineStr">
        <is>
          <t>34(8)-V03</t>
        </is>
      </c>
      <c r="D1518" t="n">
        <v>3</v>
      </c>
      <c r="E1518" t="inlineStr">
        <is>
          <t>primary</t>
        </is>
      </c>
      <c r="F1518" t="n">
        <v>802.2920604914934</v>
      </c>
      <c r="G1518">
        <f>2*SQRT(F1518/PI())</f>
        <v/>
      </c>
      <c r="H1518" t="n">
        <v>106.3048017284144</v>
      </c>
      <c r="I1518" t="n">
        <v>593</v>
      </c>
      <c r="J1518" t="n">
        <v>437</v>
      </c>
      <c r="K1518" t="n">
        <v>786.2462192816636</v>
      </c>
      <c r="L1518" t="n">
        <v>818.3379017013233</v>
      </c>
      <c r="M1518">
        <f>2*SQRT(K1518/PI())</f>
        <v/>
      </c>
      <c r="N1518">
        <f>2*SQRT(L1518/PI())</f>
        <v/>
      </c>
      <c r="O1518" t="inlineStr">
        <is>
          <t>34(8)-P01</t>
        </is>
      </c>
      <c r="P1518" t="inlineStr">
        <is>
          <t>是</t>
        </is>
      </c>
      <c r="Q1518" t="inlineStr">
        <is>
          <t>auto_pipeline;review_png_green</t>
        </is>
      </c>
      <c r="R1518" t="inlineStr">
        <is>
          <t>样品34</t>
        </is>
      </c>
    </row>
    <row r="1519">
      <c r="A1519" t="n">
        <v>1518</v>
      </c>
      <c r="B1519" t="inlineStr">
        <is>
          <t>34 (8).tif</t>
        </is>
      </c>
      <c r="C1519" t="inlineStr">
        <is>
          <t>34(8)-V04</t>
        </is>
      </c>
      <c r="D1519" t="n">
        <v>4</v>
      </c>
      <c r="E1519" t="inlineStr">
        <is>
          <t>primary</t>
        </is>
      </c>
      <c r="F1519" t="n">
        <v>362.6890359168242</v>
      </c>
      <c r="G1519">
        <f>2*SQRT(F1519/PI())</f>
        <v/>
      </c>
      <c r="H1519" t="n">
        <v>72.05717042736384</v>
      </c>
      <c r="I1519" t="n">
        <v>71</v>
      </c>
      <c r="J1519" t="n">
        <v>589</v>
      </c>
      <c r="K1519" t="n">
        <v>355.4352551984877</v>
      </c>
      <c r="L1519" t="n">
        <v>369.9428166351607</v>
      </c>
      <c r="M1519">
        <f>2*SQRT(K1519/PI())</f>
        <v/>
      </c>
      <c r="N1519">
        <f>2*SQRT(L1519/PI())</f>
        <v/>
      </c>
      <c r="P1519" t="inlineStr">
        <is>
          <t>是</t>
        </is>
      </c>
      <c r="Q1519" t="inlineStr">
        <is>
          <t>auto_pipeline;review_png_green</t>
        </is>
      </c>
      <c r="R1519" t="inlineStr">
        <is>
          <t>样品34</t>
        </is>
      </c>
    </row>
    <row r="1520">
      <c r="A1520" t="n">
        <v>1519</v>
      </c>
      <c r="B1520" t="inlineStr">
        <is>
          <t>35 (1).tif</t>
        </is>
      </c>
      <c r="C1520" t="inlineStr">
        <is>
          <t>35(1)-V01</t>
        </is>
      </c>
      <c r="D1520" t="n">
        <v>1</v>
      </c>
      <c r="E1520" t="inlineStr">
        <is>
          <t>primary</t>
        </is>
      </c>
      <c r="F1520" t="n">
        <v>1438.965028355388</v>
      </c>
      <c r="G1520">
        <f>2*SQRT(F1520/PI())</f>
        <v/>
      </c>
      <c r="H1520" t="n">
        <v>141.8876798515734</v>
      </c>
      <c r="I1520" t="n">
        <v>259</v>
      </c>
      <c r="J1520" t="n">
        <v>457</v>
      </c>
      <c r="K1520" t="n">
        <v>1410.18572778828</v>
      </c>
      <c r="L1520" t="n">
        <v>1467.744328922495</v>
      </c>
      <c r="M1520">
        <f>2*SQRT(K1520/PI())</f>
        <v/>
      </c>
      <c r="N1520">
        <f>2*SQRT(L1520/PI())</f>
        <v/>
      </c>
      <c r="P1520" t="inlineStr">
        <is>
          <t>是</t>
        </is>
      </c>
      <c r="Q1520" t="inlineStr">
        <is>
          <t>auto_pipeline;review_png_green</t>
        </is>
      </c>
      <c r="R1520" t="inlineStr">
        <is>
          <t>样品35</t>
        </is>
      </c>
    </row>
    <row r="1521">
      <c r="A1521" t="n">
        <v>1520</v>
      </c>
      <c r="B1521" t="inlineStr">
        <is>
          <t>35 (1).tif</t>
        </is>
      </c>
      <c r="C1521" t="inlineStr">
        <is>
          <t>35(1)-V02</t>
        </is>
      </c>
      <c r="D1521" t="n">
        <v>2</v>
      </c>
      <c r="E1521" t="inlineStr">
        <is>
          <t>primary</t>
        </is>
      </c>
      <c r="F1521" t="n">
        <v>1043.785444234405</v>
      </c>
      <c r="G1521">
        <f>2*SQRT(F1521/PI())</f>
        <v/>
      </c>
      <c r="H1521" t="n">
        <v>121.2547043354615</v>
      </c>
      <c r="I1521" t="n">
        <v>706</v>
      </c>
      <c r="J1521" t="n">
        <v>301</v>
      </c>
      <c r="K1521" t="n">
        <v>1022.909735349716</v>
      </c>
      <c r="L1521" t="n">
        <v>1064.661153119093</v>
      </c>
      <c r="M1521">
        <f>2*SQRT(K1521/PI())</f>
        <v/>
      </c>
      <c r="N1521">
        <f>2*SQRT(L1521/PI())</f>
        <v/>
      </c>
      <c r="P1521" t="inlineStr">
        <is>
          <t>是</t>
        </is>
      </c>
      <c r="Q1521" t="inlineStr">
        <is>
          <t>auto_pipeline;review_png_green</t>
        </is>
      </c>
      <c r="R1521" t="inlineStr">
        <is>
          <t>样品35</t>
        </is>
      </c>
    </row>
    <row r="1522">
      <c r="A1522" t="n">
        <v>1521</v>
      </c>
      <c r="B1522" t="inlineStr">
        <is>
          <t>35 (1).tif</t>
        </is>
      </c>
      <c r="C1522" t="inlineStr">
        <is>
          <t>35(1)-V03</t>
        </is>
      </c>
      <c r="D1522" t="n">
        <v>3</v>
      </c>
      <c r="E1522" t="inlineStr">
        <is>
          <t>primary</t>
        </is>
      </c>
      <c r="F1522" t="n">
        <v>164.437618147448</v>
      </c>
      <c r="G1522">
        <f>2*SQRT(F1522/PI())</f>
        <v/>
      </c>
      <c r="H1522" t="n">
        <v>50.04525016183438</v>
      </c>
      <c r="I1522" t="n">
        <v>951</v>
      </c>
      <c r="J1522" t="n">
        <v>192</v>
      </c>
      <c r="K1522" t="n">
        <v>161.148865784499</v>
      </c>
      <c r="L1522" t="n">
        <v>167.726370510397</v>
      </c>
      <c r="M1522">
        <f>2*SQRT(K1522/PI())</f>
        <v/>
      </c>
      <c r="N1522">
        <f>2*SQRT(L1522/PI())</f>
        <v/>
      </c>
      <c r="P1522" t="inlineStr">
        <is>
          <t>是</t>
        </is>
      </c>
      <c r="Q1522" t="inlineStr">
        <is>
          <t>auto_pipeline;review_png_green</t>
        </is>
      </c>
      <c r="R1522" t="inlineStr">
        <is>
          <t>样品35</t>
        </is>
      </c>
    </row>
    <row r="1523">
      <c r="A1523" t="n">
        <v>1522</v>
      </c>
      <c r="B1523" t="inlineStr">
        <is>
          <t>35 (1).tif</t>
        </is>
      </c>
      <c r="C1523" t="inlineStr">
        <is>
          <t>35(1)-V04</t>
        </is>
      </c>
      <c r="D1523" t="n">
        <v>4</v>
      </c>
      <c r="E1523" t="inlineStr">
        <is>
          <t>primary</t>
        </is>
      </c>
      <c r="F1523" t="n">
        <v>146.8809073724008</v>
      </c>
      <c r="G1523">
        <f>2*SQRT(F1523/PI())</f>
        <v/>
      </c>
      <c r="H1523" t="n">
        <v>49.81240935947584</v>
      </c>
      <c r="I1523" t="n">
        <v>507</v>
      </c>
      <c r="J1523" t="n">
        <v>613</v>
      </c>
      <c r="K1523" t="n">
        <v>143.9432892249528</v>
      </c>
      <c r="L1523" t="n">
        <v>149.8185255198488</v>
      </c>
      <c r="M1523">
        <f>2*SQRT(K1523/PI())</f>
        <v/>
      </c>
      <c r="N1523">
        <f>2*SQRT(L1523/PI())</f>
        <v/>
      </c>
      <c r="P1523" t="inlineStr">
        <is>
          <t>是</t>
        </is>
      </c>
      <c r="Q1523" t="inlineStr">
        <is>
          <t>auto_pipeline;review_png_green</t>
        </is>
      </c>
      <c r="R1523" t="inlineStr">
        <is>
          <t>样品35</t>
        </is>
      </c>
    </row>
    <row r="1524">
      <c r="A1524" t="n">
        <v>1523</v>
      </c>
      <c r="B1524" t="inlineStr">
        <is>
          <t>35 (1).tif</t>
        </is>
      </c>
      <c r="C1524" t="inlineStr">
        <is>
          <t>35(1)-V05</t>
        </is>
      </c>
      <c r="D1524" t="n">
        <v>5</v>
      </c>
      <c r="E1524" t="inlineStr">
        <is>
          <t>primary</t>
        </is>
      </c>
      <c r="F1524" t="n">
        <v>143.5255198487713</v>
      </c>
      <c r="G1524">
        <f>2*SQRT(F1524/PI())</f>
        <v/>
      </c>
      <c r="H1524" t="n">
        <v>56.96182287257651</v>
      </c>
      <c r="I1524" t="n">
        <v>865</v>
      </c>
      <c r="J1524" t="n">
        <v>605</v>
      </c>
      <c r="K1524" t="n">
        <v>140.6550094517958</v>
      </c>
      <c r="L1524" t="n">
        <v>146.3960302457467</v>
      </c>
      <c r="M1524">
        <f>2*SQRT(K1524/PI())</f>
        <v/>
      </c>
      <c r="N1524">
        <f>2*SQRT(L1524/PI())</f>
        <v/>
      </c>
      <c r="P1524" t="inlineStr">
        <is>
          <t>是</t>
        </is>
      </c>
      <c r="Q1524" t="inlineStr">
        <is>
          <t>auto_pipeline;review_png_green</t>
        </is>
      </c>
      <c r="R1524" t="inlineStr">
        <is>
          <t>样品35</t>
        </is>
      </c>
    </row>
    <row r="1525">
      <c r="A1525" t="n">
        <v>1524</v>
      </c>
      <c r="B1525" t="inlineStr">
        <is>
          <t>35 (2).tif</t>
        </is>
      </c>
      <c r="C1525" t="inlineStr">
        <is>
          <t>35(2)-V01</t>
        </is>
      </c>
      <c r="D1525" t="n">
        <v>1</v>
      </c>
      <c r="E1525" t="inlineStr">
        <is>
          <t>primary</t>
        </is>
      </c>
      <c r="F1525" t="n">
        <v>1349.291115311909</v>
      </c>
      <c r="G1525">
        <f>2*SQRT(F1525/PI())</f>
        <v/>
      </c>
      <c r="H1525" t="n">
        <v>138.7914536310279</v>
      </c>
      <c r="I1525" t="n">
        <v>375</v>
      </c>
      <c r="J1525" t="n">
        <v>325</v>
      </c>
      <c r="K1525" t="n">
        <v>1322.305293005671</v>
      </c>
      <c r="L1525" t="n">
        <v>1376.276937618147</v>
      </c>
      <c r="M1525">
        <f>2*SQRT(K1525/PI())</f>
        <v/>
      </c>
      <c r="N1525">
        <f>2*SQRT(L1525/PI())</f>
        <v/>
      </c>
      <c r="O1525" t="inlineStr">
        <is>
          <t>35(2)-P01</t>
        </is>
      </c>
      <c r="P1525" t="inlineStr">
        <is>
          <t>是</t>
        </is>
      </c>
      <c r="Q1525" t="inlineStr">
        <is>
          <t>auto_pipeline;review_png_green</t>
        </is>
      </c>
      <c r="R1525" t="inlineStr">
        <is>
          <t>样品35</t>
        </is>
      </c>
    </row>
    <row r="1526">
      <c r="A1526" t="n">
        <v>1525</v>
      </c>
      <c r="B1526" t="inlineStr">
        <is>
          <t>35 (2).tif</t>
        </is>
      </c>
      <c r="C1526" t="inlineStr">
        <is>
          <t>35(2)-V02</t>
        </is>
      </c>
      <c r="D1526" t="n">
        <v>2</v>
      </c>
      <c r="E1526" t="inlineStr">
        <is>
          <t>primary</t>
        </is>
      </c>
      <c r="F1526" t="n">
        <v>901.4177693761815</v>
      </c>
      <c r="G1526">
        <f>2*SQRT(F1526/PI())</f>
        <v/>
      </c>
      <c r="H1526" t="n">
        <v>112.2207154398379</v>
      </c>
      <c r="I1526" t="n">
        <v>563</v>
      </c>
      <c r="J1526" t="n">
        <v>377</v>
      </c>
      <c r="K1526" t="n">
        <v>883.3894139886578</v>
      </c>
      <c r="L1526" t="n">
        <v>919.4461247637051</v>
      </c>
      <c r="M1526">
        <f>2*SQRT(K1526/PI())</f>
        <v/>
      </c>
      <c r="N1526">
        <f>2*SQRT(L1526/PI())</f>
        <v/>
      </c>
      <c r="O1526" t="inlineStr">
        <is>
          <t>35(2)-P01</t>
        </is>
      </c>
      <c r="P1526" t="inlineStr">
        <is>
          <t>是</t>
        </is>
      </c>
      <c r="Q1526" t="inlineStr">
        <is>
          <t>auto_pipeline;review_png_green</t>
        </is>
      </c>
      <c r="R1526" t="inlineStr">
        <is>
          <t>样品35</t>
        </is>
      </c>
    </row>
    <row r="1527">
      <c r="A1527" t="n">
        <v>1526</v>
      </c>
      <c r="B1527" t="inlineStr">
        <is>
          <t>35 (2).tif</t>
        </is>
      </c>
      <c r="C1527" t="inlineStr">
        <is>
          <t>35(2)-V03</t>
        </is>
      </c>
      <c r="D1527" t="n">
        <v>3</v>
      </c>
      <c r="E1527" t="inlineStr">
        <is>
          <t>primary</t>
        </is>
      </c>
      <c r="F1527" t="n">
        <v>168.9508506616257</v>
      </c>
      <c r="G1527">
        <f>2*SQRT(F1527/PI())</f>
        <v/>
      </c>
      <c r="H1527" t="n">
        <v>65.86846688519353</v>
      </c>
      <c r="I1527" t="n">
        <v>915</v>
      </c>
      <c r="J1527" t="n">
        <v>248</v>
      </c>
      <c r="K1527" t="n">
        <v>165.5718336483932</v>
      </c>
      <c r="L1527" t="n">
        <v>172.3298676748582</v>
      </c>
      <c r="M1527">
        <f>2*SQRT(K1527/PI())</f>
        <v/>
      </c>
      <c r="N1527">
        <f>2*SQRT(L1527/PI())</f>
        <v/>
      </c>
      <c r="P1527" t="inlineStr">
        <is>
          <t>是</t>
        </is>
      </c>
      <c r="Q1527" t="inlineStr">
        <is>
          <t>auto_pipeline;review_png_green</t>
        </is>
      </c>
      <c r="R1527" t="inlineStr">
        <is>
          <t>样品35</t>
        </is>
      </c>
    </row>
    <row r="1528">
      <c r="A1528" t="n">
        <v>1527</v>
      </c>
      <c r="B1528" t="inlineStr">
        <is>
          <t>35 (2).tif</t>
        </is>
      </c>
      <c r="C1528" t="inlineStr">
        <is>
          <t>35(2)-V04</t>
        </is>
      </c>
      <c r="D1528" t="n">
        <v>4</v>
      </c>
      <c r="E1528" t="inlineStr">
        <is>
          <t>primary</t>
        </is>
      </c>
      <c r="F1528" t="n">
        <v>163.5160680529301</v>
      </c>
      <c r="G1528">
        <f>2*SQRT(F1528/PI())</f>
        <v/>
      </c>
      <c r="H1528" t="n">
        <v>53.96734367246213</v>
      </c>
      <c r="I1528" t="n">
        <v>129</v>
      </c>
      <c r="J1528" t="n">
        <v>327</v>
      </c>
      <c r="K1528" t="n">
        <v>160.2457466918715</v>
      </c>
      <c r="L1528" t="n">
        <v>166.7863894139886</v>
      </c>
      <c r="M1528">
        <f>2*SQRT(K1528/PI())</f>
        <v/>
      </c>
      <c r="N1528">
        <f>2*SQRT(L1528/PI())</f>
        <v/>
      </c>
      <c r="P1528" t="inlineStr">
        <is>
          <t>是</t>
        </is>
      </c>
      <c r="Q1528" t="inlineStr">
        <is>
          <t>auto_pipeline;review_png_green</t>
        </is>
      </c>
      <c r="R1528" t="inlineStr">
        <is>
          <t>样品35</t>
        </is>
      </c>
    </row>
    <row r="1529">
      <c r="A1529" t="n">
        <v>1528</v>
      </c>
      <c r="B1529" t="inlineStr">
        <is>
          <t>35 (2).tif</t>
        </is>
      </c>
      <c r="C1529" t="inlineStr">
        <is>
          <t>35(2)-V05</t>
        </is>
      </c>
      <c r="D1529" t="n">
        <v>5</v>
      </c>
      <c r="E1529" t="inlineStr">
        <is>
          <t>primary</t>
        </is>
      </c>
      <c r="F1529" t="n">
        <v>128.7098298676749</v>
      </c>
      <c r="G1529">
        <f>2*SQRT(F1529/PI())</f>
        <v/>
      </c>
      <c r="H1529" t="n">
        <v>43.89649564805238</v>
      </c>
      <c r="I1529" t="n">
        <v>128</v>
      </c>
      <c r="J1529" t="n">
        <v>200</v>
      </c>
      <c r="K1529" t="n">
        <v>126.1356332703214</v>
      </c>
      <c r="L1529" t="n">
        <v>131.2840264650284</v>
      </c>
      <c r="M1529">
        <f>2*SQRT(K1529/PI())</f>
        <v/>
      </c>
      <c r="N1529">
        <f>2*SQRT(L1529/PI())</f>
        <v/>
      </c>
      <c r="P1529" t="inlineStr">
        <is>
          <t>是</t>
        </is>
      </c>
      <c r="Q1529" t="inlineStr">
        <is>
          <t>auto_pipeline;review_png_green</t>
        </is>
      </c>
      <c r="R1529" t="inlineStr">
        <is>
          <t>样品35</t>
        </is>
      </c>
    </row>
    <row r="1530">
      <c r="A1530" t="n">
        <v>1529</v>
      </c>
      <c r="B1530" t="inlineStr">
        <is>
          <t>35 (2).tif</t>
        </is>
      </c>
      <c r="C1530" t="inlineStr">
        <is>
          <t>35(2)-V06</t>
        </is>
      </c>
      <c r="D1530" t="n">
        <v>6</v>
      </c>
      <c r="E1530" t="inlineStr">
        <is>
          <t>primary</t>
        </is>
      </c>
      <c r="F1530" t="n">
        <v>123.4404536862004</v>
      </c>
      <c r="G1530">
        <f>2*SQRT(F1530/PI())</f>
        <v/>
      </c>
      <c r="H1530" t="n">
        <v>48.58265845671944</v>
      </c>
      <c r="I1530" t="n">
        <v>738</v>
      </c>
      <c r="J1530" t="n">
        <v>382</v>
      </c>
      <c r="K1530" t="n">
        <v>120.9716446124764</v>
      </c>
      <c r="L1530" t="n">
        <v>125.9092627599244</v>
      </c>
      <c r="M1530">
        <f>2*SQRT(K1530/PI())</f>
        <v/>
      </c>
      <c r="N1530">
        <f>2*SQRT(L1530/PI())</f>
        <v/>
      </c>
      <c r="P1530" t="inlineStr">
        <is>
          <t>是</t>
        </is>
      </c>
      <c r="Q1530" t="inlineStr">
        <is>
          <t>auto_pipeline;review_png_green</t>
        </is>
      </c>
      <c r="R1530" t="inlineStr">
        <is>
          <t>样品35</t>
        </is>
      </c>
    </row>
    <row r="1531">
      <c r="A1531" t="n">
        <v>1530</v>
      </c>
      <c r="B1531" t="inlineStr">
        <is>
          <t>35 (3).tif</t>
        </is>
      </c>
      <c r="C1531" t="inlineStr">
        <is>
          <t>35(3)-V01</t>
        </is>
      </c>
      <c r="D1531" t="n">
        <v>1</v>
      </c>
      <c r="E1531" t="inlineStr">
        <is>
          <t>primary</t>
        </is>
      </c>
      <c r="F1531" t="n">
        <v>1069.754253308128</v>
      </c>
      <c r="G1531">
        <f>2*SQRT(F1531/PI())</f>
        <v/>
      </c>
      <c r="H1531" t="n">
        <v>122.6118001212244</v>
      </c>
      <c r="I1531" t="n">
        <v>440</v>
      </c>
      <c r="J1531" t="n">
        <v>366</v>
      </c>
      <c r="K1531" t="n">
        <v>1048.359168241966</v>
      </c>
      <c r="L1531" t="n">
        <v>1091.149338374291</v>
      </c>
      <c r="M1531">
        <f>2*SQRT(K1531/PI())</f>
        <v/>
      </c>
      <c r="N1531">
        <f>2*SQRT(L1531/PI())</f>
        <v/>
      </c>
      <c r="O1531" t="inlineStr">
        <is>
          <t>35(3)-P01</t>
        </is>
      </c>
      <c r="P1531" t="inlineStr">
        <is>
          <t>是</t>
        </is>
      </c>
      <c r="Q1531" t="inlineStr">
        <is>
          <t>auto_pipeline;review_png_green</t>
        </is>
      </c>
      <c r="R1531" t="inlineStr">
        <is>
          <t>样品35</t>
        </is>
      </c>
    </row>
    <row r="1532">
      <c r="A1532" t="n">
        <v>1531</v>
      </c>
      <c r="B1532" t="inlineStr">
        <is>
          <t>35 (3).tif</t>
        </is>
      </c>
      <c r="C1532" t="inlineStr">
        <is>
          <t>35(3)-V02</t>
        </is>
      </c>
      <c r="D1532" t="n">
        <v>2</v>
      </c>
      <c r="E1532" t="inlineStr">
        <is>
          <t>primary</t>
        </is>
      </c>
      <c r="F1532" t="n">
        <v>747.4007561436673</v>
      </c>
      <c r="G1532">
        <f>2*SQRT(F1532/PI())</f>
        <v/>
      </c>
      <c r="H1532" t="n">
        <v>102.5937000564907</v>
      </c>
      <c r="I1532" t="n">
        <v>275</v>
      </c>
      <c r="J1532" t="n">
        <v>393</v>
      </c>
      <c r="K1532" t="n">
        <v>732.452741020794</v>
      </c>
      <c r="L1532" t="n">
        <v>762.3487712665407</v>
      </c>
      <c r="M1532">
        <f>2*SQRT(K1532/PI())</f>
        <v/>
      </c>
      <c r="N1532">
        <f>2*SQRT(L1532/PI())</f>
        <v/>
      </c>
      <c r="O1532" t="inlineStr">
        <is>
          <t>35(3)-P01</t>
        </is>
      </c>
      <c r="P1532" t="inlineStr">
        <is>
          <t>是</t>
        </is>
      </c>
      <c r="Q1532" t="inlineStr">
        <is>
          <t>auto_pipeline;review_png_green</t>
        </is>
      </c>
      <c r="R1532" t="inlineStr">
        <is>
          <t>样品35</t>
        </is>
      </c>
    </row>
    <row r="1533">
      <c r="A1533" t="n">
        <v>1532</v>
      </c>
      <c r="B1533" t="inlineStr">
        <is>
          <t>35 (3).tif</t>
        </is>
      </c>
      <c r="C1533" t="inlineStr">
        <is>
          <t>35(3)-V03</t>
        </is>
      </c>
      <c r="D1533" t="n">
        <v>3</v>
      </c>
      <c r="E1533" t="inlineStr">
        <is>
          <t>primary</t>
        </is>
      </c>
      <c r="F1533" t="n">
        <v>662.0510396975426</v>
      </c>
      <c r="G1533">
        <f>2*SQRT(F1533/PI())</f>
        <v/>
      </c>
      <c r="H1533" t="n">
        <v>96.91062714742577</v>
      </c>
      <c r="I1533" t="n">
        <v>622</v>
      </c>
      <c r="J1533" t="n">
        <v>321</v>
      </c>
      <c r="K1533" t="n">
        <v>648.8100189035918</v>
      </c>
      <c r="L1533" t="n">
        <v>675.2920604914934</v>
      </c>
      <c r="M1533">
        <f>2*SQRT(K1533/PI())</f>
        <v/>
      </c>
      <c r="N1533">
        <f>2*SQRT(L1533/PI())</f>
        <v/>
      </c>
      <c r="P1533" t="inlineStr">
        <is>
          <t>是</t>
        </is>
      </c>
      <c r="Q1533" t="inlineStr">
        <is>
          <t>auto_pipeline;review_png_green</t>
        </is>
      </c>
      <c r="R1533" t="inlineStr">
        <is>
          <t>样品35</t>
        </is>
      </c>
    </row>
    <row r="1534">
      <c r="A1534" t="n">
        <v>1533</v>
      </c>
      <c r="B1534" t="inlineStr">
        <is>
          <t>35 (3).tif</t>
        </is>
      </c>
      <c r="C1534" t="inlineStr">
        <is>
          <t>35(3)-V04</t>
        </is>
      </c>
      <c r="D1534" t="n">
        <v>4</v>
      </c>
      <c r="E1534" t="inlineStr">
        <is>
          <t>primary</t>
        </is>
      </c>
      <c r="F1534" t="n">
        <v>332.1833648393195</v>
      </c>
      <c r="G1534">
        <f>2*SQRT(F1534/PI())</f>
        <v/>
      </c>
      <c r="H1534" t="n">
        <v>75.96116387325785</v>
      </c>
      <c r="I1534" t="n">
        <v>265</v>
      </c>
      <c r="J1534" t="n">
        <v>517</v>
      </c>
      <c r="K1534" t="n">
        <v>325.5396975425331</v>
      </c>
      <c r="L1534" t="n">
        <v>338.8270321361059</v>
      </c>
      <c r="M1534">
        <f>2*SQRT(K1534/PI())</f>
        <v/>
      </c>
      <c r="N1534">
        <f>2*SQRT(L1534/PI())</f>
        <v/>
      </c>
      <c r="P1534" t="inlineStr">
        <is>
          <t>是</t>
        </is>
      </c>
      <c r="Q1534" t="inlineStr">
        <is>
          <t>auto_pipeline;review_png_green</t>
        </is>
      </c>
      <c r="R1534" t="inlineStr">
        <is>
          <t>样品35</t>
        </is>
      </c>
    </row>
    <row r="1535">
      <c r="A1535" t="n">
        <v>1534</v>
      </c>
      <c r="B1535" t="inlineStr">
        <is>
          <t>35 (3).tif</t>
        </is>
      </c>
      <c r="C1535" t="inlineStr">
        <is>
          <t>35(3)-V05</t>
        </is>
      </c>
      <c r="D1535" t="n">
        <v>5</v>
      </c>
      <c r="E1535" t="inlineStr">
        <is>
          <t>primary</t>
        </is>
      </c>
      <c r="F1535" t="n">
        <v>124.8109640831758</v>
      </c>
      <c r="G1535">
        <f>2*SQRT(F1535/PI())</f>
        <v/>
      </c>
      <c r="H1535" t="n">
        <v>55.2226924377939</v>
      </c>
      <c r="I1535" t="n">
        <v>180</v>
      </c>
      <c r="J1535" t="n">
        <v>38</v>
      </c>
      <c r="K1535" t="n">
        <v>122.3147448015123</v>
      </c>
      <c r="L1535" t="n">
        <v>127.3071833648393</v>
      </c>
      <c r="M1535">
        <f>2*SQRT(K1535/PI())</f>
        <v/>
      </c>
      <c r="N1535">
        <f>2*SQRT(L1535/PI())</f>
        <v/>
      </c>
      <c r="P1535" t="inlineStr">
        <is>
          <t>是</t>
        </is>
      </c>
      <c r="Q1535" t="inlineStr">
        <is>
          <t>auto_pipeline;review_png_green</t>
        </is>
      </c>
      <c r="R1535" t="inlineStr">
        <is>
          <t>样品35</t>
        </is>
      </c>
    </row>
    <row r="1536">
      <c r="A1536" t="n">
        <v>1535</v>
      </c>
      <c r="B1536" t="inlineStr">
        <is>
          <t>35 (3).tif</t>
        </is>
      </c>
      <c r="C1536" t="inlineStr">
        <is>
          <t>35(3)-V06</t>
        </is>
      </c>
      <c r="D1536" t="n">
        <v>6</v>
      </c>
      <c r="E1536" t="inlineStr">
        <is>
          <t>primary</t>
        </is>
      </c>
      <c r="F1536" t="n">
        <v>111.1058601134216</v>
      </c>
      <c r="G1536">
        <f>2*SQRT(F1536/PI())</f>
        <v/>
      </c>
      <c r="H1536" t="n">
        <v>47.90598501329836</v>
      </c>
      <c r="I1536" t="n">
        <v>816</v>
      </c>
      <c r="J1536" t="n">
        <v>644</v>
      </c>
      <c r="K1536" t="n">
        <v>108.8837429111531</v>
      </c>
      <c r="L1536" t="n">
        <v>113.32797731569</v>
      </c>
      <c r="M1536">
        <f>2*SQRT(K1536/PI())</f>
        <v/>
      </c>
      <c r="N1536">
        <f>2*SQRT(L1536/PI())</f>
        <v/>
      </c>
      <c r="P1536" t="inlineStr">
        <is>
          <t>是</t>
        </is>
      </c>
      <c r="Q1536" t="inlineStr">
        <is>
          <t>auto_pipeline;review_png_green</t>
        </is>
      </c>
      <c r="R1536" t="inlineStr">
        <is>
          <t>样品35</t>
        </is>
      </c>
    </row>
    <row r="1537">
      <c r="A1537" t="n">
        <v>1536</v>
      </c>
      <c r="B1537" t="inlineStr">
        <is>
          <t>35 (3).tif</t>
        </is>
      </c>
      <c r="C1537" t="inlineStr">
        <is>
          <t>35(3)-V07</t>
        </is>
      </c>
      <c r="D1537" t="n">
        <v>7</v>
      </c>
      <c r="E1537" t="inlineStr">
        <is>
          <t>primary</t>
        </is>
      </c>
      <c r="F1537" t="n">
        <v>109.4045368620038</v>
      </c>
      <c r="G1537">
        <f>2*SQRT(F1537/PI())</f>
        <v/>
      </c>
      <c r="H1537" t="n">
        <v>40.90576534685881</v>
      </c>
      <c r="I1537" t="n">
        <v>160</v>
      </c>
      <c r="J1537" t="n">
        <v>611</v>
      </c>
      <c r="K1537" t="n">
        <v>107.2164461247637</v>
      </c>
      <c r="L1537" t="n">
        <v>111.5926275992439</v>
      </c>
      <c r="M1537">
        <f>2*SQRT(K1537/PI())</f>
        <v/>
      </c>
      <c r="N1537">
        <f>2*SQRT(L1537/PI())</f>
        <v/>
      </c>
      <c r="P1537" t="inlineStr">
        <is>
          <t>是</t>
        </is>
      </c>
      <c r="Q1537" t="inlineStr">
        <is>
          <t>auto_pipeline;review_png_green</t>
        </is>
      </c>
      <c r="R1537" t="inlineStr">
        <is>
          <t>样品35</t>
        </is>
      </c>
    </row>
    <row r="1538">
      <c r="A1538" t="n">
        <v>1537</v>
      </c>
      <c r="B1538" t="inlineStr">
        <is>
          <t>35 (3).tif</t>
        </is>
      </c>
      <c r="C1538" t="inlineStr">
        <is>
          <t>35(3)-V08</t>
        </is>
      </c>
      <c r="D1538" t="n">
        <v>8</v>
      </c>
      <c r="E1538" t="inlineStr">
        <is>
          <t>primary</t>
        </is>
      </c>
      <c r="F1538" t="n">
        <v>25.07088846880907</v>
      </c>
      <c r="G1538">
        <f>2*SQRT(F1538/PI())</f>
        <v/>
      </c>
      <c r="H1538" t="n">
        <v>24.44957310738771</v>
      </c>
      <c r="I1538" t="n">
        <v>202</v>
      </c>
      <c r="J1538" t="n">
        <v>472</v>
      </c>
      <c r="K1538" t="n">
        <v>24.56947069943289</v>
      </c>
      <c r="L1538" t="n">
        <v>25.57230623818526</v>
      </c>
      <c r="M1538">
        <f>2*SQRT(K1538/PI())</f>
        <v/>
      </c>
      <c r="N1538">
        <f>2*SQRT(L1538/PI())</f>
        <v/>
      </c>
      <c r="P1538" t="inlineStr">
        <is>
          <t>是</t>
        </is>
      </c>
      <c r="Q1538" t="inlineStr">
        <is>
          <t>auto_pipeline;review_png_green</t>
        </is>
      </c>
      <c r="R1538" t="inlineStr">
        <is>
          <t>样品35</t>
        </is>
      </c>
    </row>
    <row r="1539">
      <c r="A1539" t="n">
        <v>1538</v>
      </c>
      <c r="B1539" t="inlineStr">
        <is>
          <t>35 (4).tif</t>
        </is>
      </c>
      <c r="C1539" t="inlineStr">
        <is>
          <t>35(4)-V01</t>
        </is>
      </c>
      <c r="D1539" t="n">
        <v>1</v>
      </c>
      <c r="E1539" t="inlineStr">
        <is>
          <t>primary</t>
        </is>
      </c>
      <c r="F1539" t="n">
        <v>963.6105860113422</v>
      </c>
      <c r="G1539">
        <f>2*SQRT(F1539/PI())</f>
        <v/>
      </c>
      <c r="H1539" t="n">
        <v>118.518663800281</v>
      </c>
      <c r="I1539" t="n">
        <v>414</v>
      </c>
      <c r="J1539" t="n">
        <v>350</v>
      </c>
      <c r="K1539" t="n">
        <v>944.3383742911153</v>
      </c>
      <c r="L1539" t="n">
        <v>982.8827977315691</v>
      </c>
      <c r="M1539">
        <f>2*SQRT(K1539/PI())</f>
        <v/>
      </c>
      <c r="N1539">
        <f>2*SQRT(L1539/PI())</f>
        <v/>
      </c>
      <c r="O1539" t="inlineStr">
        <is>
          <t>35(4)-P01</t>
        </is>
      </c>
      <c r="P1539" t="inlineStr">
        <is>
          <t>是</t>
        </is>
      </c>
      <c r="Q1539" t="inlineStr">
        <is>
          <t>auto_pipeline;review_png_green</t>
        </is>
      </c>
      <c r="R1539" t="inlineStr">
        <is>
          <t>样品35</t>
        </is>
      </c>
    </row>
    <row r="1540">
      <c r="A1540" t="n">
        <v>1539</v>
      </c>
      <c r="B1540" t="inlineStr">
        <is>
          <t>35 (4).tif</t>
        </is>
      </c>
      <c r="C1540" t="inlineStr">
        <is>
          <t>35(4)-V02</t>
        </is>
      </c>
      <c r="D1540" t="n">
        <v>2</v>
      </c>
      <c r="E1540" t="inlineStr">
        <is>
          <t>primary</t>
        </is>
      </c>
      <c r="F1540" t="n">
        <v>729.9149338374291</v>
      </c>
      <c r="G1540">
        <f>2*SQRT(F1540/PI())</f>
        <v/>
      </c>
      <c r="H1540" t="n">
        <v>103.0593816612078</v>
      </c>
      <c r="I1540" t="n">
        <v>580</v>
      </c>
      <c r="J1540" t="n">
        <v>415</v>
      </c>
      <c r="K1540" t="n">
        <v>715.3166351606804</v>
      </c>
      <c r="L1540" t="n">
        <v>744.5132325141777</v>
      </c>
      <c r="M1540">
        <f>2*SQRT(K1540/PI())</f>
        <v/>
      </c>
      <c r="N1540">
        <f>2*SQRT(L1540/PI())</f>
        <v/>
      </c>
      <c r="O1540" t="inlineStr">
        <is>
          <t>35(4)-P01</t>
        </is>
      </c>
      <c r="P1540" t="inlineStr">
        <is>
          <t>是</t>
        </is>
      </c>
      <c r="Q1540" t="inlineStr">
        <is>
          <t>auto_pipeline;review_png_green</t>
        </is>
      </c>
      <c r="R1540" t="inlineStr">
        <is>
          <t>样品35</t>
        </is>
      </c>
    </row>
    <row r="1541">
      <c r="A1541" t="n">
        <v>1540</v>
      </c>
      <c r="B1541" t="inlineStr">
        <is>
          <t>35 (4).tif</t>
        </is>
      </c>
      <c r="C1541" t="inlineStr">
        <is>
          <t>35(4)-V03</t>
        </is>
      </c>
      <c r="D1541" t="n">
        <v>3</v>
      </c>
      <c r="E1541" t="inlineStr">
        <is>
          <t>primary</t>
        </is>
      </c>
      <c r="F1541" t="n">
        <v>534.5935727788279</v>
      </c>
      <c r="G1541">
        <f>2*SQRT(F1541/PI())</f>
        <v/>
      </c>
      <c r="H1541" t="n">
        <v>86.51954246603924</v>
      </c>
      <c r="I1541" t="n">
        <v>93</v>
      </c>
      <c r="J1541" t="n">
        <v>272</v>
      </c>
      <c r="K1541" t="n">
        <v>523.9017013232514</v>
      </c>
      <c r="L1541" t="n">
        <v>545.2854442344045</v>
      </c>
      <c r="M1541">
        <f>2*SQRT(K1541/PI())</f>
        <v/>
      </c>
      <c r="N1541">
        <f>2*SQRT(L1541/PI())</f>
        <v/>
      </c>
      <c r="P1541" t="inlineStr">
        <is>
          <t>是</t>
        </is>
      </c>
      <c r="Q1541" t="inlineStr">
        <is>
          <t>auto_pipeline;review_png_green</t>
        </is>
      </c>
      <c r="R1541" t="inlineStr">
        <is>
          <t>样品35</t>
        </is>
      </c>
    </row>
    <row r="1542">
      <c r="A1542" t="n">
        <v>1541</v>
      </c>
      <c r="B1542" t="inlineStr">
        <is>
          <t>35 (4).tif</t>
        </is>
      </c>
      <c r="C1542" t="inlineStr">
        <is>
          <t>35(4)-V04</t>
        </is>
      </c>
      <c r="D1542" t="n">
        <v>4</v>
      </c>
      <c r="E1542" t="inlineStr">
        <is>
          <t>primary</t>
        </is>
      </c>
      <c r="F1542" t="n">
        <v>134.3809073724008</v>
      </c>
      <c r="G1542">
        <f>2*SQRT(F1542/PI())</f>
        <v/>
      </c>
      <c r="H1542" t="n">
        <v>46.82167905828227</v>
      </c>
      <c r="I1542" t="n">
        <v>204</v>
      </c>
      <c r="J1542" t="n">
        <v>221</v>
      </c>
      <c r="K1542" t="n">
        <v>131.6932892249528</v>
      </c>
      <c r="L1542" t="n">
        <v>137.0685255198488</v>
      </c>
      <c r="M1542">
        <f>2*SQRT(K1542/PI())</f>
        <v/>
      </c>
      <c r="N1542">
        <f>2*SQRT(L1542/PI())</f>
        <v/>
      </c>
      <c r="P1542" t="inlineStr">
        <is>
          <t>是</t>
        </is>
      </c>
      <c r="Q1542" t="inlineStr">
        <is>
          <t>auto_pipeline;review_png_green</t>
        </is>
      </c>
      <c r="R1542" t="inlineStr">
        <is>
          <t>样品35</t>
        </is>
      </c>
    </row>
    <row r="1543">
      <c r="A1543" t="n">
        <v>1542</v>
      </c>
      <c r="B1543" t="inlineStr">
        <is>
          <t>35 (4).tif</t>
        </is>
      </c>
      <c r="C1543" t="inlineStr">
        <is>
          <t>35(4)-V05</t>
        </is>
      </c>
      <c r="D1543" t="n">
        <v>5</v>
      </c>
      <c r="E1543" t="inlineStr">
        <is>
          <t>primary</t>
        </is>
      </c>
      <c r="F1543" t="n">
        <v>117.8638941398866</v>
      </c>
      <c r="G1543">
        <f>2*SQRT(F1543/PI())</f>
        <v/>
      </c>
      <c r="H1543" t="n">
        <v>43.25977123301962</v>
      </c>
      <c r="I1543" t="n">
        <v>174</v>
      </c>
      <c r="J1543" t="n">
        <v>566</v>
      </c>
      <c r="K1543" t="n">
        <v>115.5066162570889</v>
      </c>
      <c r="L1543" t="n">
        <v>120.2211720226843</v>
      </c>
      <c r="M1543">
        <f>2*SQRT(K1543/PI())</f>
        <v/>
      </c>
      <c r="N1543">
        <f>2*SQRT(L1543/PI())</f>
        <v/>
      </c>
      <c r="P1543" t="inlineStr">
        <is>
          <t>是</t>
        </is>
      </c>
      <c r="Q1543" t="inlineStr">
        <is>
          <t>auto_pipeline;review_png_green</t>
        </is>
      </c>
      <c r="R1543" t="inlineStr">
        <is>
          <t>样品35</t>
        </is>
      </c>
    </row>
    <row r="1544">
      <c r="A1544" t="n">
        <v>1543</v>
      </c>
      <c r="B1544" t="inlineStr">
        <is>
          <t>35 (4).tif</t>
        </is>
      </c>
      <c r="C1544" t="inlineStr">
        <is>
          <t>35(4)-V06</t>
        </is>
      </c>
      <c r="D1544" t="n">
        <v>6</v>
      </c>
      <c r="E1544" t="inlineStr">
        <is>
          <t>primary</t>
        </is>
      </c>
      <c r="F1544" t="n">
        <v>107.5378071833648</v>
      </c>
      <c r="G1544">
        <f>2*SQRT(F1544/PI())</f>
        <v/>
      </c>
      <c r="H1544" t="n">
        <v>40.05804909312207</v>
      </c>
      <c r="I1544" t="n">
        <v>121</v>
      </c>
      <c r="J1544" t="n">
        <v>366</v>
      </c>
      <c r="K1544" t="n">
        <v>105.3870510396975</v>
      </c>
      <c r="L1544" t="n">
        <v>109.6885633270321</v>
      </c>
      <c r="M1544">
        <f>2*SQRT(K1544/PI())</f>
        <v/>
      </c>
      <c r="N1544">
        <f>2*SQRT(L1544/PI())</f>
        <v/>
      </c>
      <c r="P1544" t="inlineStr">
        <is>
          <t>是</t>
        </is>
      </c>
      <c r="Q1544" t="inlineStr">
        <is>
          <t>auto_pipeline;review_png_green</t>
        </is>
      </c>
      <c r="R1544" t="inlineStr">
        <is>
          <t>样品35</t>
        </is>
      </c>
    </row>
    <row r="1545">
      <c r="A1545" t="n">
        <v>1544</v>
      </c>
      <c r="B1545" t="inlineStr">
        <is>
          <t>35 (5).tif</t>
        </is>
      </c>
      <c r="C1545" t="inlineStr">
        <is>
          <t>35(5)-V01</t>
        </is>
      </c>
      <c r="D1545" t="n">
        <v>1</v>
      </c>
      <c r="E1545" t="inlineStr">
        <is>
          <t>primary</t>
        </is>
      </c>
      <c r="F1545" t="n">
        <v>1009.948015122873</v>
      </c>
      <c r="G1545">
        <f>2*SQRT(F1545/PI())</f>
        <v/>
      </c>
      <c r="H1545" t="n">
        <v>118.9006984493007</v>
      </c>
      <c r="I1545" t="n">
        <v>553</v>
      </c>
      <c r="J1545" t="n">
        <v>313</v>
      </c>
      <c r="K1545" t="n">
        <v>989.7490548204158</v>
      </c>
      <c r="L1545" t="n">
        <v>1030.146975425331</v>
      </c>
      <c r="M1545">
        <f>2*SQRT(K1545/PI())</f>
        <v/>
      </c>
      <c r="N1545">
        <f>2*SQRT(L1545/PI())</f>
        <v/>
      </c>
      <c r="P1545" t="inlineStr">
        <is>
          <t>是</t>
        </is>
      </c>
      <c r="Q1545" t="inlineStr">
        <is>
          <t>auto_pipeline;review_png_green</t>
        </is>
      </c>
      <c r="R1545" t="inlineStr">
        <is>
          <t>样品35</t>
        </is>
      </c>
    </row>
    <row r="1546">
      <c r="A1546" t="n">
        <v>1545</v>
      </c>
      <c r="B1546" t="inlineStr">
        <is>
          <t>35 (5).tif</t>
        </is>
      </c>
      <c r="C1546" t="inlineStr">
        <is>
          <t>35(5)-V02</t>
        </is>
      </c>
      <c r="D1546" t="n">
        <v>2</v>
      </c>
      <c r="E1546" t="inlineStr">
        <is>
          <t>primary</t>
        </is>
      </c>
      <c r="F1546" t="n">
        <v>300.1417769376181</v>
      </c>
      <c r="G1546">
        <f>2*SQRT(F1546/PI())</f>
        <v/>
      </c>
      <c r="H1546" t="n">
        <v>78.12227798544842</v>
      </c>
      <c r="I1546" t="n">
        <v>120</v>
      </c>
      <c r="J1546" t="n">
        <v>141</v>
      </c>
      <c r="K1546" t="n">
        <v>294.1389413988658</v>
      </c>
      <c r="L1546" t="n">
        <v>306.1446124763705</v>
      </c>
      <c r="M1546">
        <f>2*SQRT(K1546/PI())</f>
        <v/>
      </c>
      <c r="N1546">
        <f>2*SQRT(L1546/PI())</f>
        <v/>
      </c>
      <c r="P1546" t="inlineStr">
        <is>
          <t>是</t>
        </is>
      </c>
      <c r="Q1546" t="inlineStr">
        <is>
          <t>auto_pipeline;review_png_green</t>
        </is>
      </c>
      <c r="R1546" t="inlineStr">
        <is>
          <t>样品35</t>
        </is>
      </c>
    </row>
    <row r="1547">
      <c r="A1547" t="n">
        <v>1546</v>
      </c>
      <c r="B1547" t="inlineStr">
        <is>
          <t>35 (5).tif</t>
        </is>
      </c>
      <c r="C1547" t="inlineStr">
        <is>
          <t>35(5)-V03</t>
        </is>
      </c>
      <c r="D1547" t="n">
        <v>3</v>
      </c>
      <c r="E1547" t="inlineStr">
        <is>
          <t>primary</t>
        </is>
      </c>
      <c r="F1547" t="n">
        <v>125.8979206049149</v>
      </c>
      <c r="G1547">
        <f>2*SQRT(F1547/PI())</f>
        <v/>
      </c>
      <c r="H1547" t="n">
        <v>49.60141752077185</v>
      </c>
      <c r="I1547" t="n">
        <v>928</v>
      </c>
      <c r="J1547" t="n">
        <v>464</v>
      </c>
      <c r="K1547" t="n">
        <v>123.3799621928166</v>
      </c>
      <c r="L1547" t="n">
        <v>128.4158790170132</v>
      </c>
      <c r="M1547">
        <f>2*SQRT(K1547/PI())</f>
        <v/>
      </c>
      <c r="N1547">
        <f>2*SQRT(L1547/PI())</f>
        <v/>
      </c>
      <c r="P1547" t="inlineStr">
        <is>
          <t>是</t>
        </is>
      </c>
      <c r="Q1547" t="inlineStr">
        <is>
          <t>auto_pipeline;review_png_green</t>
        </is>
      </c>
      <c r="R1547" t="inlineStr">
        <is>
          <t>样品35</t>
        </is>
      </c>
    </row>
    <row r="1548">
      <c r="A1548" t="n">
        <v>1547</v>
      </c>
      <c r="B1548" t="inlineStr">
        <is>
          <t>35 (5).tif</t>
        </is>
      </c>
      <c r="C1548" t="inlineStr">
        <is>
          <t>35(5)-V04</t>
        </is>
      </c>
      <c r="D1548" t="n">
        <v>4</v>
      </c>
      <c r="E1548" t="inlineStr">
        <is>
          <t>primary</t>
        </is>
      </c>
      <c r="F1548" t="n">
        <v>109.1446124763705</v>
      </c>
      <c r="G1548">
        <f>2*SQRT(F1548/PI())</f>
        <v/>
      </c>
      <c r="H1548" t="n">
        <v>40.31273885913517</v>
      </c>
      <c r="I1548" t="n">
        <v>404</v>
      </c>
      <c r="J1548" t="n">
        <v>56</v>
      </c>
      <c r="K1548" t="n">
        <v>106.9617202268431</v>
      </c>
      <c r="L1548" t="n">
        <v>111.3275047258979</v>
      </c>
      <c r="M1548">
        <f>2*SQRT(K1548/PI())</f>
        <v/>
      </c>
      <c r="N1548">
        <f>2*SQRT(L1548/PI())</f>
        <v/>
      </c>
      <c r="P1548" t="inlineStr">
        <is>
          <t>是</t>
        </is>
      </c>
      <c r="Q1548" t="inlineStr">
        <is>
          <t>auto_pipeline;review_png_green</t>
        </is>
      </c>
      <c r="R1548" t="inlineStr">
        <is>
          <t>样品35</t>
        </is>
      </c>
    </row>
    <row r="1549">
      <c r="A1549" t="n">
        <v>1548</v>
      </c>
      <c r="B1549" t="inlineStr">
        <is>
          <t>35 (6).tif</t>
        </is>
      </c>
      <c r="C1549" t="inlineStr">
        <is>
          <t>35(6)-V01</t>
        </is>
      </c>
      <c r="D1549" t="n">
        <v>1</v>
      </c>
      <c r="E1549" t="inlineStr">
        <is>
          <t>primary</t>
        </is>
      </c>
      <c r="F1549" t="n">
        <v>1187.830812854442</v>
      </c>
      <c r="G1549">
        <f>2*SQRT(F1549/PI())</f>
        <v/>
      </c>
      <c r="H1549" t="n">
        <v>129.2917831306872</v>
      </c>
      <c r="I1549" t="n">
        <v>506</v>
      </c>
      <c r="J1549" t="n">
        <v>278</v>
      </c>
      <c r="K1549" t="n">
        <v>1164.074196597354</v>
      </c>
      <c r="L1549" t="n">
        <v>1211.587429111531</v>
      </c>
      <c r="M1549">
        <f>2*SQRT(K1549/PI())</f>
        <v/>
      </c>
      <c r="N1549">
        <f>2*SQRT(L1549/PI())</f>
        <v/>
      </c>
      <c r="O1549" t="inlineStr">
        <is>
          <t>35(6)-P01</t>
        </is>
      </c>
      <c r="P1549" t="inlineStr">
        <is>
          <t>是</t>
        </is>
      </c>
      <c r="Q1549" t="inlineStr">
        <is>
          <t>auto_pipeline;review_png_green</t>
        </is>
      </c>
      <c r="R1549" t="inlineStr">
        <is>
          <t>样品35</t>
        </is>
      </c>
    </row>
    <row r="1550">
      <c r="A1550" t="n">
        <v>1549</v>
      </c>
      <c r="B1550" t="inlineStr">
        <is>
          <t>35 (6).tif</t>
        </is>
      </c>
      <c r="C1550" t="inlineStr">
        <is>
          <t>35(6)-V02</t>
        </is>
      </c>
      <c r="D1550" t="n">
        <v>2</v>
      </c>
      <c r="E1550" t="inlineStr">
        <is>
          <t>primary</t>
        </is>
      </c>
      <c r="F1550" t="n">
        <v>802.7410207939508</v>
      </c>
      <c r="G1550">
        <f>2*SQRT(F1550/PI())</f>
        <v/>
      </c>
      <c r="H1550" t="n">
        <v>106.7923322967861</v>
      </c>
      <c r="I1550" t="n">
        <v>743</v>
      </c>
      <c r="J1550" t="n">
        <v>435</v>
      </c>
      <c r="K1550" t="n">
        <v>786.6862003780718</v>
      </c>
      <c r="L1550" t="n">
        <v>818.7958412098299</v>
      </c>
      <c r="M1550">
        <f>2*SQRT(K1550/PI())</f>
        <v/>
      </c>
      <c r="N1550">
        <f>2*SQRT(L1550/PI())</f>
        <v/>
      </c>
      <c r="P1550" t="inlineStr">
        <is>
          <t>是</t>
        </is>
      </c>
      <c r="Q1550" t="inlineStr">
        <is>
          <t>auto_pipeline;review_png_green</t>
        </is>
      </c>
      <c r="R1550" t="inlineStr">
        <is>
          <t>样品35</t>
        </is>
      </c>
    </row>
    <row r="1551">
      <c r="A1551" t="n">
        <v>1550</v>
      </c>
      <c r="B1551" t="inlineStr">
        <is>
          <t>35 (6).tif</t>
        </is>
      </c>
      <c r="C1551" t="inlineStr">
        <is>
          <t>35(6)-V03</t>
        </is>
      </c>
      <c r="D1551" t="n">
        <v>3</v>
      </c>
      <c r="E1551" t="inlineStr">
        <is>
          <t>primary</t>
        </is>
      </c>
      <c r="F1551" t="n">
        <v>703.9697542533081</v>
      </c>
      <c r="G1551">
        <f>2*SQRT(F1551/PI())</f>
        <v/>
      </c>
      <c r="H1551" t="n">
        <v>99.62481871895167</v>
      </c>
      <c r="I1551" t="n">
        <v>471</v>
      </c>
      <c r="J1551" t="n">
        <v>445</v>
      </c>
      <c r="K1551" t="n">
        <v>689.890359168242</v>
      </c>
      <c r="L1551" t="n">
        <v>718.0491493383743</v>
      </c>
      <c r="M1551">
        <f>2*SQRT(K1551/PI())</f>
        <v/>
      </c>
      <c r="N1551">
        <f>2*SQRT(L1551/PI())</f>
        <v/>
      </c>
      <c r="O1551" t="inlineStr">
        <is>
          <t>35(6)-P01</t>
        </is>
      </c>
      <c r="P1551" t="inlineStr">
        <is>
          <t>是</t>
        </is>
      </c>
      <c r="Q1551" t="inlineStr">
        <is>
          <t>auto_pipeline;review_png_green</t>
        </is>
      </c>
      <c r="R1551" t="inlineStr">
        <is>
          <t>样品35</t>
        </is>
      </c>
    </row>
    <row r="1552">
      <c r="A1552" t="n">
        <v>1551</v>
      </c>
      <c r="B1552" t="inlineStr">
        <is>
          <t>35 (6).tif</t>
        </is>
      </c>
      <c r="C1552" t="inlineStr">
        <is>
          <t>35(6)-V04</t>
        </is>
      </c>
      <c r="D1552" t="n">
        <v>4</v>
      </c>
      <c r="E1552" t="inlineStr">
        <is>
          <t>primary</t>
        </is>
      </c>
      <c r="F1552" t="n">
        <v>123.0151228733459</v>
      </c>
      <c r="G1552">
        <f>2*SQRT(F1552/PI())</f>
        <v/>
      </c>
      <c r="H1552" t="n">
        <v>43.40896507968073</v>
      </c>
      <c r="I1552" t="n">
        <v>290</v>
      </c>
      <c r="J1552" t="n">
        <v>85</v>
      </c>
      <c r="K1552" t="n">
        <v>120.554820415879</v>
      </c>
      <c r="L1552" t="n">
        <v>125.4754253308129</v>
      </c>
      <c r="M1552">
        <f>2*SQRT(K1552/PI())</f>
        <v/>
      </c>
      <c r="N1552">
        <f>2*SQRT(L1552/PI())</f>
        <v/>
      </c>
      <c r="P1552" t="inlineStr">
        <is>
          <t>是</t>
        </is>
      </c>
      <c r="Q1552" t="inlineStr">
        <is>
          <t>auto_pipeline;review_png_green</t>
        </is>
      </c>
      <c r="R1552" t="inlineStr">
        <is>
          <t>样品35</t>
        </is>
      </c>
    </row>
    <row r="1553">
      <c r="A1553" t="n">
        <v>1552</v>
      </c>
      <c r="B1553" t="inlineStr">
        <is>
          <t>35 (6).tif</t>
        </is>
      </c>
      <c r="C1553" t="inlineStr">
        <is>
          <t>35(6)-V05</t>
        </is>
      </c>
      <c r="D1553" t="n">
        <v>5</v>
      </c>
      <c r="E1553" t="inlineStr">
        <is>
          <t>primary</t>
        </is>
      </c>
      <c r="F1553" t="n">
        <v>120.8648393194707</v>
      </c>
      <c r="G1553">
        <f>2*SQRT(F1553/PI())</f>
        <v/>
      </c>
      <c r="H1553" t="n">
        <v>51.61708668522213</v>
      </c>
      <c r="I1553" t="n">
        <v>188</v>
      </c>
      <c r="J1553" t="n">
        <v>583</v>
      </c>
      <c r="K1553" t="n">
        <v>118.4475425330813</v>
      </c>
      <c r="L1553" t="n">
        <v>123.2821361058601</v>
      </c>
      <c r="M1553">
        <f>2*SQRT(K1553/PI())</f>
        <v/>
      </c>
      <c r="N1553">
        <f>2*SQRT(L1553/PI())</f>
        <v/>
      </c>
      <c r="P1553" t="inlineStr">
        <is>
          <t>是</t>
        </is>
      </c>
      <c r="Q1553" t="inlineStr">
        <is>
          <t>auto_pipeline;review_png_green</t>
        </is>
      </c>
      <c r="R1553" t="inlineStr">
        <is>
          <t>样品35</t>
        </is>
      </c>
    </row>
    <row r="1554">
      <c r="A1554" t="n">
        <v>1553</v>
      </c>
      <c r="B1554" t="inlineStr">
        <is>
          <t>35 (7).tif</t>
        </is>
      </c>
      <c r="C1554" t="inlineStr">
        <is>
          <t>35(7)-V01</t>
        </is>
      </c>
      <c r="D1554" t="n">
        <v>1</v>
      </c>
      <c r="E1554" t="inlineStr">
        <is>
          <t>primary</t>
        </is>
      </c>
      <c r="F1554" t="n">
        <v>832.8213610586012</v>
      </c>
      <c r="G1554">
        <f>2*SQRT(F1554/PI())</f>
        <v/>
      </c>
      <c r="H1554" t="n">
        <v>109.3791789853055</v>
      </c>
      <c r="I1554" t="n">
        <v>448</v>
      </c>
      <c r="J1554" t="n">
        <v>292</v>
      </c>
      <c r="K1554" t="n">
        <v>816.1649338374291</v>
      </c>
      <c r="L1554" t="n">
        <v>849.4777882797732</v>
      </c>
      <c r="M1554">
        <f>2*SQRT(K1554/PI())</f>
        <v/>
      </c>
      <c r="N1554">
        <f>2*SQRT(L1554/PI())</f>
        <v/>
      </c>
      <c r="O1554" t="inlineStr">
        <is>
          <t>35(7)-P01</t>
        </is>
      </c>
      <c r="P1554" t="inlineStr">
        <is>
          <t>是</t>
        </is>
      </c>
      <c r="Q1554" t="inlineStr">
        <is>
          <t>auto_pipeline;review_png_green</t>
        </is>
      </c>
      <c r="R1554" t="inlineStr">
        <is>
          <t>样品35</t>
        </is>
      </c>
    </row>
    <row r="1555">
      <c r="A1555" t="n">
        <v>1554</v>
      </c>
      <c r="B1555" t="inlineStr">
        <is>
          <t>35 (7).tif</t>
        </is>
      </c>
      <c r="C1555" t="inlineStr">
        <is>
          <t>35(7)-V02</t>
        </is>
      </c>
      <c r="D1555" t="n">
        <v>2</v>
      </c>
      <c r="E1555" t="inlineStr">
        <is>
          <t>primary</t>
        </is>
      </c>
      <c r="F1555" t="n">
        <v>724.007561436673</v>
      </c>
      <c r="G1555">
        <f>2*SQRT(F1555/PI())</f>
        <v/>
      </c>
      <c r="H1555" t="n">
        <v>106.748634369477</v>
      </c>
      <c r="I1555" t="n">
        <v>425</v>
      </c>
      <c r="J1555" t="n">
        <v>429</v>
      </c>
      <c r="K1555" t="n">
        <v>709.5274102079395</v>
      </c>
      <c r="L1555" t="n">
        <v>738.4877126654064</v>
      </c>
      <c r="M1555">
        <f>2*SQRT(K1555/PI())</f>
        <v/>
      </c>
      <c r="N1555">
        <f>2*SQRT(L1555/PI())</f>
        <v/>
      </c>
      <c r="O1555" t="inlineStr">
        <is>
          <t>35(7)-P01</t>
        </is>
      </c>
      <c r="P1555" t="inlineStr">
        <is>
          <t>是</t>
        </is>
      </c>
      <c r="Q1555" t="inlineStr">
        <is>
          <t>auto_pipeline;review_png_green</t>
        </is>
      </c>
      <c r="R1555" t="inlineStr">
        <is>
          <t>样品35</t>
        </is>
      </c>
    </row>
    <row r="1556">
      <c r="A1556" t="n">
        <v>1555</v>
      </c>
      <c r="B1556" t="inlineStr">
        <is>
          <t>35 (7).tif</t>
        </is>
      </c>
      <c r="C1556" t="inlineStr">
        <is>
          <t>35(7)-V03</t>
        </is>
      </c>
      <c r="D1556" t="n">
        <v>3</v>
      </c>
      <c r="E1556" t="inlineStr">
        <is>
          <t>primary</t>
        </is>
      </c>
      <c r="F1556" t="n">
        <v>280.4347826086956</v>
      </c>
      <c r="G1556">
        <f>2*SQRT(F1556/PI())</f>
        <v/>
      </c>
      <c r="H1556" t="n">
        <v>63.78725082977958</v>
      </c>
      <c r="I1556" t="n">
        <v>731</v>
      </c>
      <c r="J1556" t="n">
        <v>529</v>
      </c>
      <c r="K1556" t="n">
        <v>274.8260869565217</v>
      </c>
      <c r="L1556" t="n">
        <v>286.0434782608696</v>
      </c>
      <c r="M1556">
        <f>2*SQRT(K1556/PI())</f>
        <v/>
      </c>
      <c r="N1556">
        <f>2*SQRT(L1556/PI())</f>
        <v/>
      </c>
      <c r="P1556" t="inlineStr">
        <is>
          <t>是</t>
        </is>
      </c>
      <c r="Q1556" t="inlineStr">
        <is>
          <t>auto_pipeline;review_png_green</t>
        </is>
      </c>
      <c r="R1556" t="inlineStr">
        <is>
          <t>样品35</t>
        </is>
      </c>
    </row>
    <row r="1557">
      <c r="A1557" t="n">
        <v>1556</v>
      </c>
      <c r="B1557" t="inlineStr">
        <is>
          <t>35 (7).tif</t>
        </is>
      </c>
      <c r="C1557" t="inlineStr">
        <is>
          <t>35(7)-V04</t>
        </is>
      </c>
      <c r="D1557" t="n">
        <v>4</v>
      </c>
      <c r="E1557" t="inlineStr">
        <is>
          <t>primary</t>
        </is>
      </c>
      <c r="F1557" t="n">
        <v>266.375236294896</v>
      </c>
      <c r="G1557">
        <f>2*SQRT(F1557/PI())</f>
        <v/>
      </c>
      <c r="H1557" t="n">
        <v>61.92077551199042</v>
      </c>
      <c r="I1557" t="n">
        <v>815</v>
      </c>
      <c r="J1557" t="n">
        <v>615</v>
      </c>
      <c r="K1557" t="n">
        <v>261.0477315689981</v>
      </c>
      <c r="L1557" t="n">
        <v>271.702741020794</v>
      </c>
      <c r="M1557">
        <f>2*SQRT(K1557/PI())</f>
        <v/>
      </c>
      <c r="N1557">
        <f>2*SQRT(L1557/PI())</f>
        <v/>
      </c>
      <c r="P1557" t="inlineStr">
        <is>
          <t>是</t>
        </is>
      </c>
      <c r="Q1557" t="inlineStr">
        <is>
          <t>auto_pipeline;review_png_green</t>
        </is>
      </c>
      <c r="R1557" t="inlineStr">
        <is>
          <t>样品35</t>
        </is>
      </c>
    </row>
    <row r="1558">
      <c r="A1558" t="n">
        <v>1557</v>
      </c>
      <c r="B1558" t="inlineStr">
        <is>
          <t>35 (7).tif</t>
        </is>
      </c>
      <c r="C1558" t="inlineStr">
        <is>
          <t>35(7)-V05</t>
        </is>
      </c>
      <c r="D1558" t="n">
        <v>5</v>
      </c>
      <c r="E1558" t="inlineStr">
        <is>
          <t>primary</t>
        </is>
      </c>
      <c r="F1558" t="n">
        <v>167.4385633270321</v>
      </c>
      <c r="G1558">
        <f>2*SQRT(F1558/PI())</f>
        <v/>
      </c>
      <c r="H1558" t="n">
        <v>52.63209685035374</v>
      </c>
      <c r="I1558" t="n">
        <v>230</v>
      </c>
      <c r="J1558" t="n">
        <v>333</v>
      </c>
      <c r="K1558" t="n">
        <v>164.0897920604915</v>
      </c>
      <c r="L1558" t="n">
        <v>170.7873345935728</v>
      </c>
      <c r="M1558">
        <f>2*SQRT(K1558/PI())</f>
        <v/>
      </c>
      <c r="N1558">
        <f>2*SQRT(L1558/PI())</f>
        <v/>
      </c>
      <c r="P1558" t="inlineStr">
        <is>
          <t>是</t>
        </is>
      </c>
      <c r="Q1558" t="inlineStr">
        <is>
          <t>auto_pipeline;review_png_green</t>
        </is>
      </c>
      <c r="R1558" t="inlineStr">
        <is>
          <t>样品35</t>
        </is>
      </c>
    </row>
    <row r="1559">
      <c r="A1559" t="n">
        <v>1558</v>
      </c>
      <c r="B1559" t="inlineStr">
        <is>
          <t>35 (7).tif</t>
        </is>
      </c>
      <c r="C1559" t="inlineStr">
        <is>
          <t>35(7)-V06</t>
        </is>
      </c>
      <c r="D1559" t="n">
        <v>6</v>
      </c>
      <c r="E1559" t="inlineStr">
        <is>
          <t>primary</t>
        </is>
      </c>
      <c r="F1559" t="n">
        <v>153.6862003780718</v>
      </c>
      <c r="G1559">
        <f>2*SQRT(F1559/PI())</f>
        <v/>
      </c>
      <c r="H1559" t="n">
        <v>46.84352802193683</v>
      </c>
      <c r="I1559" t="n">
        <v>791</v>
      </c>
      <c r="J1559" t="n">
        <v>444</v>
      </c>
      <c r="K1559" t="n">
        <v>150.6124763705104</v>
      </c>
      <c r="L1559" t="n">
        <v>156.7599243856333</v>
      </c>
      <c r="M1559">
        <f>2*SQRT(K1559/PI())</f>
        <v/>
      </c>
      <c r="N1559">
        <f>2*SQRT(L1559/PI())</f>
        <v/>
      </c>
      <c r="P1559" t="inlineStr">
        <is>
          <t>是</t>
        </is>
      </c>
      <c r="Q1559" t="inlineStr">
        <is>
          <t>auto_pipeline;review_png_green</t>
        </is>
      </c>
      <c r="R1559" t="inlineStr">
        <is>
          <t>样品35</t>
        </is>
      </c>
    </row>
    <row r="1560">
      <c r="A1560" t="n">
        <v>1559</v>
      </c>
      <c r="B1560" t="inlineStr">
        <is>
          <t>35 (7).tif</t>
        </is>
      </c>
      <c r="C1560" t="inlineStr">
        <is>
          <t>35(7)-V07</t>
        </is>
      </c>
      <c r="D1560" t="n">
        <v>7</v>
      </c>
      <c r="E1560" t="inlineStr">
        <is>
          <t>primary</t>
        </is>
      </c>
      <c r="F1560" t="n">
        <v>139.8865784499055</v>
      </c>
      <c r="G1560">
        <f>2*SQRT(F1560/PI())</f>
        <v/>
      </c>
      <c r="H1560" t="n">
        <v>47.56389939266703</v>
      </c>
      <c r="I1560" t="n">
        <v>196</v>
      </c>
      <c r="J1560" t="n">
        <v>436</v>
      </c>
      <c r="K1560" t="n">
        <v>137.0888468809074</v>
      </c>
      <c r="L1560" t="n">
        <v>142.6843100189036</v>
      </c>
      <c r="M1560">
        <f>2*SQRT(K1560/PI())</f>
        <v/>
      </c>
      <c r="N1560">
        <f>2*SQRT(L1560/PI())</f>
        <v/>
      </c>
      <c r="P1560" t="inlineStr">
        <is>
          <t>是</t>
        </is>
      </c>
      <c r="Q1560" t="inlineStr">
        <is>
          <t>auto_pipeline;review_png_green</t>
        </is>
      </c>
      <c r="R1560" t="inlineStr">
        <is>
          <t>样品35</t>
        </is>
      </c>
    </row>
    <row r="1561">
      <c r="A1561" t="n">
        <v>1560</v>
      </c>
      <c r="B1561" t="inlineStr">
        <is>
          <t>35 (7).tif</t>
        </is>
      </c>
      <c r="C1561" t="inlineStr">
        <is>
          <t>35(7)-V08</t>
        </is>
      </c>
      <c r="D1561" t="n">
        <v>8</v>
      </c>
      <c r="E1561" t="inlineStr">
        <is>
          <t>primary</t>
        </is>
      </c>
      <c r="F1561" t="n">
        <v>136.2003780718337</v>
      </c>
      <c r="G1561">
        <f>2*SQRT(F1561/PI())</f>
        <v/>
      </c>
      <c r="H1561" t="n">
        <v>47.92408507803212</v>
      </c>
      <c r="I1561" t="n">
        <v>793</v>
      </c>
      <c r="J1561" t="n">
        <v>129</v>
      </c>
      <c r="K1561" t="n">
        <v>133.476370510397</v>
      </c>
      <c r="L1561" t="n">
        <v>138.9243856332703</v>
      </c>
      <c r="M1561">
        <f>2*SQRT(K1561/PI())</f>
        <v/>
      </c>
      <c r="N1561">
        <f>2*SQRT(L1561/PI())</f>
        <v/>
      </c>
      <c r="P1561" t="inlineStr">
        <is>
          <t>是</t>
        </is>
      </c>
      <c r="Q1561" t="inlineStr">
        <is>
          <t>auto_pipeline;review_png_green</t>
        </is>
      </c>
      <c r="R1561" t="inlineStr">
        <is>
          <t>样品35</t>
        </is>
      </c>
    </row>
    <row r="1562">
      <c r="A1562" t="n">
        <v>1561</v>
      </c>
      <c r="B1562" t="inlineStr">
        <is>
          <t>35 (8).tif</t>
        </is>
      </c>
      <c r="C1562" t="inlineStr">
        <is>
          <t>35(8)-V01</t>
        </is>
      </c>
      <c r="D1562" t="n">
        <v>1</v>
      </c>
      <c r="E1562" t="inlineStr">
        <is>
          <t>primary</t>
        </is>
      </c>
      <c r="F1562" t="n">
        <v>1487.830812854442</v>
      </c>
      <c r="G1562">
        <f>2*SQRT(F1562/PI())</f>
        <v/>
      </c>
      <c r="H1562" t="n">
        <v>152.4716563069302</v>
      </c>
      <c r="I1562" t="n">
        <v>512</v>
      </c>
      <c r="J1562" t="n">
        <v>438</v>
      </c>
      <c r="K1562" t="n">
        <v>1458.074196597354</v>
      </c>
      <c r="L1562" t="n">
        <v>1517.587429111531</v>
      </c>
      <c r="M1562">
        <f>2*SQRT(K1562/PI())</f>
        <v/>
      </c>
      <c r="N1562">
        <f>2*SQRT(L1562/PI())</f>
        <v/>
      </c>
      <c r="O1562" t="inlineStr">
        <is>
          <t>35(8)-P01</t>
        </is>
      </c>
      <c r="P1562" t="inlineStr">
        <is>
          <t>是</t>
        </is>
      </c>
      <c r="Q1562" t="inlineStr">
        <is>
          <t>auto_pipeline;review_png_green</t>
        </is>
      </c>
      <c r="R1562" t="inlineStr">
        <is>
          <t>样品35</t>
        </is>
      </c>
    </row>
    <row r="1563">
      <c r="A1563" t="n">
        <v>1562</v>
      </c>
      <c r="B1563" t="inlineStr">
        <is>
          <t>35 (8).tif</t>
        </is>
      </c>
      <c r="C1563" t="inlineStr">
        <is>
          <t>35(8)-V02</t>
        </is>
      </c>
      <c r="D1563" t="n">
        <v>2</v>
      </c>
      <c r="E1563" t="inlineStr">
        <is>
          <t>primary</t>
        </is>
      </c>
      <c r="F1563" t="n">
        <v>1374.007561436673</v>
      </c>
      <c r="G1563">
        <f>2*SQRT(F1563/PI())</f>
        <v/>
      </c>
      <c r="H1563" t="n">
        <v>140.6797779124716</v>
      </c>
      <c r="I1563" t="n">
        <v>528</v>
      </c>
      <c r="J1563" t="n">
        <v>262</v>
      </c>
      <c r="K1563" t="n">
        <v>1346.52741020794</v>
      </c>
      <c r="L1563" t="n">
        <v>1401.487712665407</v>
      </c>
      <c r="M1563">
        <f>2*SQRT(K1563/PI())</f>
        <v/>
      </c>
      <c r="N1563">
        <f>2*SQRT(L1563/PI())</f>
        <v/>
      </c>
      <c r="O1563" t="inlineStr">
        <is>
          <t>35(8)-P01</t>
        </is>
      </c>
      <c r="P1563" t="inlineStr">
        <is>
          <t>是</t>
        </is>
      </c>
      <c r="Q1563" t="inlineStr">
        <is>
          <t>auto_pipeline;review_png_green</t>
        </is>
      </c>
      <c r="R1563" t="inlineStr">
        <is>
          <t>样品35</t>
        </is>
      </c>
    </row>
    <row r="1564">
      <c r="A1564" t="n">
        <v>1563</v>
      </c>
      <c r="B1564" t="inlineStr">
        <is>
          <t>35 (8).tif</t>
        </is>
      </c>
      <c r="C1564" t="inlineStr">
        <is>
          <t>35(8)-V03</t>
        </is>
      </c>
      <c r="D1564" t="n">
        <v>3</v>
      </c>
      <c r="E1564" t="inlineStr">
        <is>
          <t>primary</t>
        </is>
      </c>
      <c r="F1564" t="n">
        <v>204.5841209829868</v>
      </c>
      <c r="G1564">
        <f>2*SQRT(F1564/PI())</f>
        <v/>
      </c>
      <c r="H1564" t="n">
        <v>57.44560454202735</v>
      </c>
      <c r="I1564" t="n">
        <v>738</v>
      </c>
      <c r="J1564" t="n">
        <v>295</v>
      </c>
      <c r="K1564" t="n">
        <v>200.492438563327</v>
      </c>
      <c r="L1564" t="n">
        <v>208.6758034026465</v>
      </c>
      <c r="M1564">
        <f>2*SQRT(K1564/PI())</f>
        <v/>
      </c>
      <c r="N1564">
        <f>2*SQRT(L1564/PI())</f>
        <v/>
      </c>
      <c r="P1564" t="inlineStr">
        <is>
          <t>是</t>
        </is>
      </c>
      <c r="Q1564" t="inlineStr">
        <is>
          <t>auto_pipeline;review_png_green</t>
        </is>
      </c>
      <c r="R1564" t="inlineStr">
        <is>
          <t>样品35</t>
        </is>
      </c>
    </row>
    <row r="1565">
      <c r="A1565" t="n">
        <v>1564</v>
      </c>
      <c r="B1565" t="inlineStr">
        <is>
          <t>36 (1).tif</t>
        </is>
      </c>
      <c r="C1565" t="inlineStr">
        <is>
          <t>36(1)-V01</t>
        </is>
      </c>
      <c r="D1565" t="n">
        <v>1</v>
      </c>
      <c r="E1565" t="inlineStr">
        <is>
          <t>primary</t>
        </is>
      </c>
      <c r="F1565" t="n">
        <v>909.9952741020794</v>
      </c>
      <c r="G1565">
        <f>2*SQRT(F1565/PI())</f>
        <v/>
      </c>
      <c r="H1565" t="n">
        <v>114.4473764429922</v>
      </c>
      <c r="I1565" t="n">
        <v>264</v>
      </c>
      <c r="J1565" t="n">
        <v>501</v>
      </c>
      <c r="K1565" t="n">
        <v>891.7953686200378</v>
      </c>
      <c r="L1565" t="n">
        <v>928.195179584121</v>
      </c>
      <c r="M1565">
        <f>2*SQRT(K1565/PI())</f>
        <v/>
      </c>
      <c r="N1565">
        <f>2*SQRT(L1565/PI())</f>
        <v/>
      </c>
      <c r="P1565" t="inlineStr">
        <is>
          <t>是</t>
        </is>
      </c>
      <c r="Q1565" t="inlineStr">
        <is>
          <t>auto_pipeline;review_png_green</t>
        </is>
      </c>
      <c r="R1565" t="inlineStr">
        <is>
          <t>样品36</t>
        </is>
      </c>
    </row>
    <row r="1566">
      <c r="A1566" t="n">
        <v>1565</v>
      </c>
      <c r="B1566" t="inlineStr">
        <is>
          <t>36 (1).tif</t>
        </is>
      </c>
      <c r="C1566" t="inlineStr">
        <is>
          <t>36(1)-V02</t>
        </is>
      </c>
      <c r="D1566" t="n">
        <v>2</v>
      </c>
      <c r="E1566" t="inlineStr">
        <is>
          <t>primary</t>
        </is>
      </c>
      <c r="F1566" t="n">
        <v>882.4905482041588</v>
      </c>
      <c r="G1566">
        <f>2*SQRT(F1566/PI())</f>
        <v/>
      </c>
      <c r="H1566" t="n">
        <v>111.9878746374794</v>
      </c>
      <c r="I1566" t="n">
        <v>928</v>
      </c>
      <c r="J1566" t="n">
        <v>523</v>
      </c>
      <c r="K1566" t="n">
        <v>864.8407372400757</v>
      </c>
      <c r="L1566" t="n">
        <v>900.140359168242</v>
      </c>
      <c r="M1566">
        <f>2*SQRT(K1566/PI())</f>
        <v/>
      </c>
      <c r="N1566">
        <f>2*SQRT(L1566/PI())</f>
        <v/>
      </c>
      <c r="P1566" t="inlineStr">
        <is>
          <t>是</t>
        </is>
      </c>
      <c r="Q1566" t="inlineStr">
        <is>
          <t>auto_pipeline;review_png_green</t>
        </is>
      </c>
      <c r="R1566" t="inlineStr">
        <is>
          <t>样品36</t>
        </is>
      </c>
    </row>
    <row r="1567">
      <c r="A1567" t="n">
        <v>1566</v>
      </c>
      <c r="B1567" t="inlineStr">
        <is>
          <t>36 (1).tif</t>
        </is>
      </c>
      <c r="C1567" t="inlineStr">
        <is>
          <t>36(1)-V03</t>
        </is>
      </c>
      <c r="D1567" t="n">
        <v>3</v>
      </c>
      <c r="E1567" t="inlineStr">
        <is>
          <t>primary</t>
        </is>
      </c>
      <c r="F1567" t="n">
        <v>868.5727788279773</v>
      </c>
      <c r="G1567">
        <f>2*SQRT(F1567/PI())</f>
        <v/>
      </c>
      <c r="H1567" t="n">
        <v>110.3760890857033</v>
      </c>
      <c r="I1567" t="n">
        <v>616</v>
      </c>
      <c r="J1567" t="n">
        <v>271</v>
      </c>
      <c r="K1567" t="n">
        <v>851.2013232514178</v>
      </c>
      <c r="L1567" t="n">
        <v>885.9442344045369</v>
      </c>
      <c r="M1567">
        <f>2*SQRT(K1567/PI())</f>
        <v/>
      </c>
      <c r="N1567">
        <f>2*SQRT(L1567/PI())</f>
        <v/>
      </c>
      <c r="O1567" t="inlineStr">
        <is>
          <t>36(1)-P01</t>
        </is>
      </c>
      <c r="P1567" t="inlineStr">
        <is>
          <t>是</t>
        </is>
      </c>
      <c r="Q1567" t="inlineStr">
        <is>
          <t>auto_pipeline;review_png_green</t>
        </is>
      </c>
      <c r="R1567" t="inlineStr">
        <is>
          <t>样品36</t>
        </is>
      </c>
    </row>
    <row r="1568">
      <c r="A1568" t="n">
        <v>1567</v>
      </c>
      <c r="B1568" t="inlineStr">
        <is>
          <t>36 (1).tif</t>
        </is>
      </c>
      <c r="C1568" t="inlineStr">
        <is>
          <t>36(1)-V04</t>
        </is>
      </c>
      <c r="D1568" t="n">
        <v>4</v>
      </c>
      <c r="E1568" t="inlineStr">
        <is>
          <t>primary</t>
        </is>
      </c>
      <c r="F1568" t="n">
        <v>756.3327032136106</v>
      </c>
      <c r="G1568">
        <f>2*SQRT(F1568/PI())</f>
        <v/>
      </c>
      <c r="H1568" t="n">
        <v>102.9538857418558</v>
      </c>
      <c r="I1568" t="n">
        <v>470</v>
      </c>
      <c r="J1568" t="n">
        <v>381</v>
      </c>
      <c r="K1568" t="n">
        <v>741.2060491493384</v>
      </c>
      <c r="L1568" t="n">
        <v>771.4593572778828</v>
      </c>
      <c r="M1568">
        <f>2*SQRT(K1568/PI())</f>
        <v/>
      </c>
      <c r="N1568">
        <f>2*SQRT(L1568/PI())</f>
        <v/>
      </c>
      <c r="O1568" t="inlineStr">
        <is>
          <t>36(1)-P01</t>
        </is>
      </c>
      <c r="P1568" t="inlineStr">
        <is>
          <t>是</t>
        </is>
      </c>
      <c r="Q1568" t="inlineStr">
        <is>
          <t>auto_pipeline;review_png_green</t>
        </is>
      </c>
      <c r="R1568" t="inlineStr">
        <is>
          <t>样品36</t>
        </is>
      </c>
    </row>
    <row r="1569">
      <c r="A1569" t="n">
        <v>1568</v>
      </c>
      <c r="B1569" t="inlineStr">
        <is>
          <t>36 (1).tif</t>
        </is>
      </c>
      <c r="C1569" t="inlineStr">
        <is>
          <t>36(1)-V05</t>
        </is>
      </c>
      <c r="D1569" t="n">
        <v>5</v>
      </c>
      <c r="E1569" t="inlineStr">
        <is>
          <t>primary</t>
        </is>
      </c>
      <c r="F1569" t="n">
        <v>288.5160680529301</v>
      </c>
      <c r="G1569">
        <f>2*SQRT(F1569/PI())</f>
        <v/>
      </c>
      <c r="H1569" t="n">
        <v>65.63187718391418</v>
      </c>
      <c r="I1569" t="n">
        <v>403</v>
      </c>
      <c r="J1569" t="n">
        <v>102</v>
      </c>
      <c r="K1569" t="n">
        <v>282.7457466918714</v>
      </c>
      <c r="L1569" t="n">
        <v>294.2863894139887</v>
      </c>
      <c r="M1569">
        <f>2*SQRT(K1569/PI())</f>
        <v/>
      </c>
      <c r="N1569">
        <f>2*SQRT(L1569/PI())</f>
        <v/>
      </c>
      <c r="P1569" t="inlineStr">
        <is>
          <t>是</t>
        </is>
      </c>
      <c r="Q1569" t="inlineStr">
        <is>
          <t>auto_pipeline;review_png_green</t>
        </is>
      </c>
      <c r="R1569" t="inlineStr">
        <is>
          <t>样品36</t>
        </is>
      </c>
    </row>
    <row r="1570">
      <c r="A1570" t="n">
        <v>1569</v>
      </c>
      <c r="B1570" t="inlineStr">
        <is>
          <t>36 (1).tif</t>
        </is>
      </c>
      <c r="C1570" t="inlineStr">
        <is>
          <t>36(1)-V06</t>
        </is>
      </c>
      <c r="D1570" t="n">
        <v>6</v>
      </c>
      <c r="E1570" t="inlineStr">
        <is>
          <t>primary</t>
        </is>
      </c>
      <c r="F1570" t="n">
        <v>172.069943289225</v>
      </c>
      <c r="G1570">
        <f>2*SQRT(F1570/PI())</f>
        <v/>
      </c>
      <c r="H1570" t="n">
        <v>61.60053885501364</v>
      </c>
      <c r="I1570" t="n">
        <v>701</v>
      </c>
      <c r="J1570" t="n">
        <v>291</v>
      </c>
      <c r="K1570" t="n">
        <v>168.6285444234405</v>
      </c>
      <c r="L1570" t="n">
        <v>175.5113421550095</v>
      </c>
      <c r="M1570">
        <f>2*SQRT(K1570/PI())</f>
        <v/>
      </c>
      <c r="N1570">
        <f>2*SQRT(L1570/PI())</f>
        <v/>
      </c>
      <c r="P1570" t="inlineStr">
        <is>
          <t>是</t>
        </is>
      </c>
      <c r="Q1570" t="inlineStr">
        <is>
          <t>auto_pipeline;review_png_green</t>
        </is>
      </c>
      <c r="R1570" t="inlineStr">
        <is>
          <t>样品36</t>
        </is>
      </c>
    </row>
    <row r="1571">
      <c r="A1571" t="n">
        <v>1570</v>
      </c>
      <c r="B1571" t="inlineStr">
        <is>
          <t>36 (1).tif</t>
        </is>
      </c>
      <c r="C1571" t="inlineStr">
        <is>
          <t>36(1)-V07</t>
        </is>
      </c>
      <c r="D1571" t="n">
        <v>7</v>
      </c>
      <c r="E1571" t="inlineStr">
        <is>
          <t>primary</t>
        </is>
      </c>
      <c r="F1571" t="n">
        <v>170.2741020793951</v>
      </c>
      <c r="G1571">
        <f>2*SQRT(F1571/PI())</f>
        <v/>
      </c>
      <c r="H1571" t="n">
        <v>54.47672320448834</v>
      </c>
      <c r="I1571" t="n">
        <v>239</v>
      </c>
      <c r="J1571" t="n">
        <v>376</v>
      </c>
      <c r="K1571" t="n">
        <v>166.8686200378072</v>
      </c>
      <c r="L1571" t="n">
        <v>173.679584120983</v>
      </c>
      <c r="M1571">
        <f>2*SQRT(K1571/PI())</f>
        <v/>
      </c>
      <c r="N1571">
        <f>2*SQRT(L1571/PI())</f>
        <v/>
      </c>
      <c r="P1571" t="inlineStr">
        <is>
          <t>是</t>
        </is>
      </c>
      <c r="Q1571" t="inlineStr">
        <is>
          <t>auto_pipeline;review_png_green</t>
        </is>
      </c>
      <c r="R1571" t="inlineStr">
        <is>
          <t>样品36</t>
        </is>
      </c>
    </row>
    <row r="1572">
      <c r="A1572" t="n">
        <v>1571</v>
      </c>
      <c r="B1572" t="inlineStr">
        <is>
          <t>36 (1).tif</t>
        </is>
      </c>
      <c r="C1572" t="inlineStr">
        <is>
          <t>36(1)-V08</t>
        </is>
      </c>
      <c r="D1572" t="n">
        <v>8</v>
      </c>
      <c r="E1572" t="inlineStr">
        <is>
          <t>primary</t>
        </is>
      </c>
      <c r="F1572" t="n">
        <v>143.9035916824197</v>
      </c>
      <c r="G1572">
        <f>2*SQRT(F1572/PI())</f>
        <v/>
      </c>
      <c r="H1572" t="n">
        <v>48.43346461005833</v>
      </c>
      <c r="I1572" t="n">
        <v>695</v>
      </c>
      <c r="J1572" t="n">
        <v>69</v>
      </c>
      <c r="K1572" t="n">
        <v>141.0255198487713</v>
      </c>
      <c r="L1572" t="n">
        <v>146.7816635160681</v>
      </c>
      <c r="M1572">
        <f>2*SQRT(K1572/PI())</f>
        <v/>
      </c>
      <c r="N1572">
        <f>2*SQRT(L1572/PI())</f>
        <v/>
      </c>
      <c r="P1572" t="inlineStr">
        <is>
          <t>是</t>
        </is>
      </c>
      <c r="Q1572" t="inlineStr">
        <is>
          <t>auto_pipeline;review_png_green</t>
        </is>
      </c>
      <c r="R1572" t="inlineStr">
        <is>
          <t>样品36</t>
        </is>
      </c>
    </row>
    <row r="1573">
      <c r="A1573" t="n">
        <v>1572</v>
      </c>
      <c r="B1573" t="inlineStr">
        <is>
          <t>36 (2).tif</t>
        </is>
      </c>
      <c r="C1573" t="inlineStr">
        <is>
          <t>36(2)-V01</t>
        </is>
      </c>
      <c r="D1573" t="n">
        <v>1</v>
      </c>
      <c r="E1573" t="inlineStr">
        <is>
          <t>primary</t>
        </is>
      </c>
      <c r="F1573" t="n">
        <v>807.3724007561436</v>
      </c>
      <c r="G1573">
        <f>2*SQRT(F1573/PI())</f>
        <v/>
      </c>
      <c r="H1573" t="n">
        <v>125.9664650067039</v>
      </c>
      <c r="I1573" t="n">
        <v>543</v>
      </c>
      <c r="J1573" t="n">
        <v>59</v>
      </c>
      <c r="K1573" t="n">
        <v>791.2249527410207</v>
      </c>
      <c r="L1573" t="n">
        <v>823.5198487712665</v>
      </c>
      <c r="M1573">
        <f>2*SQRT(K1573/PI())</f>
        <v/>
      </c>
      <c r="N1573">
        <f>2*SQRT(L1573/PI())</f>
        <v/>
      </c>
      <c r="P1573" t="inlineStr">
        <is>
          <t>是</t>
        </is>
      </c>
      <c r="Q1573" t="inlineStr">
        <is>
          <t>auto_pipeline;review_png_green</t>
        </is>
      </c>
      <c r="R1573" t="inlineStr">
        <is>
          <t>样品36</t>
        </is>
      </c>
    </row>
    <row r="1574">
      <c r="A1574" t="n">
        <v>1573</v>
      </c>
      <c r="B1574" t="inlineStr">
        <is>
          <t>36 (2).tif</t>
        </is>
      </c>
      <c r="C1574" t="inlineStr">
        <is>
          <t>36(2)-V02</t>
        </is>
      </c>
      <c r="D1574" t="n">
        <v>2</v>
      </c>
      <c r="E1574" t="inlineStr">
        <is>
          <t>primary</t>
        </is>
      </c>
      <c r="F1574" t="n">
        <v>584.4517958412098</v>
      </c>
      <c r="G1574">
        <f>2*SQRT(F1574/PI())</f>
        <v/>
      </c>
      <c r="H1574" t="n">
        <v>95.63717831736025</v>
      </c>
      <c r="I1574" t="n">
        <v>440</v>
      </c>
      <c r="J1574" t="n">
        <v>412</v>
      </c>
      <c r="K1574" t="n">
        <v>572.7627599243856</v>
      </c>
      <c r="L1574" t="n">
        <v>596.140831758034</v>
      </c>
      <c r="M1574">
        <f>2*SQRT(K1574/PI())</f>
        <v/>
      </c>
      <c r="N1574">
        <f>2*SQRT(L1574/PI())</f>
        <v/>
      </c>
      <c r="O1574" t="inlineStr">
        <is>
          <t>36(2)-P01</t>
        </is>
      </c>
      <c r="P1574" t="inlineStr">
        <is>
          <t>是</t>
        </is>
      </c>
      <c r="Q1574" t="inlineStr">
        <is>
          <t>auto_pipeline;review_png_green</t>
        </is>
      </c>
      <c r="R1574" t="inlineStr">
        <is>
          <t>样品36</t>
        </is>
      </c>
    </row>
    <row r="1575">
      <c r="A1575" t="n">
        <v>1574</v>
      </c>
      <c r="B1575" t="inlineStr">
        <is>
          <t>36 (2).tif</t>
        </is>
      </c>
      <c r="C1575" t="inlineStr">
        <is>
          <t>36(2)-V03</t>
        </is>
      </c>
      <c r="D1575" t="n">
        <v>3</v>
      </c>
      <c r="E1575" t="inlineStr">
        <is>
          <t>primary</t>
        </is>
      </c>
      <c r="F1575" t="n">
        <v>549.3856332703214</v>
      </c>
      <c r="G1575">
        <f>2*SQRT(F1575/PI())</f>
        <v/>
      </c>
      <c r="H1575" t="n">
        <v>89.99780333560446</v>
      </c>
      <c r="I1575" t="n">
        <v>562</v>
      </c>
      <c r="J1575" t="n">
        <v>339</v>
      </c>
      <c r="K1575" t="n">
        <v>538.3979206049149</v>
      </c>
      <c r="L1575" t="n">
        <v>560.3733459357278</v>
      </c>
      <c r="M1575">
        <f>2*SQRT(K1575/PI())</f>
        <v/>
      </c>
      <c r="N1575">
        <f>2*SQRT(L1575/PI())</f>
        <v/>
      </c>
      <c r="O1575" t="inlineStr">
        <is>
          <t>36(2)-P01</t>
        </is>
      </c>
      <c r="P1575" t="inlineStr">
        <is>
          <t>是</t>
        </is>
      </c>
      <c r="Q1575" t="inlineStr">
        <is>
          <t>auto_pipeline;review_png_green</t>
        </is>
      </c>
      <c r="R1575" t="inlineStr">
        <is>
          <t>样品36</t>
        </is>
      </c>
    </row>
    <row r="1576">
      <c r="A1576" t="n">
        <v>1575</v>
      </c>
      <c r="B1576" t="inlineStr">
        <is>
          <t>36 (2).tif</t>
        </is>
      </c>
      <c r="C1576" t="inlineStr">
        <is>
          <t>36(2)-V04</t>
        </is>
      </c>
      <c r="D1576" t="n">
        <v>4</v>
      </c>
      <c r="E1576" t="inlineStr">
        <is>
          <t>primary</t>
        </is>
      </c>
      <c r="F1576" t="n">
        <v>115.9735349716446</v>
      </c>
      <c r="G1576">
        <f>2*SQRT(F1576/PI())</f>
        <v/>
      </c>
      <c r="H1576" t="n">
        <v>44.27853029707204</v>
      </c>
      <c r="I1576" t="n">
        <v>202</v>
      </c>
      <c r="J1576" t="n">
        <v>584</v>
      </c>
      <c r="K1576" t="n">
        <v>113.6540642722117</v>
      </c>
      <c r="L1576" t="n">
        <v>118.2930056710775</v>
      </c>
      <c r="M1576">
        <f>2*SQRT(K1576/PI())</f>
        <v/>
      </c>
      <c r="N1576">
        <f>2*SQRT(L1576/PI())</f>
        <v/>
      </c>
      <c r="P1576" t="inlineStr">
        <is>
          <t>是</t>
        </is>
      </c>
      <c r="Q1576" t="inlineStr">
        <is>
          <t>auto_pipeline;review_png_green</t>
        </is>
      </c>
      <c r="R1576" t="inlineStr">
        <is>
          <t>样品36</t>
        </is>
      </c>
    </row>
    <row r="1577">
      <c r="A1577" t="n">
        <v>1576</v>
      </c>
      <c r="B1577" t="inlineStr">
        <is>
          <t>36 (3).tif</t>
        </is>
      </c>
      <c r="C1577" t="inlineStr">
        <is>
          <t>36(3)-V01</t>
        </is>
      </c>
      <c r="D1577" t="n">
        <v>1</v>
      </c>
      <c r="E1577" t="inlineStr">
        <is>
          <t>primary</t>
        </is>
      </c>
      <c r="F1577" t="n">
        <v>1175.992438563327</v>
      </c>
      <c r="G1577">
        <f>2*SQRT(F1577/PI())</f>
        <v/>
      </c>
      <c r="H1577" t="n">
        <v>136.7795333654984</v>
      </c>
      <c r="I1577" t="n">
        <v>607</v>
      </c>
      <c r="J1577" t="n">
        <v>383</v>
      </c>
      <c r="K1577" t="n">
        <v>1152.47258979206</v>
      </c>
      <c r="L1577" t="n">
        <v>1199.512287334594</v>
      </c>
      <c r="M1577">
        <f>2*SQRT(K1577/PI())</f>
        <v/>
      </c>
      <c r="N1577">
        <f>2*SQRT(L1577/PI())</f>
        <v/>
      </c>
      <c r="O1577" t="inlineStr">
        <is>
          <t>36(3)-P01</t>
        </is>
      </c>
      <c r="P1577" t="inlineStr">
        <is>
          <t>是</t>
        </is>
      </c>
      <c r="Q1577" t="inlineStr">
        <is>
          <t>auto_pipeline;review_png_green</t>
        </is>
      </c>
      <c r="R1577" t="inlineStr">
        <is>
          <t>样品36</t>
        </is>
      </c>
    </row>
    <row r="1578">
      <c r="A1578" t="n">
        <v>1577</v>
      </c>
      <c r="B1578" t="inlineStr">
        <is>
          <t>36 (3).tif</t>
        </is>
      </c>
      <c r="C1578" t="inlineStr">
        <is>
          <t>36(3)-V02</t>
        </is>
      </c>
      <c r="D1578" t="n">
        <v>2</v>
      </c>
      <c r="E1578" t="inlineStr">
        <is>
          <t>primary</t>
        </is>
      </c>
      <c r="F1578" t="n">
        <v>826.9848771266541</v>
      </c>
      <c r="G1578">
        <f>2*SQRT(F1578/PI())</f>
        <v/>
      </c>
      <c r="H1578" t="n">
        <v>112.686397044555</v>
      </c>
      <c r="I1578" t="n">
        <v>789</v>
      </c>
      <c r="J1578" t="n">
        <v>437</v>
      </c>
      <c r="K1578" t="n">
        <v>810.445179584121</v>
      </c>
      <c r="L1578" t="n">
        <v>843.5245746691871</v>
      </c>
      <c r="M1578">
        <f>2*SQRT(K1578/PI())</f>
        <v/>
      </c>
      <c r="N1578">
        <f>2*SQRT(L1578/PI())</f>
        <v/>
      </c>
      <c r="P1578" t="inlineStr">
        <is>
          <t>是</t>
        </is>
      </c>
      <c r="Q1578" t="inlineStr">
        <is>
          <t>auto_pipeline;review_png_green</t>
        </is>
      </c>
      <c r="R1578" t="inlineStr">
        <is>
          <t>样品36</t>
        </is>
      </c>
    </row>
    <row r="1579">
      <c r="A1579" t="n">
        <v>1578</v>
      </c>
      <c r="B1579" t="inlineStr">
        <is>
          <t>36 (3).tif</t>
        </is>
      </c>
      <c r="C1579" t="inlineStr">
        <is>
          <t>36(3)-V03</t>
        </is>
      </c>
      <c r="D1579" t="n">
        <v>3</v>
      </c>
      <c r="E1579" t="inlineStr">
        <is>
          <t>primary</t>
        </is>
      </c>
      <c r="F1579" t="n">
        <v>742.7693761814745</v>
      </c>
      <c r="G1579">
        <f>2*SQRT(F1579/PI())</f>
        <v/>
      </c>
      <c r="H1579" t="n">
        <v>102.5937000564907</v>
      </c>
      <c r="I1579" t="n">
        <v>169</v>
      </c>
      <c r="J1579" t="n">
        <v>428</v>
      </c>
      <c r="K1579" t="n">
        <v>727.913988657845</v>
      </c>
      <c r="L1579" t="n">
        <v>757.624763705104</v>
      </c>
      <c r="M1579">
        <f>2*SQRT(K1579/PI())</f>
        <v/>
      </c>
      <c r="N1579">
        <f>2*SQRT(L1579/PI())</f>
        <v/>
      </c>
      <c r="P1579" t="inlineStr">
        <is>
          <t>是</t>
        </is>
      </c>
      <c r="Q1579" t="inlineStr">
        <is>
          <t>auto_pipeline;review_png_green</t>
        </is>
      </c>
      <c r="R1579" t="inlineStr">
        <is>
          <t>样品36</t>
        </is>
      </c>
    </row>
    <row r="1580">
      <c r="A1580" t="n">
        <v>1579</v>
      </c>
      <c r="B1580" t="inlineStr">
        <is>
          <t>36 (3).tif</t>
        </is>
      </c>
      <c r="C1580" t="inlineStr">
        <is>
          <t>36(3)-V04</t>
        </is>
      </c>
      <c r="D1580" t="n">
        <v>4</v>
      </c>
      <c r="E1580" t="inlineStr">
        <is>
          <t>primary</t>
        </is>
      </c>
      <c r="F1580" t="n">
        <v>579.4423440453686</v>
      </c>
      <c r="G1580">
        <f>2*SQRT(F1580/PI())</f>
        <v/>
      </c>
      <c r="H1580" t="n">
        <v>91.48224400437397</v>
      </c>
      <c r="I1580" t="n">
        <v>435</v>
      </c>
      <c r="J1580" t="n">
        <v>312</v>
      </c>
      <c r="K1580" t="n">
        <v>567.8534971644613</v>
      </c>
      <c r="L1580" t="n">
        <v>591.0311909262759</v>
      </c>
      <c r="M1580">
        <f>2*SQRT(K1580/PI())</f>
        <v/>
      </c>
      <c r="N1580">
        <f>2*SQRT(L1580/PI())</f>
        <v/>
      </c>
      <c r="P1580" t="inlineStr">
        <is>
          <t>是</t>
        </is>
      </c>
      <c r="Q1580" t="inlineStr">
        <is>
          <t>auto_pipeline;review_png_green</t>
        </is>
      </c>
      <c r="R1580" t="inlineStr">
        <is>
          <t>样品36</t>
        </is>
      </c>
    </row>
    <row r="1581">
      <c r="A1581" t="n">
        <v>1580</v>
      </c>
      <c r="B1581" t="inlineStr">
        <is>
          <t>36 (3).tif</t>
        </is>
      </c>
      <c r="C1581" t="inlineStr">
        <is>
          <t>36(3)-V05</t>
        </is>
      </c>
      <c r="D1581" t="n">
        <v>5</v>
      </c>
      <c r="E1581" t="inlineStr">
        <is>
          <t>primary</t>
        </is>
      </c>
      <c r="F1581" t="n">
        <v>387.2164461247637</v>
      </c>
      <c r="G1581">
        <f>2*SQRT(F1581/PI())</f>
        <v/>
      </c>
      <c r="H1581" t="n">
        <v>74.41117631352466</v>
      </c>
      <c r="I1581" t="n">
        <v>573</v>
      </c>
      <c r="J1581" t="n">
        <v>369</v>
      </c>
      <c r="K1581" t="n">
        <v>379.4721172022684</v>
      </c>
      <c r="L1581" t="n">
        <v>394.960775047259</v>
      </c>
      <c r="M1581">
        <f>2*SQRT(K1581/PI())</f>
        <v/>
      </c>
      <c r="N1581">
        <f>2*SQRT(L1581/PI())</f>
        <v/>
      </c>
      <c r="O1581" t="inlineStr">
        <is>
          <t>36(3)-P01</t>
        </is>
      </c>
      <c r="P1581" t="inlineStr">
        <is>
          <t>是</t>
        </is>
      </c>
      <c r="Q1581" t="inlineStr">
        <is>
          <t>auto_pipeline;review_png_green</t>
        </is>
      </c>
      <c r="R1581" t="inlineStr">
        <is>
          <t>样品36</t>
        </is>
      </c>
    </row>
    <row r="1582">
      <c r="A1582" t="n">
        <v>1581</v>
      </c>
      <c r="B1582" t="inlineStr">
        <is>
          <t>36 (3).tif</t>
        </is>
      </c>
      <c r="C1582" t="inlineStr">
        <is>
          <t>36(3)-V06</t>
        </is>
      </c>
      <c r="D1582" t="n">
        <v>6</v>
      </c>
      <c r="E1582" t="inlineStr">
        <is>
          <t>primary</t>
        </is>
      </c>
      <c r="F1582" t="n">
        <v>104.4423440453686</v>
      </c>
      <c r="G1582">
        <f>2*SQRT(F1582/PI())</f>
        <v/>
      </c>
      <c r="H1582" t="n">
        <v>39.06113899272421</v>
      </c>
      <c r="I1582" t="n">
        <v>207</v>
      </c>
      <c r="J1582" t="n">
        <v>151</v>
      </c>
      <c r="K1582" t="n">
        <v>102.3534971644612</v>
      </c>
      <c r="L1582" t="n">
        <v>106.531190926276</v>
      </c>
      <c r="M1582">
        <f>2*SQRT(K1582/PI())</f>
        <v/>
      </c>
      <c r="N1582">
        <f>2*SQRT(L1582/PI())</f>
        <v/>
      </c>
      <c r="P1582" t="inlineStr">
        <is>
          <t>是</t>
        </is>
      </c>
      <c r="Q1582" t="inlineStr">
        <is>
          <t>auto_pipeline;review_png_green</t>
        </is>
      </c>
      <c r="R1582" t="inlineStr">
        <is>
          <t>样品36</t>
        </is>
      </c>
    </row>
    <row r="1583">
      <c r="A1583" t="n">
        <v>1582</v>
      </c>
      <c r="B1583" t="inlineStr">
        <is>
          <t>36 (4).tif</t>
        </is>
      </c>
      <c r="C1583" t="inlineStr">
        <is>
          <t>36(4)-V01</t>
        </is>
      </c>
      <c r="D1583" t="n">
        <v>1</v>
      </c>
      <c r="E1583" t="inlineStr">
        <is>
          <t>primary</t>
        </is>
      </c>
      <c r="F1583" t="n">
        <v>1182.490548204159</v>
      </c>
      <c r="G1583">
        <f>2*SQRT(F1583/PI())</f>
        <v/>
      </c>
      <c r="H1583" t="n">
        <v>129.2917831306872</v>
      </c>
      <c r="I1583" t="n">
        <v>517</v>
      </c>
      <c r="J1583" t="n">
        <v>498</v>
      </c>
      <c r="K1583" t="n">
        <v>1158.840737240076</v>
      </c>
      <c r="L1583" t="n">
        <v>1206.140359168242</v>
      </c>
      <c r="M1583">
        <f>2*SQRT(K1583/PI())</f>
        <v/>
      </c>
      <c r="N1583">
        <f>2*SQRT(L1583/PI())</f>
        <v/>
      </c>
      <c r="P1583" t="inlineStr">
        <is>
          <t>是</t>
        </is>
      </c>
      <c r="Q1583" t="inlineStr">
        <is>
          <t>auto_pipeline;review_png_green</t>
        </is>
      </c>
      <c r="R1583" t="inlineStr">
        <is>
          <t>样品36</t>
        </is>
      </c>
    </row>
    <row r="1584">
      <c r="A1584" t="n">
        <v>1583</v>
      </c>
      <c r="B1584" t="inlineStr">
        <is>
          <t>36 (4).tif</t>
        </is>
      </c>
      <c r="C1584" t="inlineStr">
        <is>
          <t>36(4)-V02</t>
        </is>
      </c>
      <c r="D1584" t="n">
        <v>2</v>
      </c>
      <c r="E1584" t="inlineStr">
        <is>
          <t>primary</t>
        </is>
      </c>
      <c r="F1584" t="n">
        <v>954.1824196597354</v>
      </c>
      <c r="G1584">
        <f>2*SQRT(F1584/PI())</f>
        <v/>
      </c>
      <c r="H1584" t="n">
        <v>120.6835268113924</v>
      </c>
      <c r="I1584" t="n">
        <v>699</v>
      </c>
      <c r="J1584" t="n">
        <v>167</v>
      </c>
      <c r="K1584" t="n">
        <v>935.0987712665407</v>
      </c>
      <c r="L1584" t="n">
        <v>973.2660680529301</v>
      </c>
      <c r="M1584">
        <f>2*SQRT(K1584/PI())</f>
        <v/>
      </c>
      <c r="N1584">
        <f>2*SQRT(L1584/PI())</f>
        <v/>
      </c>
      <c r="P1584" t="inlineStr">
        <is>
          <t>是</t>
        </is>
      </c>
      <c r="Q1584" t="inlineStr">
        <is>
          <t>auto_pipeline;review_png_green</t>
        </is>
      </c>
      <c r="R1584" t="inlineStr">
        <is>
          <t>样品36</t>
        </is>
      </c>
    </row>
    <row r="1585">
      <c r="A1585" t="n">
        <v>1584</v>
      </c>
      <c r="B1585" t="inlineStr">
        <is>
          <t>36 (4).tif</t>
        </is>
      </c>
      <c r="C1585" t="inlineStr">
        <is>
          <t>36(4)-V03</t>
        </is>
      </c>
      <c r="D1585" t="n">
        <v>3</v>
      </c>
      <c r="E1585" t="inlineStr">
        <is>
          <t>primary</t>
        </is>
      </c>
      <c r="F1585" t="n">
        <v>157.9867674858223</v>
      </c>
      <c r="G1585">
        <f>2*SQRT(F1585/PI())</f>
        <v/>
      </c>
      <c r="H1585" t="n">
        <v>57.17281471128049</v>
      </c>
      <c r="I1585" t="n">
        <v>112</v>
      </c>
      <c r="J1585" t="n">
        <v>512</v>
      </c>
      <c r="K1585" t="n">
        <v>154.8270321361059</v>
      </c>
      <c r="L1585" t="n">
        <v>161.1465028355387</v>
      </c>
      <c r="M1585">
        <f>2*SQRT(K1585/PI())</f>
        <v/>
      </c>
      <c r="N1585">
        <f>2*SQRT(L1585/PI())</f>
        <v/>
      </c>
      <c r="P1585" t="inlineStr">
        <is>
          <t>是</t>
        </is>
      </c>
      <c r="Q1585" t="inlineStr">
        <is>
          <t>auto_pipeline;review_png_green</t>
        </is>
      </c>
      <c r="R1585" t="inlineStr">
        <is>
          <t>样品36</t>
        </is>
      </c>
    </row>
    <row r="1586">
      <c r="A1586" t="n">
        <v>1585</v>
      </c>
      <c r="B1586" t="inlineStr">
        <is>
          <t>36 (4).tif</t>
        </is>
      </c>
      <c r="C1586" t="inlineStr">
        <is>
          <t>36(4)-V04</t>
        </is>
      </c>
      <c r="D1586" t="n">
        <v>4</v>
      </c>
      <c r="E1586" t="inlineStr">
        <is>
          <t>primary</t>
        </is>
      </c>
      <c r="F1586" t="n">
        <v>136.578449905482</v>
      </c>
      <c r="G1586">
        <f>2*SQRT(F1586/PI())</f>
        <v/>
      </c>
      <c r="H1586" t="n">
        <v>44.12933645041092</v>
      </c>
      <c r="I1586" t="n">
        <v>410</v>
      </c>
      <c r="J1586" t="n">
        <v>631</v>
      </c>
      <c r="K1586" t="n">
        <v>133.8468809073724</v>
      </c>
      <c r="L1586" t="n">
        <v>139.3100189035917</v>
      </c>
      <c r="M1586">
        <f>2*SQRT(K1586/PI())</f>
        <v/>
      </c>
      <c r="N1586">
        <f>2*SQRT(L1586/PI())</f>
        <v/>
      </c>
      <c r="P1586" t="inlineStr">
        <is>
          <t>是</t>
        </is>
      </c>
      <c r="Q1586" t="inlineStr">
        <is>
          <t>auto_pipeline;review_png_green</t>
        </is>
      </c>
      <c r="R1586" t="inlineStr">
        <is>
          <t>样品36</t>
        </is>
      </c>
    </row>
    <row r="1587">
      <c r="A1587" t="n">
        <v>1586</v>
      </c>
      <c r="B1587" t="inlineStr">
        <is>
          <t>36 (4).tif</t>
        </is>
      </c>
      <c r="C1587" t="inlineStr">
        <is>
          <t>36(4)-V05</t>
        </is>
      </c>
      <c r="D1587" t="n">
        <v>5</v>
      </c>
      <c r="E1587" t="inlineStr">
        <is>
          <t>primary</t>
        </is>
      </c>
      <c r="F1587" t="n">
        <v>121.6918714555766</v>
      </c>
      <c r="G1587">
        <f>2*SQRT(F1587/PI())</f>
        <v/>
      </c>
      <c r="H1587" t="n">
        <v>42.39020601562832</v>
      </c>
      <c r="I1587" t="n">
        <v>351</v>
      </c>
      <c r="J1587" t="n">
        <v>244</v>
      </c>
      <c r="K1587" t="n">
        <v>119.258034026465</v>
      </c>
      <c r="L1587" t="n">
        <v>124.1257088846881</v>
      </c>
      <c r="M1587">
        <f>2*SQRT(K1587/PI())</f>
        <v/>
      </c>
      <c r="N1587">
        <f>2*SQRT(L1587/PI())</f>
        <v/>
      </c>
      <c r="P1587" t="inlineStr">
        <is>
          <t>是</t>
        </is>
      </c>
      <c r="Q1587" t="inlineStr">
        <is>
          <t>auto_pipeline;review_png_green</t>
        </is>
      </c>
      <c r="R1587" t="inlineStr">
        <is>
          <t>样品36</t>
        </is>
      </c>
    </row>
    <row r="1588">
      <c r="A1588" t="n">
        <v>1587</v>
      </c>
      <c r="B1588" t="inlineStr">
        <is>
          <t>36 (5).tif</t>
        </is>
      </c>
      <c r="C1588" t="inlineStr">
        <is>
          <t>36(5)-V01</t>
        </is>
      </c>
      <c r="D1588" t="n">
        <v>1</v>
      </c>
      <c r="E1588" t="inlineStr">
        <is>
          <t>primary</t>
        </is>
      </c>
      <c r="F1588" t="n">
        <v>695.7230623818525</v>
      </c>
      <c r="G1588">
        <f>2*SQRT(F1588/PI())</f>
        <v/>
      </c>
      <c r="H1588" t="n">
        <v>98.88259838456693</v>
      </c>
      <c r="I1588" t="n">
        <v>473</v>
      </c>
      <c r="J1588" t="n">
        <v>450</v>
      </c>
      <c r="K1588" t="n">
        <v>681.8086011342155</v>
      </c>
      <c r="L1588" t="n">
        <v>709.6375236294896</v>
      </c>
      <c r="M1588">
        <f>2*SQRT(K1588/PI())</f>
        <v/>
      </c>
      <c r="N1588">
        <f>2*SQRT(L1588/PI())</f>
        <v/>
      </c>
      <c r="O1588" t="inlineStr">
        <is>
          <t>36(5)-P01</t>
        </is>
      </c>
      <c r="P1588" t="inlineStr">
        <is>
          <t>是</t>
        </is>
      </c>
      <c r="Q1588" t="inlineStr">
        <is>
          <t>auto_pipeline;review_png_green</t>
        </is>
      </c>
      <c r="R1588" t="inlineStr">
        <is>
          <t>样品36</t>
        </is>
      </c>
    </row>
    <row r="1589">
      <c r="A1589" t="n">
        <v>1588</v>
      </c>
      <c r="B1589" t="inlineStr">
        <is>
          <t>36 (5).tif</t>
        </is>
      </c>
      <c r="C1589" t="inlineStr">
        <is>
          <t>36(5)-V02</t>
        </is>
      </c>
      <c r="D1589" t="n">
        <v>2</v>
      </c>
      <c r="E1589" t="inlineStr">
        <is>
          <t>primary</t>
        </is>
      </c>
      <c r="F1589" t="n">
        <v>389.5085066162571</v>
      </c>
      <c r="G1589">
        <f>2*SQRT(F1589/PI())</f>
        <v/>
      </c>
      <c r="H1589" t="n">
        <v>74.6440171158832</v>
      </c>
      <c r="I1589" t="n">
        <v>505</v>
      </c>
      <c r="J1589" t="n">
        <v>306</v>
      </c>
      <c r="K1589" t="n">
        <v>381.7183364839319</v>
      </c>
      <c r="L1589" t="n">
        <v>397.2986767485822</v>
      </c>
      <c r="M1589">
        <f>2*SQRT(K1589/PI())</f>
        <v/>
      </c>
      <c r="N1589">
        <f>2*SQRT(L1589/PI())</f>
        <v/>
      </c>
      <c r="O1589" t="inlineStr">
        <is>
          <t>36(5)-P01</t>
        </is>
      </c>
      <c r="P1589" t="inlineStr">
        <is>
          <t>是</t>
        </is>
      </c>
      <c r="Q1589" t="inlineStr">
        <is>
          <t>auto_pipeline;review_png_green</t>
        </is>
      </c>
      <c r="R1589" t="inlineStr">
        <is>
          <t>样品36</t>
        </is>
      </c>
    </row>
    <row r="1590">
      <c r="A1590" t="n">
        <v>1589</v>
      </c>
      <c r="B1590" t="inlineStr">
        <is>
          <t>36 (5).tif</t>
        </is>
      </c>
      <c r="C1590" t="inlineStr">
        <is>
          <t>36(5)-V03</t>
        </is>
      </c>
      <c r="D1590" t="n">
        <v>3</v>
      </c>
      <c r="E1590" t="inlineStr">
        <is>
          <t>primary</t>
        </is>
      </c>
      <c r="F1590" t="n">
        <v>380.1512287334593</v>
      </c>
      <c r="G1590">
        <f>2*SQRT(F1590/PI())</f>
        <v/>
      </c>
      <c r="H1590" t="n">
        <v>73.92364574515301</v>
      </c>
      <c r="I1590" t="n">
        <v>786</v>
      </c>
      <c r="J1590" t="n">
        <v>218</v>
      </c>
      <c r="K1590" t="n">
        <v>372.5482041587902</v>
      </c>
      <c r="L1590" t="n">
        <v>387.7542533081285</v>
      </c>
      <c r="M1590">
        <f>2*SQRT(K1590/PI())</f>
        <v/>
      </c>
      <c r="N1590">
        <f>2*SQRT(L1590/PI())</f>
        <v/>
      </c>
      <c r="P1590" t="inlineStr">
        <is>
          <t>是</t>
        </is>
      </c>
      <c r="Q1590" t="inlineStr">
        <is>
          <t>auto_pipeline;review_png_green</t>
        </is>
      </c>
      <c r="R1590" t="inlineStr">
        <is>
          <t>样品36</t>
        </is>
      </c>
    </row>
    <row r="1591">
      <c r="A1591" t="n">
        <v>1590</v>
      </c>
      <c r="B1591" t="inlineStr">
        <is>
          <t>36 (5).tif</t>
        </is>
      </c>
      <c r="C1591" t="inlineStr">
        <is>
          <t>36(5)-V04</t>
        </is>
      </c>
      <c r="D1591" t="n">
        <v>4</v>
      </c>
      <c r="E1591" t="inlineStr">
        <is>
          <t>primary</t>
        </is>
      </c>
      <c r="F1591" t="n">
        <v>324.3383742911153</v>
      </c>
      <c r="G1591">
        <f>2*SQRT(F1591/PI())</f>
        <v/>
      </c>
      <c r="H1591" t="n">
        <v>68.8554482874663</v>
      </c>
      <c r="I1591" t="n">
        <v>761</v>
      </c>
      <c r="J1591" t="n">
        <v>355</v>
      </c>
      <c r="K1591" t="n">
        <v>317.851606805293</v>
      </c>
      <c r="L1591" t="n">
        <v>330.8251417769376</v>
      </c>
      <c r="M1591">
        <f>2*SQRT(K1591/PI())</f>
        <v/>
      </c>
      <c r="N1591">
        <f>2*SQRT(L1591/PI())</f>
        <v/>
      </c>
      <c r="P1591" t="inlineStr">
        <is>
          <t>是</t>
        </is>
      </c>
      <c r="Q1591" t="inlineStr">
        <is>
          <t>auto_pipeline;review_png_green</t>
        </is>
      </c>
      <c r="R1591" t="inlineStr">
        <is>
          <t>样品36</t>
        </is>
      </c>
    </row>
    <row r="1592">
      <c r="A1592" t="n">
        <v>1591</v>
      </c>
      <c r="B1592" t="inlineStr">
        <is>
          <t>36 (6).tif</t>
        </is>
      </c>
      <c r="C1592" t="inlineStr">
        <is>
          <t>36(6)-V01</t>
        </is>
      </c>
      <c r="D1592" t="n">
        <v>1</v>
      </c>
      <c r="E1592" t="inlineStr">
        <is>
          <t>primary</t>
        </is>
      </c>
      <c r="F1592" t="n">
        <v>1571.526465028355</v>
      </c>
      <c r="G1592">
        <f>2*SQRT(F1592/PI())</f>
        <v/>
      </c>
      <c r="H1592" t="n">
        <v>150.5396340981774</v>
      </c>
      <c r="I1592" t="n">
        <v>470</v>
      </c>
      <c r="J1592" t="n">
        <v>428</v>
      </c>
      <c r="K1592" t="n">
        <v>1540.095935727788</v>
      </c>
      <c r="L1592" t="n">
        <v>1602.956994328923</v>
      </c>
      <c r="M1592">
        <f>2*SQRT(K1592/PI())</f>
        <v/>
      </c>
      <c r="N1592">
        <f>2*SQRT(L1592/PI())</f>
        <v/>
      </c>
      <c r="P1592" t="inlineStr">
        <is>
          <t>是</t>
        </is>
      </c>
      <c r="Q1592" t="inlineStr">
        <is>
          <t>auto_pipeline;review_png_green</t>
        </is>
      </c>
      <c r="R1592" t="inlineStr">
        <is>
          <t>样品36</t>
        </is>
      </c>
    </row>
    <row r="1593">
      <c r="A1593" t="n">
        <v>1592</v>
      </c>
      <c r="B1593" t="inlineStr">
        <is>
          <t>36 (6).tif</t>
        </is>
      </c>
      <c r="C1593" t="inlineStr">
        <is>
          <t>36(6)-V02</t>
        </is>
      </c>
      <c r="D1593" t="n">
        <v>2</v>
      </c>
      <c r="E1593" t="inlineStr">
        <is>
          <t>primary</t>
        </is>
      </c>
      <c r="F1593" t="n">
        <v>905.5056710775048</v>
      </c>
      <c r="G1593">
        <f>2*SQRT(F1593/PI())</f>
        <v/>
      </c>
      <c r="H1593" t="n">
        <v>114.4473764429922</v>
      </c>
      <c r="I1593" t="n">
        <v>683</v>
      </c>
      <c r="J1593" t="n">
        <v>302</v>
      </c>
      <c r="K1593" t="n">
        <v>887.3955576559547</v>
      </c>
      <c r="L1593" t="n">
        <v>923.6157844990548</v>
      </c>
      <c r="M1593">
        <f>2*SQRT(K1593/PI())</f>
        <v/>
      </c>
      <c r="N1593">
        <f>2*SQRT(L1593/PI())</f>
        <v/>
      </c>
      <c r="P1593" t="inlineStr">
        <is>
          <t>是</t>
        </is>
      </c>
      <c r="Q1593" t="inlineStr">
        <is>
          <t>auto_pipeline;review_png_green</t>
        </is>
      </c>
      <c r="R1593" t="inlineStr">
        <is>
          <t>样品36</t>
        </is>
      </c>
    </row>
    <row r="1594">
      <c r="A1594" t="n">
        <v>1593</v>
      </c>
      <c r="B1594" t="inlineStr">
        <is>
          <t>36 (6).tif</t>
        </is>
      </c>
      <c r="C1594" t="inlineStr">
        <is>
          <t>36(6)-V03</t>
        </is>
      </c>
      <c r="D1594" t="n">
        <v>3</v>
      </c>
      <c r="E1594" t="inlineStr">
        <is>
          <t>primary</t>
        </is>
      </c>
      <c r="F1594" t="n">
        <v>203.1663516068053</v>
      </c>
      <c r="G1594">
        <f>2*SQRT(F1594/PI())</f>
        <v/>
      </c>
      <c r="H1594" t="n">
        <v>66.15935678067414</v>
      </c>
      <c r="I1594" t="n">
        <v>489</v>
      </c>
      <c r="J1594" t="n">
        <v>637</v>
      </c>
      <c r="K1594" t="n">
        <v>199.1030245746692</v>
      </c>
      <c r="L1594" t="n">
        <v>207.2296786389414</v>
      </c>
      <c r="M1594">
        <f>2*SQRT(K1594/PI())</f>
        <v/>
      </c>
      <c r="N1594">
        <f>2*SQRT(L1594/PI())</f>
        <v/>
      </c>
      <c r="P1594" t="inlineStr">
        <is>
          <t>是</t>
        </is>
      </c>
      <c r="Q1594" t="inlineStr">
        <is>
          <t>auto_pipeline;review_png_green</t>
        </is>
      </c>
      <c r="R1594" t="inlineStr">
        <is>
          <t>样品36</t>
        </is>
      </c>
    </row>
    <row r="1595">
      <c r="A1595" t="n">
        <v>1594</v>
      </c>
      <c r="B1595" t="inlineStr">
        <is>
          <t>36 (6).tif</t>
        </is>
      </c>
      <c r="C1595" t="inlineStr">
        <is>
          <t>36(6)-V04</t>
        </is>
      </c>
      <c r="D1595" t="n">
        <v>4</v>
      </c>
      <c r="E1595" t="inlineStr">
        <is>
          <t>primary</t>
        </is>
      </c>
      <c r="F1595" t="n">
        <v>174.4328922495274</v>
      </c>
      <c r="G1595">
        <f>2*SQRT(F1595/PI())</f>
        <v/>
      </c>
      <c r="H1595" t="n">
        <v>53.96734367246213</v>
      </c>
      <c r="I1595" t="n">
        <v>307</v>
      </c>
      <c r="J1595" t="n">
        <v>147</v>
      </c>
      <c r="K1595" t="n">
        <v>170.9442344045369</v>
      </c>
      <c r="L1595" t="n">
        <v>177.921550094518</v>
      </c>
      <c r="M1595">
        <f>2*SQRT(K1595/PI())</f>
        <v/>
      </c>
      <c r="N1595">
        <f>2*SQRT(L1595/PI())</f>
        <v/>
      </c>
      <c r="P1595" t="inlineStr">
        <is>
          <t>是</t>
        </is>
      </c>
      <c r="Q1595" t="inlineStr">
        <is>
          <t>auto_pipeline;review_png_green</t>
        </is>
      </c>
      <c r="R1595" t="inlineStr">
        <is>
          <t>样品36</t>
        </is>
      </c>
    </row>
    <row r="1596">
      <c r="A1596" t="n">
        <v>1595</v>
      </c>
      <c r="B1596" t="inlineStr">
        <is>
          <t>36 (6).tif</t>
        </is>
      </c>
      <c r="C1596" t="inlineStr">
        <is>
          <t>36(6)-V05</t>
        </is>
      </c>
      <c r="D1596" t="n">
        <v>5</v>
      </c>
      <c r="E1596" t="inlineStr">
        <is>
          <t>primary</t>
        </is>
      </c>
      <c r="F1596" t="n">
        <v>133.7901701323251</v>
      </c>
      <c r="G1596">
        <f>2*SQRT(F1596/PI())</f>
        <v/>
      </c>
      <c r="H1596" t="n">
        <v>43.51446099903272</v>
      </c>
      <c r="I1596" t="n">
        <v>785</v>
      </c>
      <c r="J1596" t="n">
        <v>208</v>
      </c>
      <c r="K1596" t="n">
        <v>131.1143667296786</v>
      </c>
      <c r="L1596" t="n">
        <v>136.4659735349716</v>
      </c>
      <c r="M1596">
        <f>2*SQRT(K1596/PI())</f>
        <v/>
      </c>
      <c r="N1596">
        <f>2*SQRT(L1596/PI())</f>
        <v/>
      </c>
      <c r="P1596" t="inlineStr">
        <is>
          <t>是</t>
        </is>
      </c>
      <c r="Q1596" t="inlineStr">
        <is>
          <t>auto_pipeline;review_png_green</t>
        </is>
      </c>
      <c r="R1596" t="inlineStr">
        <is>
          <t>样品36</t>
        </is>
      </c>
    </row>
    <row r="1597">
      <c r="A1597" t="n">
        <v>1596</v>
      </c>
      <c r="B1597" t="inlineStr">
        <is>
          <t>36 (7).tif</t>
        </is>
      </c>
      <c r="C1597" t="inlineStr">
        <is>
          <t>36(7)-V01</t>
        </is>
      </c>
      <c r="D1597" t="n">
        <v>1</v>
      </c>
      <c r="E1597" t="inlineStr">
        <is>
          <t>primary</t>
        </is>
      </c>
      <c r="F1597" t="n">
        <v>1523.51134215501</v>
      </c>
      <c r="G1597">
        <f>2*SQRT(F1597/PI())</f>
        <v/>
      </c>
      <c r="H1597" t="n">
        <v>163.3103225283001</v>
      </c>
      <c r="I1597" t="n">
        <v>485</v>
      </c>
      <c r="J1597" t="n">
        <v>351</v>
      </c>
      <c r="K1597" t="n">
        <v>1493.041115311909</v>
      </c>
      <c r="L1597" t="n">
        <v>1553.98156899811</v>
      </c>
      <c r="M1597">
        <f>2*SQRT(K1597/PI())</f>
        <v/>
      </c>
      <c r="N1597">
        <f>2*SQRT(L1597/PI())</f>
        <v/>
      </c>
      <c r="P1597" t="inlineStr">
        <is>
          <t>是</t>
        </is>
      </c>
      <c r="Q1597" t="inlineStr">
        <is>
          <t>auto_pipeline;review_png_green</t>
        </is>
      </c>
      <c r="R1597" t="inlineStr">
        <is>
          <t>样品36</t>
        </is>
      </c>
    </row>
    <row r="1598">
      <c r="A1598" t="n">
        <v>1597</v>
      </c>
      <c r="B1598" t="inlineStr">
        <is>
          <t>36 (7).tif</t>
        </is>
      </c>
      <c r="C1598" t="inlineStr">
        <is>
          <t>36(7)-V02</t>
        </is>
      </c>
      <c r="D1598" t="n">
        <v>2</v>
      </c>
      <c r="E1598" t="inlineStr">
        <is>
          <t>primary</t>
        </is>
      </c>
      <c r="F1598" t="n">
        <v>643.1474480151229</v>
      </c>
      <c r="G1598">
        <f>2*SQRT(F1598/PI())</f>
        <v/>
      </c>
      <c r="H1598" t="n">
        <v>95.42618647865626</v>
      </c>
      <c r="I1598" t="n">
        <v>742</v>
      </c>
      <c r="J1598" t="n">
        <v>372</v>
      </c>
      <c r="K1598" t="n">
        <v>630.2844990548205</v>
      </c>
      <c r="L1598" t="n">
        <v>656.0103969754254</v>
      </c>
      <c r="M1598">
        <f>2*SQRT(K1598/PI())</f>
        <v/>
      </c>
      <c r="N1598">
        <f>2*SQRT(L1598/PI())</f>
        <v/>
      </c>
      <c r="P1598" t="inlineStr">
        <is>
          <t>是</t>
        </is>
      </c>
      <c r="Q1598" t="inlineStr">
        <is>
          <t>auto_pipeline;review_png_green</t>
        </is>
      </c>
      <c r="R1598" t="inlineStr">
        <is>
          <t>样品36</t>
        </is>
      </c>
    </row>
    <row r="1599">
      <c r="A1599" t="n">
        <v>1598</v>
      </c>
      <c r="B1599" t="inlineStr">
        <is>
          <t>36 (7).tif</t>
        </is>
      </c>
      <c r="C1599" t="inlineStr">
        <is>
          <t>36(7)-V03</t>
        </is>
      </c>
      <c r="D1599" t="n">
        <v>3</v>
      </c>
      <c r="E1599" t="inlineStr">
        <is>
          <t>primary</t>
        </is>
      </c>
      <c r="F1599" t="n">
        <v>601.5831758034027</v>
      </c>
      <c r="G1599">
        <f>2*SQRT(F1599/PI())</f>
        <v/>
      </c>
      <c r="H1599" t="n">
        <v>99.18098607788914</v>
      </c>
      <c r="I1599" t="n">
        <v>177</v>
      </c>
      <c r="J1599" t="n">
        <v>310</v>
      </c>
      <c r="K1599" t="n">
        <v>589.5515122873346</v>
      </c>
      <c r="L1599" t="n">
        <v>613.6148393194708</v>
      </c>
      <c r="M1599">
        <f>2*SQRT(K1599/PI())</f>
        <v/>
      </c>
      <c r="N1599">
        <f>2*SQRT(L1599/PI())</f>
        <v/>
      </c>
      <c r="P1599" t="inlineStr">
        <is>
          <t>是</t>
        </is>
      </c>
      <c r="Q1599" t="inlineStr">
        <is>
          <t>auto_pipeline;review_png_green</t>
        </is>
      </c>
      <c r="R1599" t="inlineStr">
        <is>
          <t>样品36</t>
        </is>
      </c>
    </row>
    <row r="1600">
      <c r="A1600" t="n">
        <v>1599</v>
      </c>
      <c r="B1600" t="inlineStr">
        <is>
          <t>36 (7).tif</t>
        </is>
      </c>
      <c r="C1600" t="inlineStr">
        <is>
          <t>36(7)-V04</t>
        </is>
      </c>
      <c r="D1600" t="n">
        <v>4</v>
      </c>
      <c r="E1600" t="inlineStr">
        <is>
          <t>primary</t>
        </is>
      </c>
      <c r="F1600" t="n">
        <v>124.976370510397</v>
      </c>
      <c r="G1600">
        <f>2*SQRT(F1600/PI())</f>
        <v/>
      </c>
      <c r="H1600" t="n">
        <v>45.23174247016077</v>
      </c>
      <c r="I1600" t="n">
        <v>74</v>
      </c>
      <c r="J1600" t="n">
        <v>556</v>
      </c>
      <c r="K1600" t="n">
        <v>122.476843100189</v>
      </c>
      <c r="L1600" t="n">
        <v>127.4758979206049</v>
      </c>
      <c r="M1600">
        <f>2*SQRT(K1600/PI())</f>
        <v/>
      </c>
      <c r="N1600">
        <f>2*SQRT(L1600/PI())</f>
        <v/>
      </c>
      <c r="P1600" t="inlineStr">
        <is>
          <t>是</t>
        </is>
      </c>
      <c r="Q1600" t="inlineStr">
        <is>
          <t>auto_pipeline;review_png_green</t>
        </is>
      </c>
      <c r="R1600" t="inlineStr">
        <is>
          <t>样品36</t>
        </is>
      </c>
    </row>
    <row r="1601">
      <c r="A1601" t="n">
        <v>1600</v>
      </c>
      <c r="B1601" t="inlineStr">
        <is>
          <t>36 (8).tif</t>
        </is>
      </c>
      <c r="C1601" t="inlineStr">
        <is>
          <t>36(8)-V01</t>
        </is>
      </c>
      <c r="D1601" t="n">
        <v>1</v>
      </c>
      <c r="E1601" t="inlineStr">
        <is>
          <t>primary</t>
        </is>
      </c>
      <c r="F1601" t="n">
        <v>977.9064272211721</v>
      </c>
      <c r="G1601">
        <f>2*SQRT(F1601/PI())</f>
        <v/>
      </c>
      <c r="H1601" t="n">
        <v>117.6709475465443</v>
      </c>
      <c r="I1601" t="n">
        <v>274</v>
      </c>
      <c r="J1601" t="n">
        <v>121</v>
      </c>
      <c r="K1601" t="n">
        <v>958.3482986767486</v>
      </c>
      <c r="L1601" t="n">
        <v>997.4645557655955</v>
      </c>
      <c r="M1601">
        <f>2*SQRT(K1601/PI())</f>
        <v/>
      </c>
      <c r="N1601">
        <f>2*SQRT(L1601/PI())</f>
        <v/>
      </c>
      <c r="P1601" t="inlineStr">
        <is>
          <t>是</t>
        </is>
      </c>
      <c r="Q1601" t="inlineStr">
        <is>
          <t>auto_pipeline;review_png_green</t>
        </is>
      </c>
      <c r="R1601" t="inlineStr">
        <is>
          <t>样品36</t>
        </is>
      </c>
    </row>
    <row r="1602">
      <c r="A1602" t="n">
        <v>1601</v>
      </c>
      <c r="B1602" t="inlineStr">
        <is>
          <t>36 (8).tif</t>
        </is>
      </c>
      <c r="C1602" t="inlineStr">
        <is>
          <t>36(8)-V02</t>
        </is>
      </c>
      <c r="D1602" t="n">
        <v>2</v>
      </c>
      <c r="E1602" t="inlineStr">
        <is>
          <t>primary</t>
        </is>
      </c>
      <c r="F1602" t="n">
        <v>954.9621928166351</v>
      </c>
      <c r="G1602">
        <f>2*SQRT(F1602/PI())</f>
        <v/>
      </c>
      <c r="H1602" t="n">
        <v>116.3138517607813</v>
      </c>
      <c r="I1602" t="n">
        <v>471</v>
      </c>
      <c r="J1602" t="n">
        <v>271</v>
      </c>
      <c r="K1602" t="n">
        <v>935.8629489603024</v>
      </c>
      <c r="L1602" t="n">
        <v>974.0614366729678</v>
      </c>
      <c r="M1602">
        <f>2*SQRT(K1602/PI())</f>
        <v/>
      </c>
      <c r="N1602">
        <f>2*SQRT(L1602/PI())</f>
        <v/>
      </c>
      <c r="O1602" t="inlineStr">
        <is>
          <t>36(8)-P01</t>
        </is>
      </c>
      <c r="P1602" t="inlineStr">
        <is>
          <t>是</t>
        </is>
      </c>
      <c r="Q1602" t="inlineStr">
        <is>
          <t>auto_pipeline;review_png_green</t>
        </is>
      </c>
      <c r="R1602" t="inlineStr">
        <is>
          <t>样品36</t>
        </is>
      </c>
    </row>
    <row r="1603">
      <c r="A1603" t="n">
        <v>1602</v>
      </c>
      <c r="B1603" t="inlineStr">
        <is>
          <t>36 (8).tif</t>
        </is>
      </c>
      <c r="C1603" t="inlineStr">
        <is>
          <t>36(8)-V03</t>
        </is>
      </c>
      <c r="D1603" t="n">
        <v>3</v>
      </c>
      <c r="E1603" t="inlineStr">
        <is>
          <t>primary</t>
        </is>
      </c>
      <c r="F1603" t="n">
        <v>716.1625708884688</v>
      </c>
      <c r="G1603">
        <f>2*SQRT(F1603/PI())</f>
        <v/>
      </c>
      <c r="H1603" t="n">
        <v>100.494383936343</v>
      </c>
      <c r="I1603" t="n">
        <v>540</v>
      </c>
      <c r="J1603" t="n">
        <v>441</v>
      </c>
      <c r="K1603" t="n">
        <v>701.8393194706995</v>
      </c>
      <c r="L1603" t="n">
        <v>730.4858223062382</v>
      </c>
      <c r="M1603">
        <f>2*SQRT(K1603/PI())</f>
        <v/>
      </c>
      <c r="N1603">
        <f>2*SQRT(L1603/PI())</f>
        <v/>
      </c>
      <c r="O1603" t="inlineStr">
        <is>
          <t>36(8)-P01</t>
        </is>
      </c>
      <c r="P1603" t="inlineStr">
        <is>
          <t>是</t>
        </is>
      </c>
      <c r="Q1603" t="inlineStr">
        <is>
          <t>auto_pipeline;review_png_green</t>
        </is>
      </c>
      <c r="R1603" t="inlineStr">
        <is>
          <t>样品36</t>
        </is>
      </c>
    </row>
    <row r="1604">
      <c r="A1604" t="n">
        <v>1603</v>
      </c>
      <c r="B1604" t="inlineStr">
        <is>
          <t>36 (8).tif</t>
        </is>
      </c>
      <c r="C1604" t="inlineStr">
        <is>
          <t>36(8)-V04</t>
        </is>
      </c>
      <c r="D1604" t="n">
        <v>4</v>
      </c>
      <c r="E1604" t="inlineStr">
        <is>
          <t>primary</t>
        </is>
      </c>
      <c r="F1604" t="n">
        <v>492.1077504725898</v>
      </c>
      <c r="G1604">
        <f>2*SQRT(F1604/PI())</f>
        <v/>
      </c>
      <c r="H1604" t="n">
        <v>83.80535089451334</v>
      </c>
      <c r="I1604" t="n">
        <v>55</v>
      </c>
      <c r="J1604" t="n">
        <v>563</v>
      </c>
      <c r="K1604" t="n">
        <v>482.265595463138</v>
      </c>
      <c r="L1604" t="n">
        <v>501.9499054820416</v>
      </c>
      <c r="M1604">
        <f>2*SQRT(K1604/PI())</f>
        <v/>
      </c>
      <c r="N1604">
        <f>2*SQRT(L1604/PI())</f>
        <v/>
      </c>
      <c r="P1604" t="inlineStr">
        <is>
          <t>是</t>
        </is>
      </c>
      <c r="Q1604" t="inlineStr">
        <is>
          <t>auto_pipeline;review_png_green</t>
        </is>
      </c>
      <c r="R1604" t="inlineStr">
        <is>
          <t>样品36</t>
        </is>
      </c>
    </row>
    <row r="1605">
      <c r="A1605" t="n">
        <v>1604</v>
      </c>
      <c r="B1605" t="inlineStr">
        <is>
          <t>36 (8).tif</t>
        </is>
      </c>
      <c r="C1605" t="inlineStr">
        <is>
          <t>36(8)-V05</t>
        </is>
      </c>
      <c r="D1605" t="n">
        <v>5</v>
      </c>
      <c r="E1605" t="inlineStr">
        <is>
          <t>primary</t>
        </is>
      </c>
      <c r="F1605" t="n">
        <v>267.367674858223</v>
      </c>
      <c r="G1605">
        <f>2*SQRT(F1605/PI())</f>
        <v/>
      </c>
      <c r="H1605" t="n">
        <v>63.55441002742104</v>
      </c>
      <c r="I1605" t="n">
        <v>415</v>
      </c>
      <c r="J1605" t="n">
        <v>66</v>
      </c>
      <c r="K1605" t="n">
        <v>262.0203213610586</v>
      </c>
      <c r="L1605" t="n">
        <v>272.7150283553875</v>
      </c>
      <c r="M1605">
        <f>2*SQRT(K1605/PI())</f>
        <v/>
      </c>
      <c r="N1605">
        <f>2*SQRT(L1605/PI())</f>
        <v/>
      </c>
      <c r="P1605" t="inlineStr">
        <is>
          <t>是</t>
        </is>
      </c>
      <c r="Q1605" t="inlineStr">
        <is>
          <t>auto_pipeline;review_png_green</t>
        </is>
      </c>
      <c r="R1605" t="inlineStr">
        <is>
          <t>样品36</t>
        </is>
      </c>
    </row>
    <row r="1606">
      <c r="A1606" t="n">
        <v>1605</v>
      </c>
      <c r="B1606" t="inlineStr">
        <is>
          <t>36 (8).tif</t>
        </is>
      </c>
      <c r="C1606" t="inlineStr">
        <is>
          <t>36(8)-V06</t>
        </is>
      </c>
      <c r="D1606" t="n">
        <v>6</v>
      </c>
      <c r="E1606" t="inlineStr">
        <is>
          <t>primary</t>
        </is>
      </c>
      <c r="F1606" t="n">
        <v>165.9735349716446</v>
      </c>
      <c r="G1606">
        <f>2*SQRT(F1606/PI())</f>
        <v/>
      </c>
      <c r="H1606" t="n">
        <v>48.32796869070634</v>
      </c>
      <c r="I1606" t="n">
        <v>118</v>
      </c>
      <c r="J1606" t="n">
        <v>156</v>
      </c>
      <c r="K1606" t="n">
        <v>162.6540642722117</v>
      </c>
      <c r="L1606" t="n">
        <v>169.2930056710775</v>
      </c>
      <c r="M1606">
        <f>2*SQRT(K1606/PI())</f>
        <v/>
      </c>
      <c r="N1606">
        <f>2*SQRT(L1606/PI())</f>
        <v/>
      </c>
      <c r="P1606" t="inlineStr">
        <is>
          <t>是</t>
        </is>
      </c>
      <c r="Q1606" t="inlineStr">
        <is>
          <t>auto_pipeline;review_png_green</t>
        </is>
      </c>
      <c r="R1606" t="inlineStr">
        <is>
          <t>样品36</t>
        </is>
      </c>
    </row>
    <row r="1607">
      <c r="A1607" t="n">
        <v>1606</v>
      </c>
      <c r="B1607" t="inlineStr">
        <is>
          <t>36 (8).tif</t>
        </is>
      </c>
      <c r="C1607" t="inlineStr">
        <is>
          <t>36(8)-V07</t>
        </is>
      </c>
      <c r="D1607" t="n">
        <v>7</v>
      </c>
      <c r="E1607" t="inlineStr">
        <is>
          <t>primary</t>
        </is>
      </c>
      <c r="F1607" t="n">
        <v>139.6030245746692</v>
      </c>
      <c r="G1607">
        <f>2*SQRT(F1607/PI())</f>
        <v/>
      </c>
      <c r="H1607" t="n">
        <v>46.37784641721974</v>
      </c>
      <c r="I1607" t="n">
        <v>756</v>
      </c>
      <c r="J1607" t="n">
        <v>478</v>
      </c>
      <c r="K1607" t="n">
        <v>136.8109640831758</v>
      </c>
      <c r="L1607" t="n">
        <v>142.3950850661626</v>
      </c>
      <c r="M1607">
        <f>2*SQRT(K1607/PI())</f>
        <v/>
      </c>
      <c r="N1607">
        <f>2*SQRT(L1607/PI())</f>
        <v/>
      </c>
      <c r="P1607" t="inlineStr">
        <is>
          <t>是</t>
        </is>
      </c>
      <c r="Q1607" t="inlineStr">
        <is>
          <t>auto_pipeline;review_png_green</t>
        </is>
      </c>
      <c r="R1607" t="inlineStr">
        <is>
          <t>样品36</t>
        </is>
      </c>
    </row>
    <row r="1608">
      <c r="A1608" t="n">
        <v>1607</v>
      </c>
      <c r="B1608" t="inlineStr">
        <is>
          <t>36 (8).tif</t>
        </is>
      </c>
      <c r="C1608" t="inlineStr">
        <is>
          <t>36(8)-V08</t>
        </is>
      </c>
      <c r="D1608" t="n">
        <v>8</v>
      </c>
      <c r="E1608" t="inlineStr">
        <is>
          <t>primary</t>
        </is>
      </c>
      <c r="F1608" t="n">
        <v>127.4102079395085</v>
      </c>
      <c r="G1608">
        <f>2*SQRT(F1608/PI())</f>
        <v/>
      </c>
      <c r="H1608" t="n">
        <v>44.84970782114112</v>
      </c>
      <c r="I1608" t="n">
        <v>487</v>
      </c>
      <c r="J1608" t="n">
        <v>644</v>
      </c>
      <c r="K1608" t="n">
        <v>124.8620037807183</v>
      </c>
      <c r="L1608" t="n">
        <v>129.9584120982987</v>
      </c>
      <c r="M1608">
        <f>2*SQRT(K1608/PI())</f>
        <v/>
      </c>
      <c r="N1608">
        <f>2*SQRT(L1608/PI())</f>
        <v/>
      </c>
      <c r="P1608" t="inlineStr">
        <is>
          <t>是</t>
        </is>
      </c>
      <c r="Q1608" t="inlineStr">
        <is>
          <t>auto_pipeline;review_png_green</t>
        </is>
      </c>
      <c r="R1608" t="inlineStr">
        <is>
          <t>样品36</t>
        </is>
      </c>
    </row>
    <row r="1609">
      <c r="A1609" t="n">
        <v>1608</v>
      </c>
      <c r="B1609" t="inlineStr">
        <is>
          <t>37 (1).tif</t>
        </is>
      </c>
      <c r="C1609" t="inlineStr">
        <is>
          <t>37(1)-V01</t>
        </is>
      </c>
      <c r="D1609" t="n">
        <v>1</v>
      </c>
      <c r="E1609" t="inlineStr">
        <is>
          <t>primary</t>
        </is>
      </c>
      <c r="F1609" t="n">
        <v>954.9385633270322</v>
      </c>
      <c r="G1609">
        <f>2*SQRT(F1609/PI())</f>
        <v/>
      </c>
      <c r="H1609" t="n">
        <v>116.1865068777748</v>
      </c>
      <c r="I1609" t="n">
        <v>465</v>
      </c>
      <c r="J1609" t="n">
        <v>419</v>
      </c>
      <c r="K1609" t="n">
        <v>935.8397920604915</v>
      </c>
      <c r="L1609" t="n">
        <v>974.0373345935728</v>
      </c>
      <c r="M1609">
        <f>2*SQRT(K1609/PI())</f>
        <v/>
      </c>
      <c r="N1609">
        <f>2*SQRT(L1609/PI())</f>
        <v/>
      </c>
      <c r="P1609" t="inlineStr">
        <is>
          <t>是</t>
        </is>
      </c>
      <c r="Q1609" t="inlineStr">
        <is>
          <t>auto_pipeline;review_png_green</t>
        </is>
      </c>
      <c r="R1609" t="inlineStr">
        <is>
          <t>样品37</t>
        </is>
      </c>
    </row>
    <row r="1610">
      <c r="A1610" t="n">
        <v>1609</v>
      </c>
      <c r="B1610" t="inlineStr">
        <is>
          <t>37 (1).tif</t>
        </is>
      </c>
      <c r="C1610" t="inlineStr">
        <is>
          <t>37(1)-V02</t>
        </is>
      </c>
      <c r="D1610" t="n">
        <v>2</v>
      </c>
      <c r="E1610" t="inlineStr">
        <is>
          <t>primary</t>
        </is>
      </c>
      <c r="F1610" t="n">
        <v>872.117202268431</v>
      </c>
      <c r="G1610">
        <f>2*SQRT(F1610/PI())</f>
        <v/>
      </c>
      <c r="H1610" t="n">
        <v>111.2456543030946</v>
      </c>
      <c r="I1610" t="n">
        <v>751</v>
      </c>
      <c r="J1610" t="n">
        <v>130</v>
      </c>
      <c r="K1610" t="n">
        <v>854.6748582230624</v>
      </c>
      <c r="L1610" t="n">
        <v>889.5595463137996</v>
      </c>
      <c r="M1610">
        <f>2*SQRT(K1610/PI())</f>
        <v/>
      </c>
      <c r="N1610">
        <f>2*SQRT(L1610/PI())</f>
        <v/>
      </c>
      <c r="P1610" t="inlineStr">
        <is>
          <t>是</t>
        </is>
      </c>
      <c r="Q1610" t="inlineStr">
        <is>
          <t>auto_pipeline;review_png_green</t>
        </is>
      </c>
      <c r="R1610" t="inlineStr">
        <is>
          <t>样品37</t>
        </is>
      </c>
    </row>
    <row r="1611">
      <c r="A1611" t="n">
        <v>1610</v>
      </c>
      <c r="B1611" t="inlineStr">
        <is>
          <t>37 (1).tif</t>
        </is>
      </c>
      <c r="C1611" t="inlineStr">
        <is>
          <t>37(1)-V03</t>
        </is>
      </c>
      <c r="D1611" t="n">
        <v>3</v>
      </c>
      <c r="E1611" t="inlineStr">
        <is>
          <t>primary</t>
        </is>
      </c>
      <c r="F1611" t="n">
        <v>136.7674858223062</v>
      </c>
      <c r="G1611">
        <f>2*SQRT(F1611/PI())</f>
        <v/>
      </c>
      <c r="H1611" t="n">
        <v>49.66321551281473</v>
      </c>
      <c r="I1611" t="n">
        <v>663</v>
      </c>
      <c r="J1611" t="n">
        <v>211</v>
      </c>
      <c r="K1611" t="n">
        <v>134.0321361058601</v>
      </c>
      <c r="L1611" t="n">
        <v>139.5028355387524</v>
      </c>
      <c r="M1611">
        <f>2*SQRT(K1611/PI())</f>
        <v/>
      </c>
      <c r="N1611">
        <f>2*SQRT(L1611/PI())</f>
        <v/>
      </c>
      <c r="P1611" t="inlineStr">
        <is>
          <t>是</t>
        </is>
      </c>
      <c r="Q1611" t="inlineStr">
        <is>
          <t>auto_pipeline;review_png_green</t>
        </is>
      </c>
      <c r="R1611" t="inlineStr">
        <is>
          <t>样品37</t>
        </is>
      </c>
    </row>
    <row r="1612">
      <c r="A1612" t="n">
        <v>1611</v>
      </c>
      <c r="B1612" t="inlineStr">
        <is>
          <t>37 (2).tif</t>
        </is>
      </c>
      <c r="C1612" t="inlineStr">
        <is>
          <t>37(2)-V01</t>
        </is>
      </c>
      <c r="D1612" t="n">
        <v>1</v>
      </c>
      <c r="E1612" t="inlineStr">
        <is>
          <t>primary</t>
        </is>
      </c>
      <c r="F1612" t="n">
        <v>1148.724007561437</v>
      </c>
      <c r="G1612">
        <f>2*SQRT(F1612/PI())</f>
        <v/>
      </c>
      <c r="H1612" t="n">
        <v>128.2948730302894</v>
      </c>
      <c r="I1612" t="n">
        <v>514</v>
      </c>
      <c r="J1612" t="n">
        <v>310</v>
      </c>
      <c r="K1612" t="n">
        <v>1125.749527410208</v>
      </c>
      <c r="L1612" t="n">
        <v>1171.698487712665</v>
      </c>
      <c r="M1612">
        <f>2*SQRT(K1612/PI())</f>
        <v/>
      </c>
      <c r="N1612">
        <f>2*SQRT(L1612/PI())</f>
        <v/>
      </c>
      <c r="P1612" t="inlineStr">
        <is>
          <t>是</t>
        </is>
      </c>
      <c r="Q1612" t="inlineStr">
        <is>
          <t>auto_pipeline;review_png_green</t>
        </is>
      </c>
      <c r="R1612" t="inlineStr">
        <is>
          <t>样品37</t>
        </is>
      </c>
    </row>
    <row r="1613">
      <c r="A1613" t="n">
        <v>1612</v>
      </c>
      <c r="B1613" t="inlineStr">
        <is>
          <t>37 (2).tif</t>
        </is>
      </c>
      <c r="C1613" t="inlineStr">
        <is>
          <t>37(2)-V02</t>
        </is>
      </c>
      <c r="D1613" t="n">
        <v>2</v>
      </c>
      <c r="E1613" t="inlineStr">
        <is>
          <t>primary</t>
        </is>
      </c>
      <c r="F1613" t="n">
        <v>799.2202268431001</v>
      </c>
      <c r="G1613">
        <f>2*SQRT(F1613/PI())</f>
        <v/>
      </c>
      <c r="H1613" t="n">
        <v>106.0501119624013</v>
      </c>
      <c r="I1613" t="n">
        <v>423</v>
      </c>
      <c r="J1613" t="n">
        <v>456</v>
      </c>
      <c r="K1613" t="n">
        <v>783.2358223062381</v>
      </c>
      <c r="L1613" t="n">
        <v>815.2046313799622</v>
      </c>
      <c r="M1613">
        <f>2*SQRT(K1613/PI())</f>
        <v/>
      </c>
      <c r="N1613">
        <f>2*SQRT(L1613/PI())</f>
        <v/>
      </c>
      <c r="P1613" t="inlineStr">
        <is>
          <t>是</t>
        </is>
      </c>
      <c r="Q1613" t="inlineStr">
        <is>
          <t>auto_pipeline;review_png_green</t>
        </is>
      </c>
      <c r="R1613" t="inlineStr">
        <is>
          <t>样品37</t>
        </is>
      </c>
    </row>
    <row r="1614">
      <c r="A1614" t="n">
        <v>1613</v>
      </c>
      <c r="B1614" t="inlineStr">
        <is>
          <t>37 (2).tif</t>
        </is>
      </c>
      <c r="C1614" t="inlineStr">
        <is>
          <t>37(2)-V03</t>
        </is>
      </c>
      <c r="D1614" t="n">
        <v>3</v>
      </c>
      <c r="E1614" t="inlineStr">
        <is>
          <t>primary</t>
        </is>
      </c>
      <c r="F1614" t="n">
        <v>277.5047258979206</v>
      </c>
      <c r="G1614">
        <f>2*SQRT(F1614/PI())</f>
        <v/>
      </c>
      <c r="H1614" t="n">
        <v>63.89274674913158</v>
      </c>
      <c r="I1614" t="n">
        <v>623</v>
      </c>
      <c r="J1614" t="n">
        <v>214</v>
      </c>
      <c r="K1614" t="n">
        <v>271.9546313799622</v>
      </c>
      <c r="L1614" t="n">
        <v>283.054820415879</v>
      </c>
      <c r="M1614">
        <f>2*SQRT(K1614/PI())</f>
        <v/>
      </c>
      <c r="N1614">
        <f>2*SQRT(L1614/PI())</f>
        <v/>
      </c>
      <c r="P1614" t="inlineStr">
        <is>
          <t>是</t>
        </is>
      </c>
      <c r="Q1614" t="inlineStr">
        <is>
          <t>auto_pipeline;review_png_green</t>
        </is>
      </c>
      <c r="R1614" t="inlineStr">
        <is>
          <t>样品37</t>
        </is>
      </c>
    </row>
    <row r="1615">
      <c r="A1615" t="n">
        <v>1614</v>
      </c>
      <c r="B1615" t="inlineStr">
        <is>
          <t>37 (2).tif</t>
        </is>
      </c>
      <c r="C1615" t="inlineStr">
        <is>
          <t>37(2)-V04</t>
        </is>
      </c>
      <c r="D1615" t="n">
        <v>4</v>
      </c>
      <c r="E1615" t="inlineStr">
        <is>
          <t>primary</t>
        </is>
      </c>
      <c r="F1615" t="n">
        <v>183.1285444234404</v>
      </c>
      <c r="G1615">
        <f>2*SQRT(F1615/PI())</f>
        <v/>
      </c>
      <c r="H1615" t="n">
        <v>58.88634728348773</v>
      </c>
      <c r="I1615" t="n">
        <v>972</v>
      </c>
      <c r="J1615" t="n">
        <v>163</v>
      </c>
      <c r="K1615" t="n">
        <v>179.4659735349716</v>
      </c>
      <c r="L1615" t="n">
        <v>186.7911153119093</v>
      </c>
      <c r="M1615">
        <f>2*SQRT(K1615/PI())</f>
        <v/>
      </c>
      <c r="N1615">
        <f>2*SQRT(L1615/PI())</f>
        <v/>
      </c>
      <c r="P1615" t="inlineStr">
        <is>
          <t>是</t>
        </is>
      </c>
      <c r="Q1615" t="inlineStr">
        <is>
          <t>auto_pipeline;review_png_green</t>
        </is>
      </c>
      <c r="R1615" t="inlineStr">
        <is>
          <t>样品37</t>
        </is>
      </c>
    </row>
    <row r="1616">
      <c r="A1616" t="n">
        <v>1615</v>
      </c>
      <c r="B1616" t="inlineStr">
        <is>
          <t>37 (2).tif</t>
        </is>
      </c>
      <c r="C1616" t="inlineStr">
        <is>
          <t>37(2)-V05</t>
        </is>
      </c>
      <c r="D1616" t="n">
        <v>5</v>
      </c>
      <c r="E1616" t="inlineStr">
        <is>
          <t>primary</t>
        </is>
      </c>
      <c r="F1616" t="n">
        <v>176.8667296786389</v>
      </c>
      <c r="G1616">
        <f>2*SQRT(F1616/PI())</f>
        <v/>
      </c>
      <c r="H1616" t="n">
        <v>57.42375557837279</v>
      </c>
      <c r="I1616" t="n">
        <v>372</v>
      </c>
      <c r="J1616" t="n">
        <v>344</v>
      </c>
      <c r="K1616" t="n">
        <v>173.3293950850662</v>
      </c>
      <c r="L1616" t="n">
        <v>180.4040642722117</v>
      </c>
      <c r="M1616">
        <f>2*SQRT(K1616/PI())</f>
        <v/>
      </c>
      <c r="N1616">
        <f>2*SQRT(L1616/PI())</f>
        <v/>
      </c>
      <c r="P1616" t="inlineStr">
        <is>
          <t>是</t>
        </is>
      </c>
      <c r="Q1616" t="inlineStr">
        <is>
          <t>auto_pipeline;review_png_green</t>
        </is>
      </c>
      <c r="R1616" t="inlineStr">
        <is>
          <t>样品37</t>
        </is>
      </c>
    </row>
    <row r="1617">
      <c r="A1617" t="n">
        <v>1616</v>
      </c>
      <c r="B1617" t="inlineStr">
        <is>
          <t>37 (2).tif</t>
        </is>
      </c>
      <c r="C1617" t="inlineStr">
        <is>
          <t>37(2)-V06</t>
        </is>
      </c>
      <c r="D1617" t="n">
        <v>6</v>
      </c>
      <c r="E1617" t="inlineStr">
        <is>
          <t>primary</t>
        </is>
      </c>
      <c r="F1617" t="n">
        <v>169.8487712665406</v>
      </c>
      <c r="G1617">
        <f>2*SQRT(F1617/PI())</f>
        <v/>
      </c>
      <c r="H1617" t="n">
        <v>51.29685002824534</v>
      </c>
      <c r="I1617" t="n">
        <v>603</v>
      </c>
      <c r="J1617" t="n">
        <v>85</v>
      </c>
      <c r="K1617" t="n">
        <v>166.4517958412098</v>
      </c>
      <c r="L1617" t="n">
        <v>173.2457466918715</v>
      </c>
      <c r="M1617">
        <f>2*SQRT(K1617/PI())</f>
        <v/>
      </c>
      <c r="N1617">
        <f>2*SQRT(L1617/PI())</f>
        <v/>
      </c>
      <c r="P1617" t="inlineStr">
        <is>
          <t>是</t>
        </is>
      </c>
      <c r="Q1617" t="inlineStr">
        <is>
          <t>auto_pipeline;review_png_green</t>
        </is>
      </c>
      <c r="R1617" t="inlineStr">
        <is>
          <t>样品37</t>
        </is>
      </c>
    </row>
    <row r="1618">
      <c r="A1618" t="n">
        <v>1617</v>
      </c>
      <c r="B1618" t="inlineStr">
        <is>
          <t>37 (3).tif</t>
        </is>
      </c>
      <c r="C1618" t="inlineStr">
        <is>
          <t>37(3)-V01</t>
        </is>
      </c>
      <c r="D1618" t="n">
        <v>1</v>
      </c>
      <c r="E1618" t="inlineStr">
        <is>
          <t>primary</t>
        </is>
      </c>
      <c r="F1618" t="n">
        <v>918.6909262759924</v>
      </c>
      <c r="G1618">
        <f>2*SQRT(F1618/PI())</f>
        <v/>
      </c>
      <c r="H1618" t="n">
        <v>114.0871907576271</v>
      </c>
      <c r="I1618" t="n">
        <v>544</v>
      </c>
      <c r="J1618" t="n">
        <v>288</v>
      </c>
      <c r="K1618" t="n">
        <v>900.3171077504726</v>
      </c>
      <c r="L1618" t="n">
        <v>937.0647448015122</v>
      </c>
      <c r="M1618">
        <f>2*SQRT(K1618/PI())</f>
        <v/>
      </c>
      <c r="N1618">
        <f>2*SQRT(L1618/PI())</f>
        <v/>
      </c>
      <c r="P1618" t="inlineStr">
        <is>
          <t>是</t>
        </is>
      </c>
      <c r="Q1618" t="inlineStr">
        <is>
          <t>auto_pipeline;review_png_green</t>
        </is>
      </c>
      <c r="R1618" t="inlineStr">
        <is>
          <t>样品37</t>
        </is>
      </c>
    </row>
    <row r="1619">
      <c r="A1619" t="n">
        <v>1618</v>
      </c>
      <c r="B1619" t="inlineStr">
        <is>
          <t>37 (3).tif</t>
        </is>
      </c>
      <c r="C1619" t="inlineStr">
        <is>
          <t>37(3)-V02</t>
        </is>
      </c>
      <c r="D1619" t="n">
        <v>2</v>
      </c>
      <c r="E1619" t="inlineStr">
        <is>
          <t>primary</t>
        </is>
      </c>
      <c r="F1619" t="n">
        <v>885.1134215500945</v>
      </c>
      <c r="G1619">
        <f>2*SQRT(F1619/PI())</f>
        <v/>
      </c>
      <c r="H1619" t="n">
        <v>112.2207154398379</v>
      </c>
      <c r="I1619" t="n">
        <v>425</v>
      </c>
      <c r="J1619" t="n">
        <v>442</v>
      </c>
      <c r="K1619" t="n">
        <v>867.4111531190925</v>
      </c>
      <c r="L1619" t="n">
        <v>902.8156899810964</v>
      </c>
      <c r="M1619">
        <f>2*SQRT(K1619/PI())</f>
        <v/>
      </c>
      <c r="N1619">
        <f>2*SQRT(L1619/PI())</f>
        <v/>
      </c>
      <c r="P1619" t="inlineStr">
        <is>
          <t>是</t>
        </is>
      </c>
      <c r="Q1619" t="inlineStr">
        <is>
          <t>auto_pipeline;review_png_green</t>
        </is>
      </c>
      <c r="R1619" t="inlineStr">
        <is>
          <t>样品37</t>
        </is>
      </c>
    </row>
    <row r="1620">
      <c r="A1620" t="n">
        <v>1619</v>
      </c>
      <c r="B1620" t="inlineStr">
        <is>
          <t>37 (3).tif</t>
        </is>
      </c>
      <c r="C1620" t="inlineStr">
        <is>
          <t>37(3)-V03</t>
        </is>
      </c>
      <c r="D1620" t="n">
        <v>3</v>
      </c>
      <c r="E1620" t="inlineStr">
        <is>
          <t>primary</t>
        </is>
      </c>
      <c r="F1620" t="n">
        <v>126.7249527410208</v>
      </c>
      <c r="G1620">
        <f>2*SQRT(F1620/PI())</f>
        <v/>
      </c>
      <c r="H1620" t="n">
        <v>59.62856761787248</v>
      </c>
      <c r="I1620" t="n">
        <v>814</v>
      </c>
      <c r="J1620" t="n">
        <v>87</v>
      </c>
      <c r="K1620" t="n">
        <v>124.1904536862004</v>
      </c>
      <c r="L1620" t="n">
        <v>129.2594517958412</v>
      </c>
      <c r="M1620">
        <f>2*SQRT(K1620/PI())</f>
        <v/>
      </c>
      <c r="N1620">
        <f>2*SQRT(L1620/PI())</f>
        <v/>
      </c>
      <c r="P1620" t="inlineStr">
        <is>
          <t>是</t>
        </is>
      </c>
      <c r="Q1620" t="inlineStr">
        <is>
          <t>auto_pipeline;review_png_green</t>
        </is>
      </c>
      <c r="R1620" t="inlineStr">
        <is>
          <t>样品37</t>
        </is>
      </c>
    </row>
    <row r="1621">
      <c r="A1621" t="n">
        <v>1620</v>
      </c>
      <c r="B1621" t="inlineStr">
        <is>
          <t>37 (3).tif</t>
        </is>
      </c>
      <c r="C1621" t="inlineStr">
        <is>
          <t>37(3)-V04</t>
        </is>
      </c>
      <c r="D1621" t="n">
        <v>4</v>
      </c>
      <c r="E1621" t="inlineStr">
        <is>
          <t>primary</t>
        </is>
      </c>
      <c r="F1621" t="n">
        <v>116.304347826087</v>
      </c>
      <c r="G1621">
        <f>2*SQRT(F1621/PI())</f>
        <v/>
      </c>
      <c r="H1621" t="n">
        <v>52.33370915703151</v>
      </c>
      <c r="I1621" t="n">
        <v>759</v>
      </c>
      <c r="J1621" t="n">
        <v>224</v>
      </c>
      <c r="K1621" t="n">
        <v>113.9782608695652</v>
      </c>
      <c r="L1621" t="n">
        <v>118.6304347826087</v>
      </c>
      <c r="M1621">
        <f>2*SQRT(K1621/PI())</f>
        <v/>
      </c>
      <c r="N1621">
        <f>2*SQRT(L1621/PI())</f>
        <v/>
      </c>
      <c r="P1621" t="inlineStr">
        <is>
          <t>是</t>
        </is>
      </c>
      <c r="Q1621" t="inlineStr">
        <is>
          <t>auto_pipeline;review_png_green</t>
        </is>
      </c>
      <c r="R1621" t="inlineStr">
        <is>
          <t>样品37</t>
        </is>
      </c>
    </row>
    <row r="1622">
      <c r="A1622" t="n">
        <v>1621</v>
      </c>
      <c r="B1622" t="inlineStr">
        <is>
          <t>37 (3).tif</t>
        </is>
      </c>
      <c r="C1622" t="inlineStr">
        <is>
          <t>37(3)-V05</t>
        </is>
      </c>
      <c r="D1622" t="n">
        <v>5</v>
      </c>
      <c r="E1622" t="inlineStr">
        <is>
          <t>primary</t>
        </is>
      </c>
      <c r="F1622" t="n">
        <v>115.9262759924386</v>
      </c>
      <c r="G1622">
        <f>2*SQRT(F1622/PI())</f>
        <v/>
      </c>
      <c r="H1622" t="n">
        <v>41.16045511287192</v>
      </c>
      <c r="I1622" t="n">
        <v>963</v>
      </c>
      <c r="J1622" t="n">
        <v>206</v>
      </c>
      <c r="K1622" t="n">
        <v>113.6077504725898</v>
      </c>
      <c r="L1622" t="n">
        <v>118.2448015122873</v>
      </c>
      <c r="M1622">
        <f>2*SQRT(K1622/PI())</f>
        <v/>
      </c>
      <c r="N1622">
        <f>2*SQRT(L1622/PI())</f>
        <v/>
      </c>
      <c r="P1622" t="inlineStr">
        <is>
          <t>是</t>
        </is>
      </c>
      <c r="Q1622" t="inlineStr">
        <is>
          <t>auto_pipeline;review_png_green</t>
        </is>
      </c>
      <c r="R1622" t="inlineStr">
        <is>
          <t>样品37</t>
        </is>
      </c>
    </row>
    <row r="1623">
      <c r="A1623" t="n">
        <v>1622</v>
      </c>
      <c r="B1623" t="inlineStr">
        <is>
          <t>37 (3).tif</t>
        </is>
      </c>
      <c r="C1623" t="inlineStr">
        <is>
          <t>37(3)-V06</t>
        </is>
      </c>
      <c r="D1623" t="n">
        <v>6</v>
      </c>
      <c r="E1623" t="inlineStr">
        <is>
          <t>primary</t>
        </is>
      </c>
      <c r="F1623" t="n">
        <v>115.5718336483932</v>
      </c>
      <c r="G1623">
        <f>2*SQRT(F1623/PI())</f>
        <v/>
      </c>
      <c r="H1623" t="n">
        <v>41.54248976189157</v>
      </c>
      <c r="I1623" t="n">
        <v>885</v>
      </c>
      <c r="J1623" t="n">
        <v>286</v>
      </c>
      <c r="K1623" t="n">
        <v>113.2603969754253</v>
      </c>
      <c r="L1623" t="n">
        <v>117.8832703213611</v>
      </c>
      <c r="M1623">
        <f>2*SQRT(K1623/PI())</f>
        <v/>
      </c>
      <c r="N1623">
        <f>2*SQRT(L1623/PI())</f>
        <v/>
      </c>
      <c r="P1623" t="inlineStr">
        <is>
          <t>是</t>
        </is>
      </c>
      <c r="Q1623" t="inlineStr">
        <is>
          <t>auto_pipeline;review_png_green</t>
        </is>
      </c>
      <c r="R1623" t="inlineStr">
        <is>
          <t>样品37</t>
        </is>
      </c>
    </row>
    <row r="1624">
      <c r="A1624" t="n">
        <v>1623</v>
      </c>
      <c r="B1624" t="inlineStr">
        <is>
          <t>37 (4).tif</t>
        </is>
      </c>
      <c r="C1624" t="inlineStr">
        <is>
          <t>37(4)-V01</t>
        </is>
      </c>
      <c r="D1624" t="n">
        <v>1</v>
      </c>
      <c r="E1624" t="inlineStr">
        <is>
          <t>primary</t>
        </is>
      </c>
      <c r="F1624" t="n">
        <v>2352.433837429111</v>
      </c>
      <c r="G1624">
        <f>2*SQRT(F1624/PI())</f>
        <v/>
      </c>
      <c r="H1624" t="n">
        <v>186.9920774387277</v>
      </c>
      <c r="I1624" t="n">
        <v>542</v>
      </c>
      <c r="J1624" t="n">
        <v>232</v>
      </c>
      <c r="K1624" t="n">
        <v>2305.385160680529</v>
      </c>
      <c r="L1624" t="n">
        <v>2399.482514177694</v>
      </c>
      <c r="M1624">
        <f>2*SQRT(K1624/PI())</f>
        <v/>
      </c>
      <c r="N1624">
        <f>2*SQRT(L1624/PI())</f>
        <v/>
      </c>
      <c r="O1624" t="inlineStr">
        <is>
          <t>37(4)-P01</t>
        </is>
      </c>
      <c r="P1624" t="inlineStr">
        <is>
          <t>是</t>
        </is>
      </c>
      <c r="Q1624" t="inlineStr">
        <is>
          <t>auto_pipeline;review_png_green</t>
        </is>
      </c>
      <c r="R1624" t="inlineStr">
        <is>
          <t>样品37</t>
        </is>
      </c>
    </row>
    <row r="1625">
      <c r="A1625" t="n">
        <v>1624</v>
      </c>
      <c r="B1625" t="inlineStr">
        <is>
          <t>37 (4).tif</t>
        </is>
      </c>
      <c r="C1625" t="inlineStr">
        <is>
          <t>37(4)-V02</t>
        </is>
      </c>
      <c r="D1625" t="n">
        <v>2</v>
      </c>
      <c r="E1625" t="inlineStr">
        <is>
          <t>primary</t>
        </is>
      </c>
      <c r="F1625" t="n">
        <v>1397.566162570889</v>
      </c>
      <c r="G1625">
        <f>2*SQRT(F1625/PI())</f>
        <v/>
      </c>
      <c r="H1625" t="n">
        <v>141.0181146341821</v>
      </c>
      <c r="I1625" t="n">
        <v>390</v>
      </c>
      <c r="J1625" t="n">
        <v>405</v>
      </c>
      <c r="K1625" t="n">
        <v>1369.614839319471</v>
      </c>
      <c r="L1625" t="n">
        <v>1425.517485822306</v>
      </c>
      <c r="M1625">
        <f>2*SQRT(K1625/PI())</f>
        <v/>
      </c>
      <c r="N1625">
        <f>2*SQRT(L1625/PI())</f>
        <v/>
      </c>
      <c r="O1625" t="inlineStr">
        <is>
          <t>37(4)-P01</t>
        </is>
      </c>
      <c r="P1625" t="inlineStr">
        <is>
          <t>是</t>
        </is>
      </c>
      <c r="Q1625" t="inlineStr">
        <is>
          <t>auto_pipeline;review_png_green</t>
        </is>
      </c>
      <c r="R1625" t="inlineStr">
        <is>
          <t>样品37</t>
        </is>
      </c>
    </row>
    <row r="1626">
      <c r="A1626" t="n">
        <v>1625</v>
      </c>
      <c r="B1626" t="inlineStr">
        <is>
          <t>37 (4).tif</t>
        </is>
      </c>
      <c r="C1626" t="inlineStr">
        <is>
          <t>37(4)-V03</t>
        </is>
      </c>
      <c r="D1626" t="n">
        <v>3</v>
      </c>
      <c r="E1626" t="inlineStr">
        <is>
          <t>primary</t>
        </is>
      </c>
      <c r="F1626" t="n">
        <v>890.7608695652174</v>
      </c>
      <c r="G1626">
        <f>2*SQRT(F1626/PI())</f>
        <v/>
      </c>
      <c r="H1626" t="n">
        <v>111.7331848714663</v>
      </c>
      <c r="I1626" t="n">
        <v>578</v>
      </c>
      <c r="J1626" t="n">
        <v>298</v>
      </c>
      <c r="K1626" t="n">
        <v>872.945652173913</v>
      </c>
      <c r="L1626" t="n">
        <v>908.5760869565217</v>
      </c>
      <c r="M1626">
        <f>2*SQRT(K1626/PI())</f>
        <v/>
      </c>
      <c r="N1626">
        <f>2*SQRT(L1626/PI())</f>
        <v/>
      </c>
      <c r="P1626" t="inlineStr">
        <is>
          <t>是</t>
        </is>
      </c>
      <c r="Q1626" t="inlineStr">
        <is>
          <t>auto_pipeline;review_png_green</t>
        </is>
      </c>
      <c r="R1626" t="inlineStr">
        <is>
          <t>样品37</t>
        </is>
      </c>
    </row>
    <row r="1627">
      <c r="A1627" t="n">
        <v>1626</v>
      </c>
      <c r="B1627" t="inlineStr">
        <is>
          <t>37 (4).tif</t>
        </is>
      </c>
      <c r="C1627" t="inlineStr">
        <is>
          <t>37(4)-V04</t>
        </is>
      </c>
      <c r="D1627" t="n">
        <v>4</v>
      </c>
      <c r="E1627" t="inlineStr">
        <is>
          <t>primary</t>
        </is>
      </c>
      <c r="F1627" t="n">
        <v>485.1606805293006</v>
      </c>
      <c r="G1627">
        <f>2*SQRT(F1627/PI())</f>
        <v/>
      </c>
      <c r="H1627" t="n">
        <v>85.54448132929595</v>
      </c>
      <c r="I1627" t="n">
        <v>785</v>
      </c>
      <c r="J1627" t="n">
        <v>246</v>
      </c>
      <c r="K1627" t="n">
        <v>475.4574669187145</v>
      </c>
      <c r="L1627" t="n">
        <v>494.8638941398866</v>
      </c>
      <c r="M1627">
        <f>2*SQRT(K1627/PI())</f>
        <v/>
      </c>
      <c r="N1627">
        <f>2*SQRT(L1627/PI())</f>
        <v/>
      </c>
      <c r="P1627" t="inlineStr">
        <is>
          <t>是</t>
        </is>
      </c>
      <c r="Q1627" t="inlineStr">
        <is>
          <t>auto_pipeline;review_png_green</t>
        </is>
      </c>
      <c r="R1627" t="inlineStr">
        <is>
          <t>样品37</t>
        </is>
      </c>
    </row>
    <row r="1628">
      <c r="A1628" t="n">
        <v>1627</v>
      </c>
      <c r="B1628" t="inlineStr">
        <is>
          <t>37 (4).tif</t>
        </is>
      </c>
      <c r="C1628" t="inlineStr">
        <is>
          <t>37(4)-V05</t>
        </is>
      </c>
      <c r="D1628" t="n">
        <v>5</v>
      </c>
      <c r="E1628" t="inlineStr">
        <is>
          <t>primary</t>
        </is>
      </c>
      <c r="F1628" t="n">
        <v>264.7684310018903</v>
      </c>
      <c r="G1628">
        <f>2*SQRT(F1628/PI())</f>
        <v/>
      </c>
      <c r="H1628" t="n">
        <v>63.65990594677303</v>
      </c>
      <c r="I1628" t="n">
        <v>561</v>
      </c>
      <c r="J1628" t="n">
        <v>340</v>
      </c>
      <c r="K1628" t="n">
        <v>259.4730623818525</v>
      </c>
      <c r="L1628" t="n">
        <v>270.0637996219282</v>
      </c>
      <c r="M1628">
        <f>2*SQRT(K1628/PI())</f>
        <v/>
      </c>
      <c r="N1628">
        <f>2*SQRT(L1628/PI())</f>
        <v/>
      </c>
      <c r="P1628" t="inlineStr">
        <is>
          <t>是</t>
        </is>
      </c>
      <c r="Q1628" t="inlineStr">
        <is>
          <t>auto_pipeline;review_png_green</t>
        </is>
      </c>
      <c r="R1628" t="inlineStr">
        <is>
          <t>样品37</t>
        </is>
      </c>
    </row>
    <row r="1629">
      <c r="A1629" t="n">
        <v>1628</v>
      </c>
      <c r="B1629" t="inlineStr">
        <is>
          <t>37 (5).tif</t>
        </is>
      </c>
      <c r="C1629" t="inlineStr">
        <is>
          <t>37(5)-V01</t>
        </is>
      </c>
      <c r="D1629" t="n">
        <v>1</v>
      </c>
      <c r="E1629" t="inlineStr">
        <is>
          <t>primary</t>
        </is>
      </c>
      <c r="F1629" t="n">
        <v>945.3686200378072</v>
      </c>
      <c r="G1629">
        <f>2*SQRT(F1629/PI())</f>
        <v/>
      </c>
      <c r="H1629" t="n">
        <v>115.1895967773769</v>
      </c>
      <c r="I1629" t="n">
        <v>404</v>
      </c>
      <c r="J1629" t="n">
        <v>390</v>
      </c>
      <c r="K1629" t="n">
        <v>926.4612476370511</v>
      </c>
      <c r="L1629" t="n">
        <v>964.2759924385633</v>
      </c>
      <c r="M1629">
        <f>2*SQRT(K1629/PI())</f>
        <v/>
      </c>
      <c r="N1629">
        <f>2*SQRT(L1629/PI())</f>
        <v/>
      </c>
      <c r="P1629" t="inlineStr">
        <is>
          <t>是</t>
        </is>
      </c>
      <c r="Q1629" t="inlineStr">
        <is>
          <t>auto_pipeline;review_png_green</t>
        </is>
      </c>
      <c r="R1629" t="inlineStr">
        <is>
          <t>样品37</t>
        </is>
      </c>
    </row>
    <row r="1630">
      <c r="A1630" t="n">
        <v>1629</v>
      </c>
      <c r="B1630" t="inlineStr">
        <is>
          <t>37 (5).tif</t>
        </is>
      </c>
      <c r="C1630" t="inlineStr">
        <is>
          <t>37(5)-V02</t>
        </is>
      </c>
      <c r="D1630" t="n">
        <v>2</v>
      </c>
      <c r="E1630" t="inlineStr">
        <is>
          <t>primary</t>
        </is>
      </c>
      <c r="F1630" t="n">
        <v>726.890359168242</v>
      </c>
      <c r="G1630">
        <f>2*SQRT(F1630/PI())</f>
        <v/>
      </c>
      <c r="H1630" t="n">
        <v>105.5188834667206</v>
      </c>
      <c r="I1630" t="n">
        <v>169</v>
      </c>
      <c r="J1630" t="n">
        <v>599</v>
      </c>
      <c r="K1630" t="n">
        <v>712.3525519848771</v>
      </c>
      <c r="L1630" t="n">
        <v>741.4281663516068</v>
      </c>
      <c r="M1630">
        <f>2*SQRT(K1630/PI())</f>
        <v/>
      </c>
      <c r="N1630">
        <f>2*SQRT(L1630/PI())</f>
        <v/>
      </c>
      <c r="P1630" t="inlineStr">
        <is>
          <t>是</t>
        </is>
      </c>
      <c r="Q1630" t="inlineStr">
        <is>
          <t>auto_pipeline;review_png_green</t>
        </is>
      </c>
      <c r="R1630" t="inlineStr">
        <is>
          <t>样品37</t>
        </is>
      </c>
    </row>
    <row r="1631">
      <c r="A1631" t="n">
        <v>1630</v>
      </c>
      <c r="B1631" t="inlineStr">
        <is>
          <t>37 (5).tif</t>
        </is>
      </c>
      <c r="C1631" t="inlineStr">
        <is>
          <t>37(5)-V03</t>
        </is>
      </c>
      <c r="D1631" t="n">
        <v>3</v>
      </c>
      <c r="E1631" t="inlineStr">
        <is>
          <t>primary</t>
        </is>
      </c>
      <c r="F1631" t="n">
        <v>264.461247637051</v>
      </c>
      <c r="G1631">
        <f>2*SQRT(F1631/PI())</f>
        <v/>
      </c>
      <c r="H1631" t="n">
        <v>70.02340119817983</v>
      </c>
      <c r="I1631" t="n">
        <v>650</v>
      </c>
      <c r="J1631" t="n">
        <v>277</v>
      </c>
      <c r="K1631" t="n">
        <v>259.17202268431</v>
      </c>
      <c r="L1631" t="n">
        <v>269.7504725897921</v>
      </c>
      <c r="M1631">
        <f>2*SQRT(K1631/PI())</f>
        <v/>
      </c>
      <c r="N1631">
        <f>2*SQRT(L1631/PI())</f>
        <v/>
      </c>
      <c r="P1631" t="inlineStr">
        <is>
          <t>是</t>
        </is>
      </c>
      <c r="Q1631" t="inlineStr">
        <is>
          <t>auto_pipeline;review_png_green</t>
        </is>
      </c>
      <c r="R1631" t="inlineStr">
        <is>
          <t>样品37</t>
        </is>
      </c>
    </row>
    <row r="1632">
      <c r="A1632" t="n">
        <v>1631</v>
      </c>
      <c r="B1632" t="inlineStr">
        <is>
          <t>37 (6).tif</t>
        </is>
      </c>
      <c r="C1632" t="inlineStr">
        <is>
          <t>37(6)-V01</t>
        </is>
      </c>
      <c r="D1632" t="n">
        <v>1</v>
      </c>
      <c r="E1632" t="inlineStr">
        <is>
          <t>primary</t>
        </is>
      </c>
      <c r="F1632" t="n">
        <v>1130.694706994329</v>
      </c>
      <c r="G1632">
        <f>2*SQRT(F1632/PI())</f>
        <v/>
      </c>
      <c r="H1632" t="n">
        <v>128.3167219939439</v>
      </c>
      <c r="I1632" t="n">
        <v>537</v>
      </c>
      <c r="J1632" t="n">
        <v>89</v>
      </c>
      <c r="K1632" t="n">
        <v>1108.080812854442</v>
      </c>
      <c r="L1632" t="n">
        <v>1153.308601134215</v>
      </c>
      <c r="M1632">
        <f>2*SQRT(K1632/PI())</f>
        <v/>
      </c>
      <c r="N1632">
        <f>2*SQRT(L1632/PI())</f>
        <v/>
      </c>
      <c r="P1632" t="inlineStr">
        <is>
          <t>是</t>
        </is>
      </c>
      <c r="Q1632" t="inlineStr">
        <is>
          <t>auto_pipeline;review_png_green</t>
        </is>
      </c>
      <c r="R1632" t="inlineStr">
        <is>
          <t>样品37</t>
        </is>
      </c>
    </row>
    <row r="1633">
      <c r="A1633" t="n">
        <v>1632</v>
      </c>
      <c r="B1633" t="inlineStr">
        <is>
          <t>37 (6).tif</t>
        </is>
      </c>
      <c r="C1633" t="inlineStr">
        <is>
          <t>37(6)-V02</t>
        </is>
      </c>
      <c r="D1633" t="n">
        <v>2</v>
      </c>
      <c r="E1633" t="inlineStr">
        <is>
          <t>primary</t>
        </is>
      </c>
      <c r="F1633" t="n">
        <v>686.1058601134215</v>
      </c>
      <c r="G1633">
        <f>2*SQRT(F1633/PI())</f>
        <v/>
      </c>
      <c r="H1633" t="n">
        <v>98.14037805018218</v>
      </c>
      <c r="I1633" t="n">
        <v>549</v>
      </c>
      <c r="J1633" t="n">
        <v>390</v>
      </c>
      <c r="K1633" t="n">
        <v>672.383742911153</v>
      </c>
      <c r="L1633" t="n">
        <v>699.82797731569</v>
      </c>
      <c r="M1633">
        <f>2*SQRT(K1633/PI())</f>
        <v/>
      </c>
      <c r="N1633">
        <f>2*SQRT(L1633/PI())</f>
        <v/>
      </c>
      <c r="O1633" t="inlineStr">
        <is>
          <t>37(6)-P01</t>
        </is>
      </c>
      <c r="P1633" t="inlineStr">
        <is>
          <t>是</t>
        </is>
      </c>
      <c r="Q1633" t="inlineStr">
        <is>
          <t>auto_pipeline;review_png_green</t>
        </is>
      </c>
      <c r="R1633" t="inlineStr">
        <is>
          <t>样品37</t>
        </is>
      </c>
    </row>
    <row r="1634">
      <c r="A1634" t="n">
        <v>1633</v>
      </c>
      <c r="B1634" t="inlineStr">
        <is>
          <t>37 (6).tif</t>
        </is>
      </c>
      <c r="C1634" t="inlineStr">
        <is>
          <t>37(6)-V03</t>
        </is>
      </c>
      <c r="D1634" t="n">
        <v>3</v>
      </c>
      <c r="E1634" t="inlineStr">
        <is>
          <t>primary</t>
        </is>
      </c>
      <c r="F1634" t="n">
        <v>650.5434782608696</v>
      </c>
      <c r="G1634">
        <f>2*SQRT(F1634/PI())</f>
        <v/>
      </c>
      <c r="H1634" t="n">
        <v>96.16840681304102</v>
      </c>
      <c r="I1634" t="n">
        <v>407</v>
      </c>
      <c r="J1634" t="n">
        <v>377</v>
      </c>
      <c r="K1634" t="n">
        <v>637.5326086956522</v>
      </c>
      <c r="L1634" t="n">
        <v>663.554347826087</v>
      </c>
      <c r="M1634">
        <f>2*SQRT(K1634/PI())</f>
        <v/>
      </c>
      <c r="N1634">
        <f>2*SQRT(L1634/PI())</f>
        <v/>
      </c>
      <c r="O1634" t="inlineStr">
        <is>
          <t>37(6)-P01</t>
        </is>
      </c>
      <c r="P1634" t="inlineStr">
        <is>
          <t>是</t>
        </is>
      </c>
      <c r="Q1634" t="inlineStr">
        <is>
          <t>auto_pipeline;review_png_green</t>
        </is>
      </c>
      <c r="R1634" t="inlineStr">
        <is>
          <t>样品37</t>
        </is>
      </c>
    </row>
    <row r="1635">
      <c r="A1635" t="n">
        <v>1634</v>
      </c>
      <c r="B1635" t="inlineStr">
        <is>
          <t>37 (6).tif</t>
        </is>
      </c>
      <c r="C1635" t="inlineStr">
        <is>
          <t>37(6)-V04</t>
        </is>
      </c>
      <c r="D1635" t="n">
        <v>4</v>
      </c>
      <c r="E1635" t="inlineStr">
        <is>
          <t>primary</t>
        </is>
      </c>
      <c r="F1635" t="n">
        <v>192.1077504725898</v>
      </c>
      <c r="G1635">
        <f>2*SQRT(F1635/PI())</f>
        <v/>
      </c>
      <c r="H1635" t="n">
        <v>54.98610273651455</v>
      </c>
      <c r="I1635" t="n">
        <v>358</v>
      </c>
      <c r="J1635" t="n">
        <v>411</v>
      </c>
      <c r="K1635" t="n">
        <v>188.265595463138</v>
      </c>
      <c r="L1635" t="n">
        <v>195.9499054820416</v>
      </c>
      <c r="M1635">
        <f>2*SQRT(K1635/PI())</f>
        <v/>
      </c>
      <c r="N1635">
        <f>2*SQRT(L1635/PI())</f>
        <v/>
      </c>
      <c r="P1635" t="inlineStr">
        <is>
          <t>是</t>
        </is>
      </c>
      <c r="Q1635" t="inlineStr">
        <is>
          <t>auto_pipeline;review_png_green</t>
        </is>
      </c>
      <c r="R1635" t="inlineStr">
        <is>
          <t>样品37</t>
        </is>
      </c>
    </row>
    <row r="1636">
      <c r="A1636" t="n">
        <v>1635</v>
      </c>
      <c r="B1636" t="inlineStr">
        <is>
          <t>37 (6).tif</t>
        </is>
      </c>
      <c r="C1636" t="inlineStr">
        <is>
          <t>37(6)-V05</t>
        </is>
      </c>
      <c r="D1636" t="n">
        <v>5</v>
      </c>
      <c r="E1636" t="inlineStr">
        <is>
          <t>primary</t>
        </is>
      </c>
      <c r="F1636" t="n">
        <v>115.6427221172023</v>
      </c>
      <c r="G1636">
        <f>2*SQRT(F1636/PI())</f>
        <v/>
      </c>
      <c r="H1636" t="n">
        <v>44.99890166780223</v>
      </c>
      <c r="I1636" t="n">
        <v>821</v>
      </c>
      <c r="J1636" t="n">
        <v>628</v>
      </c>
      <c r="K1636" t="n">
        <v>113.3298676748582</v>
      </c>
      <c r="L1636" t="n">
        <v>117.9555765595463</v>
      </c>
      <c r="M1636">
        <f>2*SQRT(K1636/PI())</f>
        <v/>
      </c>
      <c r="N1636">
        <f>2*SQRT(L1636/PI())</f>
        <v/>
      </c>
      <c r="P1636" t="inlineStr">
        <is>
          <t>是</t>
        </is>
      </c>
      <c r="Q1636" t="inlineStr">
        <is>
          <t>auto_pipeline;review_png_green</t>
        </is>
      </c>
      <c r="R1636" t="inlineStr">
        <is>
          <t>样品37</t>
        </is>
      </c>
    </row>
    <row r="1637">
      <c r="A1637" t="n">
        <v>1636</v>
      </c>
      <c r="B1637" t="inlineStr">
        <is>
          <t>37 (6).tif</t>
        </is>
      </c>
      <c r="C1637" t="inlineStr">
        <is>
          <t>37(6)-V06</t>
        </is>
      </c>
      <c r="D1637" t="n">
        <v>6</v>
      </c>
      <c r="E1637" t="inlineStr">
        <is>
          <t>primary</t>
        </is>
      </c>
      <c r="F1637" t="n">
        <v>44.58884688090738</v>
      </c>
      <c r="G1637">
        <f>2*SQRT(F1637/PI())</f>
        <v/>
      </c>
      <c r="H1637" t="n">
        <v>31.00221123384393</v>
      </c>
      <c r="I1637" t="n">
        <v>458</v>
      </c>
      <c r="J1637" t="n">
        <v>404</v>
      </c>
      <c r="K1637" t="n">
        <v>43.69706994328923</v>
      </c>
      <c r="L1637" t="n">
        <v>45.48062381852552</v>
      </c>
      <c r="M1637">
        <f>2*SQRT(K1637/PI())</f>
        <v/>
      </c>
      <c r="N1637">
        <f>2*SQRT(L1637/PI())</f>
        <v/>
      </c>
      <c r="P1637" t="inlineStr">
        <is>
          <t>是</t>
        </is>
      </c>
      <c r="Q1637" t="inlineStr">
        <is>
          <t>auto_pipeline;review_png_green</t>
        </is>
      </c>
      <c r="R1637" t="inlineStr">
        <is>
          <t>样品37</t>
        </is>
      </c>
    </row>
    <row r="1638">
      <c r="A1638" t="n">
        <v>1637</v>
      </c>
      <c r="B1638" t="inlineStr">
        <is>
          <t>37 (7).tif</t>
        </is>
      </c>
      <c r="C1638" t="inlineStr">
        <is>
          <t>37(7)-V01</t>
        </is>
      </c>
      <c r="D1638" t="n">
        <v>1</v>
      </c>
      <c r="E1638" t="inlineStr">
        <is>
          <t>primary</t>
        </is>
      </c>
      <c r="F1638" t="n">
        <v>914.366729678639</v>
      </c>
      <c r="G1638">
        <f>2*SQRT(F1638/PI())</f>
        <v/>
      </c>
      <c r="H1638" t="n">
        <v>114.3200315599856</v>
      </c>
      <c r="I1638" t="n">
        <v>457</v>
      </c>
      <c r="J1638" t="n">
        <v>337</v>
      </c>
      <c r="K1638" t="n">
        <v>896.0793950850662</v>
      </c>
      <c r="L1638" t="n">
        <v>932.6540642722118</v>
      </c>
      <c r="M1638">
        <f>2*SQRT(K1638/PI())</f>
        <v/>
      </c>
      <c r="N1638">
        <f>2*SQRT(L1638/PI())</f>
        <v/>
      </c>
      <c r="O1638" t="inlineStr">
        <is>
          <t>37(7)-P01</t>
        </is>
      </c>
      <c r="P1638" t="inlineStr">
        <is>
          <t>是</t>
        </is>
      </c>
      <c r="Q1638" t="inlineStr">
        <is>
          <t>auto_pipeline;review_png_green</t>
        </is>
      </c>
      <c r="R1638" t="inlineStr">
        <is>
          <t>样品37</t>
        </is>
      </c>
    </row>
    <row r="1639">
      <c r="A1639" t="n">
        <v>1638</v>
      </c>
      <c r="B1639" t="inlineStr">
        <is>
          <t>37 (7).tif</t>
        </is>
      </c>
      <c r="C1639" t="inlineStr">
        <is>
          <t>37(7)-V02</t>
        </is>
      </c>
      <c r="D1639" t="n">
        <v>2</v>
      </c>
      <c r="E1639" t="inlineStr">
        <is>
          <t>primary</t>
        </is>
      </c>
      <c r="F1639" t="n">
        <v>705.5293005671077</v>
      </c>
      <c r="G1639">
        <f>2*SQRT(F1639/PI())</f>
        <v/>
      </c>
      <c r="H1639" t="n">
        <v>99.37012895293857</v>
      </c>
      <c r="I1639" t="n">
        <v>559</v>
      </c>
      <c r="J1639" t="n">
        <v>478</v>
      </c>
      <c r="K1639" t="n">
        <v>691.4187145557655</v>
      </c>
      <c r="L1639" t="n">
        <v>719.6398865784499</v>
      </c>
      <c r="M1639">
        <f>2*SQRT(K1639/PI())</f>
        <v/>
      </c>
      <c r="N1639">
        <f>2*SQRT(L1639/PI())</f>
        <v/>
      </c>
      <c r="O1639" t="inlineStr">
        <is>
          <t>37(7)-P01</t>
        </is>
      </c>
      <c r="P1639" t="inlineStr">
        <is>
          <t>是</t>
        </is>
      </c>
      <c r="Q1639" t="inlineStr">
        <is>
          <t>auto_pipeline;review_png_green</t>
        </is>
      </c>
      <c r="R1639" t="inlineStr">
        <is>
          <t>样品37</t>
        </is>
      </c>
    </row>
    <row r="1640">
      <c r="A1640" t="n">
        <v>1639</v>
      </c>
      <c r="B1640" t="inlineStr">
        <is>
          <t>37 (7).tif</t>
        </is>
      </c>
      <c r="C1640" t="inlineStr">
        <is>
          <t>37(7)-V03</t>
        </is>
      </c>
      <c r="D1640" t="n">
        <v>3</v>
      </c>
      <c r="E1640" t="inlineStr">
        <is>
          <t>primary</t>
        </is>
      </c>
      <c r="F1640" t="n">
        <v>143.8327032136106</v>
      </c>
      <c r="G1640">
        <f>2*SQRT(F1640/PI())</f>
        <v/>
      </c>
      <c r="H1640" t="n">
        <v>49.53587062980817</v>
      </c>
      <c r="I1640" t="n">
        <v>432</v>
      </c>
      <c r="J1640" t="n">
        <v>475</v>
      </c>
      <c r="K1640" t="n">
        <v>140.9560491493384</v>
      </c>
      <c r="L1640" t="n">
        <v>146.7093572778828</v>
      </c>
      <c r="M1640">
        <f>2*SQRT(K1640/PI())</f>
        <v/>
      </c>
      <c r="N1640">
        <f>2*SQRT(L1640/PI())</f>
        <v/>
      </c>
      <c r="P1640" t="inlineStr">
        <is>
          <t>是</t>
        </is>
      </c>
      <c r="Q1640" t="inlineStr">
        <is>
          <t>auto_pipeline;review_png_green</t>
        </is>
      </c>
      <c r="R1640" t="inlineStr">
        <is>
          <t>样品37</t>
        </is>
      </c>
    </row>
    <row r="1641">
      <c r="A1641" t="n">
        <v>1640</v>
      </c>
      <c r="B1641" t="inlineStr">
        <is>
          <t>37 (7).tif</t>
        </is>
      </c>
      <c r="C1641" t="inlineStr">
        <is>
          <t>37(7)-V04</t>
        </is>
      </c>
      <c r="D1641" t="n">
        <v>4</v>
      </c>
      <c r="E1641" t="inlineStr">
        <is>
          <t>primary</t>
        </is>
      </c>
      <c r="F1641" t="n">
        <v>133.4593572778828</v>
      </c>
      <c r="G1641">
        <f>2*SQRT(F1641/PI())</f>
        <v/>
      </c>
      <c r="H1641" t="n">
        <v>45.71927303853242</v>
      </c>
      <c r="I1641" t="n">
        <v>597</v>
      </c>
      <c r="J1641" t="n">
        <v>378</v>
      </c>
      <c r="K1641" t="n">
        <v>130.7901701323251</v>
      </c>
      <c r="L1641" t="n">
        <v>136.1285444234404</v>
      </c>
      <c r="M1641">
        <f>2*SQRT(K1641/PI())</f>
        <v/>
      </c>
      <c r="N1641">
        <f>2*SQRT(L1641/PI())</f>
        <v/>
      </c>
      <c r="P1641" t="inlineStr">
        <is>
          <t>是</t>
        </is>
      </c>
      <c r="Q1641" t="inlineStr">
        <is>
          <t>auto_pipeline;review_png_green</t>
        </is>
      </c>
      <c r="R1641" t="inlineStr">
        <is>
          <t>样品37</t>
        </is>
      </c>
    </row>
    <row r="1642">
      <c r="A1642" t="n">
        <v>1641</v>
      </c>
      <c r="B1642" t="inlineStr">
        <is>
          <t>37 (8).tif</t>
        </is>
      </c>
      <c r="C1642" t="inlineStr">
        <is>
          <t>37(8)-V01</t>
        </is>
      </c>
      <c r="D1642" t="n">
        <v>1</v>
      </c>
      <c r="E1642" t="inlineStr">
        <is>
          <t>primary</t>
        </is>
      </c>
      <c r="F1642" t="n">
        <v>1161.862003780718</v>
      </c>
      <c r="G1642">
        <f>2*SQRT(F1642/PI())</f>
        <v/>
      </c>
      <c r="H1642" t="n">
        <v>128.2948730302894</v>
      </c>
      <c r="I1642" t="n">
        <v>443</v>
      </c>
      <c r="J1642" t="n">
        <v>420</v>
      </c>
      <c r="K1642" t="n">
        <v>1138.624763705104</v>
      </c>
      <c r="L1642" t="n">
        <v>1185.099243856333</v>
      </c>
      <c r="M1642">
        <f>2*SQRT(K1642/PI())</f>
        <v/>
      </c>
      <c r="N1642">
        <f>2*SQRT(L1642/PI())</f>
        <v/>
      </c>
      <c r="O1642" t="inlineStr">
        <is>
          <t>37(8)-P01</t>
        </is>
      </c>
      <c r="P1642" t="inlineStr">
        <is>
          <t>是</t>
        </is>
      </c>
      <c r="Q1642" t="inlineStr">
        <is>
          <t>auto_pipeline;review_png_green</t>
        </is>
      </c>
      <c r="R1642" t="inlineStr">
        <is>
          <t>样品37</t>
        </is>
      </c>
    </row>
    <row r="1643">
      <c r="A1643" t="n">
        <v>1642</v>
      </c>
      <c r="B1643" t="inlineStr">
        <is>
          <t>37 (8).tif</t>
        </is>
      </c>
      <c r="C1643" t="inlineStr">
        <is>
          <t>37(8)-V02</t>
        </is>
      </c>
      <c r="D1643" t="n">
        <v>2</v>
      </c>
      <c r="E1643" t="inlineStr">
        <is>
          <t>primary</t>
        </is>
      </c>
      <c r="F1643" t="n">
        <v>1085.113421550094</v>
      </c>
      <c r="G1643">
        <f>2*SQRT(F1643/PI())</f>
        <v/>
      </c>
      <c r="H1643" t="n">
        <v>124.2017367093459</v>
      </c>
      <c r="I1643" t="n">
        <v>427</v>
      </c>
      <c r="J1643" t="n">
        <v>235</v>
      </c>
      <c r="K1643" t="n">
        <v>1063.411153119093</v>
      </c>
      <c r="L1643" t="n">
        <v>1106.815689981096</v>
      </c>
      <c r="M1643">
        <f>2*SQRT(K1643/PI())</f>
        <v/>
      </c>
      <c r="N1643">
        <f>2*SQRT(L1643/PI())</f>
        <v/>
      </c>
      <c r="O1643" t="inlineStr">
        <is>
          <t>37(8)-P01</t>
        </is>
      </c>
      <c r="P1643" t="inlineStr">
        <is>
          <t>是</t>
        </is>
      </c>
      <c r="Q1643" t="inlineStr">
        <is>
          <t>auto_pipeline;review_png_green</t>
        </is>
      </c>
      <c r="R1643" t="inlineStr">
        <is>
          <t>样品37</t>
        </is>
      </c>
    </row>
    <row r="1644">
      <c r="A1644" t="n">
        <v>1643</v>
      </c>
      <c r="B1644" t="inlineStr">
        <is>
          <t>38 (1).tif</t>
        </is>
      </c>
      <c r="C1644" t="inlineStr">
        <is>
          <t>38(1)-V01</t>
        </is>
      </c>
      <c r="D1644" t="n">
        <v>1</v>
      </c>
      <c r="E1644" t="inlineStr">
        <is>
          <t>primary</t>
        </is>
      </c>
      <c r="F1644" t="n">
        <v>1292.88752362949</v>
      </c>
      <c r="G1644">
        <f>2*SQRT(F1644/PI())</f>
        <v/>
      </c>
      <c r="H1644" t="n">
        <v>135.3350417251172</v>
      </c>
      <c r="I1644" t="n">
        <v>851</v>
      </c>
      <c r="J1644" t="n">
        <v>99</v>
      </c>
      <c r="K1644" t="n">
        <v>1267.0297731569</v>
      </c>
      <c r="L1644" t="n">
        <v>1318.745274102079</v>
      </c>
      <c r="M1644">
        <f>2*SQRT(K1644/PI())</f>
        <v/>
      </c>
      <c r="N1644">
        <f>2*SQRT(L1644/PI())</f>
        <v/>
      </c>
      <c r="P1644" t="inlineStr">
        <is>
          <t>是</t>
        </is>
      </c>
      <c r="Q1644" t="inlineStr">
        <is>
          <t>auto_pipeline;review_png_green</t>
        </is>
      </c>
      <c r="R1644" t="inlineStr">
        <is>
          <t>样品38</t>
        </is>
      </c>
    </row>
    <row r="1645">
      <c r="A1645" t="n">
        <v>1644</v>
      </c>
      <c r="B1645" t="inlineStr">
        <is>
          <t>38 (1).tif</t>
        </is>
      </c>
      <c r="C1645" t="inlineStr">
        <is>
          <t>38(1)-V02</t>
        </is>
      </c>
      <c r="D1645" t="n">
        <v>2</v>
      </c>
      <c r="E1645" t="inlineStr">
        <is>
          <t>primary</t>
        </is>
      </c>
      <c r="F1645" t="n">
        <v>935.0897920604915</v>
      </c>
      <c r="G1645">
        <f>2*SQRT(F1645/PI())</f>
        <v/>
      </c>
      <c r="H1645" t="n">
        <v>115.8263211924097</v>
      </c>
      <c r="I1645" t="n">
        <v>449</v>
      </c>
      <c r="J1645" t="n">
        <v>441</v>
      </c>
      <c r="K1645" t="n">
        <v>916.3879962192816</v>
      </c>
      <c r="L1645" t="n">
        <v>953.7915879017014</v>
      </c>
      <c r="M1645">
        <f>2*SQRT(K1645/PI())</f>
        <v/>
      </c>
      <c r="N1645">
        <f>2*SQRT(L1645/PI())</f>
        <v/>
      </c>
      <c r="O1645" t="inlineStr">
        <is>
          <t>38(1)-P01</t>
        </is>
      </c>
      <c r="P1645" t="inlineStr">
        <is>
          <t>是</t>
        </is>
      </c>
      <c r="Q1645" t="inlineStr">
        <is>
          <t>auto_pipeline;review_png_green</t>
        </is>
      </c>
      <c r="R1645" t="inlineStr">
        <is>
          <t>样品38</t>
        </is>
      </c>
    </row>
    <row r="1646">
      <c r="A1646" t="n">
        <v>1645</v>
      </c>
      <c r="B1646" t="inlineStr">
        <is>
          <t>38 (1).tif</t>
        </is>
      </c>
      <c r="C1646" t="inlineStr">
        <is>
          <t>38(1)-V03</t>
        </is>
      </c>
      <c r="D1646" t="n">
        <v>3</v>
      </c>
      <c r="E1646" t="inlineStr">
        <is>
          <t>primary</t>
        </is>
      </c>
      <c r="F1646" t="n">
        <v>877.6701323251418</v>
      </c>
      <c r="G1646">
        <f>2*SQRT(F1646/PI())</f>
        <v/>
      </c>
      <c r="H1646" t="n">
        <v>113.3231214595878</v>
      </c>
      <c r="I1646" t="n">
        <v>171</v>
      </c>
      <c r="J1646" t="n">
        <v>132</v>
      </c>
      <c r="K1646" t="n">
        <v>860.116729678639</v>
      </c>
      <c r="L1646" t="n">
        <v>895.2235349716447</v>
      </c>
      <c r="M1646">
        <f>2*SQRT(K1646/PI())</f>
        <v/>
      </c>
      <c r="N1646">
        <f>2*SQRT(L1646/PI())</f>
        <v/>
      </c>
      <c r="P1646" t="inlineStr">
        <is>
          <t>是</t>
        </is>
      </c>
      <c r="Q1646" t="inlineStr">
        <is>
          <t>auto_pipeline;review_png_green</t>
        </is>
      </c>
      <c r="R1646" t="inlineStr">
        <is>
          <t>样品38</t>
        </is>
      </c>
    </row>
    <row r="1647">
      <c r="A1647" t="n">
        <v>1646</v>
      </c>
      <c r="B1647" t="inlineStr">
        <is>
          <t>38 (1).tif</t>
        </is>
      </c>
      <c r="C1647" t="inlineStr">
        <is>
          <t>38(1)-V04</t>
        </is>
      </c>
      <c r="D1647" t="n">
        <v>4</v>
      </c>
      <c r="E1647" t="inlineStr">
        <is>
          <t>primary</t>
        </is>
      </c>
      <c r="F1647" t="n">
        <v>729.3478260869565</v>
      </c>
      <c r="G1647">
        <f>2*SQRT(F1647/PI())</f>
        <v/>
      </c>
      <c r="H1647" t="n">
        <v>101.9788246051125</v>
      </c>
      <c r="I1647" t="n">
        <v>578</v>
      </c>
      <c r="J1647" t="n">
        <v>361</v>
      </c>
      <c r="K1647" t="n">
        <v>714.7608695652174</v>
      </c>
      <c r="L1647" t="n">
        <v>743.9347826086956</v>
      </c>
      <c r="M1647">
        <f>2*SQRT(K1647/PI())</f>
        <v/>
      </c>
      <c r="N1647">
        <f>2*SQRT(L1647/PI())</f>
        <v/>
      </c>
      <c r="O1647" t="inlineStr">
        <is>
          <t>38(1)-P01</t>
        </is>
      </c>
      <c r="P1647" t="inlineStr">
        <is>
          <t>是</t>
        </is>
      </c>
      <c r="Q1647" t="inlineStr">
        <is>
          <t>auto_pipeline;review_png_green</t>
        </is>
      </c>
      <c r="R1647" t="inlineStr">
        <is>
          <t>样品38</t>
        </is>
      </c>
    </row>
    <row r="1648">
      <c r="A1648" t="n">
        <v>1647</v>
      </c>
      <c r="B1648" t="inlineStr">
        <is>
          <t>38 (1).tif</t>
        </is>
      </c>
      <c r="C1648" t="inlineStr">
        <is>
          <t>38(1)-V05</t>
        </is>
      </c>
      <c r="D1648" t="n">
        <v>5</v>
      </c>
      <c r="E1648" t="inlineStr">
        <is>
          <t>primary</t>
        </is>
      </c>
      <c r="F1648" t="n">
        <v>252.0321361058601</v>
      </c>
      <c r="G1648">
        <f>2*SQRT(F1648/PI())</f>
        <v/>
      </c>
      <c r="H1648" t="n">
        <v>62.45200400767119</v>
      </c>
      <c r="I1648" t="n">
        <v>308</v>
      </c>
      <c r="J1648" t="n">
        <v>500</v>
      </c>
      <c r="K1648" t="n">
        <v>246.9914933837429</v>
      </c>
      <c r="L1648" t="n">
        <v>257.0727788279773</v>
      </c>
      <c r="M1648">
        <f>2*SQRT(K1648/PI())</f>
        <v/>
      </c>
      <c r="N1648">
        <f>2*SQRT(L1648/PI())</f>
        <v/>
      </c>
      <c r="P1648" t="inlineStr">
        <is>
          <t>是</t>
        </is>
      </c>
      <c r="Q1648" t="inlineStr">
        <is>
          <t>auto_pipeline;review_png_green</t>
        </is>
      </c>
      <c r="R1648" t="inlineStr">
        <is>
          <t>样品38</t>
        </is>
      </c>
    </row>
    <row r="1649">
      <c r="A1649" t="n">
        <v>1648</v>
      </c>
      <c r="B1649" t="inlineStr">
        <is>
          <t>38 (1).tif</t>
        </is>
      </c>
      <c r="C1649" t="inlineStr">
        <is>
          <t>38(1)-V06</t>
        </is>
      </c>
      <c r="D1649" t="n">
        <v>6</v>
      </c>
      <c r="E1649" t="inlineStr">
        <is>
          <t>primary</t>
        </is>
      </c>
      <c r="F1649" t="n">
        <v>169.6833648393195</v>
      </c>
      <c r="G1649">
        <f>2*SQRT(F1649/PI())</f>
        <v/>
      </c>
      <c r="H1649" t="n">
        <v>51.52969083060389</v>
      </c>
      <c r="I1649" t="n">
        <v>894</v>
      </c>
      <c r="J1649" t="n">
        <v>418</v>
      </c>
      <c r="K1649" t="n">
        <v>166.2896975425331</v>
      </c>
      <c r="L1649" t="n">
        <v>173.0770321361059</v>
      </c>
      <c r="M1649">
        <f>2*SQRT(K1649/PI())</f>
        <v/>
      </c>
      <c r="N1649">
        <f>2*SQRT(L1649/PI())</f>
        <v/>
      </c>
      <c r="P1649" t="inlineStr">
        <is>
          <t>是</t>
        </is>
      </c>
      <c r="Q1649" t="inlineStr">
        <is>
          <t>auto_pipeline;review_png_green</t>
        </is>
      </c>
      <c r="R1649" t="inlineStr">
        <is>
          <t>样品38</t>
        </is>
      </c>
    </row>
    <row r="1650">
      <c r="A1650" t="n">
        <v>1649</v>
      </c>
      <c r="B1650" t="inlineStr">
        <is>
          <t>38 (1).tif</t>
        </is>
      </c>
      <c r="C1650" t="inlineStr">
        <is>
          <t>38(1)-V07</t>
        </is>
      </c>
      <c r="D1650" t="n">
        <v>7</v>
      </c>
      <c r="E1650" t="inlineStr">
        <is>
          <t>primary</t>
        </is>
      </c>
      <c r="F1650" t="n">
        <v>143.3837429111531</v>
      </c>
      <c r="G1650">
        <f>2*SQRT(F1650/PI())</f>
        <v/>
      </c>
      <c r="H1650" t="n">
        <v>52.58839892304461</v>
      </c>
      <c r="I1650" t="n">
        <v>354</v>
      </c>
      <c r="J1650" t="n">
        <v>364</v>
      </c>
      <c r="K1650" t="n">
        <v>140.5160680529301</v>
      </c>
      <c r="L1650" t="n">
        <v>146.2514177693762</v>
      </c>
      <c r="M1650">
        <f>2*SQRT(K1650/PI())</f>
        <v/>
      </c>
      <c r="N1650">
        <f>2*SQRT(L1650/PI())</f>
        <v/>
      </c>
      <c r="P1650" t="inlineStr">
        <is>
          <t>是</t>
        </is>
      </c>
      <c r="Q1650" t="inlineStr">
        <is>
          <t>auto_pipeline;review_png_green</t>
        </is>
      </c>
      <c r="R1650" t="inlineStr">
        <is>
          <t>样品38</t>
        </is>
      </c>
    </row>
    <row r="1651">
      <c r="A1651" t="n">
        <v>1650</v>
      </c>
      <c r="B1651" t="inlineStr">
        <is>
          <t>38 (1).tif</t>
        </is>
      </c>
      <c r="C1651" t="inlineStr">
        <is>
          <t>38(1)-V08</t>
        </is>
      </c>
      <c r="D1651" t="n">
        <v>8</v>
      </c>
      <c r="E1651" t="inlineStr">
        <is>
          <t>primary</t>
        </is>
      </c>
      <c r="F1651" t="n">
        <v>133.9319470699433</v>
      </c>
      <c r="G1651">
        <f>2*SQRT(F1651/PI())</f>
        <v/>
      </c>
      <c r="H1651" t="n">
        <v>48.53896052941032</v>
      </c>
      <c r="I1651" t="n">
        <v>157</v>
      </c>
      <c r="J1651" t="n">
        <v>293</v>
      </c>
      <c r="K1651" t="n">
        <v>131.2533081285444</v>
      </c>
      <c r="L1651" t="n">
        <v>136.6105860113421</v>
      </c>
      <c r="M1651">
        <f>2*SQRT(K1651/PI())</f>
        <v/>
      </c>
      <c r="N1651">
        <f>2*SQRT(L1651/PI())</f>
        <v/>
      </c>
      <c r="P1651" t="inlineStr">
        <is>
          <t>是</t>
        </is>
      </c>
      <c r="Q1651" t="inlineStr">
        <is>
          <t>auto_pipeline;review_png_green</t>
        </is>
      </c>
      <c r="R1651" t="inlineStr">
        <is>
          <t>样品38</t>
        </is>
      </c>
    </row>
    <row r="1652">
      <c r="A1652" t="n">
        <v>1651</v>
      </c>
      <c r="B1652" t="inlineStr">
        <is>
          <t>38 (2).tif</t>
        </is>
      </c>
      <c r="C1652" t="inlineStr">
        <is>
          <t>38(2)-V01</t>
        </is>
      </c>
      <c r="D1652" t="n">
        <v>1</v>
      </c>
      <c r="E1652" t="inlineStr">
        <is>
          <t>primary</t>
        </is>
      </c>
      <c r="F1652" t="n">
        <v>1379.347826086957</v>
      </c>
      <c r="G1652">
        <f>2*SQRT(F1652/PI())</f>
        <v/>
      </c>
      <c r="H1652" t="n">
        <v>139.4063290824061</v>
      </c>
      <c r="I1652" t="n">
        <v>507</v>
      </c>
      <c r="J1652" t="n">
        <v>110</v>
      </c>
      <c r="K1652" t="n">
        <v>1351.760869565217</v>
      </c>
      <c r="L1652" t="n">
        <v>1406.934782608696</v>
      </c>
      <c r="M1652">
        <f>2*SQRT(K1652/PI())</f>
        <v/>
      </c>
      <c r="N1652">
        <f>2*SQRT(L1652/PI())</f>
        <v/>
      </c>
      <c r="P1652" t="inlineStr">
        <is>
          <t>是</t>
        </is>
      </c>
      <c r="Q1652" t="inlineStr">
        <is>
          <t>auto_pipeline;review_png_green</t>
        </is>
      </c>
      <c r="R1652" t="inlineStr">
        <is>
          <t>样品38</t>
        </is>
      </c>
    </row>
    <row r="1653">
      <c r="A1653" t="n">
        <v>1652</v>
      </c>
      <c r="B1653" t="inlineStr">
        <is>
          <t>38 (2).tif</t>
        </is>
      </c>
      <c r="C1653" t="inlineStr">
        <is>
          <t>38(2)-V02</t>
        </is>
      </c>
      <c r="D1653" t="n">
        <v>2</v>
      </c>
      <c r="E1653" t="inlineStr">
        <is>
          <t>primary</t>
        </is>
      </c>
      <c r="F1653" t="n">
        <v>985.9877126654064</v>
      </c>
      <c r="G1653">
        <f>2*SQRT(F1653/PI())</f>
        <v/>
      </c>
      <c r="H1653" t="n">
        <v>117.9256373125574</v>
      </c>
      <c r="I1653" t="n">
        <v>532</v>
      </c>
      <c r="J1653" t="n">
        <v>488</v>
      </c>
      <c r="K1653" t="n">
        <v>966.2679584120983</v>
      </c>
      <c r="L1653" t="n">
        <v>1005.707466918715</v>
      </c>
      <c r="M1653">
        <f>2*SQRT(K1653/PI())</f>
        <v/>
      </c>
      <c r="N1653">
        <f>2*SQRT(L1653/PI())</f>
        <v/>
      </c>
      <c r="P1653" t="inlineStr">
        <is>
          <t>是</t>
        </is>
      </c>
      <c r="Q1653" t="inlineStr">
        <is>
          <t>auto_pipeline;review_png_green</t>
        </is>
      </c>
      <c r="R1653" t="inlineStr">
        <is>
          <t>样品38</t>
        </is>
      </c>
    </row>
    <row r="1654">
      <c r="A1654" t="n">
        <v>1653</v>
      </c>
      <c r="B1654" t="inlineStr">
        <is>
          <t>38 (2).tif</t>
        </is>
      </c>
      <c r="C1654" t="inlineStr">
        <is>
          <t>38(2)-V03</t>
        </is>
      </c>
      <c r="D1654" t="n">
        <v>3</v>
      </c>
      <c r="E1654" t="inlineStr">
        <is>
          <t>primary</t>
        </is>
      </c>
      <c r="F1654" t="n">
        <v>134.4045368620038</v>
      </c>
      <c r="G1654">
        <f>2*SQRT(F1654/PI())</f>
        <v/>
      </c>
      <c r="H1654" t="n">
        <v>47.60759731997614</v>
      </c>
      <c r="I1654" t="n">
        <v>638</v>
      </c>
      <c r="J1654" t="n">
        <v>286</v>
      </c>
      <c r="K1654" t="n">
        <v>131.7164461247637</v>
      </c>
      <c r="L1654" t="n">
        <v>137.0926275992439</v>
      </c>
      <c r="M1654">
        <f>2*SQRT(K1654/PI())</f>
        <v/>
      </c>
      <c r="N1654">
        <f>2*SQRT(L1654/PI())</f>
        <v/>
      </c>
      <c r="P1654" t="inlineStr">
        <is>
          <t>是</t>
        </is>
      </c>
      <c r="Q1654" t="inlineStr">
        <is>
          <t>auto_pipeline;review_png_green</t>
        </is>
      </c>
      <c r="R1654" t="inlineStr">
        <is>
          <t>样品38</t>
        </is>
      </c>
    </row>
    <row r="1655">
      <c r="A1655" t="n">
        <v>1654</v>
      </c>
      <c r="B1655" t="inlineStr">
        <is>
          <t>38 (3).tif</t>
        </is>
      </c>
      <c r="C1655" t="inlineStr">
        <is>
          <t>38(3)-V01</t>
        </is>
      </c>
      <c r="D1655" t="n">
        <v>1</v>
      </c>
      <c r="E1655" t="inlineStr">
        <is>
          <t>primary</t>
        </is>
      </c>
      <c r="F1655" t="n">
        <v>1165.524574669187</v>
      </c>
      <c r="G1655">
        <f>2*SQRT(F1655/PI())</f>
        <v/>
      </c>
      <c r="H1655" t="n">
        <v>128.4222179132959</v>
      </c>
      <c r="I1655" t="n">
        <v>499</v>
      </c>
      <c r="J1655" t="n">
        <v>263</v>
      </c>
      <c r="K1655" t="n">
        <v>1142.214083175803</v>
      </c>
      <c r="L1655" t="n">
        <v>1188.835066162571</v>
      </c>
      <c r="M1655">
        <f>2*SQRT(K1655/PI())</f>
        <v/>
      </c>
      <c r="N1655">
        <f>2*SQRT(L1655/PI())</f>
        <v/>
      </c>
      <c r="O1655" t="inlineStr">
        <is>
          <t>38(3)-P01</t>
        </is>
      </c>
      <c r="P1655" t="inlineStr">
        <is>
          <t>是</t>
        </is>
      </c>
      <c r="Q1655" t="inlineStr">
        <is>
          <t>auto_pipeline;review_png_green</t>
        </is>
      </c>
      <c r="R1655" t="inlineStr">
        <is>
          <t>样品38</t>
        </is>
      </c>
    </row>
    <row r="1656">
      <c r="A1656" t="n">
        <v>1655</v>
      </c>
      <c r="B1656" t="inlineStr">
        <is>
          <t>38 (3).tif</t>
        </is>
      </c>
      <c r="C1656" t="inlineStr">
        <is>
          <t>38(3)-V02</t>
        </is>
      </c>
      <c r="D1656" t="n">
        <v>2</v>
      </c>
      <c r="E1656" t="inlineStr">
        <is>
          <t>primary</t>
        </is>
      </c>
      <c r="F1656" t="n">
        <v>980.6238185255198</v>
      </c>
      <c r="G1656">
        <f>2*SQRT(F1656/PI())</f>
        <v/>
      </c>
      <c r="H1656" t="n">
        <v>117.5436026635377</v>
      </c>
      <c r="I1656" t="n">
        <v>435</v>
      </c>
      <c r="J1656" t="n">
        <v>435</v>
      </c>
      <c r="K1656" t="n">
        <v>961.0113421550094</v>
      </c>
      <c r="L1656" t="n">
        <v>1000.23629489603</v>
      </c>
      <c r="M1656">
        <f>2*SQRT(K1656/PI())</f>
        <v/>
      </c>
      <c r="N1656">
        <f>2*SQRT(L1656/PI())</f>
        <v/>
      </c>
      <c r="O1656" t="inlineStr">
        <is>
          <t>38(3)-P01</t>
        </is>
      </c>
      <c r="P1656" t="inlineStr">
        <is>
          <t>是</t>
        </is>
      </c>
      <c r="Q1656" t="inlineStr">
        <is>
          <t>auto_pipeline;review_png_green</t>
        </is>
      </c>
      <c r="R1656" t="inlineStr">
        <is>
          <t>样品38</t>
        </is>
      </c>
    </row>
    <row r="1657">
      <c r="A1657" t="n">
        <v>1656</v>
      </c>
      <c r="B1657" t="inlineStr">
        <is>
          <t>38 (3).tif</t>
        </is>
      </c>
      <c r="C1657" t="inlineStr">
        <is>
          <t>38(3)-V03</t>
        </is>
      </c>
      <c r="D1657" t="n">
        <v>3</v>
      </c>
      <c r="E1657" t="inlineStr">
        <is>
          <t>primary</t>
        </is>
      </c>
      <c r="F1657" t="n">
        <v>636.7202268431001</v>
      </c>
      <c r="G1657">
        <f>2*SQRT(F1657/PI())</f>
        <v/>
      </c>
      <c r="H1657" t="n">
        <v>94.55662126126497</v>
      </c>
      <c r="I1657" t="n">
        <v>235</v>
      </c>
      <c r="J1657" t="n">
        <v>594</v>
      </c>
      <c r="K1657" t="n">
        <v>623.9858223062381</v>
      </c>
      <c r="L1657" t="n">
        <v>649.4546313799622</v>
      </c>
      <c r="M1657">
        <f>2*SQRT(K1657/PI())</f>
        <v/>
      </c>
      <c r="N1657">
        <f>2*SQRT(L1657/PI())</f>
        <v/>
      </c>
      <c r="P1657" t="inlineStr">
        <is>
          <t>是</t>
        </is>
      </c>
      <c r="Q1657" t="inlineStr">
        <is>
          <t>auto_pipeline;review_png_green</t>
        </is>
      </c>
      <c r="R1657" t="inlineStr">
        <is>
          <t>样品38</t>
        </is>
      </c>
    </row>
    <row r="1658">
      <c r="A1658" t="n">
        <v>1657</v>
      </c>
      <c r="B1658" t="inlineStr">
        <is>
          <t>38 (3).tif</t>
        </is>
      </c>
      <c r="C1658" t="inlineStr">
        <is>
          <t>38(3)-V04</t>
        </is>
      </c>
      <c r="D1658" t="n">
        <v>4</v>
      </c>
      <c r="E1658" t="inlineStr">
        <is>
          <t>primary</t>
        </is>
      </c>
      <c r="F1658" t="n">
        <v>166.2334593572779</v>
      </c>
      <c r="G1658">
        <f>2*SQRT(F1658/PI())</f>
        <v/>
      </c>
      <c r="H1658" t="n">
        <v>58.38071665038233</v>
      </c>
      <c r="I1658" t="n">
        <v>89</v>
      </c>
      <c r="J1658" t="n">
        <v>595</v>
      </c>
      <c r="K1658" t="n">
        <v>162.9087901701323</v>
      </c>
      <c r="L1658" t="n">
        <v>169.5581285444235</v>
      </c>
      <c r="M1658">
        <f>2*SQRT(K1658/PI())</f>
        <v/>
      </c>
      <c r="N1658">
        <f>2*SQRT(L1658/PI())</f>
        <v/>
      </c>
      <c r="P1658" t="inlineStr">
        <is>
          <t>是</t>
        </is>
      </c>
      <c r="Q1658" t="inlineStr">
        <is>
          <t>auto_pipeline;review_png_green</t>
        </is>
      </c>
      <c r="R1658" t="inlineStr">
        <is>
          <t>样品38</t>
        </is>
      </c>
    </row>
    <row r="1659">
      <c r="A1659" t="n">
        <v>1658</v>
      </c>
      <c r="B1659" t="inlineStr">
        <is>
          <t>38 (3).tif</t>
        </is>
      </c>
      <c r="C1659" t="inlineStr">
        <is>
          <t>38(3)-V05</t>
        </is>
      </c>
      <c r="D1659" t="n">
        <v>5</v>
      </c>
      <c r="E1659" t="inlineStr">
        <is>
          <t>primary</t>
        </is>
      </c>
      <c r="F1659" t="n">
        <v>149.4565217391304</v>
      </c>
      <c r="G1659">
        <f>2*SQRT(F1659/PI())</f>
        <v/>
      </c>
      <c r="H1659" t="n">
        <v>48.81549925907798</v>
      </c>
      <c r="I1659" t="n">
        <v>342</v>
      </c>
      <c r="J1659" t="n">
        <v>343</v>
      </c>
      <c r="K1659" t="n">
        <v>146.4673913043478</v>
      </c>
      <c r="L1659" t="n">
        <v>152.4456521739131</v>
      </c>
      <c r="M1659">
        <f>2*SQRT(K1659/PI())</f>
        <v/>
      </c>
      <c r="N1659">
        <f>2*SQRT(L1659/PI())</f>
        <v/>
      </c>
      <c r="P1659" t="inlineStr">
        <is>
          <t>是</t>
        </is>
      </c>
      <c r="Q1659" t="inlineStr">
        <is>
          <t>auto_pipeline;review_png_green</t>
        </is>
      </c>
      <c r="R1659" t="inlineStr">
        <is>
          <t>样品38</t>
        </is>
      </c>
    </row>
    <row r="1660">
      <c r="A1660" t="n">
        <v>1659</v>
      </c>
      <c r="B1660" t="inlineStr">
        <is>
          <t>38 (3).tif</t>
        </is>
      </c>
      <c r="C1660" t="inlineStr">
        <is>
          <t>38(3)-V06</t>
        </is>
      </c>
      <c r="D1660" t="n">
        <v>6</v>
      </c>
      <c r="E1660" t="inlineStr">
        <is>
          <t>primary</t>
        </is>
      </c>
      <c r="F1660" t="n">
        <v>127.4102079395085</v>
      </c>
      <c r="G1660">
        <f>2*SQRT(F1660/PI())</f>
        <v/>
      </c>
      <c r="H1660" t="n">
        <v>42.64489578164142</v>
      </c>
      <c r="I1660" t="n">
        <v>472</v>
      </c>
      <c r="J1660" t="n">
        <v>49</v>
      </c>
      <c r="K1660" t="n">
        <v>124.8620037807183</v>
      </c>
      <c r="L1660" t="n">
        <v>129.9584120982987</v>
      </c>
      <c r="M1660">
        <f>2*SQRT(K1660/PI())</f>
        <v/>
      </c>
      <c r="N1660">
        <f>2*SQRT(L1660/PI())</f>
        <v/>
      </c>
      <c r="P1660" t="inlineStr">
        <is>
          <t>是</t>
        </is>
      </c>
      <c r="Q1660" t="inlineStr">
        <is>
          <t>auto_pipeline;review_png_green</t>
        </is>
      </c>
      <c r="R1660" t="inlineStr">
        <is>
          <t>样品38</t>
        </is>
      </c>
    </row>
    <row r="1661">
      <c r="A1661" t="n">
        <v>1660</v>
      </c>
      <c r="B1661" t="inlineStr">
        <is>
          <t>38 (3).tif</t>
        </is>
      </c>
      <c r="C1661" t="inlineStr">
        <is>
          <t>38(3)-V07</t>
        </is>
      </c>
      <c r="D1661" t="n">
        <v>7</v>
      </c>
      <c r="E1661" t="inlineStr">
        <is>
          <t>primary</t>
        </is>
      </c>
      <c r="F1661" t="n">
        <v>112.0746691871456</v>
      </c>
      <c r="G1661">
        <f>2*SQRT(F1661/PI())</f>
        <v/>
      </c>
      <c r="H1661" t="n">
        <v>41.64798568124356</v>
      </c>
      <c r="I1661" t="n">
        <v>987</v>
      </c>
      <c r="J1661" t="n">
        <v>356</v>
      </c>
      <c r="K1661" t="n">
        <v>109.8331758034026</v>
      </c>
      <c r="L1661" t="n">
        <v>114.3161625708885</v>
      </c>
      <c r="M1661">
        <f>2*SQRT(K1661/PI())</f>
        <v/>
      </c>
      <c r="N1661">
        <f>2*SQRT(L1661/PI())</f>
        <v/>
      </c>
      <c r="P1661" t="inlineStr">
        <is>
          <t>是</t>
        </is>
      </c>
      <c r="Q1661" t="inlineStr">
        <is>
          <t>auto_pipeline;review_png_green</t>
        </is>
      </c>
      <c r="R1661" t="inlineStr">
        <is>
          <t>样品38</t>
        </is>
      </c>
    </row>
    <row r="1662">
      <c r="A1662" t="n">
        <v>1661</v>
      </c>
      <c r="B1662" t="inlineStr">
        <is>
          <t>38 (4).tif</t>
        </is>
      </c>
      <c r="C1662" t="inlineStr">
        <is>
          <t>38(4)-V01</t>
        </is>
      </c>
      <c r="D1662" t="n">
        <v>1</v>
      </c>
      <c r="E1662" t="inlineStr">
        <is>
          <t>primary</t>
        </is>
      </c>
      <c r="F1662" t="n">
        <v>1669.943289224953</v>
      </c>
      <c r="G1662">
        <f>2*SQRT(F1662/PI())</f>
        <v/>
      </c>
      <c r="H1662" t="n">
        <v>153.996046004088</v>
      </c>
      <c r="I1662" t="n">
        <v>654</v>
      </c>
      <c r="J1662" t="n">
        <v>329</v>
      </c>
      <c r="K1662" t="n">
        <v>1636.544423440454</v>
      </c>
      <c r="L1662" t="n">
        <v>1703.342155009452</v>
      </c>
      <c r="M1662">
        <f>2*SQRT(K1662/PI())</f>
        <v/>
      </c>
      <c r="N1662">
        <f>2*SQRT(L1662/PI())</f>
        <v/>
      </c>
      <c r="P1662" t="inlineStr">
        <is>
          <t>是</t>
        </is>
      </c>
      <c r="Q1662" t="inlineStr">
        <is>
          <t>auto_pipeline;review_png_green</t>
        </is>
      </c>
      <c r="R1662" t="inlineStr">
        <is>
          <t>样品38</t>
        </is>
      </c>
    </row>
    <row r="1663">
      <c r="A1663" t="n">
        <v>1662</v>
      </c>
      <c r="B1663" t="inlineStr">
        <is>
          <t>38 (4).tif</t>
        </is>
      </c>
      <c r="C1663" t="inlineStr">
        <is>
          <t>38(4)-V02</t>
        </is>
      </c>
      <c r="D1663" t="n">
        <v>2</v>
      </c>
      <c r="E1663" t="inlineStr">
        <is>
          <t>primary</t>
        </is>
      </c>
      <c r="F1663" t="n">
        <v>950.8034026465028</v>
      </c>
      <c r="G1663">
        <f>2*SQRT(F1663/PI())</f>
        <v/>
      </c>
      <c r="H1663" t="n">
        <v>119.1335392516592</v>
      </c>
      <c r="I1663" t="n">
        <v>432</v>
      </c>
      <c r="J1663" t="n">
        <v>383</v>
      </c>
      <c r="K1663" t="n">
        <v>931.7873345935727</v>
      </c>
      <c r="L1663" t="n">
        <v>969.8194706994329</v>
      </c>
      <c r="M1663">
        <f>2*SQRT(K1663/PI())</f>
        <v/>
      </c>
      <c r="N1663">
        <f>2*SQRT(L1663/PI())</f>
        <v/>
      </c>
      <c r="P1663" t="inlineStr">
        <is>
          <t>是</t>
        </is>
      </c>
      <c r="Q1663" t="inlineStr">
        <is>
          <t>auto_pipeline;review_png_green</t>
        </is>
      </c>
      <c r="R1663" t="inlineStr">
        <is>
          <t>样品38</t>
        </is>
      </c>
    </row>
    <row r="1664">
      <c r="A1664" t="n">
        <v>1663</v>
      </c>
      <c r="B1664" t="inlineStr">
        <is>
          <t>38 (4).tif</t>
        </is>
      </c>
      <c r="C1664" t="inlineStr">
        <is>
          <t>38(4)-V03</t>
        </is>
      </c>
      <c r="D1664" t="n">
        <v>3</v>
      </c>
      <c r="E1664" t="inlineStr">
        <is>
          <t>primary</t>
        </is>
      </c>
      <c r="F1664" t="n">
        <v>318.7618147448015</v>
      </c>
      <c r="G1664">
        <f>2*SQRT(F1664/PI())</f>
        <v/>
      </c>
      <c r="H1664" t="n">
        <v>99.4138268802477</v>
      </c>
      <c r="I1664" t="n">
        <v>747</v>
      </c>
      <c r="J1664" t="n">
        <v>588</v>
      </c>
      <c r="K1664" t="n">
        <v>312.3865784499055</v>
      </c>
      <c r="L1664" t="n">
        <v>325.1370510396976</v>
      </c>
      <c r="M1664">
        <f>2*SQRT(K1664/PI())</f>
        <v/>
      </c>
      <c r="N1664">
        <f>2*SQRT(L1664/PI())</f>
        <v/>
      </c>
      <c r="P1664" t="inlineStr">
        <is>
          <t>是</t>
        </is>
      </c>
      <c r="Q1664" t="inlineStr">
        <is>
          <t>auto_pipeline;review_png_green</t>
        </is>
      </c>
      <c r="R1664" t="inlineStr">
        <is>
          <t>样品38</t>
        </is>
      </c>
    </row>
    <row r="1665">
      <c r="A1665" t="n">
        <v>1664</v>
      </c>
      <c r="B1665" t="inlineStr">
        <is>
          <t>38 (4).tif</t>
        </is>
      </c>
      <c r="C1665" t="inlineStr">
        <is>
          <t>38(4)-V04</t>
        </is>
      </c>
      <c r="D1665" t="n">
        <v>4</v>
      </c>
      <c r="E1665" t="inlineStr">
        <is>
          <t>primary</t>
        </is>
      </c>
      <c r="F1665" t="n">
        <v>212.1928166351607</v>
      </c>
      <c r="G1665">
        <f>2*SQRT(F1665/PI())</f>
        <v/>
      </c>
      <c r="H1665" t="n">
        <v>60.35268788752349</v>
      </c>
      <c r="I1665" t="n">
        <v>73</v>
      </c>
      <c r="J1665" t="n">
        <v>398</v>
      </c>
      <c r="K1665" t="n">
        <v>207.9489603024575</v>
      </c>
      <c r="L1665" t="n">
        <v>216.4366729678639</v>
      </c>
      <c r="M1665">
        <f>2*SQRT(K1665/PI())</f>
        <v/>
      </c>
      <c r="N1665">
        <f>2*SQRT(L1665/PI())</f>
        <v/>
      </c>
      <c r="P1665" t="inlineStr">
        <is>
          <t>是</t>
        </is>
      </c>
      <c r="Q1665" t="inlineStr">
        <is>
          <t>auto_pipeline;review_png_green</t>
        </is>
      </c>
      <c r="R1665" t="inlineStr">
        <is>
          <t>样品38</t>
        </is>
      </c>
    </row>
    <row r="1666">
      <c r="A1666" t="n">
        <v>1665</v>
      </c>
      <c r="B1666" t="inlineStr">
        <is>
          <t>38 (4).tif</t>
        </is>
      </c>
      <c r="C1666" t="inlineStr">
        <is>
          <t>38(4)-V05</t>
        </is>
      </c>
      <c r="D1666" t="n">
        <v>5</v>
      </c>
      <c r="E1666" t="inlineStr">
        <is>
          <t>primary</t>
        </is>
      </c>
      <c r="F1666" t="n">
        <v>199.5037807183365</v>
      </c>
      <c r="G1666">
        <f>2*SQRT(F1666/PI())</f>
        <v/>
      </c>
      <c r="H1666" t="n">
        <v>60.18164507720781</v>
      </c>
      <c r="I1666" t="n">
        <v>194</v>
      </c>
      <c r="J1666" t="n">
        <v>367</v>
      </c>
      <c r="K1666" t="n">
        <v>195.5137051039698</v>
      </c>
      <c r="L1666" t="n">
        <v>203.4938563327032</v>
      </c>
      <c r="M1666">
        <f>2*SQRT(K1666/PI())</f>
        <v/>
      </c>
      <c r="N1666">
        <f>2*SQRT(L1666/PI())</f>
        <v/>
      </c>
      <c r="P1666" t="inlineStr">
        <is>
          <t>是</t>
        </is>
      </c>
      <c r="Q1666" t="inlineStr">
        <is>
          <t>auto_pipeline;review_png_green</t>
        </is>
      </c>
      <c r="R1666" t="inlineStr">
        <is>
          <t>样品38</t>
        </is>
      </c>
    </row>
    <row r="1667">
      <c r="A1667" t="n">
        <v>1666</v>
      </c>
      <c r="B1667" t="inlineStr">
        <is>
          <t>38 (4).tif</t>
        </is>
      </c>
      <c r="C1667" t="inlineStr">
        <is>
          <t>38(4)-V06</t>
        </is>
      </c>
      <c r="D1667" t="n">
        <v>6</v>
      </c>
      <c r="E1667" t="inlineStr">
        <is>
          <t>primary</t>
        </is>
      </c>
      <c r="F1667" t="n">
        <v>165.6427221172023</v>
      </c>
      <c r="G1667">
        <f>2*SQRT(F1667/PI())</f>
        <v/>
      </c>
      <c r="H1667" t="n">
        <v>50.68197457686714</v>
      </c>
      <c r="I1667" t="n">
        <v>926</v>
      </c>
      <c r="J1667" t="n">
        <v>310</v>
      </c>
      <c r="K1667" t="n">
        <v>162.3298676748582</v>
      </c>
      <c r="L1667" t="n">
        <v>168.9555765595463</v>
      </c>
      <c r="M1667">
        <f>2*SQRT(K1667/PI())</f>
        <v/>
      </c>
      <c r="N1667">
        <f>2*SQRT(L1667/PI())</f>
        <v/>
      </c>
      <c r="P1667" t="inlineStr">
        <is>
          <t>是</t>
        </is>
      </c>
      <c r="Q1667" t="inlineStr">
        <is>
          <t>auto_pipeline;review_png_green</t>
        </is>
      </c>
      <c r="R1667" t="inlineStr">
        <is>
          <t>样品38</t>
        </is>
      </c>
    </row>
    <row r="1668">
      <c r="A1668" t="n">
        <v>1667</v>
      </c>
      <c r="B1668" t="inlineStr">
        <is>
          <t>38 (5).tif</t>
        </is>
      </c>
      <c r="C1668" t="inlineStr">
        <is>
          <t>38(5)-V01</t>
        </is>
      </c>
      <c r="D1668" t="n">
        <v>1</v>
      </c>
      <c r="E1668" t="inlineStr">
        <is>
          <t>primary</t>
        </is>
      </c>
      <c r="F1668" t="n">
        <v>1058.175803402647</v>
      </c>
      <c r="G1668">
        <f>2*SQRT(F1668/PI())</f>
        <v/>
      </c>
      <c r="H1668" t="n">
        <v>121.9969246698462</v>
      </c>
      <c r="I1668" t="n">
        <v>577</v>
      </c>
      <c r="J1668" t="n">
        <v>364</v>
      </c>
      <c r="K1668" t="n">
        <v>1037.012287334594</v>
      </c>
      <c r="L1668" t="n">
        <v>1079.3393194707</v>
      </c>
      <c r="M1668">
        <f>2*SQRT(K1668/PI())</f>
        <v/>
      </c>
      <c r="N1668">
        <f>2*SQRT(L1668/PI())</f>
        <v/>
      </c>
      <c r="P1668" t="inlineStr">
        <is>
          <t>是</t>
        </is>
      </c>
      <c r="Q1668" t="inlineStr">
        <is>
          <t>auto_pipeline;review_png_green</t>
        </is>
      </c>
      <c r="R1668" t="inlineStr">
        <is>
          <t>样品38</t>
        </is>
      </c>
    </row>
    <row r="1669">
      <c r="A1669" t="n">
        <v>1668</v>
      </c>
      <c r="B1669" t="inlineStr">
        <is>
          <t>38 (5).tif</t>
        </is>
      </c>
      <c r="C1669" t="inlineStr">
        <is>
          <t>38(5)-V02</t>
        </is>
      </c>
      <c r="D1669" t="n">
        <v>2</v>
      </c>
      <c r="E1669" t="inlineStr">
        <is>
          <t>primary</t>
        </is>
      </c>
      <c r="F1669" t="n">
        <v>892.249527410208</v>
      </c>
      <c r="G1669">
        <f>2*SQRT(F1669/PI())</f>
        <v/>
      </c>
      <c r="H1669" t="n">
        <v>114.9349070113638</v>
      </c>
      <c r="I1669" t="n">
        <v>366</v>
      </c>
      <c r="J1669" t="n">
        <v>364</v>
      </c>
      <c r="K1669" t="n">
        <v>874.4045368620039</v>
      </c>
      <c r="L1669" t="n">
        <v>910.0945179584121</v>
      </c>
      <c r="M1669">
        <f>2*SQRT(K1669/PI())</f>
        <v/>
      </c>
      <c r="N1669">
        <f>2*SQRT(L1669/PI())</f>
        <v/>
      </c>
      <c r="P1669" t="inlineStr">
        <is>
          <t>是</t>
        </is>
      </c>
      <c r="Q1669" t="inlineStr">
        <is>
          <t>auto_pipeline;review_png_green</t>
        </is>
      </c>
      <c r="R1669" t="inlineStr">
        <is>
          <t>样品38</t>
        </is>
      </c>
    </row>
    <row r="1670">
      <c r="A1670" t="n">
        <v>1669</v>
      </c>
      <c r="B1670" t="inlineStr">
        <is>
          <t>38 (5).tif</t>
        </is>
      </c>
      <c r="C1670" t="inlineStr">
        <is>
          <t>38(5)-V03</t>
        </is>
      </c>
      <c r="D1670" t="n">
        <v>3</v>
      </c>
      <c r="E1670" t="inlineStr">
        <is>
          <t>primary</t>
        </is>
      </c>
      <c r="F1670" t="n">
        <v>295.7466918714556</v>
      </c>
      <c r="G1670">
        <f>2*SQRT(F1670/PI())</f>
        <v/>
      </c>
      <c r="H1670" t="n">
        <v>67.0108219333317</v>
      </c>
      <c r="I1670" t="n">
        <v>863</v>
      </c>
      <c r="J1670" t="n">
        <v>394</v>
      </c>
      <c r="K1670" t="n">
        <v>289.8317580340265</v>
      </c>
      <c r="L1670" t="n">
        <v>301.6616257088847</v>
      </c>
      <c r="M1670">
        <f>2*SQRT(K1670/PI())</f>
        <v/>
      </c>
      <c r="N1670">
        <f>2*SQRT(L1670/PI())</f>
        <v/>
      </c>
      <c r="P1670" t="inlineStr">
        <is>
          <t>是</t>
        </is>
      </c>
      <c r="Q1670" t="inlineStr">
        <is>
          <t>auto_pipeline;review_png_green</t>
        </is>
      </c>
      <c r="R1670" t="inlineStr">
        <is>
          <t>样品38</t>
        </is>
      </c>
    </row>
    <row r="1671">
      <c r="A1671" t="n">
        <v>1670</v>
      </c>
      <c r="B1671" t="inlineStr">
        <is>
          <t>38 (5).tif</t>
        </is>
      </c>
      <c r="C1671" t="inlineStr">
        <is>
          <t>38(5)-V04</t>
        </is>
      </c>
      <c r="D1671" t="n">
        <v>4</v>
      </c>
      <c r="E1671" t="inlineStr">
        <is>
          <t>primary</t>
        </is>
      </c>
      <c r="F1671" t="n">
        <v>136.0586011342155</v>
      </c>
      <c r="G1671">
        <f>2*SQRT(F1671/PI())</f>
        <v/>
      </c>
      <c r="H1671" t="n">
        <v>59.46502260539842</v>
      </c>
      <c r="I1671" t="n">
        <v>501</v>
      </c>
      <c r="J1671" t="n">
        <v>476</v>
      </c>
      <c r="K1671" t="n">
        <v>133.3374291115312</v>
      </c>
      <c r="L1671" t="n">
        <v>138.7797731568998</v>
      </c>
      <c r="M1671">
        <f>2*SQRT(K1671/PI())</f>
        <v/>
      </c>
      <c r="N1671">
        <f>2*SQRT(L1671/PI())</f>
        <v/>
      </c>
      <c r="P1671" t="inlineStr">
        <is>
          <t>是</t>
        </is>
      </c>
      <c r="Q1671" t="inlineStr">
        <is>
          <t>auto_pipeline;review_png_green</t>
        </is>
      </c>
      <c r="R1671" t="inlineStr">
        <is>
          <t>样品38</t>
        </is>
      </c>
    </row>
    <row r="1672">
      <c r="A1672" t="n">
        <v>1671</v>
      </c>
      <c r="B1672" t="inlineStr">
        <is>
          <t>38 (5).tif</t>
        </is>
      </c>
      <c r="C1672" t="inlineStr">
        <is>
          <t>38(5)-V05</t>
        </is>
      </c>
      <c r="D1672" t="n">
        <v>5</v>
      </c>
      <c r="E1672" t="inlineStr">
        <is>
          <t>primary</t>
        </is>
      </c>
      <c r="F1672" t="n">
        <v>116.5879017013232</v>
      </c>
      <c r="G1672">
        <f>2*SQRT(F1672/PI())</f>
        <v/>
      </c>
      <c r="H1672" t="n">
        <v>48.52086046467657</v>
      </c>
      <c r="I1672" t="n">
        <v>970</v>
      </c>
      <c r="J1672" t="n">
        <v>222</v>
      </c>
      <c r="K1672" t="n">
        <v>114.2561436672968</v>
      </c>
      <c r="L1672" t="n">
        <v>118.9196597353497</v>
      </c>
      <c r="M1672">
        <f>2*SQRT(K1672/PI())</f>
        <v/>
      </c>
      <c r="N1672">
        <f>2*SQRT(L1672/PI())</f>
        <v/>
      </c>
      <c r="P1672" t="inlineStr">
        <is>
          <t>是</t>
        </is>
      </c>
      <c r="Q1672" t="inlineStr">
        <is>
          <t>auto_pipeline;review_png_green</t>
        </is>
      </c>
      <c r="R1672" t="inlineStr">
        <is>
          <t>样品38</t>
        </is>
      </c>
    </row>
    <row r="1673">
      <c r="A1673" t="n">
        <v>1672</v>
      </c>
      <c r="B1673" t="inlineStr">
        <is>
          <t>38 (5).tif</t>
        </is>
      </c>
      <c r="C1673" t="inlineStr">
        <is>
          <t>38(5)-V06</t>
        </is>
      </c>
      <c r="D1673" t="n">
        <v>6</v>
      </c>
      <c r="E1673" t="inlineStr">
        <is>
          <t>primary</t>
        </is>
      </c>
      <c r="F1673" t="n">
        <v>110.9877126654064</v>
      </c>
      <c r="G1673">
        <f>2*SQRT(F1673/PI())</f>
        <v/>
      </c>
      <c r="H1673" t="n">
        <v>40.92761431051337</v>
      </c>
      <c r="I1673" t="n">
        <v>857</v>
      </c>
      <c r="J1673" t="n">
        <v>609</v>
      </c>
      <c r="K1673" t="n">
        <v>108.7679584120983</v>
      </c>
      <c r="L1673" t="n">
        <v>113.2074669187146</v>
      </c>
      <c r="M1673">
        <f>2*SQRT(K1673/PI())</f>
        <v/>
      </c>
      <c r="N1673">
        <f>2*SQRT(L1673/PI())</f>
        <v/>
      </c>
      <c r="P1673" t="inlineStr">
        <is>
          <t>是</t>
        </is>
      </c>
      <c r="Q1673" t="inlineStr">
        <is>
          <t>auto_pipeline;review_png_green</t>
        </is>
      </c>
      <c r="R1673" t="inlineStr">
        <is>
          <t>样品38</t>
        </is>
      </c>
    </row>
    <row r="1674">
      <c r="A1674" t="n">
        <v>1673</v>
      </c>
      <c r="B1674" t="inlineStr">
        <is>
          <t>38 (6).tif</t>
        </is>
      </c>
      <c r="C1674" t="inlineStr">
        <is>
          <t>38(6)-V01</t>
        </is>
      </c>
      <c r="D1674" t="n">
        <v>1</v>
      </c>
      <c r="E1674" t="inlineStr">
        <is>
          <t>primary</t>
        </is>
      </c>
      <c r="F1674" t="n">
        <v>914.0359168241966</v>
      </c>
      <c r="G1674">
        <f>2*SQRT(F1674/PI())</f>
        <v/>
      </c>
      <c r="H1674" t="n">
        <v>114.3200315599856</v>
      </c>
      <c r="I1674" t="n">
        <v>523</v>
      </c>
      <c r="J1674" t="n">
        <v>371</v>
      </c>
      <c r="K1674" t="n">
        <v>895.7551984877127</v>
      </c>
      <c r="L1674" t="n">
        <v>932.3166351606806</v>
      </c>
      <c r="M1674">
        <f>2*SQRT(K1674/PI())</f>
        <v/>
      </c>
      <c r="N1674">
        <f>2*SQRT(L1674/PI())</f>
        <v/>
      </c>
      <c r="O1674" t="inlineStr">
        <is>
          <t>38(6)-P01</t>
        </is>
      </c>
      <c r="P1674" t="inlineStr">
        <is>
          <t>是</t>
        </is>
      </c>
      <c r="Q1674" t="inlineStr">
        <is>
          <t>auto_pipeline;review_png_green</t>
        </is>
      </c>
      <c r="R1674" t="inlineStr">
        <is>
          <t>样品38</t>
        </is>
      </c>
    </row>
    <row r="1675">
      <c r="A1675" t="n">
        <v>1674</v>
      </c>
      <c r="B1675" t="inlineStr">
        <is>
          <t>38 (6).tif</t>
        </is>
      </c>
      <c r="C1675" t="inlineStr">
        <is>
          <t>38(6)-V02</t>
        </is>
      </c>
      <c r="D1675" t="n">
        <v>2</v>
      </c>
      <c r="E1675" t="inlineStr">
        <is>
          <t>primary</t>
        </is>
      </c>
      <c r="F1675" t="n">
        <v>746.4555765595463</v>
      </c>
      <c r="G1675">
        <f>2*SQRT(F1675/PI())</f>
        <v/>
      </c>
      <c r="H1675" t="n">
        <v>102.3390102904776</v>
      </c>
      <c r="I1675" t="n">
        <v>359</v>
      </c>
      <c r="J1675" t="n">
        <v>368</v>
      </c>
      <c r="K1675" t="n">
        <v>731.5264650283553</v>
      </c>
      <c r="L1675" t="n">
        <v>761.3846880907373</v>
      </c>
      <c r="M1675">
        <f>2*SQRT(K1675/PI())</f>
        <v/>
      </c>
      <c r="N1675">
        <f>2*SQRT(L1675/PI())</f>
        <v/>
      </c>
      <c r="O1675" t="inlineStr">
        <is>
          <t>38(6)-P01</t>
        </is>
      </c>
      <c r="P1675" t="inlineStr">
        <is>
          <t>是</t>
        </is>
      </c>
      <c r="Q1675" t="inlineStr">
        <is>
          <t>auto_pipeline;review_png_green</t>
        </is>
      </c>
      <c r="R1675" t="inlineStr">
        <is>
          <t>样品38</t>
        </is>
      </c>
    </row>
    <row r="1676">
      <c r="A1676" t="n">
        <v>1675</v>
      </c>
      <c r="B1676" t="inlineStr">
        <is>
          <t>38 (6).tif</t>
        </is>
      </c>
      <c r="C1676" t="inlineStr">
        <is>
          <t>38(6)-V03</t>
        </is>
      </c>
      <c r="D1676" t="n">
        <v>3</v>
      </c>
      <c r="E1676" t="inlineStr">
        <is>
          <t>primary</t>
        </is>
      </c>
      <c r="F1676" t="n">
        <v>146.2429111531191</v>
      </c>
      <c r="G1676">
        <f>2*SQRT(F1676/PI())</f>
        <v/>
      </c>
      <c r="H1676" t="n">
        <v>47.84043812233469</v>
      </c>
      <c r="I1676" t="n">
        <v>950</v>
      </c>
      <c r="J1676" t="n">
        <v>261</v>
      </c>
      <c r="K1676" t="n">
        <v>143.3180529300567</v>
      </c>
      <c r="L1676" t="n">
        <v>149.1677693761815</v>
      </c>
      <c r="M1676">
        <f>2*SQRT(K1676/PI())</f>
        <v/>
      </c>
      <c r="N1676">
        <f>2*SQRT(L1676/PI())</f>
        <v/>
      </c>
      <c r="P1676" t="inlineStr">
        <is>
          <t>是</t>
        </is>
      </c>
      <c r="Q1676" t="inlineStr">
        <is>
          <t>auto_pipeline;review_png_green</t>
        </is>
      </c>
      <c r="R1676" t="inlineStr">
        <is>
          <t>样品38</t>
        </is>
      </c>
    </row>
    <row r="1677">
      <c r="A1677" t="n">
        <v>1676</v>
      </c>
      <c r="B1677" t="inlineStr">
        <is>
          <t>38 (6).tif</t>
        </is>
      </c>
      <c r="C1677" t="inlineStr">
        <is>
          <t>38(6)-V04</t>
        </is>
      </c>
      <c r="D1677" t="n">
        <v>4</v>
      </c>
      <c r="E1677" t="inlineStr">
        <is>
          <t>primary</t>
        </is>
      </c>
      <c r="F1677" t="n">
        <v>137.8780718336484</v>
      </c>
      <c r="G1677">
        <f>2*SQRT(F1677/PI())</f>
        <v/>
      </c>
      <c r="H1677" t="n">
        <v>45.23174247016077</v>
      </c>
      <c r="I1677" t="n">
        <v>245</v>
      </c>
      <c r="J1677" t="n">
        <v>381</v>
      </c>
      <c r="K1677" t="n">
        <v>135.1205103969754</v>
      </c>
      <c r="L1677" t="n">
        <v>140.6356332703214</v>
      </c>
      <c r="M1677">
        <f>2*SQRT(K1677/PI())</f>
        <v/>
      </c>
      <c r="N1677">
        <f>2*SQRT(L1677/PI())</f>
        <v/>
      </c>
      <c r="P1677" t="inlineStr">
        <is>
          <t>是</t>
        </is>
      </c>
      <c r="Q1677" t="inlineStr">
        <is>
          <t>auto_pipeline;review_png_green</t>
        </is>
      </c>
      <c r="R1677" t="inlineStr">
        <is>
          <t>样品38</t>
        </is>
      </c>
    </row>
    <row r="1678">
      <c r="A1678" t="n">
        <v>1677</v>
      </c>
      <c r="B1678" t="inlineStr">
        <is>
          <t>38 (6).tif</t>
        </is>
      </c>
      <c r="C1678" t="inlineStr">
        <is>
          <t>38(6)-V05</t>
        </is>
      </c>
      <c r="D1678" t="n">
        <v>5</v>
      </c>
      <c r="E1678" t="inlineStr">
        <is>
          <t>primary</t>
        </is>
      </c>
      <c r="F1678" t="n">
        <v>123.2514177693762</v>
      </c>
      <c r="G1678">
        <f>2*SQRT(F1678/PI())</f>
        <v/>
      </c>
      <c r="H1678" t="n">
        <v>43.25977123301962</v>
      </c>
      <c r="I1678" t="n">
        <v>805</v>
      </c>
      <c r="J1678" t="n">
        <v>373</v>
      </c>
      <c r="K1678" t="n">
        <v>120.7863894139886</v>
      </c>
      <c r="L1678" t="n">
        <v>125.7164461247637</v>
      </c>
      <c r="M1678">
        <f>2*SQRT(K1678/PI())</f>
        <v/>
      </c>
      <c r="N1678">
        <f>2*SQRT(L1678/PI())</f>
        <v/>
      </c>
      <c r="P1678" t="inlineStr">
        <is>
          <t>是</t>
        </is>
      </c>
      <c r="Q1678" t="inlineStr">
        <is>
          <t>auto_pipeline;review_png_green</t>
        </is>
      </c>
      <c r="R1678" t="inlineStr">
        <is>
          <t>样品38</t>
        </is>
      </c>
    </row>
    <row r="1679">
      <c r="A1679" t="n">
        <v>1678</v>
      </c>
      <c r="B1679" t="inlineStr">
        <is>
          <t>38 (6).tif</t>
        </is>
      </c>
      <c r="C1679" t="inlineStr">
        <is>
          <t>38(6)-V06</t>
        </is>
      </c>
      <c r="D1679" t="n">
        <v>6</v>
      </c>
      <c r="E1679" t="inlineStr">
        <is>
          <t>primary</t>
        </is>
      </c>
      <c r="F1679" t="n">
        <v>116.1625708884688</v>
      </c>
      <c r="G1679">
        <f>2*SQRT(F1679/PI())</f>
        <v/>
      </c>
      <c r="H1679" t="n">
        <v>47.86228708598924</v>
      </c>
      <c r="I1679" t="n">
        <v>849</v>
      </c>
      <c r="J1679" t="n">
        <v>485</v>
      </c>
      <c r="K1679" t="n">
        <v>113.8393194706994</v>
      </c>
      <c r="L1679" t="n">
        <v>118.4858223062382</v>
      </c>
      <c r="M1679">
        <f>2*SQRT(K1679/PI())</f>
        <v/>
      </c>
      <c r="N1679">
        <f>2*SQRT(L1679/PI())</f>
        <v/>
      </c>
      <c r="P1679" t="inlineStr">
        <is>
          <t>是</t>
        </is>
      </c>
      <c r="Q1679" t="inlineStr">
        <is>
          <t>auto_pipeline;review_png_green</t>
        </is>
      </c>
      <c r="R1679" t="inlineStr">
        <is>
          <t>样品38</t>
        </is>
      </c>
    </row>
    <row r="1680">
      <c r="A1680" t="n">
        <v>1679</v>
      </c>
      <c r="B1680" t="inlineStr">
        <is>
          <t>38 (6).tif</t>
        </is>
      </c>
      <c r="C1680" t="inlineStr">
        <is>
          <t>38(6)-V07</t>
        </is>
      </c>
      <c r="D1680" t="n">
        <v>7</v>
      </c>
      <c r="E1680" t="inlineStr">
        <is>
          <t>primary</t>
        </is>
      </c>
      <c r="F1680" t="n">
        <v>112.2637051039698</v>
      </c>
      <c r="G1680">
        <f>2*SQRT(F1680/PI())</f>
        <v/>
      </c>
      <c r="H1680" t="n">
        <v>44.9152547121048</v>
      </c>
      <c r="I1680" t="n">
        <v>531</v>
      </c>
      <c r="J1680" t="n">
        <v>245</v>
      </c>
      <c r="K1680" t="n">
        <v>110.0184310018904</v>
      </c>
      <c r="L1680" t="n">
        <v>114.5089792060491</v>
      </c>
      <c r="M1680">
        <f>2*SQRT(K1680/PI())</f>
        <v/>
      </c>
      <c r="N1680">
        <f>2*SQRT(L1680/PI())</f>
        <v/>
      </c>
      <c r="P1680" t="inlineStr">
        <is>
          <t>是</t>
        </is>
      </c>
      <c r="Q1680" t="inlineStr">
        <is>
          <t>auto_pipeline;review_png_green</t>
        </is>
      </c>
      <c r="R1680" t="inlineStr">
        <is>
          <t>样品38</t>
        </is>
      </c>
    </row>
    <row r="1681">
      <c r="A1681" t="n">
        <v>1680</v>
      </c>
      <c r="B1681" t="inlineStr">
        <is>
          <t>38 (6).tif</t>
        </is>
      </c>
      <c r="C1681" t="inlineStr">
        <is>
          <t>38(6)-V08</t>
        </is>
      </c>
      <c r="D1681" t="n">
        <v>8</v>
      </c>
      <c r="E1681" t="inlineStr">
        <is>
          <t>primary</t>
        </is>
      </c>
      <c r="F1681" t="n">
        <v>107.1597353497164</v>
      </c>
      <c r="G1681">
        <f>2*SQRT(F1681/PI())</f>
        <v/>
      </c>
      <c r="H1681" t="n">
        <v>42.30655905993088</v>
      </c>
      <c r="I1681" t="n">
        <v>259</v>
      </c>
      <c r="J1681" t="n">
        <v>501</v>
      </c>
      <c r="K1681" t="n">
        <v>105.0165406427221</v>
      </c>
      <c r="L1681" t="n">
        <v>109.3029300567108</v>
      </c>
      <c r="M1681">
        <f>2*SQRT(K1681/PI())</f>
        <v/>
      </c>
      <c r="N1681">
        <f>2*SQRT(L1681/PI())</f>
        <v/>
      </c>
      <c r="P1681" t="inlineStr">
        <is>
          <t>是</t>
        </is>
      </c>
      <c r="Q1681" t="inlineStr">
        <is>
          <t>auto_pipeline;review_png_green</t>
        </is>
      </c>
      <c r="R1681" t="inlineStr">
        <is>
          <t>样品38</t>
        </is>
      </c>
    </row>
    <row r="1682">
      <c r="A1682" t="n">
        <v>1681</v>
      </c>
      <c r="B1682" t="inlineStr">
        <is>
          <t>38 (7).tif</t>
        </is>
      </c>
      <c r="C1682" t="inlineStr">
        <is>
          <t>38(7)-V01</t>
        </is>
      </c>
      <c r="D1682" t="n">
        <v>1</v>
      </c>
      <c r="E1682" t="inlineStr">
        <is>
          <t>primary</t>
        </is>
      </c>
      <c r="F1682" t="n">
        <v>749.2911153119093</v>
      </c>
      <c r="G1682">
        <f>2*SQRT(F1682/PI())</f>
        <v/>
      </c>
      <c r="H1682" t="n">
        <v>103.463265273882</v>
      </c>
      <c r="I1682" t="n">
        <v>435</v>
      </c>
      <c r="J1682" t="n">
        <v>273</v>
      </c>
      <c r="K1682" t="n">
        <v>734.305293005671</v>
      </c>
      <c r="L1682" t="n">
        <v>764.2769376181475</v>
      </c>
      <c r="M1682">
        <f>2*SQRT(K1682/PI())</f>
        <v/>
      </c>
      <c r="N1682">
        <f>2*SQRT(L1682/PI())</f>
        <v/>
      </c>
      <c r="P1682" t="inlineStr">
        <is>
          <t>是</t>
        </is>
      </c>
      <c r="Q1682" t="inlineStr">
        <is>
          <t>auto_pipeline;review_png_green</t>
        </is>
      </c>
      <c r="R1682" t="inlineStr">
        <is>
          <t>样品38</t>
        </is>
      </c>
    </row>
    <row r="1683">
      <c r="A1683" t="n">
        <v>1682</v>
      </c>
      <c r="B1683" t="inlineStr">
        <is>
          <t>38 (7).tif</t>
        </is>
      </c>
      <c r="C1683" t="inlineStr">
        <is>
          <t>38(7)-V02</t>
        </is>
      </c>
      <c r="D1683" t="n">
        <v>2</v>
      </c>
      <c r="E1683" t="inlineStr">
        <is>
          <t>primary</t>
        </is>
      </c>
      <c r="F1683" t="n">
        <v>645.203213610586</v>
      </c>
      <c r="G1683">
        <f>2*SQRT(F1683/PI())</f>
        <v/>
      </c>
      <c r="H1683" t="n">
        <v>95.04415182963662</v>
      </c>
      <c r="I1683" t="n">
        <v>544</v>
      </c>
      <c r="J1683" t="n">
        <v>409</v>
      </c>
      <c r="K1683" t="n">
        <v>632.2991493383743</v>
      </c>
      <c r="L1683" t="n">
        <v>658.1072778827977</v>
      </c>
      <c r="M1683">
        <f>2*SQRT(K1683/PI())</f>
        <v/>
      </c>
      <c r="N1683">
        <f>2*SQRT(L1683/PI())</f>
        <v/>
      </c>
      <c r="P1683" t="inlineStr">
        <is>
          <t>是</t>
        </is>
      </c>
      <c r="Q1683" t="inlineStr">
        <is>
          <t>auto_pipeline;review_png_green</t>
        </is>
      </c>
      <c r="R1683" t="inlineStr">
        <is>
          <t>样品38</t>
        </is>
      </c>
    </row>
    <row r="1684">
      <c r="A1684" t="n">
        <v>1683</v>
      </c>
      <c r="B1684" t="inlineStr">
        <is>
          <t>38 (7).tif</t>
        </is>
      </c>
      <c r="C1684" t="inlineStr">
        <is>
          <t>38(7)-V03</t>
        </is>
      </c>
      <c r="D1684" t="n">
        <v>3</v>
      </c>
      <c r="E1684" t="inlineStr">
        <is>
          <t>primary</t>
        </is>
      </c>
      <c r="F1684" t="n">
        <v>530.8837429111531</v>
      </c>
      <c r="G1684">
        <f>2*SQRT(F1684/PI())</f>
        <v/>
      </c>
      <c r="H1684" t="n">
        <v>86.6468873490458</v>
      </c>
      <c r="I1684" t="n">
        <v>661</v>
      </c>
      <c r="J1684" t="n">
        <v>594</v>
      </c>
      <c r="K1684" t="n">
        <v>520.2660680529301</v>
      </c>
      <c r="L1684" t="n">
        <v>541.5014177693762</v>
      </c>
      <c r="M1684">
        <f>2*SQRT(K1684/PI())</f>
        <v/>
      </c>
      <c r="N1684">
        <f>2*SQRT(L1684/PI())</f>
        <v/>
      </c>
      <c r="P1684" t="inlineStr">
        <is>
          <t>是</t>
        </is>
      </c>
      <c r="Q1684" t="inlineStr">
        <is>
          <t>auto_pipeline;review_png_green</t>
        </is>
      </c>
      <c r="R1684" t="inlineStr">
        <is>
          <t>样品38</t>
        </is>
      </c>
    </row>
    <row r="1685">
      <c r="A1685" t="n">
        <v>1684</v>
      </c>
      <c r="B1685" t="inlineStr">
        <is>
          <t>38 (7).tif</t>
        </is>
      </c>
      <c r="C1685" t="inlineStr">
        <is>
          <t>38(7)-V04</t>
        </is>
      </c>
      <c r="D1685" t="n">
        <v>4</v>
      </c>
      <c r="E1685" t="inlineStr">
        <is>
          <t>primary</t>
        </is>
      </c>
      <c r="F1685" t="n">
        <v>152.6701323251418</v>
      </c>
      <c r="G1685">
        <f>2*SQRT(F1685/PI())</f>
        <v/>
      </c>
      <c r="H1685" t="n">
        <v>47.22556267095649</v>
      </c>
      <c r="I1685" t="n">
        <v>877</v>
      </c>
      <c r="J1685" t="n">
        <v>468</v>
      </c>
      <c r="K1685" t="n">
        <v>149.6167296786389</v>
      </c>
      <c r="L1685" t="n">
        <v>155.7235349716446</v>
      </c>
      <c r="M1685">
        <f>2*SQRT(K1685/PI())</f>
        <v/>
      </c>
      <c r="N1685">
        <f>2*SQRT(L1685/PI())</f>
        <v/>
      </c>
      <c r="P1685" t="inlineStr">
        <is>
          <t>是</t>
        </is>
      </c>
      <c r="Q1685" t="inlineStr">
        <is>
          <t>auto_pipeline;review_png_green</t>
        </is>
      </c>
      <c r="R1685" t="inlineStr">
        <is>
          <t>样品38</t>
        </is>
      </c>
    </row>
    <row r="1686">
      <c r="A1686" t="n">
        <v>1685</v>
      </c>
      <c r="B1686" t="inlineStr">
        <is>
          <t>38 (7).tif</t>
        </is>
      </c>
      <c r="C1686" t="inlineStr">
        <is>
          <t>38(7)-V05</t>
        </is>
      </c>
      <c r="D1686" t="n">
        <v>5</v>
      </c>
      <c r="E1686" t="inlineStr">
        <is>
          <t>primary</t>
        </is>
      </c>
      <c r="F1686" t="n">
        <v>133.9319470699433</v>
      </c>
      <c r="G1686">
        <f>2*SQRT(F1686/PI())</f>
        <v/>
      </c>
      <c r="H1686" t="n">
        <v>44.63871598243713</v>
      </c>
      <c r="I1686" t="n">
        <v>792</v>
      </c>
      <c r="J1686" t="n">
        <v>602</v>
      </c>
      <c r="K1686" t="n">
        <v>131.2533081285444</v>
      </c>
      <c r="L1686" t="n">
        <v>136.6105860113421</v>
      </c>
      <c r="M1686">
        <f>2*SQRT(K1686/PI())</f>
        <v/>
      </c>
      <c r="N1686">
        <f>2*SQRT(L1686/PI())</f>
        <v/>
      </c>
      <c r="P1686" t="inlineStr">
        <is>
          <t>是</t>
        </is>
      </c>
      <c r="Q1686" t="inlineStr">
        <is>
          <t>auto_pipeline;review_png_green</t>
        </is>
      </c>
      <c r="R1686" t="inlineStr">
        <is>
          <t>样品38</t>
        </is>
      </c>
    </row>
    <row r="1687">
      <c r="A1687" t="n">
        <v>1686</v>
      </c>
      <c r="B1687" t="inlineStr">
        <is>
          <t>38 (7).tif</t>
        </is>
      </c>
      <c r="C1687" t="inlineStr">
        <is>
          <t>38(7)-V06</t>
        </is>
      </c>
      <c r="D1687" t="n">
        <v>6</v>
      </c>
      <c r="E1687" t="inlineStr">
        <is>
          <t>primary</t>
        </is>
      </c>
      <c r="F1687" t="n">
        <v>129.6786389413989</v>
      </c>
      <c r="G1687">
        <f>2*SQRT(F1687/PI())</f>
        <v/>
      </c>
      <c r="H1687" t="n">
        <v>43.51446099903272</v>
      </c>
      <c r="I1687" t="n">
        <v>845</v>
      </c>
      <c r="J1687" t="n">
        <v>54</v>
      </c>
      <c r="K1687" t="n">
        <v>127.0850661625709</v>
      </c>
      <c r="L1687" t="n">
        <v>132.2722117202269</v>
      </c>
      <c r="M1687">
        <f>2*SQRT(K1687/PI())</f>
        <v/>
      </c>
      <c r="N1687">
        <f>2*SQRT(L1687/PI())</f>
        <v/>
      </c>
      <c r="P1687" t="inlineStr">
        <is>
          <t>是</t>
        </is>
      </c>
      <c r="Q1687" t="inlineStr">
        <is>
          <t>auto_pipeline;review_png_green</t>
        </is>
      </c>
      <c r="R1687" t="inlineStr">
        <is>
          <t>样品38</t>
        </is>
      </c>
    </row>
    <row r="1688">
      <c r="A1688" t="n">
        <v>1687</v>
      </c>
      <c r="B1688" t="inlineStr">
        <is>
          <t>38 (8).tif</t>
        </is>
      </c>
      <c r="C1688" t="inlineStr">
        <is>
          <t>38(8)-V01</t>
        </is>
      </c>
      <c r="D1688" t="n">
        <v>1</v>
      </c>
      <c r="E1688" t="inlineStr">
        <is>
          <t>primary</t>
        </is>
      </c>
      <c r="F1688" t="n">
        <v>1133.506616257089</v>
      </c>
      <c r="G1688">
        <f>2*SQRT(F1688/PI())</f>
        <v/>
      </c>
      <c r="H1688" t="n">
        <v>126.1955569101416</v>
      </c>
      <c r="I1688" t="n">
        <v>502</v>
      </c>
      <c r="J1688" t="n">
        <v>269</v>
      </c>
      <c r="K1688" t="n">
        <v>1110.836483931947</v>
      </c>
      <c r="L1688" t="n">
        <v>1156.176748582231</v>
      </c>
      <c r="M1688">
        <f>2*SQRT(K1688/PI())</f>
        <v/>
      </c>
      <c r="N1688">
        <f>2*SQRT(L1688/PI())</f>
        <v/>
      </c>
      <c r="P1688" t="inlineStr">
        <is>
          <t>是</t>
        </is>
      </c>
      <c r="Q1688" t="inlineStr">
        <is>
          <t>auto_pipeline;review_png_green</t>
        </is>
      </c>
      <c r="R1688" t="inlineStr">
        <is>
          <t>样品38</t>
        </is>
      </c>
    </row>
    <row r="1689">
      <c r="A1689" t="n">
        <v>1688</v>
      </c>
      <c r="B1689" t="inlineStr">
        <is>
          <t>38 (8).tif</t>
        </is>
      </c>
      <c r="C1689" t="inlineStr">
        <is>
          <t>38(8)-V02</t>
        </is>
      </c>
      <c r="D1689" t="n">
        <v>2</v>
      </c>
      <c r="E1689" t="inlineStr">
        <is>
          <t>primary</t>
        </is>
      </c>
      <c r="F1689" t="n">
        <v>1054.324196597353</v>
      </c>
      <c r="G1689">
        <f>2*SQRT(F1689/PI())</f>
        <v/>
      </c>
      <c r="H1689" t="n">
        <v>121.8695797868397</v>
      </c>
      <c r="I1689" t="n">
        <v>450</v>
      </c>
      <c r="J1689" t="n">
        <v>473</v>
      </c>
      <c r="K1689" t="n">
        <v>1033.237712665406</v>
      </c>
      <c r="L1689" t="n">
        <v>1075.4106805293</v>
      </c>
      <c r="M1689">
        <f>2*SQRT(K1689/PI())</f>
        <v/>
      </c>
      <c r="N1689">
        <f>2*SQRT(L1689/PI())</f>
        <v/>
      </c>
      <c r="P1689" t="inlineStr">
        <is>
          <t>是</t>
        </is>
      </c>
      <c r="Q1689" t="inlineStr">
        <is>
          <t>auto_pipeline;review_png_green</t>
        </is>
      </c>
      <c r="R1689" t="inlineStr">
        <is>
          <t>样品38</t>
        </is>
      </c>
    </row>
    <row r="1690">
      <c r="A1690" t="n">
        <v>1689</v>
      </c>
      <c r="B1690" t="inlineStr">
        <is>
          <t>38 (8).tif</t>
        </is>
      </c>
      <c r="C1690" t="inlineStr">
        <is>
          <t>38(8)-V03</t>
        </is>
      </c>
      <c r="D1690" t="n">
        <v>3</v>
      </c>
      <c r="E1690" t="inlineStr">
        <is>
          <t>primary</t>
        </is>
      </c>
      <c r="F1690" t="n">
        <v>1006.09640831758</v>
      </c>
      <c r="G1690">
        <f>2*SQRT(F1690/PI())</f>
        <v/>
      </c>
      <c r="H1690" t="n">
        <v>119.8976085496985</v>
      </c>
      <c r="I1690" t="n">
        <v>852</v>
      </c>
      <c r="J1690" t="n">
        <v>279</v>
      </c>
      <c r="K1690" t="n">
        <v>985.9744801512287</v>
      </c>
      <c r="L1690" t="n">
        <v>1026.218336483932</v>
      </c>
      <c r="M1690">
        <f>2*SQRT(K1690/PI())</f>
        <v/>
      </c>
      <c r="N1690">
        <f>2*SQRT(L1690/PI())</f>
        <v/>
      </c>
      <c r="P1690" t="inlineStr">
        <is>
          <t>是</t>
        </is>
      </c>
      <c r="Q1690" t="inlineStr">
        <is>
          <t>auto_pipeline;review_png_green</t>
        </is>
      </c>
      <c r="R1690" t="inlineStr">
        <is>
          <t>样品38</t>
        </is>
      </c>
    </row>
    <row r="1691">
      <c r="A1691" t="n">
        <v>1690</v>
      </c>
      <c r="B1691" t="inlineStr">
        <is>
          <t>38 (8).tif</t>
        </is>
      </c>
      <c r="C1691" t="inlineStr">
        <is>
          <t>38(8)-V04</t>
        </is>
      </c>
      <c r="D1691" t="n">
        <v>4</v>
      </c>
      <c r="E1691" t="inlineStr">
        <is>
          <t>primary</t>
        </is>
      </c>
      <c r="F1691" t="n">
        <v>688.492438563327</v>
      </c>
      <c r="G1691">
        <f>2*SQRT(F1691/PI())</f>
        <v/>
      </c>
      <c r="H1691" t="n">
        <v>100.1123492873233</v>
      </c>
      <c r="I1691" t="n">
        <v>229</v>
      </c>
      <c r="J1691" t="n">
        <v>518</v>
      </c>
      <c r="K1691" t="n">
        <v>674.7225897920605</v>
      </c>
      <c r="L1691" t="n">
        <v>702.2622873345936</v>
      </c>
      <c r="M1691">
        <f>2*SQRT(K1691/PI())</f>
        <v/>
      </c>
      <c r="N1691">
        <f>2*SQRT(L1691/PI())</f>
        <v/>
      </c>
      <c r="P1691" t="inlineStr">
        <is>
          <t>是</t>
        </is>
      </c>
      <c r="Q1691" t="inlineStr">
        <is>
          <t>auto_pipeline;review_png_green</t>
        </is>
      </c>
      <c r="R1691" t="inlineStr">
        <is>
          <t>样品38</t>
        </is>
      </c>
    </row>
    <row r="1692">
      <c r="A1692" t="n">
        <v>1691</v>
      </c>
      <c r="B1692" t="inlineStr">
        <is>
          <t>38 (8).tif</t>
        </is>
      </c>
      <c r="C1692" t="inlineStr">
        <is>
          <t>38(8)-V05</t>
        </is>
      </c>
      <c r="D1692" t="n">
        <v>5</v>
      </c>
      <c r="E1692" t="inlineStr">
        <is>
          <t>primary</t>
        </is>
      </c>
      <c r="F1692" t="n">
        <v>195.6521739130435</v>
      </c>
      <c r="G1692">
        <f>2*SQRT(F1692/PI())</f>
        <v/>
      </c>
      <c r="H1692" t="n">
        <v>55.02980066382366</v>
      </c>
      <c r="I1692" t="n">
        <v>667</v>
      </c>
      <c r="J1692" t="n">
        <v>272</v>
      </c>
      <c r="K1692" t="n">
        <v>191.7391304347826</v>
      </c>
      <c r="L1692" t="n">
        <v>199.5652173913043</v>
      </c>
      <c r="M1692">
        <f>2*SQRT(K1692/PI())</f>
        <v/>
      </c>
      <c r="N1692">
        <f>2*SQRT(L1692/PI())</f>
        <v/>
      </c>
      <c r="P1692" t="inlineStr">
        <is>
          <t>是</t>
        </is>
      </c>
      <c r="Q1692" t="inlineStr">
        <is>
          <t>auto_pipeline;review_png_green</t>
        </is>
      </c>
      <c r="R1692" t="inlineStr">
        <is>
          <t>样品38</t>
        </is>
      </c>
    </row>
    <row r="1693">
      <c r="A1693" t="n">
        <v>1692</v>
      </c>
      <c r="B1693" t="inlineStr">
        <is>
          <t>38 (8).tif</t>
        </is>
      </c>
      <c r="C1693" t="inlineStr">
        <is>
          <t>38(8)-V06</t>
        </is>
      </c>
      <c r="D1693" t="n">
        <v>6</v>
      </c>
      <c r="E1693" t="inlineStr">
        <is>
          <t>primary</t>
        </is>
      </c>
      <c r="F1693" t="n">
        <v>178.4971644612476</v>
      </c>
      <c r="G1693">
        <f>2*SQRT(F1693/PI())</f>
        <v/>
      </c>
      <c r="H1693" t="n">
        <v>55.64467611520187</v>
      </c>
      <c r="I1693" t="n">
        <v>694</v>
      </c>
      <c r="J1693" t="n">
        <v>157</v>
      </c>
      <c r="K1693" t="n">
        <v>174.9272211720227</v>
      </c>
      <c r="L1693" t="n">
        <v>182.0671077504726</v>
      </c>
      <c r="M1693">
        <f>2*SQRT(K1693/PI())</f>
        <v/>
      </c>
      <c r="N1693">
        <f>2*SQRT(L1693/PI())</f>
        <v/>
      </c>
      <c r="P1693" t="inlineStr">
        <is>
          <t>是</t>
        </is>
      </c>
      <c r="Q1693" t="inlineStr">
        <is>
          <t>auto_pipeline;review_png_green</t>
        </is>
      </c>
      <c r="R1693" t="inlineStr">
        <is>
          <t>样品38</t>
        </is>
      </c>
    </row>
    <row r="1694">
      <c r="A1694" t="n">
        <v>1693</v>
      </c>
      <c r="B1694" t="inlineStr">
        <is>
          <t>39 (1).tif</t>
        </is>
      </c>
      <c r="C1694" t="inlineStr">
        <is>
          <t>39(1)-V01</t>
        </is>
      </c>
      <c r="D1694" t="n">
        <v>1</v>
      </c>
      <c r="E1694" t="inlineStr">
        <is>
          <t>primary</t>
        </is>
      </c>
      <c r="F1694" t="n">
        <v>893.0293005671077</v>
      </c>
      <c r="G1694">
        <f>2*SQRT(F1694/PI())</f>
        <v/>
      </c>
      <c r="H1694" t="n">
        <v>112.8574398548707</v>
      </c>
      <c r="I1694" t="n">
        <v>433</v>
      </c>
      <c r="J1694" t="n">
        <v>471</v>
      </c>
      <c r="K1694" t="n">
        <v>875.1687145557655</v>
      </c>
      <c r="L1694" t="n">
        <v>910.8898865784499</v>
      </c>
      <c r="M1694">
        <f>2*SQRT(K1694/PI())</f>
        <v/>
      </c>
      <c r="N1694">
        <f>2*SQRT(L1694/PI())</f>
        <v/>
      </c>
      <c r="P1694" t="inlineStr">
        <is>
          <t>是</t>
        </is>
      </c>
      <c r="Q1694" t="inlineStr">
        <is>
          <t>auto_pipeline;review_png_green</t>
        </is>
      </c>
      <c r="R1694" t="inlineStr">
        <is>
          <t>样品39</t>
        </is>
      </c>
    </row>
    <row r="1695">
      <c r="A1695" t="n">
        <v>1694</v>
      </c>
      <c r="B1695" t="inlineStr">
        <is>
          <t>39 (1).tif</t>
        </is>
      </c>
      <c r="C1695" t="inlineStr">
        <is>
          <t>39(1)-V02</t>
        </is>
      </c>
      <c r="D1695" t="n">
        <v>2</v>
      </c>
      <c r="E1695" t="inlineStr">
        <is>
          <t>primary</t>
        </is>
      </c>
      <c r="F1695" t="n">
        <v>837.547258979206</v>
      </c>
      <c r="G1695">
        <f>2*SQRT(F1695/PI())</f>
        <v/>
      </c>
      <c r="H1695" t="n">
        <v>109.2736830659535</v>
      </c>
      <c r="I1695" t="n">
        <v>548</v>
      </c>
      <c r="J1695" t="n">
        <v>305</v>
      </c>
      <c r="K1695" t="n">
        <v>820.7963137996219</v>
      </c>
      <c r="L1695" t="n">
        <v>854.2982041587902</v>
      </c>
      <c r="M1695">
        <f>2*SQRT(K1695/PI())</f>
        <v/>
      </c>
      <c r="N1695">
        <f>2*SQRT(L1695/PI())</f>
        <v/>
      </c>
      <c r="P1695" t="inlineStr">
        <is>
          <t>是</t>
        </is>
      </c>
      <c r="Q1695" t="inlineStr">
        <is>
          <t>auto_pipeline;review_png_green</t>
        </is>
      </c>
      <c r="R1695" t="inlineStr">
        <is>
          <t>样品39</t>
        </is>
      </c>
    </row>
    <row r="1696">
      <c r="A1696" t="n">
        <v>1695</v>
      </c>
      <c r="B1696" t="inlineStr">
        <is>
          <t>39 (1).tif</t>
        </is>
      </c>
      <c r="C1696" t="inlineStr">
        <is>
          <t>39(1)-V03</t>
        </is>
      </c>
      <c r="D1696" t="n">
        <v>3</v>
      </c>
      <c r="E1696" t="inlineStr">
        <is>
          <t>primary</t>
        </is>
      </c>
      <c r="F1696" t="n">
        <v>748.4877126654064</v>
      </c>
      <c r="G1696">
        <f>2*SQRT(F1696/PI())</f>
        <v/>
      </c>
      <c r="H1696" t="n">
        <v>103.463265273882</v>
      </c>
      <c r="I1696" t="n">
        <v>649</v>
      </c>
      <c r="J1696" t="n">
        <v>448</v>
      </c>
      <c r="K1696" t="n">
        <v>733.5179584120983</v>
      </c>
      <c r="L1696" t="n">
        <v>763.4574669187145</v>
      </c>
      <c r="M1696">
        <f>2*SQRT(K1696/PI())</f>
        <v/>
      </c>
      <c r="N1696">
        <f>2*SQRT(L1696/PI())</f>
        <v/>
      </c>
      <c r="P1696" t="inlineStr">
        <is>
          <t>是</t>
        </is>
      </c>
      <c r="Q1696" t="inlineStr">
        <is>
          <t>auto_pipeline;review_png_green</t>
        </is>
      </c>
      <c r="R1696" t="inlineStr">
        <is>
          <t>样品39</t>
        </is>
      </c>
    </row>
    <row r="1697">
      <c r="A1697" t="n">
        <v>1696</v>
      </c>
      <c r="B1697" t="inlineStr">
        <is>
          <t>39 (1).tif</t>
        </is>
      </c>
      <c r="C1697" t="inlineStr">
        <is>
          <t>39(1)-V04</t>
        </is>
      </c>
      <c r="D1697" t="n">
        <v>4</v>
      </c>
      <c r="E1697" t="inlineStr">
        <is>
          <t>primary</t>
        </is>
      </c>
      <c r="F1697" t="n">
        <v>559.8534971644613</v>
      </c>
      <c r="G1697">
        <f>2*SQRT(F1697/PI())</f>
        <v/>
      </c>
      <c r="H1697" t="n">
        <v>88.7462034691935</v>
      </c>
      <c r="I1697" t="n">
        <v>878</v>
      </c>
      <c r="J1697" t="n">
        <v>484</v>
      </c>
      <c r="K1697" t="n">
        <v>548.6564272211721</v>
      </c>
      <c r="L1697" t="n">
        <v>571.0505671077505</v>
      </c>
      <c r="M1697">
        <f>2*SQRT(K1697/PI())</f>
        <v/>
      </c>
      <c r="N1697">
        <f>2*SQRT(L1697/PI())</f>
        <v/>
      </c>
      <c r="P1697" t="inlineStr">
        <is>
          <t>是</t>
        </is>
      </c>
      <c r="Q1697" t="inlineStr">
        <is>
          <t>auto_pipeline;review_png_green</t>
        </is>
      </c>
      <c r="R1697" t="inlineStr">
        <is>
          <t>样品39</t>
        </is>
      </c>
    </row>
    <row r="1698">
      <c r="A1698" t="n">
        <v>1697</v>
      </c>
      <c r="B1698" t="inlineStr">
        <is>
          <t>39 (1).tif</t>
        </is>
      </c>
      <c r="C1698" t="inlineStr">
        <is>
          <t>39(1)-V05</t>
        </is>
      </c>
      <c r="D1698" t="n">
        <v>5</v>
      </c>
      <c r="E1698" t="inlineStr">
        <is>
          <t>primary</t>
        </is>
      </c>
      <c r="F1698" t="n">
        <v>465.430056710775</v>
      </c>
      <c r="G1698">
        <f>2*SQRT(F1698/PI())</f>
        <v/>
      </c>
      <c r="H1698" t="n">
        <v>81.83337965737218</v>
      </c>
      <c r="I1698" t="n">
        <v>899</v>
      </c>
      <c r="J1698" t="n">
        <v>136</v>
      </c>
      <c r="K1698" t="n">
        <v>456.1214555765595</v>
      </c>
      <c r="L1698" t="n">
        <v>474.7386578449905</v>
      </c>
      <c r="M1698">
        <f>2*SQRT(K1698/PI())</f>
        <v/>
      </c>
      <c r="N1698">
        <f>2*SQRT(L1698/PI())</f>
        <v/>
      </c>
      <c r="P1698" t="inlineStr">
        <is>
          <t>是</t>
        </is>
      </c>
      <c r="Q1698" t="inlineStr">
        <is>
          <t>auto_pipeline;review_png_green</t>
        </is>
      </c>
      <c r="R1698" t="inlineStr">
        <is>
          <t>样品39</t>
        </is>
      </c>
    </row>
    <row r="1699">
      <c r="A1699" t="n">
        <v>1698</v>
      </c>
      <c r="B1699" t="inlineStr">
        <is>
          <t>39 (1).tif</t>
        </is>
      </c>
      <c r="C1699" t="inlineStr">
        <is>
          <t>39(1)-V06</t>
        </is>
      </c>
      <c r="D1699" t="n">
        <v>6</v>
      </c>
      <c r="E1699" t="inlineStr">
        <is>
          <t>primary</t>
        </is>
      </c>
      <c r="F1699" t="n">
        <v>337.0982986767486</v>
      </c>
      <c r="G1699">
        <f>2*SQRT(F1699/PI())</f>
        <v/>
      </c>
      <c r="H1699" t="n">
        <v>69.4703237388445</v>
      </c>
      <c r="I1699" t="n">
        <v>512</v>
      </c>
      <c r="J1699" t="n">
        <v>152</v>
      </c>
      <c r="K1699" t="n">
        <v>330.3563327032136</v>
      </c>
      <c r="L1699" t="n">
        <v>343.8402646502836</v>
      </c>
      <c r="M1699">
        <f>2*SQRT(K1699/PI())</f>
        <v/>
      </c>
      <c r="N1699">
        <f>2*SQRT(L1699/PI())</f>
        <v/>
      </c>
      <c r="P1699" t="inlineStr">
        <is>
          <t>是</t>
        </is>
      </c>
      <c r="Q1699" t="inlineStr">
        <is>
          <t>auto_pipeline;review_png_green</t>
        </is>
      </c>
      <c r="R1699" t="inlineStr">
        <is>
          <t>样品39</t>
        </is>
      </c>
    </row>
    <row r="1700">
      <c r="A1700" t="n">
        <v>1699</v>
      </c>
      <c r="B1700" t="inlineStr">
        <is>
          <t>39 (2).tif</t>
        </is>
      </c>
      <c r="C1700" t="inlineStr">
        <is>
          <t>39(2)-V01</t>
        </is>
      </c>
      <c r="D1700" t="n">
        <v>1</v>
      </c>
      <c r="E1700" t="inlineStr">
        <is>
          <t>primary</t>
        </is>
      </c>
      <c r="F1700" t="n">
        <v>808.3175803402646</v>
      </c>
      <c r="G1700">
        <f>2*SQRT(F1700/PI())</f>
        <v/>
      </c>
      <c r="H1700" t="n">
        <v>107.1525179821512</v>
      </c>
      <c r="I1700" t="n">
        <v>562</v>
      </c>
      <c r="J1700" t="n">
        <v>284</v>
      </c>
      <c r="K1700" t="n">
        <v>792.1512287334593</v>
      </c>
      <c r="L1700" t="n">
        <v>824.4839319470699</v>
      </c>
      <c r="M1700">
        <f>2*SQRT(K1700/PI())</f>
        <v/>
      </c>
      <c r="N1700">
        <f>2*SQRT(L1700/PI())</f>
        <v/>
      </c>
      <c r="O1700" t="inlineStr">
        <is>
          <t>39(2)-P01</t>
        </is>
      </c>
      <c r="P1700" t="inlineStr">
        <is>
          <t>是</t>
        </is>
      </c>
      <c r="Q1700" t="inlineStr">
        <is>
          <t>auto_pipeline;review_png_green</t>
        </is>
      </c>
      <c r="R1700" t="inlineStr">
        <is>
          <t>样品39</t>
        </is>
      </c>
    </row>
    <row r="1701">
      <c r="A1701" t="n">
        <v>1700</v>
      </c>
      <c r="B1701" t="inlineStr">
        <is>
          <t>39 (2).tif</t>
        </is>
      </c>
      <c r="C1701" t="inlineStr">
        <is>
          <t>39(2)-V02</t>
        </is>
      </c>
      <c r="D1701" t="n">
        <v>2</v>
      </c>
      <c r="E1701" t="inlineStr">
        <is>
          <t>primary</t>
        </is>
      </c>
      <c r="F1701" t="n">
        <v>736.0113421550094</v>
      </c>
      <c r="G1701">
        <f>2*SQRT(F1701/PI())</f>
        <v/>
      </c>
      <c r="H1701" t="n">
        <v>104.0781407252602</v>
      </c>
      <c r="I1701" t="n">
        <v>460</v>
      </c>
      <c r="J1701" t="n">
        <v>425</v>
      </c>
      <c r="K1701" t="n">
        <v>721.2911153119092</v>
      </c>
      <c r="L1701" t="n">
        <v>750.7315689981097</v>
      </c>
      <c r="M1701">
        <f>2*SQRT(K1701/PI())</f>
        <v/>
      </c>
      <c r="N1701">
        <f>2*SQRT(L1701/PI())</f>
        <v/>
      </c>
      <c r="O1701" t="inlineStr">
        <is>
          <t>39(2)-P01</t>
        </is>
      </c>
      <c r="P1701" t="inlineStr">
        <is>
          <t>是</t>
        </is>
      </c>
      <c r="Q1701" t="inlineStr">
        <is>
          <t>auto_pipeline;review_png_green</t>
        </is>
      </c>
      <c r="R1701" t="inlineStr">
        <is>
          <t>样品39</t>
        </is>
      </c>
    </row>
    <row r="1702">
      <c r="A1702" t="n">
        <v>1701</v>
      </c>
      <c r="B1702" t="inlineStr">
        <is>
          <t>39 (2).tif</t>
        </is>
      </c>
      <c r="C1702" t="inlineStr">
        <is>
          <t>39(2)-V03</t>
        </is>
      </c>
      <c r="D1702" t="n">
        <v>3</v>
      </c>
      <c r="E1702" t="inlineStr">
        <is>
          <t>primary</t>
        </is>
      </c>
      <c r="F1702" t="n">
        <v>582.4905482041588</v>
      </c>
      <c r="G1702">
        <f>2*SQRT(F1702/PI())</f>
        <v/>
      </c>
      <c r="H1702" t="n">
        <v>92.6901459434758</v>
      </c>
      <c r="I1702" t="n">
        <v>719</v>
      </c>
      <c r="J1702" t="n">
        <v>205</v>
      </c>
      <c r="K1702" t="n">
        <v>570.8407372400757</v>
      </c>
      <c r="L1702" t="n">
        <v>594.140359168242</v>
      </c>
      <c r="M1702">
        <f>2*SQRT(K1702/PI())</f>
        <v/>
      </c>
      <c r="N1702">
        <f>2*SQRT(L1702/PI())</f>
        <v/>
      </c>
      <c r="P1702" t="inlineStr">
        <is>
          <t>是</t>
        </is>
      </c>
      <c r="Q1702" t="inlineStr">
        <is>
          <t>auto_pipeline;review_png_green</t>
        </is>
      </c>
      <c r="R1702" t="inlineStr">
        <is>
          <t>样品39</t>
        </is>
      </c>
    </row>
    <row r="1703">
      <c r="A1703" t="n">
        <v>1702</v>
      </c>
      <c r="B1703" t="inlineStr">
        <is>
          <t>39 (2).tif</t>
        </is>
      </c>
      <c r="C1703" t="inlineStr">
        <is>
          <t>39(2)-V04</t>
        </is>
      </c>
      <c r="D1703" t="n">
        <v>4</v>
      </c>
      <c r="E1703" t="inlineStr">
        <is>
          <t>primary</t>
        </is>
      </c>
      <c r="F1703" t="n">
        <v>485.586011342155</v>
      </c>
      <c r="G1703">
        <f>2*SQRT(F1703/PI())</f>
        <v/>
      </c>
      <c r="H1703" t="n">
        <v>87.34540975612143</v>
      </c>
      <c r="I1703" t="n">
        <v>235</v>
      </c>
      <c r="J1703" t="n">
        <v>270</v>
      </c>
      <c r="K1703" t="n">
        <v>475.8742911153119</v>
      </c>
      <c r="L1703" t="n">
        <v>495.2977315689981</v>
      </c>
      <c r="M1703">
        <f>2*SQRT(K1703/PI())</f>
        <v/>
      </c>
      <c r="N1703">
        <f>2*SQRT(L1703/PI())</f>
        <v/>
      </c>
      <c r="P1703" t="inlineStr">
        <is>
          <t>是</t>
        </is>
      </c>
      <c r="Q1703" t="inlineStr">
        <is>
          <t>auto_pipeline;review_png_green</t>
        </is>
      </c>
      <c r="R1703" t="inlineStr">
        <is>
          <t>样品39</t>
        </is>
      </c>
    </row>
    <row r="1704">
      <c r="A1704" t="n">
        <v>1703</v>
      </c>
      <c r="B1704" t="inlineStr">
        <is>
          <t>39 (2).tif</t>
        </is>
      </c>
      <c r="C1704" t="inlineStr">
        <is>
          <t>39(2)-V05</t>
        </is>
      </c>
      <c r="D1704" t="n">
        <v>5</v>
      </c>
      <c r="E1704" t="inlineStr">
        <is>
          <t>primary</t>
        </is>
      </c>
      <c r="F1704" t="n">
        <v>202.1266540642722</v>
      </c>
      <c r="G1704">
        <f>2*SQRT(F1704/PI())</f>
        <v/>
      </c>
      <c r="H1704" t="n">
        <v>82.72479383841805</v>
      </c>
      <c r="I1704" t="n">
        <v>586</v>
      </c>
      <c r="J1704" t="n">
        <v>549</v>
      </c>
      <c r="K1704" t="n">
        <v>198.0841209829867</v>
      </c>
      <c r="L1704" t="n">
        <v>206.1691871455577</v>
      </c>
      <c r="M1704">
        <f>2*SQRT(K1704/PI())</f>
        <v/>
      </c>
      <c r="N1704">
        <f>2*SQRT(L1704/PI())</f>
        <v/>
      </c>
      <c r="P1704" t="inlineStr">
        <is>
          <t>是</t>
        </is>
      </c>
      <c r="Q1704" t="inlineStr">
        <is>
          <t>auto_pipeline;review_png_green</t>
        </is>
      </c>
      <c r="R1704" t="inlineStr">
        <is>
          <t>样品39</t>
        </is>
      </c>
    </row>
    <row r="1705">
      <c r="A1705" t="n">
        <v>1704</v>
      </c>
      <c r="B1705" t="inlineStr">
        <is>
          <t>39 (2).tif</t>
        </is>
      </c>
      <c r="C1705" t="inlineStr">
        <is>
          <t>39(2)-V06</t>
        </is>
      </c>
      <c r="D1705" t="n">
        <v>6</v>
      </c>
      <c r="E1705" t="inlineStr">
        <is>
          <t>primary</t>
        </is>
      </c>
      <c r="F1705" t="n">
        <v>164.2013232514178</v>
      </c>
      <c r="G1705">
        <f>2*SQRT(F1705/PI())</f>
        <v/>
      </c>
      <c r="H1705" t="n">
        <v>81.83337965737218</v>
      </c>
      <c r="I1705" t="n">
        <v>567</v>
      </c>
      <c r="J1705" t="n">
        <v>624</v>
      </c>
      <c r="K1705" t="n">
        <v>160.9172967863894</v>
      </c>
      <c r="L1705" t="n">
        <v>167.4853497164461</v>
      </c>
      <c r="M1705">
        <f>2*SQRT(K1705/PI())</f>
        <v/>
      </c>
      <c r="N1705">
        <f>2*SQRT(L1705/PI())</f>
        <v/>
      </c>
      <c r="P1705" t="inlineStr">
        <is>
          <t>是</t>
        </is>
      </c>
      <c r="Q1705" t="inlineStr">
        <is>
          <t>auto_pipeline;review_png_green</t>
        </is>
      </c>
      <c r="R1705" t="inlineStr">
        <is>
          <t>样品39</t>
        </is>
      </c>
    </row>
    <row r="1706">
      <c r="A1706" t="n">
        <v>1705</v>
      </c>
      <c r="B1706" t="inlineStr">
        <is>
          <t>39 (2).tif</t>
        </is>
      </c>
      <c r="C1706" t="inlineStr">
        <is>
          <t>39(2)-V07</t>
        </is>
      </c>
      <c r="D1706" t="n">
        <v>7</v>
      </c>
      <c r="E1706" t="inlineStr">
        <is>
          <t>primary</t>
        </is>
      </c>
      <c r="F1706" t="n">
        <v>160.586011342155</v>
      </c>
      <c r="G1706">
        <f>2*SQRT(F1706/PI())</f>
        <v/>
      </c>
      <c r="H1706" t="n">
        <v>51.95542340693267</v>
      </c>
      <c r="I1706" t="n">
        <v>967</v>
      </c>
      <c r="J1706" t="n">
        <v>576</v>
      </c>
      <c r="K1706" t="n">
        <v>157.3742911153119</v>
      </c>
      <c r="L1706" t="n">
        <v>163.7977315689981</v>
      </c>
      <c r="M1706">
        <f>2*SQRT(K1706/PI())</f>
        <v/>
      </c>
      <c r="N1706">
        <f>2*SQRT(L1706/PI())</f>
        <v/>
      </c>
      <c r="P1706" t="inlineStr">
        <is>
          <t>是</t>
        </is>
      </c>
      <c r="Q1706" t="inlineStr">
        <is>
          <t>auto_pipeline;review_png_green</t>
        </is>
      </c>
      <c r="R1706" t="inlineStr">
        <is>
          <t>样品39</t>
        </is>
      </c>
    </row>
    <row r="1707">
      <c r="A1707" t="n">
        <v>1706</v>
      </c>
      <c r="B1707" t="inlineStr">
        <is>
          <t>39 (3).tif</t>
        </is>
      </c>
      <c r="C1707" t="inlineStr">
        <is>
          <t>39(3)-V01</t>
        </is>
      </c>
      <c r="D1707" t="n">
        <v>1</v>
      </c>
      <c r="E1707" t="inlineStr">
        <is>
          <t>primary</t>
        </is>
      </c>
      <c r="F1707" t="n">
        <v>985.4678638941399</v>
      </c>
      <c r="G1707">
        <f>2*SQRT(F1707/PI())</f>
        <v/>
      </c>
      <c r="H1707" t="n">
        <v>118.7952025299487</v>
      </c>
      <c r="I1707" t="n">
        <v>534</v>
      </c>
      <c r="J1707" t="n">
        <v>338</v>
      </c>
      <c r="K1707" t="n">
        <v>965.7585066162571</v>
      </c>
      <c r="L1707" t="n">
        <v>1005.177221172023</v>
      </c>
      <c r="M1707">
        <f>2*SQRT(K1707/PI())</f>
        <v/>
      </c>
      <c r="N1707">
        <f>2*SQRT(L1707/PI())</f>
        <v/>
      </c>
      <c r="P1707" t="inlineStr">
        <is>
          <t>是</t>
        </is>
      </c>
      <c r="Q1707" t="inlineStr">
        <is>
          <t>auto_pipeline;review_png_green</t>
        </is>
      </c>
      <c r="R1707" t="inlineStr">
        <is>
          <t>样品39</t>
        </is>
      </c>
    </row>
    <row r="1708">
      <c r="A1708" t="n">
        <v>1707</v>
      </c>
      <c r="B1708" t="inlineStr">
        <is>
          <t>39 (3).tif</t>
        </is>
      </c>
      <c r="C1708" t="inlineStr">
        <is>
          <t>39(3)-V02</t>
        </is>
      </c>
      <c r="D1708" t="n">
        <v>2</v>
      </c>
      <c r="E1708" t="inlineStr">
        <is>
          <t>primary</t>
        </is>
      </c>
      <c r="F1708" t="n">
        <v>770.0850661625709</v>
      </c>
      <c r="G1708">
        <f>2*SQRT(F1708/PI())</f>
        <v/>
      </c>
      <c r="H1708" t="n">
        <v>104.5438223299773</v>
      </c>
      <c r="I1708" t="n">
        <v>868</v>
      </c>
      <c r="J1708" t="n">
        <v>352</v>
      </c>
      <c r="K1708" t="n">
        <v>754.6833648393194</v>
      </c>
      <c r="L1708" t="n">
        <v>785.4867674858224</v>
      </c>
      <c r="M1708">
        <f>2*SQRT(K1708/PI())</f>
        <v/>
      </c>
      <c r="N1708">
        <f>2*SQRT(L1708/PI())</f>
        <v/>
      </c>
      <c r="P1708" t="inlineStr">
        <is>
          <t>是</t>
        </is>
      </c>
      <c r="Q1708" t="inlineStr">
        <is>
          <t>auto_pipeline;review_png_green</t>
        </is>
      </c>
      <c r="R1708" t="inlineStr">
        <is>
          <t>样品39</t>
        </is>
      </c>
    </row>
    <row r="1709">
      <c r="A1709" t="n">
        <v>1708</v>
      </c>
      <c r="B1709" t="inlineStr">
        <is>
          <t>39 (4).tif</t>
        </is>
      </c>
      <c r="C1709" t="inlineStr">
        <is>
          <t>39(4)-V01</t>
        </is>
      </c>
      <c r="D1709" t="n">
        <v>1</v>
      </c>
      <c r="E1709" t="inlineStr">
        <is>
          <t>primary</t>
        </is>
      </c>
      <c r="F1709" t="n">
        <v>577.2448015122874</v>
      </c>
      <c r="G1709">
        <f>2*SQRT(F1709/PI())</f>
        <v/>
      </c>
      <c r="H1709" t="n">
        <v>90.59082982332809</v>
      </c>
      <c r="I1709" t="n">
        <v>149</v>
      </c>
      <c r="J1709" t="n">
        <v>454</v>
      </c>
      <c r="K1709" t="n">
        <v>565.6999054820416</v>
      </c>
      <c r="L1709" t="n">
        <v>588.7896975425332</v>
      </c>
      <c r="M1709">
        <f>2*SQRT(K1709/PI())</f>
        <v/>
      </c>
      <c r="N1709">
        <f>2*SQRT(L1709/PI())</f>
        <v/>
      </c>
      <c r="P1709" t="inlineStr">
        <is>
          <t>是</t>
        </is>
      </c>
      <c r="Q1709" t="inlineStr">
        <is>
          <t>auto_pipeline;review_png_green</t>
        </is>
      </c>
      <c r="R1709" t="inlineStr">
        <is>
          <t>样品39</t>
        </is>
      </c>
    </row>
    <row r="1710">
      <c r="A1710" t="n">
        <v>1709</v>
      </c>
      <c r="B1710" t="inlineStr">
        <is>
          <t>39 (4).tif</t>
        </is>
      </c>
      <c r="C1710" t="inlineStr">
        <is>
          <t>39(4)-V02</t>
        </is>
      </c>
      <c r="D1710" t="n">
        <v>2</v>
      </c>
      <c r="E1710" t="inlineStr">
        <is>
          <t>primary</t>
        </is>
      </c>
      <c r="F1710" t="n">
        <v>515.2410207939508</v>
      </c>
      <c r="G1710">
        <f>2*SQRT(F1710/PI())</f>
        <v/>
      </c>
      <c r="H1710" t="n">
        <v>85.16244668027629</v>
      </c>
      <c r="I1710" t="n">
        <v>568</v>
      </c>
      <c r="J1710" t="n">
        <v>410</v>
      </c>
      <c r="K1710" t="n">
        <v>504.9362003780718</v>
      </c>
      <c r="L1710" t="n">
        <v>525.5458412098299</v>
      </c>
      <c r="M1710">
        <f>2*SQRT(K1710/PI())</f>
        <v/>
      </c>
      <c r="N1710">
        <f>2*SQRT(L1710/PI())</f>
        <v/>
      </c>
      <c r="O1710" t="inlineStr">
        <is>
          <t>39(4)-P01</t>
        </is>
      </c>
      <c r="P1710" t="inlineStr">
        <is>
          <t>是</t>
        </is>
      </c>
      <c r="Q1710" t="inlineStr">
        <is>
          <t>auto_pipeline;review_png_green</t>
        </is>
      </c>
      <c r="R1710" t="inlineStr">
        <is>
          <t>样品39</t>
        </is>
      </c>
    </row>
    <row r="1711">
      <c r="A1711" t="n">
        <v>1710</v>
      </c>
      <c r="B1711" t="inlineStr">
        <is>
          <t>39 (4).tif</t>
        </is>
      </c>
      <c r="C1711" t="inlineStr">
        <is>
          <t>39(4)-V03</t>
        </is>
      </c>
      <c r="D1711" t="n">
        <v>3</v>
      </c>
      <c r="E1711" t="inlineStr">
        <is>
          <t>primary</t>
        </is>
      </c>
      <c r="F1711" t="n">
        <v>497.8733459357278</v>
      </c>
      <c r="G1711">
        <f>2*SQRT(F1711/PI())</f>
        <v/>
      </c>
      <c r="H1711" t="n">
        <v>83.55066112850024</v>
      </c>
      <c r="I1711" t="n">
        <v>474</v>
      </c>
      <c r="J1711" t="n">
        <v>311</v>
      </c>
      <c r="K1711" t="n">
        <v>487.9158790170133</v>
      </c>
      <c r="L1711" t="n">
        <v>507.8308128544423</v>
      </c>
      <c r="M1711">
        <f>2*SQRT(K1711/PI())</f>
        <v/>
      </c>
      <c r="N1711">
        <f>2*SQRT(L1711/PI())</f>
        <v/>
      </c>
      <c r="O1711" t="inlineStr">
        <is>
          <t>39(4)-P01</t>
        </is>
      </c>
      <c r="P1711" t="inlineStr">
        <is>
          <t>是</t>
        </is>
      </c>
      <c r="Q1711" t="inlineStr">
        <is>
          <t>auto_pipeline;review_png_green</t>
        </is>
      </c>
      <c r="R1711" t="inlineStr">
        <is>
          <t>样品39</t>
        </is>
      </c>
    </row>
    <row r="1712">
      <c r="A1712" t="n">
        <v>1711</v>
      </c>
      <c r="B1712" t="inlineStr">
        <is>
          <t>39 (4).tif</t>
        </is>
      </c>
      <c r="C1712" t="inlineStr">
        <is>
          <t>39(4)-V04</t>
        </is>
      </c>
      <c r="D1712" t="n">
        <v>4</v>
      </c>
      <c r="E1712" t="inlineStr">
        <is>
          <t>primary</t>
        </is>
      </c>
      <c r="F1712" t="n">
        <v>299.1965973534972</v>
      </c>
      <c r="G1712">
        <f>2*SQRT(F1712/PI())</f>
        <v/>
      </c>
      <c r="H1712" t="n">
        <v>70.59457872224891</v>
      </c>
      <c r="I1712" t="n">
        <v>284</v>
      </c>
      <c r="J1712" t="n">
        <v>615</v>
      </c>
      <c r="K1712" t="n">
        <v>293.2126654064272</v>
      </c>
      <c r="L1712" t="n">
        <v>305.1805293005671</v>
      </c>
      <c r="M1712">
        <f>2*SQRT(K1712/PI())</f>
        <v/>
      </c>
      <c r="N1712">
        <f>2*SQRT(L1712/PI())</f>
        <v/>
      </c>
      <c r="P1712" t="inlineStr">
        <is>
          <t>是</t>
        </is>
      </c>
      <c r="Q1712" t="inlineStr">
        <is>
          <t>auto_pipeline;review_png_green</t>
        </is>
      </c>
      <c r="R1712" t="inlineStr">
        <is>
          <t>样品39</t>
        </is>
      </c>
    </row>
    <row r="1713">
      <c r="A1713" t="n">
        <v>1712</v>
      </c>
      <c r="B1713" t="inlineStr">
        <is>
          <t>39 (4).tif</t>
        </is>
      </c>
      <c r="C1713" t="inlineStr">
        <is>
          <t>39(4)-V05</t>
        </is>
      </c>
      <c r="D1713" t="n">
        <v>5</v>
      </c>
      <c r="E1713" t="inlineStr">
        <is>
          <t>primary</t>
        </is>
      </c>
      <c r="F1713" t="n">
        <v>200.6616257088847</v>
      </c>
      <c r="G1713">
        <f>2*SQRT(F1713/PI())</f>
        <v/>
      </c>
      <c r="H1713" t="n">
        <v>54.62591705114945</v>
      </c>
      <c r="I1713" t="n">
        <v>434</v>
      </c>
      <c r="J1713" t="n">
        <v>160</v>
      </c>
      <c r="K1713" t="n">
        <v>196.648393194707</v>
      </c>
      <c r="L1713" t="n">
        <v>204.6748582230624</v>
      </c>
      <c r="M1713">
        <f>2*SQRT(K1713/PI())</f>
        <v/>
      </c>
      <c r="N1713">
        <f>2*SQRT(L1713/PI())</f>
        <v/>
      </c>
      <c r="P1713" t="inlineStr">
        <is>
          <t>是</t>
        </is>
      </c>
      <c r="Q1713" t="inlineStr">
        <is>
          <t>auto_pipeline;review_png_green</t>
        </is>
      </c>
      <c r="R1713" t="inlineStr">
        <is>
          <t>样品39</t>
        </is>
      </c>
    </row>
    <row r="1714">
      <c r="A1714" t="n">
        <v>1713</v>
      </c>
      <c r="B1714" t="inlineStr">
        <is>
          <t>39 (4).tif</t>
        </is>
      </c>
      <c r="C1714" t="inlineStr">
        <is>
          <t>39(4)-V06</t>
        </is>
      </c>
      <c r="D1714" t="n">
        <v>6</v>
      </c>
      <c r="E1714" t="inlineStr">
        <is>
          <t>primary</t>
        </is>
      </c>
      <c r="F1714" t="n">
        <v>182.8213610586011</v>
      </c>
      <c r="G1714">
        <f>2*SQRT(F1714/PI())</f>
        <v/>
      </c>
      <c r="H1714" t="n">
        <v>52.39925604799519</v>
      </c>
      <c r="I1714" t="n">
        <v>287</v>
      </c>
      <c r="J1714" t="n">
        <v>97</v>
      </c>
      <c r="K1714" t="n">
        <v>179.1649338374291</v>
      </c>
      <c r="L1714" t="n">
        <v>186.4777882797732</v>
      </c>
      <c r="M1714">
        <f>2*SQRT(K1714/PI())</f>
        <v/>
      </c>
      <c r="N1714">
        <f>2*SQRT(L1714/PI())</f>
        <v/>
      </c>
      <c r="P1714" t="inlineStr">
        <is>
          <t>是</t>
        </is>
      </c>
      <c r="Q1714" t="inlineStr">
        <is>
          <t>auto_pipeline;review_png_green</t>
        </is>
      </c>
      <c r="R1714" t="inlineStr">
        <is>
          <t>样品39</t>
        </is>
      </c>
    </row>
    <row r="1715">
      <c r="A1715" t="n">
        <v>1714</v>
      </c>
      <c r="B1715" t="inlineStr">
        <is>
          <t>39 (4).tif</t>
        </is>
      </c>
      <c r="C1715" t="inlineStr">
        <is>
          <t>39(4)-V07</t>
        </is>
      </c>
      <c r="D1715" t="n">
        <v>7</v>
      </c>
      <c r="E1715" t="inlineStr">
        <is>
          <t>primary</t>
        </is>
      </c>
      <c r="F1715" t="n">
        <v>168.9981096408318</v>
      </c>
      <c r="G1715">
        <f>2*SQRT(F1715/PI())</f>
        <v/>
      </c>
      <c r="H1715" t="n">
        <v>48.94284414208453</v>
      </c>
      <c r="I1715" t="n">
        <v>171</v>
      </c>
      <c r="J1715" t="n">
        <v>597</v>
      </c>
      <c r="K1715" t="n">
        <v>165.6181474480151</v>
      </c>
      <c r="L1715" t="n">
        <v>172.3780718336484</v>
      </c>
      <c r="M1715">
        <f>2*SQRT(K1715/PI())</f>
        <v/>
      </c>
      <c r="N1715">
        <f>2*SQRT(L1715/PI())</f>
        <v/>
      </c>
      <c r="P1715" t="inlineStr">
        <is>
          <t>是</t>
        </is>
      </c>
      <c r="Q1715" t="inlineStr">
        <is>
          <t>auto_pipeline;review_png_green</t>
        </is>
      </c>
      <c r="R1715" t="inlineStr">
        <is>
          <t>样品39</t>
        </is>
      </c>
    </row>
    <row r="1716">
      <c r="A1716" t="n">
        <v>1715</v>
      </c>
      <c r="B1716" t="inlineStr">
        <is>
          <t>39 (4).tif</t>
        </is>
      </c>
      <c r="C1716" t="inlineStr">
        <is>
          <t>39(4)-V08</t>
        </is>
      </c>
      <c r="D1716" t="n">
        <v>8</v>
      </c>
      <c r="E1716" t="inlineStr">
        <is>
          <t>primary</t>
        </is>
      </c>
      <c r="F1716" t="n">
        <v>163.5869565217391</v>
      </c>
      <c r="G1716">
        <f>2*SQRT(F1716/PI())</f>
        <v/>
      </c>
      <c r="H1716" t="n">
        <v>58.86449831983317</v>
      </c>
      <c r="I1716" t="n">
        <v>182</v>
      </c>
      <c r="J1716" t="n">
        <v>153</v>
      </c>
      <c r="K1716" t="n">
        <v>160.3152173913043</v>
      </c>
      <c r="L1716" t="n">
        <v>166.8586956521739</v>
      </c>
      <c r="M1716">
        <f>2*SQRT(K1716/PI())</f>
        <v/>
      </c>
      <c r="N1716">
        <f>2*SQRT(L1716/PI())</f>
        <v/>
      </c>
      <c r="P1716" t="inlineStr">
        <is>
          <t>是</t>
        </is>
      </c>
      <c r="Q1716" t="inlineStr">
        <is>
          <t>auto_pipeline;review_png_green</t>
        </is>
      </c>
      <c r="R1716" t="inlineStr">
        <is>
          <t>样品39</t>
        </is>
      </c>
    </row>
    <row r="1717">
      <c r="A1717" t="n">
        <v>1716</v>
      </c>
      <c r="B1717" t="inlineStr">
        <is>
          <t>39 (5).tif</t>
        </is>
      </c>
      <c r="C1717" t="inlineStr">
        <is>
          <t>39(5)-V01</t>
        </is>
      </c>
      <c r="D1717" t="n">
        <v>1</v>
      </c>
      <c r="E1717" t="inlineStr">
        <is>
          <t>primary</t>
        </is>
      </c>
      <c r="F1717" t="n">
        <v>1012.074669187146</v>
      </c>
      <c r="G1717">
        <f>2*SQRT(F1717/PI())</f>
        <v/>
      </c>
      <c r="H1717" t="n">
        <v>119.770263666692</v>
      </c>
      <c r="I1717" t="n">
        <v>505</v>
      </c>
      <c r="J1717" t="n">
        <v>266</v>
      </c>
      <c r="K1717" t="n">
        <v>991.8331758034026</v>
      </c>
      <c r="L1717" t="n">
        <v>1032.316162570889</v>
      </c>
      <c r="M1717">
        <f>2*SQRT(K1717/PI())</f>
        <v/>
      </c>
      <c r="N1717">
        <f>2*SQRT(L1717/PI())</f>
        <v/>
      </c>
      <c r="P1717" t="inlineStr">
        <is>
          <t>是</t>
        </is>
      </c>
      <c r="Q1717" t="inlineStr">
        <is>
          <t>auto_pipeline;review_png_green</t>
        </is>
      </c>
      <c r="R1717" t="inlineStr">
        <is>
          <t>样品39</t>
        </is>
      </c>
    </row>
    <row r="1718">
      <c r="A1718" t="n">
        <v>1717</v>
      </c>
      <c r="B1718" t="inlineStr">
        <is>
          <t>39 (5).tif</t>
        </is>
      </c>
      <c r="C1718" t="inlineStr">
        <is>
          <t>39(5)-V02</t>
        </is>
      </c>
      <c r="D1718" t="n">
        <v>2</v>
      </c>
      <c r="E1718" t="inlineStr">
        <is>
          <t>primary</t>
        </is>
      </c>
      <c r="F1718" t="n">
        <v>693.5964083175803</v>
      </c>
      <c r="G1718">
        <f>2*SQRT(F1718/PI())</f>
        <v/>
      </c>
      <c r="H1718" t="n">
        <v>101.2366042707277</v>
      </c>
      <c r="I1718" t="n">
        <v>151</v>
      </c>
      <c r="J1718" t="n">
        <v>423</v>
      </c>
      <c r="K1718" t="n">
        <v>679.7244801512287</v>
      </c>
      <c r="L1718" t="n">
        <v>707.4683364839319</v>
      </c>
      <c r="M1718">
        <f>2*SQRT(K1718/PI())</f>
        <v/>
      </c>
      <c r="N1718">
        <f>2*SQRT(L1718/PI())</f>
        <v/>
      </c>
      <c r="P1718" t="inlineStr">
        <is>
          <t>是</t>
        </is>
      </c>
      <c r="Q1718" t="inlineStr">
        <is>
          <t>auto_pipeline;review_png_green</t>
        </is>
      </c>
      <c r="R1718" t="inlineStr">
        <is>
          <t>样品39</t>
        </is>
      </c>
    </row>
    <row r="1719">
      <c r="A1719" t="n">
        <v>1718</v>
      </c>
      <c r="B1719" t="inlineStr">
        <is>
          <t>39 (5).tif</t>
        </is>
      </c>
      <c r="C1719" t="inlineStr">
        <is>
          <t>39(5)-V03</t>
        </is>
      </c>
      <c r="D1719" t="n">
        <v>3</v>
      </c>
      <c r="E1719" t="inlineStr">
        <is>
          <t>primary</t>
        </is>
      </c>
      <c r="F1719" t="n">
        <v>500.1890359168242</v>
      </c>
      <c r="G1719">
        <f>2*SQRT(F1719/PI())</f>
        <v/>
      </c>
      <c r="H1719" t="n">
        <v>87.79299129610476</v>
      </c>
      <c r="I1719" t="n">
        <v>96</v>
      </c>
      <c r="J1719" t="n">
        <v>210</v>
      </c>
      <c r="K1719" t="n">
        <v>490.1852551984877</v>
      </c>
      <c r="L1719" t="n">
        <v>510.1928166351607</v>
      </c>
      <c r="M1719">
        <f>2*SQRT(K1719/PI())</f>
        <v/>
      </c>
      <c r="N1719">
        <f>2*SQRT(L1719/PI())</f>
        <v/>
      </c>
      <c r="P1719" t="inlineStr">
        <is>
          <t>是</t>
        </is>
      </c>
      <c r="Q1719" t="inlineStr">
        <is>
          <t>auto_pipeline;review_png_green</t>
        </is>
      </c>
      <c r="R1719" t="inlineStr">
        <is>
          <t>样品39</t>
        </is>
      </c>
    </row>
    <row r="1720">
      <c r="A1720" t="n">
        <v>1719</v>
      </c>
      <c r="B1720" t="inlineStr">
        <is>
          <t>39 (5).tif</t>
        </is>
      </c>
      <c r="C1720" t="inlineStr">
        <is>
          <t>39(5)-V04</t>
        </is>
      </c>
      <c r="D1720" t="n">
        <v>4</v>
      </c>
      <c r="E1720" t="inlineStr">
        <is>
          <t>primary</t>
        </is>
      </c>
      <c r="F1720" t="n">
        <v>420.7939508506616</v>
      </c>
      <c r="G1720">
        <f>2*SQRT(F1720/PI())</f>
        <v/>
      </c>
      <c r="H1720" t="n">
        <v>77.25271276805712</v>
      </c>
      <c r="I1720" t="n">
        <v>476</v>
      </c>
      <c r="J1720" t="n">
        <v>420</v>
      </c>
      <c r="K1720" t="n">
        <v>412.3780718336484</v>
      </c>
      <c r="L1720" t="n">
        <v>429.2098298676749</v>
      </c>
      <c r="M1720">
        <f>2*SQRT(K1720/PI())</f>
        <v/>
      </c>
      <c r="N1720">
        <f>2*SQRT(L1720/PI())</f>
        <v/>
      </c>
      <c r="P1720" t="inlineStr">
        <is>
          <t>是</t>
        </is>
      </c>
      <c r="Q1720" t="inlineStr">
        <is>
          <t>auto_pipeline;review_png_green</t>
        </is>
      </c>
      <c r="R1720" t="inlineStr">
        <is>
          <t>样品39</t>
        </is>
      </c>
    </row>
    <row r="1721">
      <c r="A1721" t="n">
        <v>1720</v>
      </c>
      <c r="B1721" t="inlineStr">
        <is>
          <t>39 (5).tif</t>
        </is>
      </c>
      <c r="C1721" t="inlineStr">
        <is>
          <t>39(5)-V05</t>
        </is>
      </c>
      <c r="D1721" t="n">
        <v>5</v>
      </c>
      <c r="E1721" t="inlineStr">
        <is>
          <t>primary</t>
        </is>
      </c>
      <c r="F1721" t="n">
        <v>278.898865784499</v>
      </c>
      <c r="G1721">
        <f>2*SQRT(F1721/PI())</f>
        <v/>
      </c>
      <c r="H1721" t="n">
        <v>63.04503049539483</v>
      </c>
      <c r="I1721" t="n">
        <v>451</v>
      </c>
      <c r="J1721" t="n">
        <v>543</v>
      </c>
      <c r="K1721" t="n">
        <v>273.3208884688091</v>
      </c>
      <c r="L1721" t="n">
        <v>284.476843100189</v>
      </c>
      <c r="M1721">
        <f>2*SQRT(K1721/PI())</f>
        <v/>
      </c>
      <c r="N1721">
        <f>2*SQRT(L1721/PI())</f>
        <v/>
      </c>
      <c r="P1721" t="inlineStr">
        <is>
          <t>是</t>
        </is>
      </c>
      <c r="Q1721" t="inlineStr">
        <is>
          <t>auto_pipeline;review_png_green</t>
        </is>
      </c>
      <c r="R1721" t="inlineStr">
        <is>
          <t>样品39</t>
        </is>
      </c>
    </row>
    <row r="1722">
      <c r="A1722" t="n">
        <v>1721</v>
      </c>
      <c r="B1722" t="inlineStr">
        <is>
          <t>39 (5).tif</t>
        </is>
      </c>
      <c r="C1722" t="inlineStr">
        <is>
          <t>39(5)-V06</t>
        </is>
      </c>
      <c r="D1722" t="n">
        <v>6</v>
      </c>
      <c r="E1722" t="inlineStr">
        <is>
          <t>primary</t>
        </is>
      </c>
      <c r="F1722" t="n">
        <v>127.2211720226843</v>
      </c>
      <c r="G1722">
        <f>2*SQRT(F1722/PI())</f>
        <v/>
      </c>
      <c r="H1722" t="n">
        <v>42.64489578164142</v>
      </c>
      <c r="I1722" t="n">
        <v>108</v>
      </c>
      <c r="J1722" t="n">
        <v>71</v>
      </c>
      <c r="K1722" t="n">
        <v>124.6767485822306</v>
      </c>
      <c r="L1722" t="n">
        <v>129.765595463138</v>
      </c>
      <c r="M1722">
        <f>2*SQRT(K1722/PI())</f>
        <v/>
      </c>
      <c r="N1722">
        <f>2*SQRT(L1722/PI())</f>
        <v/>
      </c>
      <c r="P1722" t="inlineStr">
        <is>
          <t>是</t>
        </is>
      </c>
      <c r="Q1722" t="inlineStr">
        <is>
          <t>auto_pipeline;review_png_green</t>
        </is>
      </c>
      <c r="R1722" t="inlineStr">
        <is>
          <t>样品39</t>
        </is>
      </c>
    </row>
    <row r="1723">
      <c r="A1723" t="n">
        <v>1722</v>
      </c>
      <c r="B1723" t="inlineStr">
        <is>
          <t>39 (6).tif</t>
        </is>
      </c>
      <c r="C1723" t="inlineStr">
        <is>
          <t>39(6)-V01</t>
        </is>
      </c>
      <c r="D1723" t="n">
        <v>1</v>
      </c>
      <c r="E1723" t="inlineStr">
        <is>
          <t>primary</t>
        </is>
      </c>
      <c r="F1723" t="n">
        <v>834.8534971644613</v>
      </c>
      <c r="G1723">
        <f>2*SQRT(F1723/PI())</f>
        <v/>
      </c>
      <c r="H1723" t="n">
        <v>108.1494280825491</v>
      </c>
      <c r="I1723" t="n">
        <v>511</v>
      </c>
      <c r="J1723" t="n">
        <v>420</v>
      </c>
      <c r="K1723" t="n">
        <v>818.1564272211721</v>
      </c>
      <c r="L1723" t="n">
        <v>851.5505671077505</v>
      </c>
      <c r="M1723">
        <f>2*SQRT(K1723/PI())</f>
        <v/>
      </c>
      <c r="N1723">
        <f>2*SQRT(L1723/PI())</f>
        <v/>
      </c>
      <c r="P1723" t="inlineStr">
        <is>
          <t>是</t>
        </is>
      </c>
      <c r="Q1723" t="inlineStr">
        <is>
          <t>auto_pipeline;review_png_green</t>
        </is>
      </c>
      <c r="R1723" t="inlineStr">
        <is>
          <t>样品39</t>
        </is>
      </c>
    </row>
    <row r="1724">
      <c r="A1724" t="n">
        <v>1723</v>
      </c>
      <c r="B1724" t="inlineStr">
        <is>
          <t>39 (6).tif</t>
        </is>
      </c>
      <c r="C1724" t="inlineStr">
        <is>
          <t>39(6)-V02</t>
        </is>
      </c>
      <c r="D1724" t="n">
        <v>2</v>
      </c>
      <c r="E1724" t="inlineStr">
        <is>
          <t>primary</t>
        </is>
      </c>
      <c r="F1724" t="n">
        <v>137.1691871455577</v>
      </c>
      <c r="G1724">
        <f>2*SQRT(F1724/PI())</f>
        <v/>
      </c>
      <c r="H1724" t="n">
        <v>45.12624655080878</v>
      </c>
      <c r="I1724" t="n">
        <v>899</v>
      </c>
      <c r="J1724" t="n">
        <v>289</v>
      </c>
      <c r="K1724" t="n">
        <v>134.4258034026465</v>
      </c>
      <c r="L1724" t="n">
        <v>139.9125708884688</v>
      </c>
      <c r="M1724">
        <f>2*SQRT(K1724/PI())</f>
        <v/>
      </c>
      <c r="N1724">
        <f>2*SQRT(L1724/PI())</f>
        <v/>
      </c>
      <c r="P1724" t="inlineStr">
        <is>
          <t>是</t>
        </is>
      </c>
      <c r="Q1724" t="inlineStr">
        <is>
          <t>auto_pipeline;review_png_green</t>
        </is>
      </c>
      <c r="R1724" t="inlineStr">
        <is>
          <t>样品39</t>
        </is>
      </c>
    </row>
    <row r="1725">
      <c r="A1725" t="n">
        <v>1724</v>
      </c>
      <c r="B1725" t="inlineStr">
        <is>
          <t>39 (6).tif</t>
        </is>
      </c>
      <c r="C1725" t="inlineStr">
        <is>
          <t>39(6)-V03</t>
        </is>
      </c>
      <c r="D1725" t="n">
        <v>3</v>
      </c>
      <c r="E1725" t="inlineStr">
        <is>
          <t>primary</t>
        </is>
      </c>
      <c r="F1725" t="n">
        <v>128.1899810964083</v>
      </c>
      <c r="G1725">
        <f>2*SQRT(F1725/PI())</f>
        <v/>
      </c>
      <c r="H1725" t="n">
        <v>50.59832762116971</v>
      </c>
      <c r="I1725" t="n">
        <v>576</v>
      </c>
      <c r="J1725" t="n">
        <v>202</v>
      </c>
      <c r="K1725" t="n">
        <v>125.6261814744802</v>
      </c>
      <c r="L1725" t="n">
        <v>130.7537807183365</v>
      </c>
      <c r="M1725">
        <f>2*SQRT(K1725/PI())</f>
        <v/>
      </c>
      <c r="N1725">
        <f>2*SQRT(L1725/PI())</f>
        <v/>
      </c>
      <c r="P1725" t="inlineStr">
        <is>
          <t>是</t>
        </is>
      </c>
      <c r="Q1725" t="inlineStr">
        <is>
          <t>auto_pipeline;review_png_green</t>
        </is>
      </c>
      <c r="R1725" t="inlineStr">
        <is>
          <t>样品39</t>
        </is>
      </c>
    </row>
    <row r="1726">
      <c r="A1726" t="n">
        <v>1725</v>
      </c>
      <c r="B1726" t="inlineStr">
        <is>
          <t>39 (7).tif</t>
        </is>
      </c>
      <c r="C1726" t="inlineStr">
        <is>
          <t>39(7)-V01</t>
        </is>
      </c>
      <c r="D1726" t="n">
        <v>1</v>
      </c>
      <c r="E1726" t="inlineStr">
        <is>
          <t>primary</t>
        </is>
      </c>
      <c r="F1726" t="n">
        <v>977.3629489603024</v>
      </c>
      <c r="G1726">
        <f>2*SQRT(F1726/PI())</f>
        <v/>
      </c>
      <c r="H1726" t="n">
        <v>117.7982924295508</v>
      </c>
      <c r="I1726" t="n">
        <v>230</v>
      </c>
      <c r="J1726" t="n">
        <v>501</v>
      </c>
      <c r="K1726" t="n">
        <v>957.8156899810964</v>
      </c>
      <c r="L1726" t="n">
        <v>996.9102079395085</v>
      </c>
      <c r="M1726">
        <f>2*SQRT(K1726/PI())</f>
        <v/>
      </c>
      <c r="N1726">
        <f>2*SQRT(L1726/PI())</f>
        <v/>
      </c>
      <c r="P1726" t="inlineStr">
        <is>
          <t>是</t>
        </is>
      </c>
      <c r="Q1726" t="inlineStr">
        <is>
          <t>auto_pipeline;review_png_green</t>
        </is>
      </c>
      <c r="R1726" t="inlineStr">
        <is>
          <t>样品39</t>
        </is>
      </c>
    </row>
    <row r="1727">
      <c r="A1727" t="n">
        <v>1726</v>
      </c>
      <c r="B1727" t="inlineStr">
        <is>
          <t>39 (7).tif</t>
        </is>
      </c>
      <c r="C1727" t="inlineStr">
        <is>
          <t>39(7)-V02</t>
        </is>
      </c>
      <c r="D1727" t="n">
        <v>2</v>
      </c>
      <c r="E1727" t="inlineStr">
        <is>
          <t>primary</t>
        </is>
      </c>
      <c r="F1727" t="n">
        <v>900.2362948960302</v>
      </c>
      <c r="G1727">
        <f>2*SQRT(F1727/PI())</f>
        <v/>
      </c>
      <c r="H1727" t="n">
        <v>112.475405205851</v>
      </c>
      <c r="I1727" t="n">
        <v>549</v>
      </c>
      <c r="J1727" t="n">
        <v>344</v>
      </c>
      <c r="K1727" t="n">
        <v>882.2315689981097</v>
      </c>
      <c r="L1727" t="n">
        <v>918.2410207939508</v>
      </c>
      <c r="M1727">
        <f>2*SQRT(K1727/PI())</f>
        <v/>
      </c>
      <c r="N1727">
        <f>2*SQRT(L1727/PI())</f>
        <v/>
      </c>
      <c r="O1727" t="inlineStr">
        <is>
          <t>39(7)-P01</t>
        </is>
      </c>
      <c r="P1727" t="inlineStr">
        <is>
          <t>是</t>
        </is>
      </c>
      <c r="Q1727" t="inlineStr">
        <is>
          <t>auto_pipeline;review_png_green</t>
        </is>
      </c>
      <c r="R1727" t="inlineStr">
        <is>
          <t>样品39</t>
        </is>
      </c>
    </row>
    <row r="1728">
      <c r="A1728" t="n">
        <v>1727</v>
      </c>
      <c r="B1728" t="inlineStr">
        <is>
          <t>39 (7).tif</t>
        </is>
      </c>
      <c r="C1728" t="inlineStr">
        <is>
          <t>39(7)-V03</t>
        </is>
      </c>
      <c r="D1728" t="n">
        <v>3</v>
      </c>
      <c r="E1728" t="inlineStr">
        <is>
          <t>primary</t>
        </is>
      </c>
      <c r="F1728" t="n">
        <v>633.8374291115312</v>
      </c>
      <c r="G1728">
        <f>2*SQRT(F1728/PI())</f>
        <v/>
      </c>
      <c r="H1728" t="n">
        <v>95.78637216402136</v>
      </c>
      <c r="I1728" t="n">
        <v>824</v>
      </c>
      <c r="J1728" t="n">
        <v>182</v>
      </c>
      <c r="K1728" t="n">
        <v>621.1606805293005</v>
      </c>
      <c r="L1728" t="n">
        <v>646.5141776937618</v>
      </c>
      <c r="M1728">
        <f>2*SQRT(K1728/PI())</f>
        <v/>
      </c>
      <c r="N1728">
        <f>2*SQRT(L1728/PI())</f>
        <v/>
      </c>
      <c r="P1728" t="inlineStr">
        <is>
          <t>是</t>
        </is>
      </c>
      <c r="Q1728" t="inlineStr">
        <is>
          <t>auto_pipeline;review_png_green</t>
        </is>
      </c>
      <c r="R1728" t="inlineStr">
        <is>
          <t>样品39</t>
        </is>
      </c>
    </row>
    <row r="1729">
      <c r="A1729" t="n">
        <v>1728</v>
      </c>
      <c r="B1729" t="inlineStr">
        <is>
          <t>39 (7).tif</t>
        </is>
      </c>
      <c r="C1729" t="inlineStr">
        <is>
          <t>39(7)-V04</t>
        </is>
      </c>
      <c r="D1729" t="n">
        <v>4</v>
      </c>
      <c r="E1729" t="inlineStr">
        <is>
          <t>primary</t>
        </is>
      </c>
      <c r="F1729" t="n">
        <v>463.445179584121</v>
      </c>
      <c r="G1729">
        <f>2*SQRT(F1729/PI())</f>
        <v/>
      </c>
      <c r="H1729" t="n">
        <v>80.70912467396778</v>
      </c>
      <c r="I1729" t="n">
        <v>411</v>
      </c>
      <c r="J1729" t="n">
        <v>419</v>
      </c>
      <c r="K1729" t="n">
        <v>454.1762759924385</v>
      </c>
      <c r="L1729" t="n">
        <v>472.7140831758034</v>
      </c>
      <c r="M1729">
        <f>2*SQRT(K1729/PI())</f>
        <v/>
      </c>
      <c r="N1729">
        <f>2*SQRT(L1729/PI())</f>
        <v/>
      </c>
      <c r="O1729" t="inlineStr">
        <is>
          <t>39(7)-P01</t>
        </is>
      </c>
      <c r="P1729" t="inlineStr">
        <is>
          <t>是</t>
        </is>
      </c>
      <c r="Q1729" t="inlineStr">
        <is>
          <t>auto_pipeline;review_png_green</t>
        </is>
      </c>
      <c r="R1729" t="inlineStr">
        <is>
          <t>样品39</t>
        </is>
      </c>
    </row>
    <row r="1730">
      <c r="A1730" t="n">
        <v>1729</v>
      </c>
      <c r="B1730" t="inlineStr">
        <is>
          <t>39 (7).tif</t>
        </is>
      </c>
      <c r="C1730" t="inlineStr">
        <is>
          <t>39(7)-V05</t>
        </is>
      </c>
      <c r="D1730" t="n">
        <v>5</v>
      </c>
      <c r="E1730" t="inlineStr">
        <is>
          <t>primary</t>
        </is>
      </c>
      <c r="F1730" t="n">
        <v>413.3506616257089</v>
      </c>
      <c r="G1730">
        <f>2*SQRT(F1730/PI())</f>
        <v/>
      </c>
      <c r="H1730" t="n">
        <v>102.3789593188659</v>
      </c>
      <c r="I1730" t="n">
        <v>862</v>
      </c>
      <c r="J1730" t="n">
        <v>338</v>
      </c>
      <c r="K1730" t="n">
        <v>405.0836483931947</v>
      </c>
      <c r="L1730" t="n">
        <v>421.617674858223</v>
      </c>
      <c r="M1730">
        <f>2*SQRT(K1730/PI())</f>
        <v/>
      </c>
      <c r="N1730">
        <f>2*SQRT(L1730/PI())</f>
        <v/>
      </c>
      <c r="P1730" t="inlineStr">
        <is>
          <t>是</t>
        </is>
      </c>
      <c r="Q1730" t="inlineStr">
        <is>
          <t>auto_pipeline;review_png_green</t>
        </is>
      </c>
      <c r="R1730" t="inlineStr">
        <is>
          <t>样品39</t>
        </is>
      </c>
    </row>
    <row r="1731">
      <c r="A1731" t="n">
        <v>1730</v>
      </c>
      <c r="B1731" t="inlineStr">
        <is>
          <t>39 (7).tif</t>
        </is>
      </c>
      <c r="C1731" t="inlineStr">
        <is>
          <t>39(7)-V06</t>
        </is>
      </c>
      <c r="D1731" t="n">
        <v>6</v>
      </c>
      <c r="E1731" t="inlineStr">
        <is>
          <t>primary</t>
        </is>
      </c>
      <c r="F1731" t="n">
        <v>257.3015122873346</v>
      </c>
      <c r="G1731">
        <f>2*SQRT(F1731/PI())</f>
        <v/>
      </c>
      <c r="H1731" t="n">
        <v>61.92077551199042</v>
      </c>
      <c r="I1731" t="n">
        <v>730</v>
      </c>
      <c r="J1731" t="n">
        <v>408</v>
      </c>
      <c r="K1731" t="n">
        <v>252.1554820415879</v>
      </c>
      <c r="L1731" t="n">
        <v>262.4475425330813</v>
      </c>
      <c r="M1731">
        <f>2*SQRT(K1731/PI())</f>
        <v/>
      </c>
      <c r="N1731">
        <f>2*SQRT(L1731/PI())</f>
        <v/>
      </c>
      <c r="P1731" t="inlineStr">
        <is>
          <t>是</t>
        </is>
      </c>
      <c r="Q1731" t="inlineStr">
        <is>
          <t>auto_pipeline;review_png_green</t>
        </is>
      </c>
      <c r="R1731" t="inlineStr">
        <is>
          <t>样品39</t>
        </is>
      </c>
    </row>
    <row r="1732">
      <c r="A1732" t="n">
        <v>1731</v>
      </c>
      <c r="B1732" t="inlineStr">
        <is>
          <t>39 (7).tif</t>
        </is>
      </c>
      <c r="C1732" t="inlineStr">
        <is>
          <t>39(7)-V07</t>
        </is>
      </c>
      <c r="D1732" t="n">
        <v>7</v>
      </c>
      <c r="E1732" t="inlineStr">
        <is>
          <t>primary</t>
        </is>
      </c>
      <c r="F1732" t="n">
        <v>159.2863894139887</v>
      </c>
      <c r="G1732">
        <f>2*SQRT(F1732/PI())</f>
        <v/>
      </c>
      <c r="H1732" t="n">
        <v>50.40543584719948</v>
      </c>
      <c r="I1732" t="n">
        <v>552</v>
      </c>
      <c r="J1732" t="n">
        <v>477</v>
      </c>
      <c r="K1732" t="n">
        <v>156.1006616257089</v>
      </c>
      <c r="L1732" t="n">
        <v>162.4721172022684</v>
      </c>
      <c r="M1732">
        <f>2*SQRT(K1732/PI())</f>
        <v/>
      </c>
      <c r="N1732">
        <f>2*SQRT(L1732/PI())</f>
        <v/>
      </c>
      <c r="P1732" t="inlineStr">
        <is>
          <t>是</t>
        </is>
      </c>
      <c r="Q1732" t="inlineStr">
        <is>
          <t>auto_pipeline;review_png_green</t>
        </is>
      </c>
      <c r="R1732" t="inlineStr">
        <is>
          <t>样品39</t>
        </is>
      </c>
    </row>
    <row r="1733">
      <c r="A1733" t="n">
        <v>1732</v>
      </c>
      <c r="B1733" t="inlineStr">
        <is>
          <t>39 (8).tif</t>
        </is>
      </c>
      <c r="C1733" t="inlineStr">
        <is>
          <t>39(8)-V01</t>
        </is>
      </c>
      <c r="D1733" t="n">
        <v>1</v>
      </c>
      <c r="E1733" t="inlineStr">
        <is>
          <t>primary</t>
        </is>
      </c>
      <c r="F1733" t="n">
        <v>683.7665406427221</v>
      </c>
      <c r="G1733">
        <f>2*SQRT(F1733/PI())</f>
        <v/>
      </c>
      <c r="H1733" t="n">
        <v>98.01303316717562</v>
      </c>
      <c r="I1733" t="n">
        <v>548</v>
      </c>
      <c r="J1733" t="n">
        <v>385</v>
      </c>
      <c r="K1733" t="n">
        <v>670.0912098298677</v>
      </c>
      <c r="L1733" t="n">
        <v>697.4418714555766</v>
      </c>
      <c r="M1733">
        <f>2*SQRT(K1733/PI())</f>
        <v/>
      </c>
      <c r="N1733">
        <f>2*SQRT(L1733/PI())</f>
        <v/>
      </c>
      <c r="P1733" t="inlineStr">
        <is>
          <t>是</t>
        </is>
      </c>
      <c r="Q1733" t="inlineStr">
        <is>
          <t>auto_pipeline;review_png_green</t>
        </is>
      </c>
      <c r="R1733" t="inlineStr">
        <is>
          <t>样品39</t>
        </is>
      </c>
    </row>
    <row r="1734">
      <c r="A1734" t="n">
        <v>1733</v>
      </c>
      <c r="B1734" t="inlineStr">
        <is>
          <t>39 (8).tif</t>
        </is>
      </c>
      <c r="C1734" t="inlineStr">
        <is>
          <t>39(8)-V02</t>
        </is>
      </c>
      <c r="D1734" t="n">
        <v>2</v>
      </c>
      <c r="E1734" t="inlineStr">
        <is>
          <t>primary</t>
        </is>
      </c>
      <c r="F1734" t="n">
        <v>673.5822306238185</v>
      </c>
      <c r="G1734">
        <f>2*SQRT(F1734/PI())</f>
        <v/>
      </c>
      <c r="H1734" t="n">
        <v>97.52550259880397</v>
      </c>
      <c r="I1734" t="n">
        <v>790</v>
      </c>
      <c r="J1734" t="n">
        <v>270</v>
      </c>
      <c r="K1734" t="n">
        <v>660.1105860113421</v>
      </c>
      <c r="L1734" t="n">
        <v>687.053875236295</v>
      </c>
      <c r="M1734">
        <f>2*SQRT(K1734/PI())</f>
        <v/>
      </c>
      <c r="N1734">
        <f>2*SQRT(L1734/PI())</f>
        <v/>
      </c>
      <c r="P1734" t="inlineStr">
        <is>
          <t>是</t>
        </is>
      </c>
      <c r="Q1734" t="inlineStr">
        <is>
          <t>auto_pipeline;review_png_green</t>
        </is>
      </c>
      <c r="R1734" t="inlineStr">
        <is>
          <t>样品39</t>
        </is>
      </c>
    </row>
    <row r="1735">
      <c r="A1735" t="n">
        <v>1734</v>
      </c>
      <c r="B1735" t="inlineStr">
        <is>
          <t>39 (8).tif</t>
        </is>
      </c>
      <c r="C1735" t="inlineStr">
        <is>
          <t>39(8)-V03</t>
        </is>
      </c>
      <c r="D1735" t="n">
        <v>3</v>
      </c>
      <c r="E1735" t="inlineStr">
        <is>
          <t>primary</t>
        </is>
      </c>
      <c r="F1735" t="n">
        <v>428.6389413988658</v>
      </c>
      <c r="G1735">
        <f>2*SQRT(F1735/PI())</f>
        <v/>
      </c>
      <c r="H1735" t="n">
        <v>85.48268333725306</v>
      </c>
      <c r="I1735" t="n">
        <v>450</v>
      </c>
      <c r="J1735" t="n">
        <v>643</v>
      </c>
      <c r="K1735" t="n">
        <v>420.0661625708884</v>
      </c>
      <c r="L1735" t="n">
        <v>437.2117202268431</v>
      </c>
      <c r="M1735">
        <f>2*SQRT(K1735/PI())</f>
        <v/>
      </c>
      <c r="N1735">
        <f>2*SQRT(L1735/PI())</f>
        <v/>
      </c>
      <c r="P1735" t="inlineStr">
        <is>
          <t>是</t>
        </is>
      </c>
      <c r="Q1735" t="inlineStr">
        <is>
          <t>auto_pipeline;review_png_green</t>
        </is>
      </c>
      <c r="R1735" t="inlineStr">
        <is>
          <t>样品39</t>
        </is>
      </c>
    </row>
    <row r="1736">
      <c r="A1736" t="n">
        <v>1735</v>
      </c>
      <c r="B1736" t="inlineStr">
        <is>
          <t>39 (8).tif</t>
        </is>
      </c>
      <c r="C1736" t="inlineStr">
        <is>
          <t>39(8)-V04</t>
        </is>
      </c>
      <c r="D1736" t="n">
        <v>4</v>
      </c>
      <c r="E1736" t="inlineStr">
        <is>
          <t>primary</t>
        </is>
      </c>
      <c r="F1736" t="n">
        <v>135.2315689981097</v>
      </c>
      <c r="G1736">
        <f>2*SQRT(F1736/PI())</f>
        <v/>
      </c>
      <c r="H1736" t="n">
        <v>57.76584119900413</v>
      </c>
      <c r="I1736" t="n">
        <v>607</v>
      </c>
      <c r="J1736" t="n">
        <v>461</v>
      </c>
      <c r="K1736" t="n">
        <v>132.5269376181475</v>
      </c>
      <c r="L1736" t="n">
        <v>137.9362003780718</v>
      </c>
      <c r="M1736">
        <f>2*SQRT(K1736/PI())</f>
        <v/>
      </c>
      <c r="N1736">
        <f>2*SQRT(L1736/PI())</f>
        <v/>
      </c>
      <c r="P1736" t="inlineStr">
        <is>
          <t>是</t>
        </is>
      </c>
      <c r="Q1736" t="inlineStr">
        <is>
          <t>auto_pipeline;review_png_green</t>
        </is>
      </c>
      <c r="R1736" t="inlineStr">
        <is>
          <t>样品39</t>
        </is>
      </c>
    </row>
    <row r="1737">
      <c r="A1737" t="n">
        <v>1736</v>
      </c>
      <c r="B1737" t="inlineStr">
        <is>
          <t>39 (8).tif</t>
        </is>
      </c>
      <c r="C1737" t="inlineStr">
        <is>
          <t>39(8)-V05</t>
        </is>
      </c>
      <c r="D1737" t="n">
        <v>5</v>
      </c>
      <c r="E1737" t="inlineStr">
        <is>
          <t>primary</t>
        </is>
      </c>
      <c r="F1737" t="n">
        <v>124.8818525519849</v>
      </c>
      <c r="G1737">
        <f>2*SQRT(F1737/PI())</f>
        <v/>
      </c>
      <c r="H1737" t="n">
        <v>46.20680360690407</v>
      </c>
      <c r="I1737" t="n">
        <v>930</v>
      </c>
      <c r="J1737" t="n">
        <v>258</v>
      </c>
      <c r="K1737" t="n">
        <v>122.3842155009452</v>
      </c>
      <c r="L1737" t="n">
        <v>127.3794896030246</v>
      </c>
      <c r="M1737">
        <f>2*SQRT(K1737/PI())</f>
        <v/>
      </c>
      <c r="N1737">
        <f>2*SQRT(L1737/PI())</f>
        <v/>
      </c>
      <c r="P1737" t="inlineStr">
        <is>
          <t>是</t>
        </is>
      </c>
      <c r="Q1737" t="inlineStr">
        <is>
          <t>auto_pipeline;review_png_green</t>
        </is>
      </c>
      <c r="R1737" t="inlineStr">
        <is>
          <t>样品39</t>
        </is>
      </c>
    </row>
    <row r="1738">
      <c r="A1738" t="n">
        <v>1737</v>
      </c>
      <c r="B1738" t="inlineStr">
        <is>
          <t>39 (8).tif</t>
        </is>
      </c>
      <c r="C1738" t="inlineStr">
        <is>
          <t>39(8)-V06</t>
        </is>
      </c>
      <c r="D1738" t="n">
        <v>6</v>
      </c>
      <c r="E1738" t="inlineStr">
        <is>
          <t>primary</t>
        </is>
      </c>
      <c r="F1738" t="n">
        <v>121.9990548204159</v>
      </c>
      <c r="G1738">
        <f>2*SQRT(F1738/PI())</f>
        <v/>
      </c>
      <c r="H1738" t="n">
        <v>45.27544039746989</v>
      </c>
      <c r="I1738" t="n">
        <v>174</v>
      </c>
      <c r="J1738" t="n">
        <v>541</v>
      </c>
      <c r="K1738" t="n">
        <v>119.5590737240076</v>
      </c>
      <c r="L1738" t="n">
        <v>124.4390359168242</v>
      </c>
      <c r="M1738">
        <f>2*SQRT(K1738/PI())</f>
        <v/>
      </c>
      <c r="N1738">
        <f>2*SQRT(L1738/PI())</f>
        <v/>
      </c>
      <c r="P1738" t="inlineStr">
        <is>
          <t>是</t>
        </is>
      </c>
      <c r="Q1738" t="inlineStr">
        <is>
          <t>auto_pipeline;review_png_green</t>
        </is>
      </c>
      <c r="R1738" t="inlineStr">
        <is>
          <t>样品39</t>
        </is>
      </c>
    </row>
    <row r="1739">
      <c r="A1739" t="n">
        <v>1738</v>
      </c>
      <c r="B1739" t="inlineStr">
        <is>
          <t>40 (1).tif</t>
        </is>
      </c>
      <c r="C1739" t="inlineStr">
        <is>
          <t>40(1)-V01</t>
        </is>
      </c>
      <c r="D1739" t="n">
        <v>1</v>
      </c>
      <c r="E1739" t="inlineStr">
        <is>
          <t>primary</t>
        </is>
      </c>
      <c r="F1739" t="n">
        <v>1132.986767485822</v>
      </c>
      <c r="G1739">
        <f>2*SQRT(F1739/PI())</f>
        <v/>
      </c>
      <c r="H1739" t="n">
        <v>126.1955569101416</v>
      </c>
      <c r="I1739" t="n">
        <v>577</v>
      </c>
      <c r="J1739" t="n">
        <v>446</v>
      </c>
      <c r="K1739" t="n">
        <v>1110.327032136106</v>
      </c>
      <c r="L1739" t="n">
        <v>1155.646502835539</v>
      </c>
      <c r="M1739">
        <f>2*SQRT(K1739/PI())</f>
        <v/>
      </c>
      <c r="N1739">
        <f>2*SQRT(L1739/PI())</f>
        <v/>
      </c>
      <c r="O1739" t="inlineStr">
        <is>
          <t>40(1)-P01</t>
        </is>
      </c>
      <c r="P1739" t="inlineStr">
        <is>
          <t>是</t>
        </is>
      </c>
      <c r="Q1739" t="inlineStr">
        <is>
          <t>auto_pipeline;review_png_green</t>
        </is>
      </c>
      <c r="R1739" t="inlineStr">
        <is>
          <t>样品40</t>
        </is>
      </c>
    </row>
    <row r="1740">
      <c r="A1740" t="n">
        <v>1739</v>
      </c>
      <c r="B1740" t="inlineStr">
        <is>
          <t>40 (1).tif</t>
        </is>
      </c>
      <c r="C1740" t="inlineStr">
        <is>
          <t>40(1)-V02</t>
        </is>
      </c>
      <c r="D1740" t="n">
        <v>2</v>
      </c>
      <c r="E1740" t="inlineStr">
        <is>
          <t>primary</t>
        </is>
      </c>
      <c r="F1740" t="n">
        <v>756.8998109640831</v>
      </c>
      <c r="G1740">
        <f>2*SQRT(F1740/PI())</f>
        <v/>
      </c>
      <c r="H1740" t="n">
        <v>103.2085755078689</v>
      </c>
      <c r="I1740" t="n">
        <v>445</v>
      </c>
      <c r="J1740" t="n">
        <v>314</v>
      </c>
      <c r="K1740" t="n">
        <v>741.7618147448014</v>
      </c>
      <c r="L1740" t="n">
        <v>772.0378071833649</v>
      </c>
      <c r="M1740">
        <f>2*SQRT(K1740/PI())</f>
        <v/>
      </c>
      <c r="N1740">
        <f>2*SQRT(L1740/PI())</f>
        <v/>
      </c>
      <c r="O1740" t="inlineStr">
        <is>
          <t>40(1)-P01</t>
        </is>
      </c>
      <c r="P1740" t="inlineStr">
        <is>
          <t>是</t>
        </is>
      </c>
      <c r="Q1740" t="inlineStr">
        <is>
          <t>auto_pipeline;review_png_green</t>
        </is>
      </c>
      <c r="R1740" t="inlineStr">
        <is>
          <t>样品40</t>
        </is>
      </c>
    </row>
    <row r="1741">
      <c r="A1741" t="n">
        <v>1740</v>
      </c>
      <c r="B1741" t="inlineStr">
        <is>
          <t>40 (1).tif</t>
        </is>
      </c>
      <c r="C1741" t="inlineStr">
        <is>
          <t>40(1)-V03</t>
        </is>
      </c>
      <c r="D1741" t="n">
        <v>3</v>
      </c>
      <c r="E1741" t="inlineStr">
        <is>
          <t>primary</t>
        </is>
      </c>
      <c r="F1741" t="n">
        <v>264.9338374291115</v>
      </c>
      <c r="G1741">
        <f>2*SQRT(F1741/PI())</f>
        <v/>
      </c>
      <c r="H1741" t="n">
        <v>62.66299584637517</v>
      </c>
      <c r="I1741" t="n">
        <v>477</v>
      </c>
      <c r="J1741" t="n">
        <v>336</v>
      </c>
      <c r="K1741" t="n">
        <v>259.6351606805293</v>
      </c>
      <c r="L1741" t="n">
        <v>270.2325141776938</v>
      </c>
      <c r="M1741">
        <f>2*SQRT(K1741/PI())</f>
        <v/>
      </c>
      <c r="N1741">
        <f>2*SQRT(L1741/PI())</f>
        <v/>
      </c>
      <c r="P1741" t="inlineStr">
        <is>
          <t>是</t>
        </is>
      </c>
      <c r="Q1741" t="inlineStr">
        <is>
          <t>auto_pipeline;review_png_green</t>
        </is>
      </c>
      <c r="R1741" t="inlineStr">
        <is>
          <t>样品40</t>
        </is>
      </c>
    </row>
    <row r="1742">
      <c r="A1742" t="n">
        <v>1741</v>
      </c>
      <c r="B1742" t="inlineStr">
        <is>
          <t>40 (2).tif</t>
        </is>
      </c>
      <c r="C1742" t="inlineStr">
        <is>
          <t>40(2)-V01</t>
        </is>
      </c>
      <c r="D1742" t="n">
        <v>1</v>
      </c>
      <c r="E1742" t="inlineStr">
        <is>
          <t>primary</t>
        </is>
      </c>
      <c r="F1742" t="n">
        <v>763.6578449905483</v>
      </c>
      <c r="G1742">
        <f>2*SQRT(F1742/PI())</f>
        <v/>
      </c>
      <c r="H1742" t="n">
        <v>103.8234509592471</v>
      </c>
      <c r="I1742" t="n">
        <v>515</v>
      </c>
      <c r="J1742" t="n">
        <v>430</v>
      </c>
      <c r="K1742" t="n">
        <v>748.3846880907373</v>
      </c>
      <c r="L1742" t="n">
        <v>778.9310018903592</v>
      </c>
      <c r="M1742">
        <f>2*SQRT(K1742/PI())</f>
        <v/>
      </c>
      <c r="N1742">
        <f>2*SQRT(L1742/PI())</f>
        <v/>
      </c>
      <c r="P1742" t="inlineStr">
        <is>
          <t>是</t>
        </is>
      </c>
      <c r="Q1742" t="inlineStr">
        <is>
          <t>auto_pipeline;review_png_green</t>
        </is>
      </c>
      <c r="R1742" t="inlineStr">
        <is>
          <t>样品40</t>
        </is>
      </c>
    </row>
    <row r="1743">
      <c r="A1743" t="n">
        <v>1742</v>
      </c>
      <c r="B1743" t="inlineStr">
        <is>
          <t>40 (2).tif</t>
        </is>
      </c>
      <c r="C1743" t="inlineStr">
        <is>
          <t>40(2)-V02</t>
        </is>
      </c>
      <c r="D1743" t="n">
        <v>2</v>
      </c>
      <c r="E1743" t="inlineStr">
        <is>
          <t>primary</t>
        </is>
      </c>
      <c r="F1743" t="n">
        <v>672.8969754253308</v>
      </c>
      <c r="G1743">
        <f>2*SQRT(F1743/PI())</f>
        <v/>
      </c>
      <c r="H1743" t="n">
        <v>97.39815771579742</v>
      </c>
      <c r="I1743" t="n">
        <v>173</v>
      </c>
      <c r="J1743" t="n">
        <v>281</v>
      </c>
      <c r="K1743" t="n">
        <v>659.4390359168241</v>
      </c>
      <c r="L1743" t="n">
        <v>686.3549149338374</v>
      </c>
      <c r="M1743">
        <f>2*SQRT(K1743/PI())</f>
        <v/>
      </c>
      <c r="N1743">
        <f>2*SQRT(L1743/PI())</f>
        <v/>
      </c>
      <c r="P1743" t="inlineStr">
        <is>
          <t>是</t>
        </is>
      </c>
      <c r="Q1743" t="inlineStr">
        <is>
          <t>auto_pipeline;review_png_green</t>
        </is>
      </c>
      <c r="R1743" t="inlineStr">
        <is>
          <t>样品40</t>
        </is>
      </c>
    </row>
    <row r="1744">
      <c r="A1744" t="n">
        <v>1743</v>
      </c>
      <c r="B1744" t="inlineStr">
        <is>
          <t>40 (2).tif</t>
        </is>
      </c>
      <c r="C1744" t="inlineStr">
        <is>
          <t>40(2)-V03</t>
        </is>
      </c>
      <c r="D1744" t="n">
        <v>3</v>
      </c>
      <c r="E1744" t="inlineStr">
        <is>
          <t>primary</t>
        </is>
      </c>
      <c r="F1744" t="n">
        <v>243.9035916824197</v>
      </c>
      <c r="G1744">
        <f>2*SQRT(F1744/PI())</f>
        <v/>
      </c>
      <c r="H1744" t="n">
        <v>61.68793470963188</v>
      </c>
      <c r="I1744" t="n">
        <v>150</v>
      </c>
      <c r="J1744" t="n">
        <v>73</v>
      </c>
      <c r="K1744" t="n">
        <v>239.0255198487713</v>
      </c>
      <c r="L1744" t="n">
        <v>248.7816635160681</v>
      </c>
      <c r="M1744">
        <f>2*SQRT(K1744/PI())</f>
        <v/>
      </c>
      <c r="N1744">
        <f>2*SQRT(L1744/PI())</f>
        <v/>
      </c>
      <c r="P1744" t="inlineStr">
        <is>
          <t>是</t>
        </is>
      </c>
      <c r="Q1744" t="inlineStr">
        <is>
          <t>auto_pipeline;review_png_green</t>
        </is>
      </c>
      <c r="R1744" t="inlineStr">
        <is>
          <t>样品40</t>
        </is>
      </c>
    </row>
    <row r="1745">
      <c r="A1745" t="n">
        <v>1744</v>
      </c>
      <c r="B1745" t="inlineStr">
        <is>
          <t>40 (2).tif</t>
        </is>
      </c>
      <c r="C1745" t="inlineStr">
        <is>
          <t>40(2)-V04</t>
        </is>
      </c>
      <c r="D1745" t="n">
        <v>4</v>
      </c>
      <c r="E1745" t="inlineStr">
        <is>
          <t>primary</t>
        </is>
      </c>
      <c r="F1745" t="n">
        <v>219.7069943289225</v>
      </c>
      <c r="G1745">
        <f>2*SQRT(F1745/PI())</f>
        <v/>
      </c>
      <c r="H1745" t="n">
        <v>58.82454929144486</v>
      </c>
      <c r="I1745" t="n">
        <v>124</v>
      </c>
      <c r="J1745" t="n">
        <v>456</v>
      </c>
      <c r="K1745" t="n">
        <v>215.312854442344</v>
      </c>
      <c r="L1745" t="n">
        <v>224.1011342155009</v>
      </c>
      <c r="M1745">
        <f>2*SQRT(K1745/PI())</f>
        <v/>
      </c>
      <c r="N1745">
        <f>2*SQRT(L1745/PI())</f>
        <v/>
      </c>
      <c r="P1745" t="inlineStr">
        <is>
          <t>是</t>
        </is>
      </c>
      <c r="Q1745" t="inlineStr">
        <is>
          <t>auto_pipeline;review_png_green</t>
        </is>
      </c>
      <c r="R1745" t="inlineStr">
        <is>
          <t>样品40</t>
        </is>
      </c>
    </row>
    <row r="1746">
      <c r="A1746" t="n">
        <v>1745</v>
      </c>
      <c r="B1746" t="inlineStr">
        <is>
          <t>40 (2).tif</t>
        </is>
      </c>
      <c r="C1746" t="inlineStr">
        <is>
          <t>40(2)-V05</t>
        </is>
      </c>
      <c r="D1746" t="n">
        <v>5</v>
      </c>
      <c r="E1746" t="inlineStr">
        <is>
          <t>primary</t>
        </is>
      </c>
      <c r="F1746" t="n">
        <v>197.1644612476371</v>
      </c>
      <c r="G1746">
        <f>2*SQRT(F1746/PI())</f>
        <v/>
      </c>
      <c r="H1746" t="n">
        <v>52.78129069701485</v>
      </c>
      <c r="I1746" t="n">
        <v>884</v>
      </c>
      <c r="J1746" t="n">
        <v>517</v>
      </c>
      <c r="K1746" t="n">
        <v>193.2211720226843</v>
      </c>
      <c r="L1746" t="n">
        <v>201.1077504725898</v>
      </c>
      <c r="M1746">
        <f>2*SQRT(K1746/PI())</f>
        <v/>
      </c>
      <c r="N1746">
        <f>2*SQRT(L1746/PI())</f>
        <v/>
      </c>
      <c r="P1746" t="inlineStr">
        <is>
          <t>是</t>
        </is>
      </c>
      <c r="Q1746" t="inlineStr">
        <is>
          <t>auto_pipeline;review_png_green</t>
        </is>
      </c>
      <c r="R1746" t="inlineStr">
        <is>
          <t>样品40</t>
        </is>
      </c>
    </row>
    <row r="1747">
      <c r="A1747" t="n">
        <v>1746</v>
      </c>
      <c r="B1747" t="inlineStr">
        <is>
          <t>40 (2).tif</t>
        </is>
      </c>
      <c r="C1747" t="inlineStr">
        <is>
          <t>40(2)-V06</t>
        </is>
      </c>
      <c r="D1747" t="n">
        <v>6</v>
      </c>
      <c r="E1747" t="inlineStr">
        <is>
          <t>primary</t>
        </is>
      </c>
      <c r="F1747" t="n">
        <v>137.2873345935728</v>
      </c>
      <c r="G1747">
        <f>2*SQRT(F1747/PI())</f>
        <v/>
      </c>
      <c r="H1747" t="n">
        <v>50.98036227018937</v>
      </c>
      <c r="I1747" t="n">
        <v>87</v>
      </c>
      <c r="J1747" t="n">
        <v>92</v>
      </c>
      <c r="K1747" t="n">
        <v>134.5415879017013</v>
      </c>
      <c r="L1747" t="n">
        <v>140.0330812854442</v>
      </c>
      <c r="M1747">
        <f>2*SQRT(K1747/PI())</f>
        <v/>
      </c>
      <c r="N1747">
        <f>2*SQRT(L1747/PI())</f>
        <v/>
      </c>
      <c r="P1747" t="inlineStr">
        <is>
          <t>是</t>
        </is>
      </c>
      <c r="Q1747" t="inlineStr">
        <is>
          <t>auto_pipeline;review_png_green</t>
        </is>
      </c>
      <c r="R1747" t="inlineStr">
        <is>
          <t>样品40</t>
        </is>
      </c>
    </row>
    <row r="1748">
      <c r="A1748" t="n">
        <v>1747</v>
      </c>
      <c r="B1748" t="inlineStr">
        <is>
          <t>40 (3).tif</t>
        </is>
      </c>
      <c r="C1748" t="inlineStr">
        <is>
          <t>40(3)-V01</t>
        </is>
      </c>
      <c r="D1748" t="n">
        <v>1</v>
      </c>
      <c r="E1748" t="inlineStr">
        <is>
          <t>primary</t>
        </is>
      </c>
      <c r="F1748" t="n">
        <v>885.1843100189036</v>
      </c>
      <c r="G1748">
        <f>2*SQRT(F1748/PI())</f>
        <v/>
      </c>
      <c r="H1748" t="n">
        <v>112.0933705568314</v>
      </c>
      <c r="I1748" t="n">
        <v>467</v>
      </c>
      <c r="J1748" t="n">
        <v>228</v>
      </c>
      <c r="K1748" t="n">
        <v>867.4806238185255</v>
      </c>
      <c r="L1748" t="n">
        <v>902.8879962192817</v>
      </c>
      <c r="M1748">
        <f>2*SQRT(K1748/PI())</f>
        <v/>
      </c>
      <c r="N1748">
        <f>2*SQRT(L1748/PI())</f>
        <v/>
      </c>
      <c r="O1748" t="inlineStr">
        <is>
          <t>40(3)-P01</t>
        </is>
      </c>
      <c r="P1748" t="inlineStr">
        <is>
          <t>是</t>
        </is>
      </c>
      <c r="Q1748" t="inlineStr">
        <is>
          <t>auto_pipeline;review_png_green</t>
        </is>
      </c>
      <c r="R1748" t="inlineStr">
        <is>
          <t>样品40</t>
        </is>
      </c>
    </row>
    <row r="1749">
      <c r="A1749" t="n">
        <v>1748</v>
      </c>
      <c r="B1749" t="inlineStr">
        <is>
          <t>40 (3).tif</t>
        </is>
      </c>
      <c r="C1749" t="inlineStr">
        <is>
          <t>40(3)-V02</t>
        </is>
      </c>
      <c r="D1749" t="n">
        <v>2</v>
      </c>
      <c r="E1749" t="inlineStr">
        <is>
          <t>primary</t>
        </is>
      </c>
      <c r="F1749" t="n">
        <v>758.3648393194707</v>
      </c>
      <c r="G1749">
        <f>2*SQRT(F1749/PI())</f>
        <v/>
      </c>
      <c r="H1749" t="n">
        <v>103.2085755078689</v>
      </c>
      <c r="I1749" t="n">
        <v>444</v>
      </c>
      <c r="J1749" t="n">
        <v>390</v>
      </c>
      <c r="K1749" t="n">
        <v>743.1975425330812</v>
      </c>
      <c r="L1749" t="n">
        <v>773.5321361058601</v>
      </c>
      <c r="M1749">
        <f>2*SQRT(K1749/PI())</f>
        <v/>
      </c>
      <c r="N1749">
        <f>2*SQRT(L1749/PI())</f>
        <v/>
      </c>
      <c r="O1749" t="inlineStr">
        <is>
          <t>40(3)-P01</t>
        </is>
      </c>
      <c r="P1749" t="inlineStr">
        <is>
          <t>是</t>
        </is>
      </c>
      <c r="Q1749" t="inlineStr">
        <is>
          <t>auto_pipeline;review_png_green</t>
        </is>
      </c>
      <c r="R1749" t="inlineStr">
        <is>
          <t>样品40</t>
        </is>
      </c>
    </row>
    <row r="1750">
      <c r="A1750" t="n">
        <v>1749</v>
      </c>
      <c r="B1750" t="inlineStr">
        <is>
          <t>40 (3).tif</t>
        </is>
      </c>
      <c r="C1750" t="inlineStr">
        <is>
          <t>40(3)-V03</t>
        </is>
      </c>
      <c r="D1750" t="n">
        <v>3</v>
      </c>
      <c r="E1750" t="inlineStr">
        <is>
          <t>primary</t>
        </is>
      </c>
      <c r="F1750" t="n">
        <v>473.9366729678639</v>
      </c>
      <c r="G1750">
        <f>2*SQRT(F1750/PI())</f>
        <v/>
      </c>
      <c r="H1750" t="n">
        <v>81.57868989135908</v>
      </c>
      <c r="I1750" t="n">
        <v>774</v>
      </c>
      <c r="J1750" t="n">
        <v>395</v>
      </c>
      <c r="K1750" t="n">
        <v>464.4579395085066</v>
      </c>
      <c r="L1750" t="n">
        <v>483.4154064272212</v>
      </c>
      <c r="M1750">
        <f>2*SQRT(K1750/PI())</f>
        <v/>
      </c>
      <c r="N1750">
        <f>2*SQRT(L1750/PI())</f>
        <v/>
      </c>
      <c r="P1750" t="inlineStr">
        <is>
          <t>是</t>
        </is>
      </c>
      <c r="Q1750" t="inlineStr">
        <is>
          <t>auto_pipeline;review_png_green</t>
        </is>
      </c>
      <c r="R1750" t="inlineStr">
        <is>
          <t>样品40</t>
        </is>
      </c>
    </row>
    <row r="1751">
      <c r="A1751" t="n">
        <v>1750</v>
      </c>
      <c r="B1751" t="inlineStr">
        <is>
          <t>40 (3).tif</t>
        </is>
      </c>
      <c r="C1751" t="inlineStr">
        <is>
          <t>40(3)-V04</t>
        </is>
      </c>
      <c r="D1751" t="n">
        <v>4</v>
      </c>
      <c r="E1751" t="inlineStr">
        <is>
          <t>primary</t>
        </is>
      </c>
      <c r="F1751" t="n">
        <v>424.9291115311909</v>
      </c>
      <c r="G1751">
        <f>2*SQRT(F1751/PI())</f>
        <v/>
      </c>
      <c r="H1751" t="n">
        <v>77.38005765106367</v>
      </c>
      <c r="I1751" t="n">
        <v>758</v>
      </c>
      <c r="J1751" t="n">
        <v>211</v>
      </c>
      <c r="K1751" t="n">
        <v>416.4305293005671</v>
      </c>
      <c r="L1751" t="n">
        <v>433.4276937618147</v>
      </c>
      <c r="M1751">
        <f>2*SQRT(K1751/PI())</f>
        <v/>
      </c>
      <c r="N1751">
        <f>2*SQRT(L1751/PI())</f>
        <v/>
      </c>
      <c r="P1751" t="inlineStr">
        <is>
          <t>是</t>
        </is>
      </c>
      <c r="Q1751" t="inlineStr">
        <is>
          <t>auto_pipeline;review_png_green</t>
        </is>
      </c>
      <c r="R1751" t="inlineStr">
        <is>
          <t>样品40</t>
        </is>
      </c>
    </row>
    <row r="1752">
      <c r="A1752" t="n">
        <v>1751</v>
      </c>
      <c r="B1752" t="inlineStr">
        <is>
          <t>40 (3).tif</t>
        </is>
      </c>
      <c r="C1752" t="inlineStr">
        <is>
          <t>40(3)-V05</t>
        </is>
      </c>
      <c r="D1752" t="n">
        <v>5</v>
      </c>
      <c r="E1752" t="inlineStr">
        <is>
          <t>primary</t>
        </is>
      </c>
      <c r="F1752" t="n">
        <v>137.476370510397</v>
      </c>
      <c r="G1752">
        <f>2*SQRT(F1752/PI())</f>
        <v/>
      </c>
      <c r="H1752" t="n">
        <v>44.12933645041092</v>
      </c>
      <c r="I1752" t="n">
        <v>916</v>
      </c>
      <c r="J1752" t="n">
        <v>395</v>
      </c>
      <c r="K1752" t="n">
        <v>134.726843100189</v>
      </c>
      <c r="L1752" t="n">
        <v>140.2258979206049</v>
      </c>
      <c r="M1752">
        <f>2*SQRT(K1752/PI())</f>
        <v/>
      </c>
      <c r="N1752">
        <f>2*SQRT(L1752/PI())</f>
        <v/>
      </c>
      <c r="P1752" t="inlineStr">
        <is>
          <t>是</t>
        </is>
      </c>
      <c r="Q1752" t="inlineStr">
        <is>
          <t>auto_pipeline;review_png_green</t>
        </is>
      </c>
      <c r="R1752" t="inlineStr">
        <is>
          <t>样品40</t>
        </is>
      </c>
    </row>
    <row r="1753">
      <c r="A1753" t="n">
        <v>1752</v>
      </c>
      <c r="B1753" t="inlineStr">
        <is>
          <t>40 (3).tif</t>
        </is>
      </c>
      <c r="C1753" t="inlineStr">
        <is>
          <t>40(3)-V06</t>
        </is>
      </c>
      <c r="D1753" t="n">
        <v>6</v>
      </c>
      <c r="E1753" t="inlineStr">
        <is>
          <t>primary</t>
        </is>
      </c>
      <c r="F1753" t="n">
        <v>121.2901701323251</v>
      </c>
      <c r="G1753">
        <f>2*SQRT(F1753/PI())</f>
        <v/>
      </c>
      <c r="H1753" t="n">
        <v>43.64180588203928</v>
      </c>
      <c r="I1753" t="n">
        <v>536</v>
      </c>
      <c r="J1753" t="n">
        <v>594</v>
      </c>
      <c r="K1753" t="n">
        <v>118.8643667296786</v>
      </c>
      <c r="L1753" t="n">
        <v>123.7159735349717</v>
      </c>
      <c r="M1753">
        <f>2*SQRT(K1753/PI())</f>
        <v/>
      </c>
      <c r="N1753">
        <f>2*SQRT(L1753/PI())</f>
        <v/>
      </c>
      <c r="P1753" t="inlineStr">
        <is>
          <t>是</t>
        </is>
      </c>
      <c r="Q1753" t="inlineStr">
        <is>
          <t>auto_pipeline;review_png_green</t>
        </is>
      </c>
      <c r="R1753" t="inlineStr">
        <is>
          <t>样品40</t>
        </is>
      </c>
    </row>
    <row r="1754">
      <c r="A1754" t="n">
        <v>1753</v>
      </c>
      <c r="B1754" t="inlineStr">
        <is>
          <t>40 (3).tif</t>
        </is>
      </c>
      <c r="C1754" t="inlineStr">
        <is>
          <t>40(3)-V07</t>
        </is>
      </c>
      <c r="D1754" t="n">
        <v>7</v>
      </c>
      <c r="E1754" t="inlineStr">
        <is>
          <t>primary</t>
        </is>
      </c>
      <c r="F1754" t="n">
        <v>116.7296786389414</v>
      </c>
      <c r="G1754">
        <f>2*SQRT(F1754/PI())</f>
        <v/>
      </c>
      <c r="H1754" t="n">
        <v>54.8625067524288</v>
      </c>
      <c r="I1754" t="n">
        <v>641</v>
      </c>
      <c r="J1754" t="n">
        <v>134</v>
      </c>
      <c r="K1754" t="n">
        <v>114.3950850661626</v>
      </c>
      <c r="L1754" t="n">
        <v>119.0642722117202</v>
      </c>
      <c r="M1754">
        <f>2*SQRT(K1754/PI())</f>
        <v/>
      </c>
      <c r="N1754">
        <f>2*SQRT(L1754/PI())</f>
        <v/>
      </c>
      <c r="P1754" t="inlineStr">
        <is>
          <t>是</t>
        </is>
      </c>
      <c r="Q1754" t="inlineStr">
        <is>
          <t>auto_pipeline;review_png_green</t>
        </is>
      </c>
      <c r="R1754" t="inlineStr">
        <is>
          <t>样品40</t>
        </is>
      </c>
    </row>
    <row r="1755">
      <c r="A1755" t="n">
        <v>1754</v>
      </c>
      <c r="B1755" t="inlineStr">
        <is>
          <t>40 (3).tif</t>
        </is>
      </c>
      <c r="C1755" t="inlineStr">
        <is>
          <t>40(3)-V08</t>
        </is>
      </c>
      <c r="D1755" t="n">
        <v>8</v>
      </c>
      <c r="E1755" t="inlineStr">
        <is>
          <t>primary</t>
        </is>
      </c>
      <c r="F1755" t="n">
        <v>109.4517958412098</v>
      </c>
      <c r="G1755">
        <f>2*SQRT(F1755/PI())</f>
        <v/>
      </c>
      <c r="H1755" t="n">
        <v>44.17303437772004</v>
      </c>
      <c r="I1755" t="n">
        <v>590</v>
      </c>
      <c r="J1755" t="n">
        <v>534</v>
      </c>
      <c r="K1755" t="n">
        <v>107.2627599243856</v>
      </c>
      <c r="L1755" t="n">
        <v>111.640831758034</v>
      </c>
      <c r="M1755">
        <f>2*SQRT(K1755/PI())</f>
        <v/>
      </c>
      <c r="N1755">
        <f>2*SQRT(L1755/PI())</f>
        <v/>
      </c>
      <c r="P1755" t="inlineStr">
        <is>
          <t>是</t>
        </is>
      </c>
      <c r="Q1755" t="inlineStr">
        <is>
          <t>auto_pipeline;review_png_green</t>
        </is>
      </c>
      <c r="R1755" t="inlineStr">
        <is>
          <t>样品40</t>
        </is>
      </c>
    </row>
    <row r="1756">
      <c r="A1756" t="n">
        <v>1755</v>
      </c>
      <c r="B1756" t="inlineStr">
        <is>
          <t>40 (4).tif</t>
        </is>
      </c>
      <c r="C1756" t="inlineStr">
        <is>
          <t>40(4)-V01</t>
        </is>
      </c>
      <c r="D1756" t="n">
        <v>1</v>
      </c>
      <c r="E1756" t="inlineStr">
        <is>
          <t>primary</t>
        </is>
      </c>
      <c r="F1756" t="n">
        <v>972.1644612476371</v>
      </c>
      <c r="G1756">
        <f>2*SQRT(F1756/PI())</f>
        <v/>
      </c>
      <c r="H1756" t="n">
        <v>116.6740374461464</v>
      </c>
      <c r="I1756" t="n">
        <v>398</v>
      </c>
      <c r="J1756" t="n">
        <v>338</v>
      </c>
      <c r="K1756" t="n">
        <v>952.7211720226843</v>
      </c>
      <c r="L1756" t="n">
        <v>991.6077504725898</v>
      </c>
      <c r="M1756">
        <f>2*SQRT(K1756/PI())</f>
        <v/>
      </c>
      <c r="N1756">
        <f>2*SQRT(L1756/PI())</f>
        <v/>
      </c>
      <c r="O1756" t="inlineStr">
        <is>
          <t>40(4)-P01</t>
        </is>
      </c>
      <c r="P1756" t="inlineStr">
        <is>
          <t>是</t>
        </is>
      </c>
      <c r="Q1756" t="inlineStr">
        <is>
          <t>auto_pipeline;review_png_green</t>
        </is>
      </c>
      <c r="R1756" t="inlineStr">
        <is>
          <t>样品40</t>
        </is>
      </c>
    </row>
    <row r="1757">
      <c r="A1757" t="n">
        <v>1756</v>
      </c>
      <c r="B1757" t="inlineStr">
        <is>
          <t>40 (4).tif</t>
        </is>
      </c>
      <c r="C1757" t="inlineStr">
        <is>
          <t>40(4)-V02</t>
        </is>
      </c>
      <c r="D1757" t="n">
        <v>2</v>
      </c>
      <c r="E1757" t="inlineStr">
        <is>
          <t>primary</t>
        </is>
      </c>
      <c r="F1757" t="n">
        <v>640.9499054820416</v>
      </c>
      <c r="G1757">
        <f>2*SQRT(F1757/PI())</f>
        <v/>
      </c>
      <c r="H1757" t="n">
        <v>95.65902728101482</v>
      </c>
      <c r="I1757" t="n">
        <v>94</v>
      </c>
      <c r="J1757" t="n">
        <v>514</v>
      </c>
      <c r="K1757" t="n">
        <v>628.1309073724008</v>
      </c>
      <c r="L1757" t="n">
        <v>653.7689035916824</v>
      </c>
      <c r="M1757">
        <f>2*SQRT(K1757/PI())</f>
        <v/>
      </c>
      <c r="N1757">
        <f>2*SQRT(L1757/PI())</f>
        <v/>
      </c>
      <c r="P1757" t="inlineStr">
        <is>
          <t>是</t>
        </is>
      </c>
      <c r="Q1757" t="inlineStr">
        <is>
          <t>auto_pipeline;review_png_green</t>
        </is>
      </c>
      <c r="R1757" t="inlineStr">
        <is>
          <t>样品40</t>
        </is>
      </c>
    </row>
    <row r="1758">
      <c r="A1758" t="n">
        <v>1757</v>
      </c>
      <c r="B1758" t="inlineStr">
        <is>
          <t>40 (4).tif</t>
        </is>
      </c>
      <c r="C1758" t="inlineStr">
        <is>
          <t>40(4)-V03</t>
        </is>
      </c>
      <c r="D1758" t="n">
        <v>3</v>
      </c>
      <c r="E1758" t="inlineStr">
        <is>
          <t>primary</t>
        </is>
      </c>
      <c r="F1758" t="n">
        <v>631.9470699432892</v>
      </c>
      <c r="G1758">
        <f>2*SQRT(F1758/PI())</f>
        <v/>
      </c>
      <c r="H1758" t="n">
        <v>94.55662126126497</v>
      </c>
      <c r="I1758" t="n">
        <v>912</v>
      </c>
      <c r="J1758" t="n">
        <v>432</v>
      </c>
      <c r="K1758" t="n">
        <v>619.3081285444234</v>
      </c>
      <c r="L1758" t="n">
        <v>644.586011342155</v>
      </c>
      <c r="M1758">
        <f>2*SQRT(K1758/PI())</f>
        <v/>
      </c>
      <c r="N1758">
        <f>2*SQRT(L1758/PI())</f>
        <v/>
      </c>
      <c r="P1758" t="inlineStr">
        <is>
          <t>是</t>
        </is>
      </c>
      <c r="Q1758" t="inlineStr">
        <is>
          <t>auto_pipeline;review_png_green</t>
        </is>
      </c>
      <c r="R1758" t="inlineStr">
        <is>
          <t>样品40</t>
        </is>
      </c>
    </row>
    <row r="1759">
      <c r="A1759" t="n">
        <v>1758</v>
      </c>
      <c r="B1759" t="inlineStr">
        <is>
          <t>40 (4).tif</t>
        </is>
      </c>
      <c r="C1759" t="inlineStr">
        <is>
          <t>40(4)-V04</t>
        </is>
      </c>
      <c r="D1759" t="n">
        <v>4</v>
      </c>
      <c r="E1759" t="inlineStr">
        <is>
          <t>primary</t>
        </is>
      </c>
      <c r="F1759" t="n">
        <v>404.3950850661626</v>
      </c>
      <c r="G1759">
        <f>2*SQRT(F1759/PI())</f>
        <v/>
      </c>
      <c r="H1759" t="n">
        <v>75.76827209928761</v>
      </c>
      <c r="I1759" t="n">
        <v>495</v>
      </c>
      <c r="J1759" t="n">
        <v>475</v>
      </c>
      <c r="K1759" t="n">
        <v>396.3071833648393</v>
      </c>
      <c r="L1759" t="n">
        <v>412.4829867674858</v>
      </c>
      <c r="M1759">
        <f>2*SQRT(K1759/PI())</f>
        <v/>
      </c>
      <c r="N1759">
        <f>2*SQRT(L1759/PI())</f>
        <v/>
      </c>
      <c r="O1759" t="inlineStr">
        <is>
          <t>40(4)-P01</t>
        </is>
      </c>
      <c r="P1759" t="inlineStr">
        <is>
          <t>是</t>
        </is>
      </c>
      <c r="Q1759" t="inlineStr">
        <is>
          <t>auto_pipeline;review_png_green</t>
        </is>
      </c>
      <c r="R1759" t="inlineStr">
        <is>
          <t>样品40</t>
        </is>
      </c>
    </row>
    <row r="1760">
      <c r="A1760" t="n">
        <v>1759</v>
      </c>
      <c r="B1760" t="inlineStr">
        <is>
          <t>40 (4).tif</t>
        </is>
      </c>
      <c r="C1760" t="inlineStr">
        <is>
          <t>40(4)-V05</t>
        </is>
      </c>
      <c r="D1760" t="n">
        <v>5</v>
      </c>
      <c r="E1760" t="inlineStr">
        <is>
          <t>primary</t>
        </is>
      </c>
      <c r="F1760" t="n">
        <v>127.4102079395085</v>
      </c>
      <c r="G1760">
        <f>2*SQRT(F1760/PI())</f>
        <v/>
      </c>
      <c r="H1760" t="n">
        <v>42.89958554765452</v>
      </c>
      <c r="I1760" t="n">
        <v>563</v>
      </c>
      <c r="J1760" t="n">
        <v>237</v>
      </c>
      <c r="K1760" t="n">
        <v>124.8620037807183</v>
      </c>
      <c r="L1760" t="n">
        <v>129.9584120982987</v>
      </c>
      <c r="M1760">
        <f>2*SQRT(K1760/PI())</f>
        <v/>
      </c>
      <c r="N1760">
        <f>2*SQRT(L1760/PI())</f>
        <v/>
      </c>
      <c r="P1760" t="inlineStr">
        <is>
          <t>是</t>
        </is>
      </c>
      <c r="Q1760" t="inlineStr">
        <is>
          <t>auto_pipeline;review_png_green</t>
        </is>
      </c>
      <c r="R1760" t="inlineStr">
        <is>
          <t>样品40</t>
        </is>
      </c>
    </row>
    <row r="1761">
      <c r="A1761" t="n">
        <v>1760</v>
      </c>
      <c r="B1761" t="inlineStr">
        <is>
          <t>40 (4).tif</t>
        </is>
      </c>
      <c r="C1761" t="inlineStr">
        <is>
          <t>40(4)-V06</t>
        </is>
      </c>
      <c r="D1761" t="n">
        <v>6</v>
      </c>
      <c r="E1761" t="inlineStr">
        <is>
          <t>primary</t>
        </is>
      </c>
      <c r="F1761" t="n">
        <v>118.7854442344045</v>
      </c>
      <c r="G1761">
        <f>2*SQRT(F1761/PI())</f>
        <v/>
      </c>
      <c r="H1761" t="n">
        <v>46.10130768755208</v>
      </c>
      <c r="I1761" t="n">
        <v>663</v>
      </c>
      <c r="J1761" t="n">
        <v>129</v>
      </c>
      <c r="K1761" t="n">
        <v>116.4097353497164</v>
      </c>
      <c r="L1761" t="n">
        <v>121.1611531190926</v>
      </c>
      <c r="M1761">
        <f>2*SQRT(K1761/PI())</f>
        <v/>
      </c>
      <c r="N1761">
        <f>2*SQRT(L1761/PI())</f>
        <v/>
      </c>
      <c r="P1761" t="inlineStr">
        <is>
          <t>是</t>
        </is>
      </c>
      <c r="Q1761" t="inlineStr">
        <is>
          <t>auto_pipeline;review_png_green</t>
        </is>
      </c>
      <c r="R1761" t="inlineStr">
        <is>
          <t>样品40</t>
        </is>
      </c>
    </row>
    <row r="1762">
      <c r="A1762" t="n">
        <v>1761</v>
      </c>
      <c r="B1762" t="inlineStr">
        <is>
          <t>40 (5).tif</t>
        </is>
      </c>
      <c r="C1762" t="inlineStr">
        <is>
          <t>40(5)-V01</t>
        </is>
      </c>
      <c r="D1762" t="n">
        <v>1</v>
      </c>
      <c r="E1762" t="inlineStr">
        <is>
          <t>primary</t>
        </is>
      </c>
      <c r="F1762" t="n">
        <v>971.5264650283553</v>
      </c>
      <c r="G1762">
        <f>2*SQRT(F1762/PI())</f>
        <v/>
      </c>
      <c r="H1762" t="n">
        <v>117.0560720951661</v>
      </c>
      <c r="I1762" t="n">
        <v>838</v>
      </c>
      <c r="J1762" t="n">
        <v>285</v>
      </c>
      <c r="K1762" t="n">
        <v>952.0959357277882</v>
      </c>
      <c r="L1762" t="n">
        <v>990.9569943289225</v>
      </c>
      <c r="M1762">
        <f>2*SQRT(K1762/PI())</f>
        <v/>
      </c>
      <c r="N1762">
        <f>2*SQRT(L1762/PI())</f>
        <v/>
      </c>
      <c r="O1762" t="inlineStr">
        <is>
          <t>40(5)-P01</t>
        </is>
      </c>
      <c r="P1762" t="inlineStr">
        <is>
          <t>是</t>
        </is>
      </c>
      <c r="Q1762" t="inlineStr">
        <is>
          <t>auto_pipeline;review_png_green</t>
        </is>
      </c>
      <c r="R1762" t="inlineStr">
        <is>
          <t>样品40</t>
        </is>
      </c>
    </row>
    <row r="1763">
      <c r="A1763" t="n">
        <v>1762</v>
      </c>
      <c r="B1763" t="inlineStr">
        <is>
          <t>40 (5).tif</t>
        </is>
      </c>
      <c r="C1763" t="inlineStr">
        <is>
          <t>40(5)-V02</t>
        </is>
      </c>
      <c r="D1763" t="n">
        <v>2</v>
      </c>
      <c r="E1763" t="inlineStr">
        <is>
          <t>primary</t>
        </is>
      </c>
      <c r="F1763" t="n">
        <v>836.6493383742911</v>
      </c>
      <c r="G1763">
        <f>2*SQRT(F1763/PI())</f>
        <v/>
      </c>
      <c r="H1763" t="n">
        <v>109.3791789853055</v>
      </c>
      <c r="I1763" t="n">
        <v>522</v>
      </c>
      <c r="J1763" t="n">
        <v>462</v>
      </c>
      <c r="K1763" t="n">
        <v>819.9163516068053</v>
      </c>
      <c r="L1763" t="n">
        <v>853.382325141777</v>
      </c>
      <c r="M1763">
        <f>2*SQRT(K1763/PI())</f>
        <v/>
      </c>
      <c r="N1763">
        <f>2*SQRT(L1763/PI())</f>
        <v/>
      </c>
      <c r="P1763" t="inlineStr">
        <is>
          <t>是</t>
        </is>
      </c>
      <c r="Q1763" t="inlineStr">
        <is>
          <t>auto_pipeline;review_png_green</t>
        </is>
      </c>
      <c r="R1763" t="inlineStr">
        <is>
          <t>样品40</t>
        </is>
      </c>
    </row>
    <row r="1764">
      <c r="A1764" t="n">
        <v>1763</v>
      </c>
      <c r="B1764" t="inlineStr">
        <is>
          <t>40 (5).tif</t>
        </is>
      </c>
      <c r="C1764" t="inlineStr">
        <is>
          <t>40(5)-V03</t>
        </is>
      </c>
      <c r="D1764" t="n">
        <v>3</v>
      </c>
      <c r="E1764" t="inlineStr">
        <is>
          <t>primary</t>
        </is>
      </c>
      <c r="F1764" t="n">
        <v>390.5954631379962</v>
      </c>
      <c r="G1764">
        <f>2*SQRT(F1764/PI())</f>
        <v/>
      </c>
      <c r="H1764" t="n">
        <v>74.28383143051811</v>
      </c>
      <c r="I1764" t="n">
        <v>934</v>
      </c>
      <c r="J1764" t="n">
        <v>424</v>
      </c>
      <c r="K1764" t="n">
        <v>382.7835538752363</v>
      </c>
      <c r="L1764" t="n">
        <v>398.4073724007561</v>
      </c>
      <c r="M1764">
        <f>2*SQRT(K1764/PI())</f>
        <v/>
      </c>
      <c r="N1764">
        <f>2*SQRT(L1764/PI())</f>
        <v/>
      </c>
      <c r="O1764" t="inlineStr">
        <is>
          <t>40(5)-P01</t>
        </is>
      </c>
      <c r="P1764" t="inlineStr">
        <is>
          <t>是</t>
        </is>
      </c>
      <c r="Q1764" t="inlineStr">
        <is>
          <t>auto_pipeline;review_png_green</t>
        </is>
      </c>
      <c r="R1764" t="inlineStr">
        <is>
          <t>样品40</t>
        </is>
      </c>
    </row>
    <row r="1765">
      <c r="A1765" t="n">
        <v>1764</v>
      </c>
      <c r="B1765" t="inlineStr">
        <is>
          <t>40 (5).tif</t>
        </is>
      </c>
      <c r="C1765" t="inlineStr">
        <is>
          <t>40(5)-V04</t>
        </is>
      </c>
      <c r="D1765" t="n">
        <v>4</v>
      </c>
      <c r="E1765" t="inlineStr">
        <is>
          <t>primary</t>
        </is>
      </c>
      <c r="F1765" t="n">
        <v>174.4565217391304</v>
      </c>
      <c r="G1765">
        <f>2*SQRT(F1765/PI())</f>
        <v/>
      </c>
      <c r="H1765" t="n">
        <v>62.74664280207261</v>
      </c>
      <c r="I1765" t="n">
        <v>408</v>
      </c>
      <c r="J1765" t="n">
        <v>165</v>
      </c>
      <c r="K1765" t="n">
        <v>170.9673913043478</v>
      </c>
      <c r="L1765" t="n">
        <v>177.9456521739131</v>
      </c>
      <c r="M1765">
        <f>2*SQRT(K1765/PI())</f>
        <v/>
      </c>
      <c r="N1765">
        <f>2*SQRT(L1765/PI())</f>
        <v/>
      </c>
      <c r="P1765" t="inlineStr">
        <is>
          <t>是</t>
        </is>
      </c>
      <c r="Q1765" t="inlineStr">
        <is>
          <t>auto_pipeline;review_png_green</t>
        </is>
      </c>
      <c r="R1765" t="inlineStr">
        <is>
          <t>样品40</t>
        </is>
      </c>
    </row>
    <row r="1766">
      <c r="A1766" t="n">
        <v>1765</v>
      </c>
      <c r="B1766" t="inlineStr">
        <is>
          <t>40 (6).tif</t>
        </is>
      </c>
      <c r="C1766" t="inlineStr">
        <is>
          <t>40(6)-V01</t>
        </is>
      </c>
      <c r="D1766" t="n">
        <v>1</v>
      </c>
      <c r="E1766" t="inlineStr">
        <is>
          <t>primary</t>
        </is>
      </c>
      <c r="F1766" t="n">
        <v>1098.4404536862</v>
      </c>
      <c r="G1766">
        <f>2*SQRT(F1766/PI())</f>
        <v/>
      </c>
      <c r="H1766" t="n">
        <v>124.0962407899939</v>
      </c>
      <c r="I1766" t="n">
        <v>806</v>
      </c>
      <c r="J1766" t="n">
        <v>250</v>
      </c>
      <c r="K1766" t="n">
        <v>1076.471644612476</v>
      </c>
      <c r="L1766" t="n">
        <v>1120.409262759924</v>
      </c>
      <c r="M1766">
        <f>2*SQRT(K1766/PI())</f>
        <v/>
      </c>
      <c r="N1766">
        <f>2*SQRT(L1766/PI())</f>
        <v/>
      </c>
      <c r="P1766" t="inlineStr">
        <is>
          <t>是</t>
        </is>
      </c>
      <c r="Q1766" t="inlineStr">
        <is>
          <t>auto_pipeline;review_png_green</t>
        </is>
      </c>
      <c r="R1766" t="inlineStr">
        <is>
          <t>样品40</t>
        </is>
      </c>
    </row>
    <row r="1767">
      <c r="A1767" t="n">
        <v>1766</v>
      </c>
      <c r="B1767" t="inlineStr">
        <is>
          <t>40 (6).tif</t>
        </is>
      </c>
      <c r="C1767" t="inlineStr">
        <is>
          <t>40(6)-V02</t>
        </is>
      </c>
      <c r="D1767" t="n">
        <v>2</v>
      </c>
      <c r="E1767" t="inlineStr">
        <is>
          <t>primary</t>
        </is>
      </c>
      <c r="F1767" t="n">
        <v>830.812854442344</v>
      </c>
      <c r="G1767">
        <f>2*SQRT(F1767/PI())</f>
        <v/>
      </c>
      <c r="H1767" t="n">
        <v>108.2767729655556</v>
      </c>
      <c r="I1767" t="n">
        <v>412</v>
      </c>
      <c r="J1767" t="n">
        <v>383</v>
      </c>
      <c r="K1767" t="n">
        <v>814.1965973534972</v>
      </c>
      <c r="L1767" t="n">
        <v>847.4291115311909</v>
      </c>
      <c r="M1767">
        <f>2*SQRT(K1767/PI())</f>
        <v/>
      </c>
      <c r="N1767">
        <f>2*SQRT(L1767/PI())</f>
        <v/>
      </c>
      <c r="O1767" t="inlineStr">
        <is>
          <t>40(6)-P01</t>
        </is>
      </c>
      <c r="P1767" t="inlineStr">
        <is>
          <t>是</t>
        </is>
      </c>
      <c r="Q1767" t="inlineStr">
        <is>
          <t>auto_pipeline;review_png_green</t>
        </is>
      </c>
      <c r="R1767" t="inlineStr">
        <is>
          <t>样品40</t>
        </is>
      </c>
    </row>
    <row r="1768">
      <c r="A1768" t="n">
        <v>1767</v>
      </c>
      <c r="B1768" t="inlineStr">
        <is>
          <t>40 (6).tif</t>
        </is>
      </c>
      <c r="C1768" t="inlineStr">
        <is>
          <t>40(6)-V03</t>
        </is>
      </c>
      <c r="D1768" t="n">
        <v>3</v>
      </c>
      <c r="E1768" t="inlineStr">
        <is>
          <t>primary</t>
        </is>
      </c>
      <c r="F1768" t="n">
        <v>568.2892249527411</v>
      </c>
      <c r="G1768">
        <f>2*SQRT(F1768/PI())</f>
        <v/>
      </c>
      <c r="H1768" t="n">
        <v>89.48842380357824</v>
      </c>
      <c r="I1768" t="n">
        <v>567</v>
      </c>
      <c r="J1768" t="n">
        <v>428</v>
      </c>
      <c r="K1768" t="n">
        <v>556.9234404536862</v>
      </c>
      <c r="L1768" t="n">
        <v>579.6550094517959</v>
      </c>
      <c r="M1768">
        <f>2*SQRT(K1768/PI())</f>
        <v/>
      </c>
      <c r="N1768">
        <f>2*SQRT(L1768/PI())</f>
        <v/>
      </c>
      <c r="O1768" t="inlineStr">
        <is>
          <t>40(6)-P01</t>
        </is>
      </c>
      <c r="P1768" t="inlineStr">
        <is>
          <t>是</t>
        </is>
      </c>
      <c r="Q1768" t="inlineStr">
        <is>
          <t>auto_pipeline;review_png_green</t>
        </is>
      </c>
      <c r="R1768" t="inlineStr">
        <is>
          <t>样品40</t>
        </is>
      </c>
    </row>
    <row r="1769">
      <c r="A1769" t="n">
        <v>1768</v>
      </c>
      <c r="B1769" t="inlineStr">
        <is>
          <t>40 (6).tif</t>
        </is>
      </c>
      <c r="C1769" t="inlineStr">
        <is>
          <t>40(6)-V04</t>
        </is>
      </c>
      <c r="D1769" t="n">
        <v>4</v>
      </c>
      <c r="E1769" t="inlineStr">
        <is>
          <t>primary</t>
        </is>
      </c>
      <c r="F1769" t="n">
        <v>124.054820415879</v>
      </c>
      <c r="G1769">
        <f>2*SQRT(F1769/PI())</f>
        <v/>
      </c>
      <c r="H1769" t="n">
        <v>53.14147638237994</v>
      </c>
      <c r="I1769" t="n">
        <v>400</v>
      </c>
      <c r="J1769" t="n">
        <v>491</v>
      </c>
      <c r="K1769" t="n">
        <v>121.5737240075614</v>
      </c>
      <c r="L1769" t="n">
        <v>126.5359168241966</v>
      </c>
      <c r="M1769">
        <f>2*SQRT(K1769/PI())</f>
        <v/>
      </c>
      <c r="N1769">
        <f>2*SQRT(L1769/PI())</f>
        <v/>
      </c>
      <c r="P1769" t="inlineStr">
        <is>
          <t>是</t>
        </is>
      </c>
      <c r="Q1769" t="inlineStr">
        <is>
          <t>auto_pipeline;review_png_green</t>
        </is>
      </c>
      <c r="R1769" t="inlineStr">
        <is>
          <t>样品40</t>
        </is>
      </c>
    </row>
    <row r="1770">
      <c r="A1770" t="n">
        <v>1769</v>
      </c>
      <c r="B1770" t="inlineStr">
        <is>
          <t>40 (6).tif</t>
        </is>
      </c>
      <c r="C1770" t="inlineStr">
        <is>
          <t>40(6)-V05</t>
        </is>
      </c>
      <c r="D1770" t="n">
        <v>5</v>
      </c>
      <c r="E1770" t="inlineStr">
        <is>
          <t>primary</t>
        </is>
      </c>
      <c r="F1770" t="n">
        <v>110.3024574669187</v>
      </c>
      <c r="G1770">
        <f>2*SQRT(F1770/PI())</f>
        <v/>
      </c>
      <c r="H1770" t="n">
        <v>41.92452441091122</v>
      </c>
      <c r="I1770" t="n">
        <v>617</v>
      </c>
      <c r="J1770" t="n">
        <v>121</v>
      </c>
      <c r="K1770" t="n">
        <v>108.0964083175803</v>
      </c>
      <c r="L1770" t="n">
        <v>112.5085066162571</v>
      </c>
      <c r="M1770">
        <f>2*SQRT(K1770/PI())</f>
        <v/>
      </c>
      <c r="N1770">
        <f>2*SQRT(L1770/PI())</f>
        <v/>
      </c>
      <c r="P1770" t="inlineStr">
        <is>
          <t>是</t>
        </is>
      </c>
      <c r="Q1770" t="inlineStr">
        <is>
          <t>auto_pipeline;review_png_green</t>
        </is>
      </c>
      <c r="R1770" t="inlineStr">
        <is>
          <t>样品40</t>
        </is>
      </c>
    </row>
    <row r="1771">
      <c r="A1771" t="n">
        <v>1770</v>
      </c>
      <c r="B1771" t="inlineStr">
        <is>
          <t>40 (7).tif</t>
        </is>
      </c>
      <c r="C1771" t="inlineStr">
        <is>
          <t>40(7)-V01</t>
        </is>
      </c>
      <c r="D1771" t="n">
        <v>1</v>
      </c>
      <c r="E1771" t="inlineStr">
        <is>
          <t>primary</t>
        </is>
      </c>
      <c r="F1771" t="n">
        <v>1228.898865784499</v>
      </c>
      <c r="G1771">
        <f>2*SQRT(F1771/PI())</f>
        <v/>
      </c>
      <c r="H1771" t="n">
        <v>131.1364094848218</v>
      </c>
      <c r="I1771" t="n">
        <v>543</v>
      </c>
      <c r="J1771" t="n">
        <v>285</v>
      </c>
      <c r="K1771" t="n">
        <v>1204.320888468809</v>
      </c>
      <c r="L1771" t="n">
        <v>1253.476843100189</v>
      </c>
      <c r="M1771">
        <f>2*SQRT(K1771/PI())</f>
        <v/>
      </c>
      <c r="N1771">
        <f>2*SQRT(L1771/PI())</f>
        <v/>
      </c>
      <c r="O1771" t="inlineStr">
        <is>
          <t>40(7)-P01</t>
        </is>
      </c>
      <c r="P1771" t="inlineStr">
        <is>
          <t>是</t>
        </is>
      </c>
      <c r="Q1771" t="inlineStr">
        <is>
          <t>auto_pipeline;review_png_green</t>
        </is>
      </c>
      <c r="R1771" t="inlineStr">
        <is>
          <t>样品40</t>
        </is>
      </c>
    </row>
    <row r="1772">
      <c r="A1772" t="n">
        <v>1771</v>
      </c>
      <c r="B1772" t="inlineStr">
        <is>
          <t>40 (7).tif</t>
        </is>
      </c>
      <c r="C1772" t="inlineStr">
        <is>
          <t>40(7)-V02</t>
        </is>
      </c>
      <c r="D1772" t="n">
        <v>2</v>
      </c>
      <c r="E1772" t="inlineStr">
        <is>
          <t>primary</t>
        </is>
      </c>
      <c r="F1772" t="n">
        <v>1174.52741020794</v>
      </c>
      <c r="G1772">
        <f>2*SQRT(F1772/PI())</f>
        <v/>
      </c>
      <c r="H1772" t="n">
        <v>128.5495627963025</v>
      </c>
      <c r="I1772" t="n">
        <v>430</v>
      </c>
      <c r="J1772" t="n">
        <v>455</v>
      </c>
      <c r="K1772" t="n">
        <v>1151.036862003781</v>
      </c>
      <c r="L1772" t="n">
        <v>1198.017958412098</v>
      </c>
      <c r="M1772">
        <f>2*SQRT(K1772/PI())</f>
        <v/>
      </c>
      <c r="N1772">
        <f>2*SQRT(L1772/PI())</f>
        <v/>
      </c>
      <c r="O1772" t="inlineStr">
        <is>
          <t>40(7)-P01</t>
        </is>
      </c>
      <c r="P1772" t="inlineStr">
        <is>
          <t>是</t>
        </is>
      </c>
      <c r="Q1772" t="inlineStr">
        <is>
          <t>auto_pipeline;review_png_green</t>
        </is>
      </c>
      <c r="R1772" t="inlineStr">
        <is>
          <t>样品40</t>
        </is>
      </c>
    </row>
    <row r="1773">
      <c r="A1773" t="n">
        <v>1772</v>
      </c>
      <c r="B1773" t="inlineStr">
        <is>
          <t>40 (7).tif</t>
        </is>
      </c>
      <c r="C1773" t="inlineStr">
        <is>
          <t>40(7)-V03</t>
        </is>
      </c>
      <c r="D1773" t="n">
        <v>3</v>
      </c>
      <c r="E1773" t="inlineStr">
        <is>
          <t>primary</t>
        </is>
      </c>
      <c r="F1773" t="n">
        <v>758.4357277882798</v>
      </c>
      <c r="G1773">
        <f>2*SQRT(F1773/PI())</f>
        <v/>
      </c>
      <c r="H1773" t="n">
        <v>103.0812306248623</v>
      </c>
      <c r="I1773" t="n">
        <v>127</v>
      </c>
      <c r="J1773" t="n">
        <v>440</v>
      </c>
      <c r="K1773" t="n">
        <v>743.2670132325142</v>
      </c>
      <c r="L1773" t="n">
        <v>773.6044423440454</v>
      </c>
      <c r="M1773">
        <f>2*SQRT(K1773/PI())</f>
        <v/>
      </c>
      <c r="N1773">
        <f>2*SQRT(L1773/PI())</f>
        <v/>
      </c>
      <c r="P1773" t="inlineStr">
        <is>
          <t>是</t>
        </is>
      </c>
      <c r="Q1773" t="inlineStr">
        <is>
          <t>auto_pipeline;review_png_green</t>
        </is>
      </c>
      <c r="R1773" t="inlineStr">
        <is>
          <t>样品40</t>
        </is>
      </c>
    </row>
    <row r="1774">
      <c r="A1774" t="n">
        <v>1773</v>
      </c>
      <c r="B1774" t="inlineStr">
        <is>
          <t>40 (7).tif</t>
        </is>
      </c>
      <c r="C1774" t="inlineStr">
        <is>
          <t>40(7)-V04</t>
        </is>
      </c>
      <c r="D1774" t="n">
        <v>4</v>
      </c>
      <c r="E1774" t="inlineStr">
        <is>
          <t>primary</t>
        </is>
      </c>
      <c r="F1774" t="n">
        <v>137.1455576559546</v>
      </c>
      <c r="G1774">
        <f>2*SQRT(F1774/PI())</f>
        <v/>
      </c>
      <c r="H1774" t="n">
        <v>47.20371370730193</v>
      </c>
      <c r="I1774" t="n">
        <v>827</v>
      </c>
      <c r="J1774" t="n">
        <v>420</v>
      </c>
      <c r="K1774" t="n">
        <v>134.4026465028356</v>
      </c>
      <c r="L1774" t="n">
        <v>139.8884688090737</v>
      </c>
      <c r="M1774">
        <f>2*SQRT(K1774/PI())</f>
        <v/>
      </c>
      <c r="N1774">
        <f>2*SQRT(L1774/PI())</f>
        <v/>
      </c>
      <c r="P1774" t="inlineStr">
        <is>
          <t>是</t>
        </is>
      </c>
      <c r="Q1774" t="inlineStr">
        <is>
          <t>auto_pipeline;review_png_green</t>
        </is>
      </c>
      <c r="R1774" t="inlineStr">
        <is>
          <t>样品40</t>
        </is>
      </c>
    </row>
    <row r="1775">
      <c r="A1775" t="n">
        <v>1774</v>
      </c>
      <c r="B1775" t="inlineStr">
        <is>
          <t>40 (7).tif</t>
        </is>
      </c>
      <c r="C1775" t="inlineStr">
        <is>
          <t>40(7)-V05</t>
        </is>
      </c>
      <c r="D1775" t="n">
        <v>5</v>
      </c>
      <c r="E1775" t="inlineStr">
        <is>
          <t>primary</t>
        </is>
      </c>
      <c r="F1775" t="n">
        <v>127.7173913043478</v>
      </c>
      <c r="G1775">
        <f>2*SQRT(F1775/PI())</f>
        <v/>
      </c>
      <c r="H1775" t="n">
        <v>47.18186474364737</v>
      </c>
      <c r="I1775" t="n">
        <v>890</v>
      </c>
      <c r="J1775" t="n">
        <v>327</v>
      </c>
      <c r="K1775" t="n">
        <v>125.1630434782609</v>
      </c>
      <c r="L1775" t="n">
        <v>130.2717391304348</v>
      </c>
      <c r="M1775">
        <f>2*SQRT(K1775/PI())</f>
        <v/>
      </c>
      <c r="N1775">
        <f>2*SQRT(L1775/PI())</f>
        <v/>
      </c>
      <c r="P1775" t="inlineStr">
        <is>
          <t>是</t>
        </is>
      </c>
      <c r="Q1775" t="inlineStr">
        <is>
          <t>auto_pipeline;review_png_green</t>
        </is>
      </c>
      <c r="R1775" t="inlineStr">
        <is>
          <t>样品40</t>
        </is>
      </c>
    </row>
    <row r="1776">
      <c r="A1776" t="n">
        <v>1775</v>
      </c>
      <c r="B1776" t="inlineStr">
        <is>
          <t>40 (8).tif</t>
        </is>
      </c>
      <c r="C1776" t="inlineStr">
        <is>
          <t>40(8)-V01</t>
        </is>
      </c>
      <c r="D1776" t="n">
        <v>1</v>
      </c>
      <c r="E1776" t="inlineStr">
        <is>
          <t>primary</t>
        </is>
      </c>
      <c r="F1776" t="n">
        <v>1468.407372400756</v>
      </c>
      <c r="G1776">
        <f>2*SQRT(F1776/PI())</f>
        <v/>
      </c>
      <c r="H1776" t="n">
        <v>143.3721205203429</v>
      </c>
      <c r="I1776" t="n">
        <v>559</v>
      </c>
      <c r="J1776" t="n">
        <v>243</v>
      </c>
      <c r="K1776" t="n">
        <v>1439.039224952741</v>
      </c>
      <c r="L1776" t="n">
        <v>1497.775519848771</v>
      </c>
      <c r="M1776">
        <f>2*SQRT(K1776/PI())</f>
        <v/>
      </c>
      <c r="N1776">
        <f>2*SQRT(L1776/PI())</f>
        <v/>
      </c>
      <c r="O1776" t="inlineStr">
        <is>
          <t>40(8)-P01</t>
        </is>
      </c>
      <c r="P1776" t="inlineStr">
        <is>
          <t>是</t>
        </is>
      </c>
      <c r="Q1776" t="inlineStr">
        <is>
          <t>auto_pipeline;review_png_green</t>
        </is>
      </c>
      <c r="R1776" t="inlineStr">
        <is>
          <t>样品40</t>
        </is>
      </c>
    </row>
    <row r="1777">
      <c r="A1777" t="n">
        <v>1776</v>
      </c>
      <c r="B1777" t="inlineStr">
        <is>
          <t>40 (8).tif</t>
        </is>
      </c>
      <c r="C1777" t="inlineStr">
        <is>
          <t>40(8)-V02</t>
        </is>
      </c>
      <c r="D1777" t="n">
        <v>2</v>
      </c>
      <c r="E1777" t="inlineStr">
        <is>
          <t>primary</t>
        </is>
      </c>
      <c r="F1777" t="n">
        <v>1453.402646502836</v>
      </c>
      <c r="G1777">
        <f>2*SQRT(F1777/PI())</f>
        <v/>
      </c>
      <c r="H1777" t="n">
        <v>143.7541551693626</v>
      </c>
      <c r="I1777" t="n">
        <v>851</v>
      </c>
      <c r="J1777" t="n">
        <v>198</v>
      </c>
      <c r="K1777" t="n">
        <v>1424.334593572779</v>
      </c>
      <c r="L1777" t="n">
        <v>1482.470699432892</v>
      </c>
      <c r="M1777">
        <f>2*SQRT(K1777/PI())</f>
        <v/>
      </c>
      <c r="N1777">
        <f>2*SQRT(L1777/PI())</f>
        <v/>
      </c>
      <c r="P1777" t="inlineStr">
        <is>
          <t>是</t>
        </is>
      </c>
      <c r="Q1777" t="inlineStr">
        <is>
          <t>auto_pipeline;review_png_green</t>
        </is>
      </c>
      <c r="R1777" t="inlineStr">
        <is>
          <t>样品40</t>
        </is>
      </c>
    </row>
    <row r="1778">
      <c r="A1778" t="n">
        <v>1777</v>
      </c>
      <c r="B1778" t="inlineStr">
        <is>
          <t>40 (8).tif</t>
        </is>
      </c>
      <c r="C1778" t="inlineStr">
        <is>
          <t>40(8)-V03</t>
        </is>
      </c>
      <c r="D1778" t="n">
        <v>3</v>
      </c>
      <c r="E1778" t="inlineStr">
        <is>
          <t>primary</t>
        </is>
      </c>
      <c r="F1778" t="n">
        <v>1135.586011342155</v>
      </c>
      <c r="G1778">
        <f>2*SQRT(F1778/PI())</f>
        <v/>
      </c>
      <c r="H1778" t="n">
        <v>126.1955569101416</v>
      </c>
      <c r="I1778" t="n">
        <v>486</v>
      </c>
      <c r="J1778" t="n">
        <v>444</v>
      </c>
      <c r="K1778" t="n">
        <v>1112.874291115312</v>
      </c>
      <c r="L1778" t="n">
        <v>1158.297731568998</v>
      </c>
      <c r="M1778">
        <f>2*SQRT(K1778/PI())</f>
        <v/>
      </c>
      <c r="N1778">
        <f>2*SQRT(L1778/PI())</f>
        <v/>
      </c>
      <c r="O1778" t="inlineStr">
        <is>
          <t>40(8)-P01</t>
        </is>
      </c>
      <c r="P1778" t="inlineStr">
        <is>
          <t>是</t>
        </is>
      </c>
      <c r="Q1778" t="inlineStr">
        <is>
          <t>auto_pipeline;review_png_green</t>
        </is>
      </c>
      <c r="R1778" t="inlineStr">
        <is>
          <t>样品40</t>
        </is>
      </c>
    </row>
    <row r="1779">
      <c r="A1779" t="n">
        <v>1778</v>
      </c>
      <c r="B1779" t="inlineStr">
        <is>
          <t>40 (8).tif</t>
        </is>
      </c>
      <c r="C1779" t="inlineStr">
        <is>
          <t>40(8)-V04</t>
        </is>
      </c>
      <c r="D1779" t="n">
        <v>4</v>
      </c>
      <c r="E1779" t="inlineStr">
        <is>
          <t>primary</t>
        </is>
      </c>
      <c r="F1779" t="n">
        <v>705.8364839319471</v>
      </c>
      <c r="G1779">
        <f>2*SQRT(F1779/PI())</f>
        <v/>
      </c>
      <c r="H1779" t="n">
        <v>102.6155490201453</v>
      </c>
      <c r="I1779" t="n">
        <v>182</v>
      </c>
      <c r="J1779" t="n">
        <v>593</v>
      </c>
      <c r="K1779" t="n">
        <v>691.7197542533081</v>
      </c>
      <c r="L1779" t="n">
        <v>719.9532136105861</v>
      </c>
      <c r="M1779">
        <f>2*SQRT(K1779/PI())</f>
        <v/>
      </c>
      <c r="N1779">
        <f>2*SQRT(L1779/PI())</f>
        <v/>
      </c>
      <c r="P1779" t="inlineStr">
        <is>
          <t>是</t>
        </is>
      </c>
      <c r="Q1779" t="inlineStr">
        <is>
          <t>auto_pipeline;review_png_green</t>
        </is>
      </c>
      <c r="R1779" t="inlineStr">
        <is>
          <t>样品40</t>
        </is>
      </c>
    </row>
    <row r="1780">
      <c r="A1780" t="n">
        <v>1779</v>
      </c>
      <c r="B1780" t="inlineStr">
        <is>
          <t>40 (8).tif</t>
        </is>
      </c>
      <c r="C1780" t="inlineStr">
        <is>
          <t>40(8)-V05</t>
        </is>
      </c>
      <c r="D1780" t="n">
        <v>5</v>
      </c>
      <c r="E1780" t="inlineStr">
        <is>
          <t>primary</t>
        </is>
      </c>
      <c r="F1780" t="n">
        <v>174.3383742911153</v>
      </c>
      <c r="G1780">
        <f>2*SQRT(F1780/PI())</f>
        <v/>
      </c>
      <c r="H1780" t="n">
        <v>55.34628842187964</v>
      </c>
      <c r="I1780" t="n">
        <v>164</v>
      </c>
      <c r="J1780" t="n">
        <v>263</v>
      </c>
      <c r="K1780" t="n">
        <v>170.851606805293</v>
      </c>
      <c r="L1780" t="n">
        <v>177.8251417769376</v>
      </c>
      <c r="M1780">
        <f>2*SQRT(K1780/PI())</f>
        <v/>
      </c>
      <c r="N1780">
        <f>2*SQRT(L1780/PI())</f>
        <v/>
      </c>
      <c r="P1780" t="inlineStr">
        <is>
          <t>是</t>
        </is>
      </c>
      <c r="Q1780" t="inlineStr">
        <is>
          <t>auto_pipeline;review_png_green</t>
        </is>
      </c>
      <c r="R1780" t="inlineStr">
        <is>
          <t>样品40</t>
        </is>
      </c>
    </row>
    <row r="1781">
      <c r="A1781" t="n">
        <v>1780</v>
      </c>
      <c r="B1781" t="inlineStr">
        <is>
          <t>40 (9).tif</t>
        </is>
      </c>
      <c r="C1781" t="inlineStr">
        <is>
          <t>40(9)-V01</t>
        </is>
      </c>
      <c r="D1781" t="n">
        <v>1</v>
      </c>
      <c r="E1781" t="inlineStr">
        <is>
          <t>primary</t>
        </is>
      </c>
      <c r="F1781" t="n">
        <v>812.6181474480152</v>
      </c>
      <c r="G1781">
        <f>2*SQRT(F1781/PI())</f>
        <v/>
      </c>
      <c r="H1781" t="n">
        <v>106.537642530773</v>
      </c>
      <c r="I1781" t="n">
        <v>536</v>
      </c>
      <c r="J1781" t="n">
        <v>453</v>
      </c>
      <c r="K1781" t="n">
        <v>796.3657844990548</v>
      </c>
      <c r="L1781" t="n">
        <v>828.8705103969755</v>
      </c>
      <c r="M1781">
        <f>2*SQRT(K1781/PI())</f>
        <v/>
      </c>
      <c r="N1781">
        <f>2*SQRT(L1781/PI())</f>
        <v/>
      </c>
      <c r="O1781" t="inlineStr">
        <is>
          <t>40(9)-P01</t>
        </is>
      </c>
      <c r="P1781" t="inlineStr">
        <is>
          <t>是</t>
        </is>
      </c>
      <c r="Q1781" t="inlineStr">
        <is>
          <t>auto_pipeline;review_png_green</t>
        </is>
      </c>
      <c r="R1781" t="inlineStr">
        <is>
          <t>样品40</t>
        </is>
      </c>
    </row>
    <row r="1782">
      <c r="A1782" t="n">
        <v>1781</v>
      </c>
      <c r="B1782" t="inlineStr">
        <is>
          <t>40 (9).tif</t>
        </is>
      </c>
      <c r="C1782" t="inlineStr">
        <is>
          <t>40(9)-V02</t>
        </is>
      </c>
      <c r="D1782" t="n">
        <v>2</v>
      </c>
      <c r="E1782" t="inlineStr">
        <is>
          <t>primary</t>
        </is>
      </c>
      <c r="F1782" t="n">
        <v>706.1200378071834</v>
      </c>
      <c r="G1782">
        <f>2*SQRT(F1782/PI())</f>
        <v/>
      </c>
      <c r="H1782" t="n">
        <v>99.49747383594513</v>
      </c>
      <c r="I1782" t="n">
        <v>479</v>
      </c>
      <c r="J1782" t="n">
        <v>300</v>
      </c>
      <c r="K1782" t="n">
        <v>691.9976370510398</v>
      </c>
      <c r="L1782" t="n">
        <v>720.242438563327</v>
      </c>
      <c r="M1782">
        <f>2*SQRT(K1782/PI())</f>
        <v/>
      </c>
      <c r="N1782">
        <f>2*SQRT(L1782/PI())</f>
        <v/>
      </c>
      <c r="O1782" t="inlineStr">
        <is>
          <t>40(9)-P01</t>
        </is>
      </c>
      <c r="P1782" t="inlineStr">
        <is>
          <t>是</t>
        </is>
      </c>
      <c r="Q1782" t="inlineStr">
        <is>
          <t>auto_pipeline;review_png_green</t>
        </is>
      </c>
      <c r="R1782" t="inlineStr">
        <is>
          <t>样品40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图像文件</t>
        </is>
      </c>
      <c r="C1" t="inlineStr">
        <is>
          <t>中心X</t>
        </is>
      </c>
      <c r="D1" t="inlineStr">
        <is>
          <t>中心Y</t>
        </is>
      </c>
      <c r="E1" t="inlineStr">
        <is>
          <t>边界框 (xmin,ymin,xmax,ymax)</t>
        </is>
      </c>
      <c r="F1" t="inlineStr">
        <is>
          <t>距最近视野边界 (px)</t>
        </is>
      </c>
      <c r="G1" t="inlineStr">
        <is>
          <t>状态</t>
        </is>
      </c>
      <c r="H1" t="inlineStr">
        <is>
          <t>reason_code</t>
        </is>
      </c>
      <c r="I1" t="inlineStr">
        <is>
          <t>可可靠测量Ai/Di</t>
        </is>
      </c>
      <c r="J1" t="inlineStr">
        <is>
          <t>主分析判定</t>
        </is>
      </c>
      <c r="K1" t="inlineStr">
        <is>
          <t>Ai (μm²)</t>
        </is>
      </c>
      <c r="L1" t="inlineStr">
        <is>
          <t>Di (μm)</t>
        </is>
      </c>
      <c r="M1" t="inlineStr">
        <is>
          <t>边界类别</t>
        </is>
      </c>
      <c r="N1" t="inlineStr">
        <is>
          <t>处理</t>
        </is>
      </c>
      <c r="O1" t="inlineStr">
        <is>
          <t>判定依据</t>
        </is>
      </c>
      <c r="P1" t="inlineStr">
        <is>
          <t>审计来源</t>
        </is>
      </c>
      <c r="Q1" t="inlineStr">
        <is>
          <t>Pair_ID</t>
        </is>
      </c>
      <c r="R1" t="inlineStr">
        <is>
          <t>样品</t>
        </is>
      </c>
    </row>
    <row r="2">
      <c r="A2" t="inlineStr">
        <is>
          <t>1(1)-V01</t>
        </is>
      </c>
      <c r="B2" t="inlineStr">
        <is>
          <t>1 (1).tif</t>
        </is>
      </c>
      <c r="C2" t="n">
        <v>450</v>
      </c>
      <c r="D2" t="n">
        <v>490</v>
      </c>
      <c r="E2" t="inlineStr">
        <is>
          <t>384,420,517,561</t>
        </is>
      </c>
      <c r="F2" t="n">
        <v>207</v>
      </c>
      <c r="G2" t="inlineStr">
        <is>
          <t>primary</t>
        </is>
      </c>
      <c r="H2" t="inlineStr">
        <is>
          <t>AUTO_VESSEL</t>
        </is>
      </c>
      <c r="I2" t="inlineStr">
        <is>
          <t>是</t>
        </is>
      </c>
      <c r="J2" t="inlineStr">
        <is>
          <t>纳入</t>
        </is>
      </c>
      <c r="K2" t="n">
        <v>685.5387523629489</v>
      </c>
      <c r="L2">
        <f>导管母表_1781!G2</f>
        <v/>
      </c>
      <c r="M2" t="inlineStr">
        <is>
          <t>视野内部</t>
        </is>
      </c>
      <c r="N2" t="inlineStr">
        <is>
          <t>纳入A/D/Dh；若有Pair_ID则纳入CWR</t>
        </is>
      </c>
      <c r="O2" t="inlineStr">
        <is>
          <t>自动管线检出的合格导管腔。</t>
        </is>
      </c>
      <c r="P2" t="inlineStr">
        <is>
          <t>auto_pipeline;review_png_green</t>
        </is>
      </c>
      <c r="R2" t="inlineStr">
        <is>
          <t>样品1</t>
        </is>
      </c>
    </row>
    <row r="3">
      <c r="A3" t="inlineStr">
        <is>
          <t>1(1)-V02</t>
        </is>
      </c>
      <c r="B3" t="inlineStr">
        <is>
          <t>1 (1).tif</t>
        </is>
      </c>
      <c r="C3" t="n">
        <v>889</v>
      </c>
      <c r="D3" t="n">
        <v>143</v>
      </c>
      <c r="E3" t="inlineStr">
        <is>
          <t>836,78,943,209</t>
        </is>
      </c>
      <c r="F3" t="n">
        <v>78</v>
      </c>
      <c r="G3" t="inlineStr">
        <is>
          <t>primary</t>
        </is>
      </c>
      <c r="H3" t="inlineStr">
        <is>
          <t>AUTO_VESSEL</t>
        </is>
      </c>
      <c r="I3" t="inlineStr">
        <is>
          <t>是</t>
        </is>
      </c>
      <c r="J3" t="inlineStr">
        <is>
          <t>纳入</t>
        </is>
      </c>
      <c r="K3" t="n">
        <v>509.0737240075615</v>
      </c>
      <c r="L3">
        <f>导管母表_1781!G3</f>
        <v/>
      </c>
      <c r="M3" t="inlineStr">
        <is>
          <t>视野内部</t>
        </is>
      </c>
      <c r="N3" t="inlineStr">
        <is>
          <t>纳入A/D/Dh；若有Pair_ID则纳入CWR</t>
        </is>
      </c>
      <c r="O3" t="inlineStr">
        <is>
          <t>自动管线检出的合格导管腔。</t>
        </is>
      </c>
      <c r="P3" t="inlineStr">
        <is>
          <t>auto_pipeline;review_png_green</t>
        </is>
      </c>
      <c r="Q3" t="inlineStr">
        <is>
          <t>1(1)-P01</t>
        </is>
      </c>
      <c r="R3" t="inlineStr">
        <is>
          <t>样品1</t>
        </is>
      </c>
    </row>
    <row r="4">
      <c r="A4" t="inlineStr">
        <is>
          <t>1(1)-V03</t>
        </is>
      </c>
      <c r="B4" t="inlineStr">
        <is>
          <t>1 (1).tif</t>
        </is>
      </c>
      <c r="C4" t="n">
        <v>930</v>
      </c>
      <c r="D4" t="n">
        <v>298</v>
      </c>
      <c r="E4" t="inlineStr">
        <is>
          <t>874,238,987,359</t>
        </is>
      </c>
      <c r="F4" t="n">
        <v>37</v>
      </c>
      <c r="G4" t="inlineStr">
        <is>
          <t>primary</t>
        </is>
      </c>
      <c r="H4" t="inlineStr">
        <is>
          <t>AUTO_VESSEL</t>
        </is>
      </c>
      <c r="I4" t="inlineStr">
        <is>
          <t>是</t>
        </is>
      </c>
      <c r="J4" t="inlineStr">
        <is>
          <t>纳入</t>
        </is>
      </c>
      <c r="K4" t="n">
        <v>498.1805293005671</v>
      </c>
      <c r="L4">
        <f>导管母表_1781!G4</f>
        <v/>
      </c>
      <c r="M4" t="inlineStr">
        <is>
          <t>视野内部</t>
        </is>
      </c>
      <c r="N4" t="inlineStr">
        <is>
          <t>纳入A/D/Dh；若有Pair_ID则纳入CWR</t>
        </is>
      </c>
      <c r="O4" t="inlineStr">
        <is>
          <t>自动管线检出的合格导管腔。</t>
        </is>
      </c>
      <c r="P4" t="inlineStr">
        <is>
          <t>auto_pipeline;review_png_green</t>
        </is>
      </c>
      <c r="Q4" t="inlineStr">
        <is>
          <t>1(1)-P01</t>
        </is>
      </c>
      <c r="R4" t="inlineStr">
        <is>
          <t>样品1</t>
        </is>
      </c>
    </row>
    <row r="5">
      <c r="A5" t="inlineStr">
        <is>
          <t>1(1)-V04</t>
        </is>
      </c>
      <c r="B5" t="inlineStr">
        <is>
          <t>1 (1).tif</t>
        </is>
      </c>
      <c r="C5" t="n">
        <v>169</v>
      </c>
      <c r="D5" t="n">
        <v>255</v>
      </c>
      <c r="E5" t="inlineStr">
        <is>
          <t>118,199,221,312</t>
        </is>
      </c>
      <c r="F5" t="n">
        <v>118</v>
      </c>
      <c r="G5" t="inlineStr">
        <is>
          <t>primary</t>
        </is>
      </c>
      <c r="H5" t="inlineStr">
        <is>
          <t>AUTO_VESSEL</t>
        </is>
      </c>
      <c r="I5" t="inlineStr">
        <is>
          <t>是</t>
        </is>
      </c>
      <c r="J5" t="inlineStr">
        <is>
          <t>纳入</t>
        </is>
      </c>
      <c r="K5" t="n">
        <v>424.1020793950851</v>
      </c>
      <c r="L5">
        <f>导管母表_1781!G5</f>
        <v/>
      </c>
      <c r="M5" t="inlineStr">
        <is>
          <t>视野内部</t>
        </is>
      </c>
      <c r="N5" t="inlineStr">
        <is>
          <t>纳入A/D/Dh；若有Pair_ID则纳入CWR</t>
        </is>
      </c>
      <c r="O5" t="inlineStr">
        <is>
          <t>自动管线检出的合格导管腔。</t>
        </is>
      </c>
      <c r="P5" t="inlineStr">
        <is>
          <t>auto_pipeline;review_png_green</t>
        </is>
      </c>
      <c r="R5" t="inlineStr">
        <is>
          <t>样品1</t>
        </is>
      </c>
    </row>
    <row r="6">
      <c r="A6" t="inlineStr">
        <is>
          <t>1(1)-V05</t>
        </is>
      </c>
      <c r="B6" t="inlineStr">
        <is>
          <t>1 (1).tif</t>
        </is>
      </c>
      <c r="C6" t="n">
        <v>457</v>
      </c>
      <c r="D6" t="n">
        <v>325</v>
      </c>
      <c r="E6" t="inlineStr">
        <is>
          <t>408,272,507,379</t>
        </is>
      </c>
      <c r="F6" t="n">
        <v>272</v>
      </c>
      <c r="G6" t="inlineStr">
        <is>
          <t>primary</t>
        </is>
      </c>
      <c r="H6" t="inlineStr">
        <is>
          <t>AUTO_VESSEL</t>
        </is>
      </c>
      <c r="I6" t="inlineStr">
        <is>
          <t>是</t>
        </is>
      </c>
      <c r="J6" t="inlineStr">
        <is>
          <t>纳入</t>
        </is>
      </c>
      <c r="K6" t="n">
        <v>373.9603024574669</v>
      </c>
      <c r="L6">
        <f>导管母表_1781!G6</f>
        <v/>
      </c>
      <c r="M6" t="inlineStr">
        <is>
          <t>视野内部</t>
        </is>
      </c>
      <c r="N6" t="inlineStr">
        <is>
          <t>纳入A/D/Dh；若有Pair_ID则纳入CWR</t>
        </is>
      </c>
      <c r="O6" t="inlineStr">
        <is>
          <t>自动管线检出的合格导管腔。</t>
        </is>
      </c>
      <c r="P6" t="inlineStr">
        <is>
          <t>auto_pipeline;review_png_green</t>
        </is>
      </c>
      <c r="R6" t="inlineStr">
        <is>
          <t>样品1</t>
        </is>
      </c>
    </row>
    <row r="7">
      <c r="A7" t="inlineStr">
        <is>
          <t>1(1)-V06</t>
        </is>
      </c>
      <c r="B7" t="inlineStr">
        <is>
          <t>1 (1).tif</t>
        </is>
      </c>
      <c r="C7" t="n">
        <v>138</v>
      </c>
      <c r="D7" t="n">
        <v>384</v>
      </c>
      <c r="E7" t="inlineStr">
        <is>
          <t>90,339,187,430</t>
        </is>
      </c>
      <c r="F7" t="n">
        <v>90</v>
      </c>
      <c r="G7" t="inlineStr">
        <is>
          <t>primary</t>
        </is>
      </c>
      <c r="H7" t="inlineStr">
        <is>
          <t>AUTO_VESSEL</t>
        </is>
      </c>
      <c r="I7" t="inlineStr">
        <is>
          <t>是</t>
        </is>
      </c>
      <c r="J7" t="inlineStr">
        <is>
          <t>纳入</t>
        </is>
      </c>
      <c r="K7" t="n">
        <v>320.9593572778828</v>
      </c>
      <c r="L7">
        <f>导管母表_1781!G7</f>
        <v/>
      </c>
      <c r="M7" t="inlineStr">
        <is>
          <t>视野内部</t>
        </is>
      </c>
      <c r="N7" t="inlineStr">
        <is>
          <t>纳入A/D/Dh；若有Pair_ID则纳入CWR</t>
        </is>
      </c>
      <c r="O7" t="inlineStr">
        <is>
          <t>自动管线检出的合格导管腔。</t>
        </is>
      </c>
      <c r="P7" t="inlineStr">
        <is>
          <t>auto_pipeline;review_png_green</t>
        </is>
      </c>
      <c r="R7" t="inlineStr">
        <is>
          <t>样品1</t>
        </is>
      </c>
    </row>
    <row r="8">
      <c r="A8" t="inlineStr">
        <is>
          <t>1(1)-V07</t>
        </is>
      </c>
      <c r="B8" t="inlineStr">
        <is>
          <t>1 (1).tif</t>
        </is>
      </c>
      <c r="C8" t="n">
        <v>554</v>
      </c>
      <c r="D8" t="n">
        <v>85</v>
      </c>
      <c r="E8" t="inlineStr">
        <is>
          <t>516,29,593,142</t>
        </is>
      </c>
      <c r="F8" t="n">
        <v>29</v>
      </c>
      <c r="G8" t="inlineStr">
        <is>
          <t>primary</t>
        </is>
      </c>
      <c r="H8" t="inlineStr">
        <is>
          <t>AUTO_VESSEL</t>
        </is>
      </c>
      <c r="I8" t="inlineStr">
        <is>
          <t>是</t>
        </is>
      </c>
      <c r="J8" t="inlineStr">
        <is>
          <t>纳入</t>
        </is>
      </c>
      <c r="K8" t="n">
        <v>315.9735349716446</v>
      </c>
      <c r="L8">
        <f>导管母表_1781!G8</f>
        <v/>
      </c>
      <c r="M8" t="inlineStr">
        <is>
          <t>视野内部</t>
        </is>
      </c>
      <c r="N8" t="inlineStr">
        <is>
          <t>纳入A/D/Dh；若有Pair_ID则纳入CWR</t>
        </is>
      </c>
      <c r="O8" t="inlineStr">
        <is>
          <t>自动管线检出的合格导管腔。</t>
        </is>
      </c>
      <c r="P8" t="inlineStr">
        <is>
          <t>auto_pipeline;review_png_green</t>
        </is>
      </c>
      <c r="R8" t="inlineStr">
        <is>
          <t>样品1</t>
        </is>
      </c>
    </row>
    <row r="9">
      <c r="A9" t="inlineStr">
        <is>
          <t>1(1)-V08</t>
        </is>
      </c>
      <c r="B9" t="inlineStr">
        <is>
          <t>1 (1).tif</t>
        </is>
      </c>
      <c r="C9" t="n">
        <v>44</v>
      </c>
      <c r="D9" t="n">
        <v>312</v>
      </c>
      <c r="E9" t="inlineStr">
        <is>
          <t>22,264,67,361</t>
        </is>
      </c>
      <c r="F9" t="n">
        <v>22</v>
      </c>
      <c r="G9" t="inlineStr">
        <is>
          <t>primary</t>
        </is>
      </c>
      <c r="H9" t="inlineStr">
        <is>
          <t>AUTO_VESSEL</t>
        </is>
      </c>
      <c r="I9" t="inlineStr">
        <is>
          <t>是</t>
        </is>
      </c>
      <c r="J9" t="inlineStr">
        <is>
          <t>纳入</t>
        </is>
      </c>
      <c r="K9" t="n">
        <v>111.4366729678639</v>
      </c>
      <c r="L9">
        <f>导管母表_1781!G9</f>
        <v/>
      </c>
      <c r="M9" t="inlineStr">
        <is>
          <t>近边缘（&lt;25 px）</t>
        </is>
      </c>
      <c r="N9" t="inlineStr">
        <is>
          <t>纳入A/D/Dh；若有Pair_ID则纳入CWR</t>
        </is>
      </c>
      <c r="O9" t="inlineStr">
        <is>
          <t>自动管线检出的合格导管腔。</t>
        </is>
      </c>
      <c r="P9" t="inlineStr">
        <is>
          <t>auto_pipeline;review_png_green</t>
        </is>
      </c>
      <c r="R9" t="inlineStr">
        <is>
          <t>样品1</t>
        </is>
      </c>
    </row>
    <row r="10">
      <c r="A10" t="inlineStr">
        <is>
          <t>1(2)-V01</t>
        </is>
      </c>
      <c r="B10" t="inlineStr">
        <is>
          <t>1 (2).tif</t>
        </is>
      </c>
      <c r="C10" t="n">
        <v>405</v>
      </c>
      <c r="D10" t="n">
        <v>164</v>
      </c>
      <c r="E10" t="inlineStr">
        <is>
          <t>331,110,480,219</t>
        </is>
      </c>
      <c r="F10" t="n">
        <v>110</v>
      </c>
      <c r="G10" t="inlineStr">
        <is>
          <t>primary</t>
        </is>
      </c>
      <c r="H10" t="inlineStr">
        <is>
          <t>AUTO_VESSEL</t>
        </is>
      </c>
      <c r="I10" t="inlineStr">
        <is>
          <t>是</t>
        </is>
      </c>
      <c r="J10" t="inlineStr">
        <is>
          <t>纳入</t>
        </is>
      </c>
      <c r="K10" t="n">
        <v>579.3478260869565</v>
      </c>
      <c r="L10">
        <f>导管母表_1781!G10</f>
        <v/>
      </c>
      <c r="M10" t="inlineStr">
        <is>
          <t>视野内部</t>
        </is>
      </c>
      <c r="N10" t="inlineStr">
        <is>
          <t>纳入A/D/Dh；若有Pair_ID则纳入CWR</t>
        </is>
      </c>
      <c r="O10" t="inlineStr">
        <is>
          <t>自动管线检出的合格导管腔。</t>
        </is>
      </c>
      <c r="P10" t="inlineStr">
        <is>
          <t>auto_pipeline;review_png_green</t>
        </is>
      </c>
      <c r="R10" t="inlineStr">
        <is>
          <t>样品1</t>
        </is>
      </c>
    </row>
    <row r="11">
      <c r="A11" t="inlineStr">
        <is>
          <t>1(2)-V02</t>
        </is>
      </c>
      <c r="B11" t="inlineStr">
        <is>
          <t>1 (2).tif</t>
        </is>
      </c>
      <c r="C11" t="n">
        <v>421</v>
      </c>
      <c r="D11" t="n">
        <v>331</v>
      </c>
      <c r="E11" t="inlineStr">
        <is>
          <t>358,271,485,392</t>
        </is>
      </c>
      <c r="F11" t="n">
        <v>271</v>
      </c>
      <c r="G11" t="inlineStr">
        <is>
          <t>primary</t>
        </is>
      </c>
      <c r="H11" t="inlineStr">
        <is>
          <t>AUTO_VESSEL</t>
        </is>
      </c>
      <c r="I11" t="inlineStr">
        <is>
          <t>是</t>
        </is>
      </c>
      <c r="J11" t="inlineStr">
        <is>
          <t>纳入</t>
        </is>
      </c>
      <c r="K11" t="n">
        <v>561.2948960302457</v>
      </c>
      <c r="L11">
        <f>导管母表_1781!G11</f>
        <v/>
      </c>
      <c r="M11" t="inlineStr">
        <is>
          <t>视野内部</t>
        </is>
      </c>
      <c r="N11" t="inlineStr">
        <is>
          <t>纳入A/D/Dh；若有Pair_ID则纳入CWR</t>
        </is>
      </c>
      <c r="O11" t="inlineStr">
        <is>
          <t>自动管线检出的合格导管腔。</t>
        </is>
      </c>
      <c r="P11" t="inlineStr">
        <is>
          <t>auto_pipeline;review_png_green</t>
        </is>
      </c>
      <c r="Q11" t="inlineStr">
        <is>
          <t>1(2)-P01</t>
        </is>
      </c>
      <c r="R11" t="inlineStr">
        <is>
          <t>样品1</t>
        </is>
      </c>
    </row>
    <row r="12">
      <c r="A12" t="inlineStr">
        <is>
          <t>1(2)-V03</t>
        </is>
      </c>
      <c r="B12" t="inlineStr">
        <is>
          <t>1 (2).tif</t>
        </is>
      </c>
      <c r="C12" t="n">
        <v>794</v>
      </c>
      <c r="D12" t="n">
        <v>608</v>
      </c>
      <c r="E12" t="inlineStr">
        <is>
          <t>734,558,855,659</t>
        </is>
      </c>
      <c r="F12" t="n">
        <v>109</v>
      </c>
      <c r="G12" t="inlineStr">
        <is>
          <t>primary</t>
        </is>
      </c>
      <c r="H12" t="inlineStr">
        <is>
          <t>AUTO_VESSEL</t>
        </is>
      </c>
      <c r="I12" t="inlineStr">
        <is>
          <t>是</t>
        </is>
      </c>
      <c r="J12" t="inlineStr">
        <is>
          <t>纳入</t>
        </is>
      </c>
      <c r="K12" t="n">
        <v>444.5179584120983</v>
      </c>
      <c r="L12">
        <f>导管母表_1781!G12</f>
        <v/>
      </c>
      <c r="M12" t="inlineStr">
        <is>
          <t>视野内部</t>
        </is>
      </c>
      <c r="N12" t="inlineStr">
        <is>
          <t>纳入A/D/Dh；若有Pair_ID则纳入CWR</t>
        </is>
      </c>
      <c r="O12" t="inlineStr">
        <is>
          <t>自动管线检出的合格导管腔。</t>
        </is>
      </c>
      <c r="P12" t="inlineStr">
        <is>
          <t>auto_pipeline;review_png_green</t>
        </is>
      </c>
      <c r="R12" t="inlineStr">
        <is>
          <t>样品1</t>
        </is>
      </c>
    </row>
    <row r="13">
      <c r="A13" t="inlineStr">
        <is>
          <t>1(2)-V04</t>
        </is>
      </c>
      <c r="B13" t="inlineStr">
        <is>
          <t>1 (2).tif</t>
        </is>
      </c>
      <c r="C13" t="n">
        <v>531</v>
      </c>
      <c r="D13" t="n">
        <v>390</v>
      </c>
      <c r="E13" t="inlineStr">
        <is>
          <t>486,345,577,436</t>
        </is>
      </c>
      <c r="F13" t="n">
        <v>332</v>
      </c>
      <c r="G13" t="inlineStr">
        <is>
          <t>primary</t>
        </is>
      </c>
      <c r="H13" t="inlineStr">
        <is>
          <t>AUTO_VESSEL</t>
        </is>
      </c>
      <c r="I13" t="inlineStr">
        <is>
          <t>是</t>
        </is>
      </c>
      <c r="J13" t="inlineStr">
        <is>
          <t>纳入</t>
        </is>
      </c>
      <c r="K13" t="n">
        <v>299.3856332703214</v>
      </c>
      <c r="L13">
        <f>导管母表_1781!G13</f>
        <v/>
      </c>
      <c r="M13" t="inlineStr">
        <is>
          <t>视野内部</t>
        </is>
      </c>
      <c r="N13" t="inlineStr">
        <is>
          <t>纳入A/D/Dh；若有Pair_ID则纳入CWR</t>
        </is>
      </c>
      <c r="O13" t="inlineStr">
        <is>
          <t>自动管线检出的合格导管腔。</t>
        </is>
      </c>
      <c r="P13" t="inlineStr">
        <is>
          <t>auto_pipeline;review_png_green</t>
        </is>
      </c>
      <c r="Q13" t="inlineStr">
        <is>
          <t>1(2)-P01</t>
        </is>
      </c>
      <c r="R13" t="inlineStr">
        <is>
          <t>样品1</t>
        </is>
      </c>
    </row>
    <row r="14">
      <c r="A14" t="inlineStr">
        <is>
          <t>1(2)-V05</t>
        </is>
      </c>
      <c r="B14" t="inlineStr">
        <is>
          <t>1 (2).tif</t>
        </is>
      </c>
      <c r="C14" t="n">
        <v>484</v>
      </c>
      <c r="D14" t="n">
        <v>77</v>
      </c>
      <c r="E14" t="inlineStr">
        <is>
          <t>437,39,532,116</t>
        </is>
      </c>
      <c r="F14" t="n">
        <v>39</v>
      </c>
      <c r="G14" t="inlineStr">
        <is>
          <t>primary</t>
        </is>
      </c>
      <c r="H14" t="inlineStr">
        <is>
          <t>AUTO_VESSEL</t>
        </is>
      </c>
      <c r="I14" t="inlineStr">
        <is>
          <t>是</t>
        </is>
      </c>
      <c r="J14" t="inlineStr">
        <is>
          <t>纳入</t>
        </is>
      </c>
      <c r="K14" t="n">
        <v>242.273156899811</v>
      </c>
      <c r="L14">
        <f>导管母表_1781!G14</f>
        <v/>
      </c>
      <c r="M14" t="inlineStr">
        <is>
          <t>视野内部</t>
        </is>
      </c>
      <c r="N14" t="inlineStr">
        <is>
          <t>纳入A/D/Dh；若有Pair_ID则纳入CWR</t>
        </is>
      </c>
      <c r="O14" t="inlineStr">
        <is>
          <t>自动管线检出的合格导管腔。</t>
        </is>
      </c>
      <c r="P14" t="inlineStr">
        <is>
          <t>auto_pipeline;review_png_green</t>
        </is>
      </c>
      <c r="R14" t="inlineStr">
        <is>
          <t>样品1</t>
        </is>
      </c>
    </row>
    <row r="15">
      <c r="A15" t="inlineStr">
        <is>
          <t>1(2)-V06</t>
        </is>
      </c>
      <c r="B15" t="inlineStr">
        <is>
          <t>1 (2).tif</t>
        </is>
      </c>
      <c r="C15" t="n">
        <v>122</v>
      </c>
      <c r="D15" t="n">
        <v>288</v>
      </c>
      <c r="E15" t="inlineStr">
        <is>
          <t>84,253,161,324</t>
        </is>
      </c>
      <c r="F15" t="n">
        <v>84</v>
      </c>
      <c r="G15" t="inlineStr">
        <is>
          <t>primary</t>
        </is>
      </c>
      <c r="H15" t="inlineStr">
        <is>
          <t>AUTO_VESSEL</t>
        </is>
      </c>
      <c r="I15" t="inlineStr">
        <is>
          <t>是</t>
        </is>
      </c>
      <c r="J15" t="inlineStr">
        <is>
          <t>纳入</t>
        </is>
      </c>
      <c r="K15" t="n">
        <v>184.6880907372401</v>
      </c>
      <c r="L15">
        <f>导管母表_1781!G15</f>
        <v/>
      </c>
      <c r="M15" t="inlineStr">
        <is>
          <t>视野内部</t>
        </is>
      </c>
      <c r="N15" t="inlineStr">
        <is>
          <t>纳入A/D/Dh；若有Pair_ID则纳入CWR</t>
        </is>
      </c>
      <c r="O15" t="inlineStr">
        <is>
          <t>自动管线检出的合格导管腔。</t>
        </is>
      </c>
      <c r="P15" t="inlineStr">
        <is>
          <t>auto_pipeline;review_png_green</t>
        </is>
      </c>
      <c r="R15" t="inlineStr">
        <is>
          <t>样品1</t>
        </is>
      </c>
    </row>
    <row r="16">
      <c r="A16" t="inlineStr">
        <is>
          <t>1(2)-V07</t>
        </is>
      </c>
      <c r="B16" t="inlineStr">
        <is>
          <t>1 (2).tif</t>
        </is>
      </c>
      <c r="C16" t="n">
        <v>84</v>
      </c>
      <c r="D16" t="n">
        <v>116</v>
      </c>
      <c r="E16" t="inlineStr">
        <is>
          <t>46,83,123,150</t>
        </is>
      </c>
      <c r="F16" t="n">
        <v>46</v>
      </c>
      <c r="G16" t="inlineStr">
        <is>
          <t>primary</t>
        </is>
      </c>
      <c r="H16" t="inlineStr">
        <is>
          <t>AUTO_VESSEL</t>
        </is>
      </c>
      <c r="I16" t="inlineStr">
        <is>
          <t>是</t>
        </is>
      </c>
      <c r="J16" t="inlineStr">
        <is>
          <t>纳入</t>
        </is>
      </c>
      <c r="K16" t="n">
        <v>183.9792060491493</v>
      </c>
      <c r="L16">
        <f>导管母表_1781!G16</f>
        <v/>
      </c>
      <c r="M16" t="inlineStr">
        <is>
          <t>视野内部</t>
        </is>
      </c>
      <c r="N16" t="inlineStr">
        <is>
          <t>纳入A/D/Dh；若有Pair_ID则纳入CWR</t>
        </is>
      </c>
      <c r="O16" t="inlineStr">
        <is>
          <t>自动管线检出的合格导管腔。</t>
        </is>
      </c>
      <c r="P16" t="inlineStr">
        <is>
          <t>auto_pipeline;review_png_green</t>
        </is>
      </c>
      <c r="R16" t="inlineStr">
        <is>
          <t>样品1</t>
        </is>
      </c>
    </row>
    <row r="17">
      <c r="A17" t="inlineStr">
        <is>
          <t>1(2)-V08</t>
        </is>
      </c>
      <c r="B17" t="inlineStr">
        <is>
          <t>1 (2).tif</t>
        </is>
      </c>
      <c r="C17" t="n">
        <v>804</v>
      </c>
      <c r="D17" t="n">
        <v>310</v>
      </c>
      <c r="E17" t="inlineStr">
        <is>
          <t>754,279,855,342</t>
        </is>
      </c>
      <c r="F17" t="n">
        <v>169</v>
      </c>
      <c r="G17" t="inlineStr">
        <is>
          <t>primary</t>
        </is>
      </c>
      <c r="H17" t="inlineStr">
        <is>
          <t>AUTO_VESSEL</t>
        </is>
      </c>
      <c r="I17" t="inlineStr">
        <is>
          <t>是</t>
        </is>
      </c>
      <c r="J17" t="inlineStr">
        <is>
          <t>纳入</t>
        </is>
      </c>
      <c r="K17" t="n">
        <v>118.5491493383743</v>
      </c>
      <c r="L17">
        <f>导管母表_1781!G17</f>
        <v/>
      </c>
      <c r="M17" t="inlineStr">
        <is>
          <t>视野内部</t>
        </is>
      </c>
      <c r="N17" t="inlineStr">
        <is>
          <t>纳入A/D/Dh；若有Pair_ID则纳入CWR</t>
        </is>
      </c>
      <c r="O17" t="inlineStr">
        <is>
          <t>自动管线检出的合格导管腔。</t>
        </is>
      </c>
      <c r="P17" t="inlineStr">
        <is>
          <t>auto_pipeline;review_png_green</t>
        </is>
      </c>
      <c r="R17" t="inlineStr">
        <is>
          <t>样品1</t>
        </is>
      </c>
    </row>
    <row r="18">
      <c r="A18" t="inlineStr">
        <is>
          <t>1(3)-V01</t>
        </is>
      </c>
      <c r="B18" t="inlineStr">
        <is>
          <t>1 (3).tif</t>
        </is>
      </c>
      <c r="C18" t="n">
        <v>594</v>
      </c>
      <c r="D18" t="n">
        <v>427</v>
      </c>
      <c r="E18" t="inlineStr">
        <is>
          <t>510,368,679,487</t>
        </is>
      </c>
      <c r="F18" t="n">
        <v>281</v>
      </c>
      <c r="G18" t="inlineStr">
        <is>
          <t>primary</t>
        </is>
      </c>
      <c r="H18" t="inlineStr">
        <is>
          <t>AUTO_VESSEL</t>
        </is>
      </c>
      <c r="I18" t="inlineStr">
        <is>
          <t>是</t>
        </is>
      </c>
      <c r="J18" t="inlineStr">
        <is>
          <t>纳入</t>
        </is>
      </c>
      <c r="K18" t="n">
        <v>735.5151228733459</v>
      </c>
      <c r="L18">
        <f>导管母表_1781!G18</f>
        <v/>
      </c>
      <c r="M18" t="inlineStr">
        <is>
          <t>视野内部</t>
        </is>
      </c>
      <c r="N18" t="inlineStr">
        <is>
          <t>纳入A/D/Dh；若有Pair_ID则纳入CWR</t>
        </is>
      </c>
      <c r="O18" t="inlineStr">
        <is>
          <t>自动管线检出的合格导管腔。</t>
        </is>
      </c>
      <c r="P18" t="inlineStr">
        <is>
          <t>auto_pipeline;review_png_green</t>
        </is>
      </c>
      <c r="Q18" t="inlineStr">
        <is>
          <t>1(3)-P01</t>
        </is>
      </c>
      <c r="R18" t="inlineStr">
        <is>
          <t>样品1</t>
        </is>
      </c>
    </row>
    <row r="19">
      <c r="A19" t="inlineStr">
        <is>
          <t>1(3)-V02</t>
        </is>
      </c>
      <c r="B19" t="inlineStr">
        <is>
          <t>1 (3).tif</t>
        </is>
      </c>
      <c r="C19" t="n">
        <v>462</v>
      </c>
      <c r="D19" t="n">
        <v>331</v>
      </c>
      <c r="E19" t="inlineStr">
        <is>
          <t>403,289,522,374</t>
        </is>
      </c>
      <c r="F19" t="n">
        <v>289</v>
      </c>
      <c r="G19" t="inlineStr">
        <is>
          <t>primary</t>
        </is>
      </c>
      <c r="H19" t="inlineStr">
        <is>
          <t>AUTO_VESSEL</t>
        </is>
      </c>
      <c r="I19" t="inlineStr">
        <is>
          <t>是</t>
        </is>
      </c>
      <c r="J19" t="inlineStr">
        <is>
          <t>纳入</t>
        </is>
      </c>
      <c r="K19" t="n">
        <v>365.3355387523629</v>
      </c>
      <c r="L19">
        <f>导管母表_1781!G19</f>
        <v/>
      </c>
      <c r="M19" t="inlineStr">
        <is>
          <t>视野内部</t>
        </is>
      </c>
      <c r="N19" t="inlineStr">
        <is>
          <t>纳入A/D/Dh；若有Pair_ID则纳入CWR</t>
        </is>
      </c>
      <c r="O19" t="inlineStr">
        <is>
          <t>自动管线检出的合格导管腔。</t>
        </is>
      </c>
      <c r="P19" t="inlineStr">
        <is>
          <t>auto_pipeline;review_png_green</t>
        </is>
      </c>
      <c r="Q19" t="inlineStr">
        <is>
          <t>1(3)-P01</t>
        </is>
      </c>
      <c r="R19" t="inlineStr">
        <is>
          <t>样品1</t>
        </is>
      </c>
    </row>
    <row r="20">
      <c r="A20" t="inlineStr">
        <is>
          <t>1(3)-V03</t>
        </is>
      </c>
      <c r="B20" t="inlineStr">
        <is>
          <t>1 (3).tif</t>
        </is>
      </c>
      <c r="C20" t="n">
        <v>51</v>
      </c>
      <c r="D20" t="n">
        <v>583</v>
      </c>
      <c r="E20" t="inlineStr">
        <is>
          <t>3,558,100,609</t>
        </is>
      </c>
      <c r="F20" t="n">
        <v>3</v>
      </c>
      <c r="G20" t="inlineStr">
        <is>
          <t>primary</t>
        </is>
      </c>
      <c r="H20" t="inlineStr">
        <is>
          <t>AUTO_VESSEL</t>
        </is>
      </c>
      <c r="I20" t="inlineStr">
        <is>
          <t>是</t>
        </is>
      </c>
      <c r="J20" t="inlineStr">
        <is>
          <t>纳入</t>
        </is>
      </c>
      <c r="K20" t="n">
        <v>177.4574669187145</v>
      </c>
      <c r="L20">
        <f>导管母表_1781!G20</f>
        <v/>
      </c>
      <c r="M20" t="inlineStr">
        <is>
          <t>近边缘（&lt;25 px）</t>
        </is>
      </c>
      <c r="N20" t="inlineStr">
        <is>
          <t>纳入A/D/Dh；若有Pair_ID则纳入CWR</t>
        </is>
      </c>
      <c r="O20" t="inlineStr">
        <is>
          <t>自动管线检出的合格导管腔。</t>
        </is>
      </c>
      <c r="P20" t="inlineStr">
        <is>
          <t>auto_pipeline;review_png_green</t>
        </is>
      </c>
      <c r="R20" t="inlineStr">
        <is>
          <t>样品1</t>
        </is>
      </c>
    </row>
    <row r="21">
      <c r="A21" t="inlineStr">
        <is>
          <t>1(4)-V01</t>
        </is>
      </c>
      <c r="B21" t="inlineStr">
        <is>
          <t>1 (4).tif</t>
        </is>
      </c>
      <c r="C21" t="n">
        <v>429</v>
      </c>
      <c r="D21" t="n">
        <v>362</v>
      </c>
      <c r="E21" t="inlineStr">
        <is>
          <t>354,287,505,438</t>
        </is>
      </c>
      <c r="F21" t="n">
        <v>287</v>
      </c>
      <c r="G21" t="inlineStr">
        <is>
          <t>primary</t>
        </is>
      </c>
      <c r="H21" t="inlineStr">
        <is>
          <t>AUTO_VESSEL</t>
        </is>
      </c>
      <c r="I21" t="inlineStr">
        <is>
          <t>是</t>
        </is>
      </c>
      <c r="J21" t="inlineStr">
        <is>
          <t>纳入</t>
        </is>
      </c>
      <c r="K21" t="n">
        <v>834.0264650283553</v>
      </c>
      <c r="L21">
        <f>导管母表_1781!G21</f>
        <v/>
      </c>
      <c r="M21" t="inlineStr">
        <is>
          <t>视野内部</t>
        </is>
      </c>
      <c r="N21" t="inlineStr">
        <is>
          <t>纳入A/D/Dh；若有Pair_ID则纳入CWR</t>
        </is>
      </c>
      <c r="O21" t="inlineStr">
        <is>
          <t>自动管线检出的合格导管腔。</t>
        </is>
      </c>
      <c r="P21" t="inlineStr">
        <is>
          <t>auto_pipeline;review_png_green</t>
        </is>
      </c>
      <c r="Q21" t="inlineStr">
        <is>
          <t>1(4)-P01</t>
        </is>
      </c>
      <c r="R21" t="inlineStr">
        <is>
          <t>样品1</t>
        </is>
      </c>
    </row>
    <row r="22">
      <c r="A22" t="inlineStr">
        <is>
          <t>1(4)-V02</t>
        </is>
      </c>
      <c r="B22" t="inlineStr">
        <is>
          <t>1 (4).tif</t>
        </is>
      </c>
      <c r="C22" t="n">
        <v>585</v>
      </c>
      <c r="D22" t="n">
        <v>373</v>
      </c>
      <c r="E22" t="inlineStr">
        <is>
          <t>517,305,654,442</t>
        </is>
      </c>
      <c r="F22" t="n">
        <v>305</v>
      </c>
      <c r="G22" t="inlineStr">
        <is>
          <t>primary</t>
        </is>
      </c>
      <c r="H22" t="inlineStr">
        <is>
          <t>AUTO_VESSEL</t>
        </is>
      </c>
      <c r="I22" t="inlineStr">
        <is>
          <t>是</t>
        </is>
      </c>
      <c r="J22" t="inlineStr">
        <is>
          <t>纳入</t>
        </is>
      </c>
      <c r="K22" t="n">
        <v>686.4839319470699</v>
      </c>
      <c r="L22">
        <f>导管母表_1781!G22</f>
        <v/>
      </c>
      <c r="M22" t="inlineStr">
        <is>
          <t>视野内部</t>
        </is>
      </c>
      <c r="N22" t="inlineStr">
        <is>
          <t>纳入A/D/Dh；若有Pair_ID则纳入CWR</t>
        </is>
      </c>
      <c r="O22" t="inlineStr">
        <is>
          <t>自动管线检出的合格导管腔。</t>
        </is>
      </c>
      <c r="P22" t="inlineStr">
        <is>
          <t>auto_pipeline;review_png_green</t>
        </is>
      </c>
      <c r="Q22" t="inlineStr">
        <is>
          <t>1(4)-P01</t>
        </is>
      </c>
      <c r="R22" t="inlineStr">
        <is>
          <t>样品1</t>
        </is>
      </c>
    </row>
    <row r="23">
      <c r="A23" t="inlineStr">
        <is>
          <t>1(4)-V03</t>
        </is>
      </c>
      <c r="B23" t="inlineStr">
        <is>
          <t>1 (4).tif</t>
        </is>
      </c>
      <c r="C23" t="n">
        <v>779</v>
      </c>
      <c r="D23" t="n">
        <v>360</v>
      </c>
      <c r="E23" t="inlineStr">
        <is>
          <t>714,302,845,419</t>
        </is>
      </c>
      <c r="F23" t="n">
        <v>179</v>
      </c>
      <c r="G23" t="inlineStr">
        <is>
          <t>primary</t>
        </is>
      </c>
      <c r="H23" t="inlineStr">
        <is>
          <t>AUTO_VESSEL</t>
        </is>
      </c>
      <c r="I23" t="inlineStr">
        <is>
          <t>是</t>
        </is>
      </c>
      <c r="J23" t="inlineStr">
        <is>
          <t>纳入</t>
        </is>
      </c>
      <c r="K23" t="n">
        <v>560.1606805293005</v>
      </c>
      <c r="L23">
        <f>导管母表_1781!G23</f>
        <v/>
      </c>
      <c r="M23" t="inlineStr">
        <is>
          <t>视野内部</t>
        </is>
      </c>
      <c r="N23" t="inlineStr">
        <is>
          <t>纳入A/D/Dh；若有Pair_ID则纳入CWR</t>
        </is>
      </c>
      <c r="O23" t="inlineStr">
        <is>
          <t>自动管线检出的合格导管腔。</t>
        </is>
      </c>
      <c r="P23" t="inlineStr">
        <is>
          <t>auto_pipeline;review_png_green</t>
        </is>
      </c>
      <c r="R23" t="inlineStr">
        <is>
          <t>样品1</t>
        </is>
      </c>
    </row>
    <row r="24">
      <c r="A24" t="inlineStr">
        <is>
          <t>1(4)-V04</t>
        </is>
      </c>
      <c r="B24" t="inlineStr">
        <is>
          <t>1 (4).tif</t>
        </is>
      </c>
      <c r="C24" t="n">
        <v>179</v>
      </c>
      <c r="D24" t="n">
        <v>359</v>
      </c>
      <c r="E24" t="inlineStr">
        <is>
          <t>118,304,241,415</t>
        </is>
      </c>
      <c r="F24" t="n">
        <v>118</v>
      </c>
      <c r="G24" t="inlineStr">
        <is>
          <t>primary</t>
        </is>
      </c>
      <c r="H24" t="inlineStr">
        <is>
          <t>AUTO_VESSEL</t>
        </is>
      </c>
      <c r="I24" t="inlineStr">
        <is>
          <t>是</t>
        </is>
      </c>
      <c r="J24" t="inlineStr">
        <is>
          <t>纳入</t>
        </is>
      </c>
      <c r="K24" t="n">
        <v>493.1474480151228</v>
      </c>
      <c r="L24">
        <f>导管母表_1781!G24</f>
        <v/>
      </c>
      <c r="M24" t="inlineStr">
        <is>
          <t>视野内部</t>
        </is>
      </c>
      <c r="N24" t="inlineStr">
        <is>
          <t>纳入A/D/Dh；若有Pair_ID则纳入CWR</t>
        </is>
      </c>
      <c r="O24" t="inlineStr">
        <is>
          <t>自动管线检出的合格导管腔。</t>
        </is>
      </c>
      <c r="P24" t="inlineStr">
        <is>
          <t>auto_pipeline;review_png_green</t>
        </is>
      </c>
      <c r="R24" t="inlineStr">
        <is>
          <t>样品1</t>
        </is>
      </c>
    </row>
    <row r="25">
      <c r="A25" t="inlineStr">
        <is>
          <t>1(4)-V05</t>
        </is>
      </c>
      <c r="B25" t="inlineStr">
        <is>
          <t>1 (4).tif</t>
        </is>
      </c>
      <c r="C25" t="n">
        <v>576</v>
      </c>
      <c r="D25" t="n">
        <v>521</v>
      </c>
      <c r="E25" t="inlineStr">
        <is>
          <t>537,492,616,551</t>
        </is>
      </c>
      <c r="F25" t="n">
        <v>217</v>
      </c>
      <c r="G25" t="inlineStr">
        <is>
          <t>primary</t>
        </is>
      </c>
      <c r="H25" t="inlineStr">
        <is>
          <t>AUTO_VESSEL</t>
        </is>
      </c>
      <c r="I25" t="inlineStr">
        <is>
          <t>是</t>
        </is>
      </c>
      <c r="J25" t="inlineStr">
        <is>
          <t>纳入</t>
        </is>
      </c>
      <c r="K25" t="n">
        <v>158.2230623818525</v>
      </c>
      <c r="L25">
        <f>导管母表_1781!G25</f>
        <v/>
      </c>
      <c r="M25" t="inlineStr">
        <is>
          <t>视野内部</t>
        </is>
      </c>
      <c r="N25" t="inlineStr">
        <is>
          <t>纳入A/D/Dh；若有Pair_ID则纳入CWR</t>
        </is>
      </c>
      <c r="O25" t="inlineStr">
        <is>
          <t>自动管线检出的合格导管腔。</t>
        </is>
      </c>
      <c r="P25" t="inlineStr">
        <is>
          <t>auto_pipeline;review_png_green</t>
        </is>
      </c>
      <c r="R25" t="inlineStr">
        <is>
          <t>样品1</t>
        </is>
      </c>
    </row>
    <row r="26">
      <c r="A26" t="inlineStr">
        <is>
          <t>1(4)-V06</t>
        </is>
      </c>
      <c r="B26" t="inlineStr">
        <is>
          <t>1 (4).tif</t>
        </is>
      </c>
      <c r="C26" t="n">
        <v>335</v>
      </c>
      <c r="D26" t="n">
        <v>212</v>
      </c>
      <c r="E26" t="inlineStr">
        <is>
          <t>301,184,370,241</t>
        </is>
      </c>
      <c r="F26" t="n">
        <v>184</v>
      </c>
      <c r="G26" t="inlineStr">
        <is>
          <t>primary</t>
        </is>
      </c>
      <c r="H26" t="inlineStr">
        <is>
          <t>AUTO_VESSEL</t>
        </is>
      </c>
      <c r="I26" t="inlineStr">
        <is>
          <t>是</t>
        </is>
      </c>
      <c r="J26" t="inlineStr">
        <is>
          <t>纳入</t>
        </is>
      </c>
      <c r="K26" t="n">
        <v>124.3383742911153</v>
      </c>
      <c r="L26">
        <f>导管母表_1781!G26</f>
        <v/>
      </c>
      <c r="M26" t="inlineStr">
        <is>
          <t>视野内部</t>
        </is>
      </c>
      <c r="N26" t="inlineStr">
        <is>
          <t>纳入A/D/Dh；若有Pair_ID则纳入CWR</t>
        </is>
      </c>
      <c r="O26" t="inlineStr">
        <is>
          <t>自动管线检出的合格导管腔。</t>
        </is>
      </c>
      <c r="P26" t="inlineStr">
        <is>
          <t>auto_pipeline;review_png_green</t>
        </is>
      </c>
      <c r="R26" t="inlineStr">
        <is>
          <t>样品1</t>
        </is>
      </c>
    </row>
    <row r="27">
      <c r="A27" t="inlineStr">
        <is>
          <t>1(4)-V07</t>
        </is>
      </c>
      <c r="B27" t="inlineStr">
        <is>
          <t>1 (4).tif</t>
        </is>
      </c>
      <c r="C27" t="n">
        <v>235</v>
      </c>
      <c r="D27" t="n">
        <v>503</v>
      </c>
      <c r="E27" t="inlineStr">
        <is>
          <t>200,482,271,525</t>
        </is>
      </c>
      <c r="F27" t="n">
        <v>200</v>
      </c>
      <c r="G27" t="inlineStr">
        <is>
          <t>primary</t>
        </is>
      </c>
      <c r="H27" t="inlineStr">
        <is>
          <t>AUTO_VESSEL</t>
        </is>
      </c>
      <c r="I27" t="inlineStr">
        <is>
          <t>是</t>
        </is>
      </c>
      <c r="J27" t="inlineStr">
        <is>
          <t>纳入</t>
        </is>
      </c>
      <c r="K27" t="n">
        <v>108.9083175803403</v>
      </c>
      <c r="L27">
        <f>导管母表_1781!G27</f>
        <v/>
      </c>
      <c r="M27" t="inlineStr">
        <is>
          <t>视野内部</t>
        </is>
      </c>
      <c r="N27" t="inlineStr">
        <is>
          <t>纳入A/D/Dh；若有Pair_ID则纳入CWR</t>
        </is>
      </c>
      <c r="O27" t="inlineStr">
        <is>
          <t>自动管线检出的合格导管腔。</t>
        </is>
      </c>
      <c r="P27" t="inlineStr">
        <is>
          <t>auto_pipeline;review_png_green</t>
        </is>
      </c>
      <c r="R27" t="inlineStr">
        <is>
          <t>样品1</t>
        </is>
      </c>
    </row>
    <row r="28">
      <c r="A28" t="inlineStr">
        <is>
          <t>1(5)-V01</t>
        </is>
      </c>
      <c r="B28" t="inlineStr">
        <is>
          <t>1 (5).tif</t>
        </is>
      </c>
      <c r="C28" t="n">
        <v>603</v>
      </c>
      <c r="D28" t="n">
        <v>346</v>
      </c>
      <c r="E28" t="inlineStr">
        <is>
          <t>537,284,670,409</t>
        </is>
      </c>
      <c r="F28" t="n">
        <v>284</v>
      </c>
      <c r="G28" t="inlineStr">
        <is>
          <t>primary</t>
        </is>
      </c>
      <c r="H28" t="inlineStr">
        <is>
          <t>AUTO_VESSEL</t>
        </is>
      </c>
      <c r="I28" t="inlineStr">
        <is>
          <t>是</t>
        </is>
      </c>
      <c r="J28" t="inlineStr">
        <is>
          <t>纳入</t>
        </is>
      </c>
      <c r="K28" t="n">
        <v>607.0652173913044</v>
      </c>
      <c r="L28">
        <f>导管母表_1781!G28</f>
        <v/>
      </c>
      <c r="M28" t="inlineStr">
        <is>
          <t>视野内部</t>
        </is>
      </c>
      <c r="N28" t="inlineStr">
        <is>
          <t>纳入A/D/Dh；若有Pair_ID则纳入CWR</t>
        </is>
      </c>
      <c r="O28" t="inlineStr">
        <is>
          <t>自动管线检出的合格导管腔。</t>
        </is>
      </c>
      <c r="P28" t="inlineStr">
        <is>
          <t>auto_pipeline;review_png_green</t>
        </is>
      </c>
      <c r="Q28" t="inlineStr">
        <is>
          <t>1(5)-P01</t>
        </is>
      </c>
      <c r="R28" t="inlineStr">
        <is>
          <t>样品1</t>
        </is>
      </c>
    </row>
    <row r="29">
      <c r="A29" t="inlineStr">
        <is>
          <t>1(5)-V02</t>
        </is>
      </c>
      <c r="B29" t="inlineStr">
        <is>
          <t>1 (5).tif</t>
        </is>
      </c>
      <c r="C29" t="n">
        <v>459</v>
      </c>
      <c r="D29" t="n">
        <v>414</v>
      </c>
      <c r="E29" t="inlineStr">
        <is>
          <t>397,362,522,467</t>
        </is>
      </c>
      <c r="F29" t="n">
        <v>301</v>
      </c>
      <c r="G29" t="inlineStr">
        <is>
          <t>primary</t>
        </is>
      </c>
      <c r="H29" t="inlineStr">
        <is>
          <t>AUTO_VESSEL</t>
        </is>
      </c>
      <c r="I29" t="inlineStr">
        <is>
          <t>是</t>
        </is>
      </c>
      <c r="J29" t="inlineStr">
        <is>
          <t>纳入</t>
        </is>
      </c>
      <c r="K29" t="n">
        <v>478.4735349716446</v>
      </c>
      <c r="L29">
        <f>导管母表_1781!G29</f>
        <v/>
      </c>
      <c r="M29" t="inlineStr">
        <is>
          <t>视野内部</t>
        </is>
      </c>
      <c r="N29" t="inlineStr">
        <is>
          <t>纳入A/D/Dh；若有Pair_ID则纳入CWR</t>
        </is>
      </c>
      <c r="O29" t="inlineStr">
        <is>
          <t>自动管线检出的合格导管腔。</t>
        </is>
      </c>
      <c r="P29" t="inlineStr">
        <is>
          <t>auto_pipeline;review_png_green</t>
        </is>
      </c>
      <c r="Q29" t="inlineStr">
        <is>
          <t>1(5)-P01</t>
        </is>
      </c>
      <c r="R29" t="inlineStr">
        <is>
          <t>样品1</t>
        </is>
      </c>
    </row>
    <row r="30">
      <c r="A30" t="inlineStr">
        <is>
          <t>1(6)-V01</t>
        </is>
      </c>
      <c r="B30" t="inlineStr">
        <is>
          <t>1 (6).tif</t>
        </is>
      </c>
      <c r="C30" t="n">
        <v>438</v>
      </c>
      <c r="D30" t="n">
        <v>420</v>
      </c>
      <c r="E30" t="inlineStr">
        <is>
          <t>377,360,500,481</t>
        </is>
      </c>
      <c r="F30" t="n">
        <v>287</v>
      </c>
      <c r="G30" t="inlineStr">
        <is>
          <t>primary</t>
        </is>
      </c>
      <c r="H30" t="inlineStr">
        <is>
          <t>AUTO_VESSEL</t>
        </is>
      </c>
      <c r="I30" t="inlineStr">
        <is>
          <t>是</t>
        </is>
      </c>
      <c r="J30" t="inlineStr">
        <is>
          <t>纳入</t>
        </is>
      </c>
      <c r="K30" t="n">
        <v>530.8601134215501</v>
      </c>
      <c r="L30">
        <f>导管母表_1781!G30</f>
        <v/>
      </c>
      <c r="M30" t="inlineStr">
        <is>
          <t>视野内部</t>
        </is>
      </c>
      <c r="N30" t="inlineStr">
        <is>
          <t>纳入A/D/Dh；若有Pair_ID则纳入CWR</t>
        </is>
      </c>
      <c r="O30" t="inlineStr">
        <is>
          <t>自动管线检出的合格导管腔。</t>
        </is>
      </c>
      <c r="P30" t="inlineStr">
        <is>
          <t>auto_pipeline;review_png_green</t>
        </is>
      </c>
      <c r="Q30" t="inlineStr">
        <is>
          <t>1(6)-P01</t>
        </is>
      </c>
      <c r="R30" t="inlineStr">
        <is>
          <t>样品1</t>
        </is>
      </c>
    </row>
    <row r="31">
      <c r="A31" t="inlineStr">
        <is>
          <t>1(6)-V02</t>
        </is>
      </c>
      <c r="B31" t="inlineStr">
        <is>
          <t>1 (6).tif</t>
        </is>
      </c>
      <c r="C31" t="n">
        <v>747</v>
      </c>
      <c r="D31" t="n">
        <v>176</v>
      </c>
      <c r="E31" t="inlineStr">
        <is>
          <t>687,125,808,228</t>
        </is>
      </c>
      <c r="F31" t="n">
        <v>125</v>
      </c>
      <c r="G31" t="inlineStr">
        <is>
          <t>primary</t>
        </is>
      </c>
      <c r="H31" t="inlineStr">
        <is>
          <t>AUTO_VESSEL</t>
        </is>
      </c>
      <c r="I31" t="inlineStr">
        <is>
          <t>是</t>
        </is>
      </c>
      <c r="J31" t="inlineStr">
        <is>
          <t>纳入</t>
        </is>
      </c>
      <c r="K31" t="n">
        <v>449.2202268431002</v>
      </c>
      <c r="L31">
        <f>导管母表_1781!G31</f>
        <v/>
      </c>
      <c r="M31" t="inlineStr">
        <is>
          <t>视野内部</t>
        </is>
      </c>
      <c r="N31" t="inlineStr">
        <is>
          <t>纳入A/D/Dh；若有Pair_ID则纳入CWR</t>
        </is>
      </c>
      <c r="O31" t="inlineStr">
        <is>
          <t>自动管线检出的合格导管腔。</t>
        </is>
      </c>
      <c r="P31" t="inlineStr">
        <is>
          <t>auto_pipeline;review_png_green</t>
        </is>
      </c>
      <c r="R31" t="inlineStr">
        <is>
          <t>样品1</t>
        </is>
      </c>
    </row>
    <row r="32">
      <c r="A32" t="inlineStr">
        <is>
          <t>1(6)-V03</t>
        </is>
      </c>
      <c r="B32" t="inlineStr">
        <is>
          <t>1 (6).tif</t>
        </is>
      </c>
      <c r="C32" t="n">
        <v>551</v>
      </c>
      <c r="D32" t="n">
        <v>343</v>
      </c>
      <c r="E32" t="inlineStr">
        <is>
          <t>495,299,608,388</t>
        </is>
      </c>
      <c r="F32" t="n">
        <v>299</v>
      </c>
      <c r="G32" t="inlineStr">
        <is>
          <t>primary</t>
        </is>
      </c>
      <c r="H32" t="inlineStr">
        <is>
          <t>AUTO_VESSEL</t>
        </is>
      </c>
      <c r="I32" t="inlineStr">
        <is>
          <t>是</t>
        </is>
      </c>
      <c r="J32" t="inlineStr">
        <is>
          <t>纳入</t>
        </is>
      </c>
      <c r="K32" t="n">
        <v>365.6190926275992</v>
      </c>
      <c r="L32">
        <f>导管母表_1781!G32</f>
        <v/>
      </c>
      <c r="M32" t="inlineStr">
        <is>
          <t>视野内部</t>
        </is>
      </c>
      <c r="N32" t="inlineStr">
        <is>
          <t>纳入A/D/Dh；若有Pair_ID则纳入CWR</t>
        </is>
      </c>
      <c r="O32" t="inlineStr">
        <is>
          <t>自动管线检出的合格导管腔。</t>
        </is>
      </c>
      <c r="P32" t="inlineStr">
        <is>
          <t>auto_pipeline;review_png_green</t>
        </is>
      </c>
      <c r="Q32" t="inlineStr">
        <is>
          <t>1(6)-P01</t>
        </is>
      </c>
      <c r="R32" t="inlineStr">
        <is>
          <t>样品1</t>
        </is>
      </c>
    </row>
    <row r="33">
      <c r="A33" t="inlineStr">
        <is>
          <t>1(6)-V04</t>
        </is>
      </c>
      <c r="B33" t="inlineStr">
        <is>
          <t>1 (6).tif</t>
        </is>
      </c>
      <c r="C33" t="n">
        <v>70</v>
      </c>
      <c r="D33" t="n">
        <v>133</v>
      </c>
      <c r="E33" t="inlineStr">
        <is>
          <t>18,86,123,181</t>
        </is>
      </c>
      <c r="F33" t="n">
        <v>18</v>
      </c>
      <c r="G33" t="inlineStr">
        <is>
          <t>primary</t>
        </is>
      </c>
      <c r="H33" t="inlineStr">
        <is>
          <t>AUTO_VESSEL</t>
        </is>
      </c>
      <c r="I33" t="inlineStr">
        <is>
          <t>是</t>
        </is>
      </c>
      <c r="J33" t="inlineStr">
        <is>
          <t>纳入</t>
        </is>
      </c>
      <c r="K33" t="n">
        <v>344.163516068053</v>
      </c>
      <c r="L33">
        <f>导管母表_1781!G33</f>
        <v/>
      </c>
      <c r="M33" t="inlineStr">
        <is>
          <t>近边缘（&lt;25 px）</t>
        </is>
      </c>
      <c r="N33" t="inlineStr">
        <is>
          <t>纳入A/D/Dh；若有Pair_ID则纳入CWR</t>
        </is>
      </c>
      <c r="O33" t="inlineStr">
        <is>
          <t>自动管线检出的合格导管腔。</t>
        </is>
      </c>
      <c r="P33" t="inlineStr">
        <is>
          <t>auto_pipeline;review_png_green</t>
        </is>
      </c>
      <c r="R33" t="inlineStr">
        <is>
          <t>样品1</t>
        </is>
      </c>
    </row>
    <row r="34">
      <c r="A34" t="inlineStr">
        <is>
          <t>1(6)-V05</t>
        </is>
      </c>
      <c r="B34" t="inlineStr">
        <is>
          <t>1 (6).tif</t>
        </is>
      </c>
      <c r="C34" t="n">
        <v>950</v>
      </c>
      <c r="D34" t="n">
        <v>57</v>
      </c>
      <c r="E34" t="inlineStr">
        <is>
          <t>886,36,1015,79</t>
        </is>
      </c>
      <c r="F34" t="n">
        <v>9</v>
      </c>
      <c r="G34" t="inlineStr">
        <is>
          <t>primary</t>
        </is>
      </c>
      <c r="H34" t="inlineStr">
        <is>
          <t>AUTO_VESSEL</t>
        </is>
      </c>
      <c r="I34" t="inlineStr">
        <is>
          <t>是</t>
        </is>
      </c>
      <c r="J34" t="inlineStr">
        <is>
          <t>纳入</t>
        </is>
      </c>
      <c r="K34" t="n">
        <v>199.6219281663516</v>
      </c>
      <c r="L34">
        <f>导管母表_1781!G34</f>
        <v/>
      </c>
      <c r="M34" t="inlineStr">
        <is>
          <t>近边缘（&lt;25 px）</t>
        </is>
      </c>
      <c r="N34" t="inlineStr">
        <is>
          <t>纳入A/D/Dh；若有Pair_ID则纳入CWR</t>
        </is>
      </c>
      <c r="O34" t="inlineStr">
        <is>
          <t>自动管线检出的合格导管腔。</t>
        </is>
      </c>
      <c r="P34" t="inlineStr">
        <is>
          <t>auto_pipeline;review_png_green</t>
        </is>
      </c>
      <c r="R34" t="inlineStr">
        <is>
          <t>样品1</t>
        </is>
      </c>
    </row>
    <row r="35">
      <c r="A35" t="inlineStr">
        <is>
          <t>1(6)-V06</t>
        </is>
      </c>
      <c r="B35" t="inlineStr">
        <is>
          <t>1 (6).tif</t>
        </is>
      </c>
      <c r="C35" t="n">
        <v>565</v>
      </c>
      <c r="D35" t="n">
        <v>248</v>
      </c>
      <c r="E35" t="inlineStr">
        <is>
          <t>536,207,595,290</t>
        </is>
      </c>
      <c r="F35" t="n">
        <v>207</v>
      </c>
      <c r="G35" t="inlineStr">
        <is>
          <t>primary</t>
        </is>
      </c>
      <c r="H35" t="inlineStr">
        <is>
          <t>AUTO_VESSEL</t>
        </is>
      </c>
      <c r="I35" t="inlineStr">
        <is>
          <t>是</t>
        </is>
      </c>
      <c r="J35" t="inlineStr">
        <is>
          <t>纳入</t>
        </is>
      </c>
      <c r="K35" t="n">
        <v>165.5954631379962</v>
      </c>
      <c r="L35">
        <f>导管母表_1781!G35</f>
        <v/>
      </c>
      <c r="M35" t="inlineStr">
        <is>
          <t>视野内部</t>
        </is>
      </c>
      <c r="N35" t="inlineStr">
        <is>
          <t>纳入A/D/Dh；若有Pair_ID则纳入CWR</t>
        </is>
      </c>
      <c r="O35" t="inlineStr">
        <is>
          <t>自动管线检出的合格导管腔。</t>
        </is>
      </c>
      <c r="P35" t="inlineStr">
        <is>
          <t>auto_pipeline;review_png_green</t>
        </is>
      </c>
      <c r="R35" t="inlineStr">
        <is>
          <t>样品1</t>
        </is>
      </c>
    </row>
    <row r="36">
      <c r="A36" t="inlineStr">
        <is>
          <t>1(6)-V07</t>
        </is>
      </c>
      <c r="B36" t="inlineStr">
        <is>
          <t>1 (6).tif</t>
        </is>
      </c>
      <c r="C36" t="n">
        <v>267</v>
      </c>
      <c r="D36" t="n">
        <v>504</v>
      </c>
      <c r="E36" t="inlineStr">
        <is>
          <t>226,469,309,540</t>
        </is>
      </c>
      <c r="F36" t="n">
        <v>226</v>
      </c>
      <c r="G36" t="inlineStr">
        <is>
          <t>primary</t>
        </is>
      </c>
      <c r="H36" t="inlineStr">
        <is>
          <t>AUTO_VESSEL</t>
        </is>
      </c>
      <c r="I36" t="inlineStr">
        <is>
          <t>是</t>
        </is>
      </c>
      <c r="J36" t="inlineStr">
        <is>
          <t>纳入</t>
        </is>
      </c>
      <c r="K36" t="n">
        <v>155.8837429111531</v>
      </c>
      <c r="L36">
        <f>导管母表_1781!G36</f>
        <v/>
      </c>
      <c r="M36" t="inlineStr">
        <is>
          <t>视野内部</t>
        </is>
      </c>
      <c r="N36" t="inlineStr">
        <is>
          <t>纳入A/D/Dh；若有Pair_ID则纳入CWR</t>
        </is>
      </c>
      <c r="O36" t="inlineStr">
        <is>
          <t>自动管线检出的合格导管腔。</t>
        </is>
      </c>
      <c r="P36" t="inlineStr">
        <is>
          <t>auto_pipeline;review_png_green</t>
        </is>
      </c>
      <c r="R36" t="inlineStr">
        <is>
          <t>样品1</t>
        </is>
      </c>
    </row>
    <row r="37">
      <c r="A37" t="inlineStr">
        <is>
          <t>1(6)-V08</t>
        </is>
      </c>
      <c r="B37" t="inlineStr">
        <is>
          <t>1 (6).tif</t>
        </is>
      </c>
      <c r="C37" t="n">
        <v>983</v>
      </c>
      <c r="D37" t="n">
        <v>351</v>
      </c>
      <c r="E37" t="inlineStr">
        <is>
          <t>939,311,1024,390</t>
        </is>
      </c>
      <c r="F37" t="n">
        <v>0</v>
      </c>
      <c r="G37" t="inlineStr">
        <is>
          <t>primary</t>
        </is>
      </c>
      <c r="H37" t="inlineStr">
        <is>
          <t>AUTO_VESSEL</t>
        </is>
      </c>
      <c r="I37" t="inlineStr">
        <is>
          <t>是</t>
        </is>
      </c>
      <c r="J37" t="inlineStr">
        <is>
          <t>纳入</t>
        </is>
      </c>
      <c r="K37" t="n">
        <v>147.7551984877127</v>
      </c>
      <c r="L37">
        <f>导管母表_1781!G37</f>
        <v/>
      </c>
      <c r="M37" t="inlineStr">
        <is>
          <t>近边缘（&lt;25 px）</t>
        </is>
      </c>
      <c r="N37" t="inlineStr">
        <is>
          <t>纳入A/D/Dh；若有Pair_ID则纳入CWR</t>
        </is>
      </c>
      <c r="O37" t="inlineStr">
        <is>
          <t>自动管线检出的合格导管腔。</t>
        </is>
      </c>
      <c r="P37" t="inlineStr">
        <is>
          <t>auto_pipeline;review_png_green</t>
        </is>
      </c>
      <c r="R37" t="inlineStr">
        <is>
          <t>样品1</t>
        </is>
      </c>
    </row>
    <row r="38">
      <c r="A38" t="inlineStr">
        <is>
          <t>1(7)-V01</t>
        </is>
      </c>
      <c r="B38" t="inlineStr">
        <is>
          <t>1 (7).tif</t>
        </is>
      </c>
      <c r="C38" t="n">
        <v>352</v>
      </c>
      <c r="D38" t="n">
        <v>114</v>
      </c>
      <c r="E38" t="inlineStr">
        <is>
          <t>288,56,417,173</t>
        </is>
      </c>
      <c r="F38" t="n">
        <v>56</v>
      </c>
      <c r="G38" t="inlineStr">
        <is>
          <t>primary</t>
        </is>
      </c>
      <c r="H38" t="inlineStr">
        <is>
          <t>AUTO_VESSEL</t>
        </is>
      </c>
      <c r="I38" t="inlineStr">
        <is>
          <t>是</t>
        </is>
      </c>
      <c r="J38" t="inlineStr">
        <is>
          <t>纳入</t>
        </is>
      </c>
      <c r="K38" t="n">
        <v>549.1493383742911</v>
      </c>
      <c r="L38">
        <f>导管母表_1781!G38</f>
        <v/>
      </c>
      <c r="M38" t="inlineStr">
        <is>
          <t>视野内部</t>
        </is>
      </c>
      <c r="N38" t="inlineStr">
        <is>
          <t>纳入A/D/Dh；若有Pair_ID则纳入CWR</t>
        </is>
      </c>
      <c r="O38" t="inlineStr">
        <is>
          <t>自动管线检出的合格导管腔。</t>
        </is>
      </c>
      <c r="P38" t="inlineStr">
        <is>
          <t>auto_pipeline;review_png_green</t>
        </is>
      </c>
      <c r="R38" t="inlineStr">
        <is>
          <t>样品1</t>
        </is>
      </c>
    </row>
    <row r="39">
      <c r="A39" t="inlineStr">
        <is>
          <t>1(7)-V02</t>
        </is>
      </c>
      <c r="B39" t="inlineStr">
        <is>
          <t>1 (7).tif</t>
        </is>
      </c>
      <c r="C39" t="n">
        <v>434</v>
      </c>
      <c r="D39" t="n">
        <v>363</v>
      </c>
      <c r="E39" t="inlineStr">
        <is>
          <t>376,313,493,414</t>
        </is>
      </c>
      <c r="F39" t="n">
        <v>313</v>
      </c>
      <c r="G39" t="inlineStr">
        <is>
          <t>primary</t>
        </is>
      </c>
      <c r="H39" t="inlineStr">
        <is>
          <t>AUTO_VESSEL</t>
        </is>
      </c>
      <c r="I39" t="inlineStr">
        <is>
          <t>是</t>
        </is>
      </c>
      <c r="J39" t="inlineStr">
        <is>
          <t>纳入</t>
        </is>
      </c>
      <c r="K39" t="n">
        <v>430.2221172022684</v>
      </c>
      <c r="L39">
        <f>导管母表_1781!G39</f>
        <v/>
      </c>
      <c r="M39" t="inlineStr">
        <is>
          <t>视野内部</t>
        </is>
      </c>
      <c r="N39" t="inlineStr">
        <is>
          <t>纳入A/D/Dh；若有Pair_ID则纳入CWR</t>
        </is>
      </c>
      <c r="O39" t="inlineStr">
        <is>
          <t>自动管线检出的合格导管腔。</t>
        </is>
      </c>
      <c r="P39" t="inlineStr">
        <is>
          <t>auto_pipeline;review_png_green</t>
        </is>
      </c>
      <c r="R39" t="inlineStr">
        <is>
          <t>样品1</t>
        </is>
      </c>
    </row>
    <row r="40">
      <c r="A40" t="inlineStr">
        <is>
          <t>1(7)-V03</t>
        </is>
      </c>
      <c r="B40" t="inlineStr">
        <is>
          <t>1 (7).tif</t>
        </is>
      </c>
      <c r="C40" t="n">
        <v>676</v>
      </c>
      <c r="D40" t="n">
        <v>550</v>
      </c>
      <c r="E40" t="inlineStr">
        <is>
          <t>629,499,724,602</t>
        </is>
      </c>
      <c r="F40" t="n">
        <v>166</v>
      </c>
      <c r="G40" t="inlineStr">
        <is>
          <t>primary</t>
        </is>
      </c>
      <c r="H40" t="inlineStr">
        <is>
          <t>AUTO_VESSEL</t>
        </is>
      </c>
      <c r="I40" t="inlineStr">
        <is>
          <t>是</t>
        </is>
      </c>
      <c r="J40" t="inlineStr">
        <is>
          <t>纳入</t>
        </is>
      </c>
      <c r="K40" t="n">
        <v>350.5198487712665</v>
      </c>
      <c r="L40">
        <f>导管母表_1781!G40</f>
        <v/>
      </c>
      <c r="M40" t="inlineStr">
        <is>
          <t>视野内部</t>
        </is>
      </c>
      <c r="N40" t="inlineStr">
        <is>
          <t>纳入A/D/Dh；若有Pair_ID则纳入CWR</t>
        </is>
      </c>
      <c r="O40" t="inlineStr">
        <is>
          <t>自动管线检出的合格导管腔。</t>
        </is>
      </c>
      <c r="P40" t="inlineStr">
        <is>
          <t>auto_pipeline;review_png_green</t>
        </is>
      </c>
      <c r="R40" t="inlineStr">
        <is>
          <t>样品1</t>
        </is>
      </c>
    </row>
    <row r="41">
      <c r="A41" t="inlineStr">
        <is>
          <t>1(7)-V04</t>
        </is>
      </c>
      <c r="B41" t="inlineStr">
        <is>
          <t>1 (7).tif</t>
        </is>
      </c>
      <c r="C41" t="n">
        <v>754</v>
      </c>
      <c r="D41" t="n">
        <v>520</v>
      </c>
      <c r="E41" t="inlineStr">
        <is>
          <t>705,467,804,574</t>
        </is>
      </c>
      <c r="F41" t="n">
        <v>194</v>
      </c>
      <c r="G41" t="inlineStr">
        <is>
          <t>primary</t>
        </is>
      </c>
      <c r="H41" t="inlineStr">
        <is>
          <t>AUTO_VESSEL</t>
        </is>
      </c>
      <c r="I41" t="inlineStr">
        <is>
          <t>是</t>
        </is>
      </c>
      <c r="J41" t="inlineStr">
        <is>
          <t>纳入</t>
        </is>
      </c>
      <c r="K41" t="n">
        <v>243.265595463138</v>
      </c>
      <c r="L41">
        <f>导管母表_1781!G41</f>
        <v/>
      </c>
      <c r="M41" t="inlineStr">
        <is>
          <t>视野内部</t>
        </is>
      </c>
      <c r="N41" t="inlineStr">
        <is>
          <t>纳入A/D/Dh；若有Pair_ID则纳入CWR</t>
        </is>
      </c>
      <c r="O41" t="inlineStr">
        <is>
          <t>自动管线检出的合格导管腔。</t>
        </is>
      </c>
      <c r="P41" t="inlineStr">
        <is>
          <t>auto_pipeline;review_png_green</t>
        </is>
      </c>
      <c r="R41" t="inlineStr">
        <is>
          <t>样品1</t>
        </is>
      </c>
    </row>
    <row r="42">
      <c r="A42" t="inlineStr">
        <is>
          <t>1(7)-V05</t>
        </is>
      </c>
      <c r="B42" t="inlineStr">
        <is>
          <t>1 (7).tif</t>
        </is>
      </c>
      <c r="C42" t="n">
        <v>201</v>
      </c>
      <c r="D42" t="n">
        <v>44</v>
      </c>
      <c r="E42" t="inlineStr">
        <is>
          <t>146,11,257,78</t>
        </is>
      </c>
      <c r="F42" t="n">
        <v>11</v>
      </c>
      <c r="G42" t="inlineStr">
        <is>
          <t>primary</t>
        </is>
      </c>
      <c r="H42" t="inlineStr">
        <is>
          <t>AUTO_VESSEL</t>
        </is>
      </c>
      <c r="I42" t="inlineStr">
        <is>
          <t>是</t>
        </is>
      </c>
      <c r="J42" t="inlineStr">
        <is>
          <t>纳入</t>
        </is>
      </c>
      <c r="K42" t="n">
        <v>241.1625708884688</v>
      </c>
      <c r="L42">
        <f>导管母表_1781!G42</f>
        <v/>
      </c>
      <c r="M42" t="inlineStr">
        <is>
          <t>近边缘（&lt;25 px）</t>
        </is>
      </c>
      <c r="N42" t="inlineStr">
        <is>
          <t>纳入A/D/Dh；若有Pair_ID则纳入CWR</t>
        </is>
      </c>
      <c r="O42" t="inlineStr">
        <is>
          <t>自动管线检出的合格导管腔。</t>
        </is>
      </c>
      <c r="P42" t="inlineStr">
        <is>
          <t>auto_pipeline;review_png_green</t>
        </is>
      </c>
      <c r="R42" t="inlineStr">
        <is>
          <t>样品1</t>
        </is>
      </c>
    </row>
    <row r="43">
      <c r="A43" t="inlineStr">
        <is>
          <t>1(8)-V01</t>
        </is>
      </c>
      <c r="B43" t="inlineStr">
        <is>
          <t>1 (8).tif</t>
        </is>
      </c>
      <c r="C43" t="n">
        <v>419</v>
      </c>
      <c r="D43" t="n">
        <v>411</v>
      </c>
      <c r="E43" t="inlineStr">
        <is>
          <t>342,340,497,483</t>
        </is>
      </c>
      <c r="F43" t="n">
        <v>285</v>
      </c>
      <c r="G43" t="inlineStr">
        <is>
          <t>primary</t>
        </is>
      </c>
      <c r="H43" t="inlineStr">
        <is>
          <t>AUTO_VESSEL</t>
        </is>
      </c>
      <c r="I43" t="inlineStr">
        <is>
          <t>是</t>
        </is>
      </c>
      <c r="J43" t="inlineStr">
        <is>
          <t>纳入</t>
        </is>
      </c>
      <c r="K43" t="n">
        <v>805.4820415879017</v>
      </c>
      <c r="L43">
        <f>导管母表_1781!G43</f>
        <v/>
      </c>
      <c r="M43" t="inlineStr">
        <is>
          <t>视野内部</t>
        </is>
      </c>
      <c r="N43" t="inlineStr">
        <is>
          <t>纳入A/D/Dh；若有Pair_ID则纳入CWR</t>
        </is>
      </c>
      <c r="O43" t="inlineStr">
        <is>
          <t>自动管线检出的合格导管腔。</t>
        </is>
      </c>
      <c r="P43" t="inlineStr">
        <is>
          <t>auto_pipeline;review_png_green</t>
        </is>
      </c>
      <c r="R43" t="inlineStr">
        <is>
          <t>样品1</t>
        </is>
      </c>
    </row>
    <row r="44">
      <c r="A44" t="inlineStr">
        <is>
          <t>1(8)-V02</t>
        </is>
      </c>
      <c r="B44" t="inlineStr">
        <is>
          <t>1 (8).tif</t>
        </is>
      </c>
      <c r="C44" t="n">
        <v>576</v>
      </c>
      <c r="D44" t="n">
        <v>337</v>
      </c>
      <c r="E44" t="inlineStr">
        <is>
          <t>517,274,636,401</t>
        </is>
      </c>
      <c r="F44" t="n">
        <v>274</v>
      </c>
      <c r="G44" t="inlineStr">
        <is>
          <t>primary</t>
        </is>
      </c>
      <c r="H44" t="inlineStr">
        <is>
          <t>AUTO_VESSEL</t>
        </is>
      </c>
      <c r="I44" t="inlineStr">
        <is>
          <t>是</t>
        </is>
      </c>
      <c r="J44" t="inlineStr">
        <is>
          <t>纳入</t>
        </is>
      </c>
      <c r="K44" t="n">
        <v>550.7561436672968</v>
      </c>
      <c r="L44">
        <f>导管母表_1781!G44</f>
        <v/>
      </c>
      <c r="M44" t="inlineStr">
        <is>
          <t>视野内部</t>
        </is>
      </c>
      <c r="N44" t="inlineStr">
        <is>
          <t>纳入A/D/Dh；若有Pair_ID则纳入CWR</t>
        </is>
      </c>
      <c r="O44" t="inlineStr">
        <is>
          <t>自动管线检出的合格导管腔。</t>
        </is>
      </c>
      <c r="P44" t="inlineStr">
        <is>
          <t>auto_pipeline;review_png_green</t>
        </is>
      </c>
      <c r="R44" t="inlineStr">
        <is>
          <t>样品1</t>
        </is>
      </c>
    </row>
    <row r="45">
      <c r="A45" t="inlineStr">
        <is>
          <t>1(8)-V03</t>
        </is>
      </c>
      <c r="B45" t="inlineStr">
        <is>
          <t>1 (8).tif</t>
        </is>
      </c>
      <c r="C45" t="n">
        <v>927</v>
      </c>
      <c r="D45" t="n">
        <v>240</v>
      </c>
      <c r="E45" t="inlineStr">
        <is>
          <t>882,208,973,273</t>
        </is>
      </c>
      <c r="F45" t="n">
        <v>51</v>
      </c>
      <c r="G45" t="inlineStr">
        <is>
          <t>primary</t>
        </is>
      </c>
      <c r="H45" t="inlineStr">
        <is>
          <t>AUTO_VESSEL</t>
        </is>
      </c>
      <c r="I45" t="inlineStr">
        <is>
          <t>是</t>
        </is>
      </c>
      <c r="J45" t="inlineStr">
        <is>
          <t>纳入</t>
        </is>
      </c>
      <c r="K45" t="n">
        <v>211.507561436673</v>
      </c>
      <c r="L45">
        <f>导管母表_1781!G45</f>
        <v/>
      </c>
      <c r="M45" t="inlineStr">
        <is>
          <t>视野内部</t>
        </is>
      </c>
      <c r="N45" t="inlineStr">
        <is>
          <t>纳入A/D/Dh；若有Pair_ID则纳入CWR</t>
        </is>
      </c>
      <c r="O45" t="inlineStr">
        <is>
          <t>自动管线检出的合格导管腔。</t>
        </is>
      </c>
      <c r="P45" t="inlineStr">
        <is>
          <t>auto_pipeline;review_png_green</t>
        </is>
      </c>
      <c r="R45" t="inlineStr">
        <is>
          <t>样品1</t>
        </is>
      </c>
    </row>
    <row r="46">
      <c r="A46" t="inlineStr">
        <is>
          <t>2(1)-V01</t>
        </is>
      </c>
      <c r="B46" t="inlineStr">
        <is>
          <t>2 (1).tif</t>
        </is>
      </c>
      <c r="C46" t="n">
        <v>606</v>
      </c>
      <c r="D46" t="n">
        <v>311</v>
      </c>
      <c r="E46" t="inlineStr">
        <is>
          <t>536,252,677,371</t>
        </is>
      </c>
      <c r="F46" t="n">
        <v>252</v>
      </c>
      <c r="G46" t="inlineStr">
        <is>
          <t>primary</t>
        </is>
      </c>
      <c r="H46" t="inlineStr">
        <is>
          <t>AUTO_VESSEL</t>
        </is>
      </c>
      <c r="I46" t="inlineStr">
        <is>
          <t>是</t>
        </is>
      </c>
      <c r="J46" t="inlineStr">
        <is>
          <t>纳入</t>
        </is>
      </c>
      <c r="K46" t="n">
        <v>595.5103969754254</v>
      </c>
      <c r="L46">
        <f>导管母表_1781!G46</f>
        <v/>
      </c>
      <c r="M46" t="inlineStr">
        <is>
          <t>视野内部</t>
        </is>
      </c>
      <c r="N46" t="inlineStr">
        <is>
          <t>纳入A/D/Dh；若有Pair_ID则纳入CWR</t>
        </is>
      </c>
      <c r="O46" t="inlineStr">
        <is>
          <t>自动管线检出的合格导管腔。</t>
        </is>
      </c>
      <c r="P46" t="inlineStr">
        <is>
          <t>auto_pipeline;review_png_green</t>
        </is>
      </c>
      <c r="R46" t="inlineStr">
        <is>
          <t>样品2</t>
        </is>
      </c>
    </row>
    <row r="47">
      <c r="A47" t="inlineStr">
        <is>
          <t>2(1)-V02</t>
        </is>
      </c>
      <c r="B47" t="inlineStr">
        <is>
          <t>2 (1).tif</t>
        </is>
      </c>
      <c r="C47" t="n">
        <v>925</v>
      </c>
      <c r="D47" t="n">
        <v>137</v>
      </c>
      <c r="E47" t="inlineStr">
        <is>
          <t>872,87,979,188</t>
        </is>
      </c>
      <c r="F47" t="n">
        <v>45</v>
      </c>
      <c r="G47" t="inlineStr">
        <is>
          <t>primary</t>
        </is>
      </c>
      <c r="H47" t="inlineStr">
        <is>
          <t>AUTO_VESSEL</t>
        </is>
      </c>
      <c r="I47" t="inlineStr">
        <is>
          <t>是</t>
        </is>
      </c>
      <c r="J47" t="inlineStr">
        <is>
          <t>纳入</t>
        </is>
      </c>
      <c r="K47" t="n">
        <v>390.9735349716446</v>
      </c>
      <c r="L47">
        <f>导管母表_1781!G47</f>
        <v/>
      </c>
      <c r="M47" t="inlineStr">
        <is>
          <t>视野内部</t>
        </is>
      </c>
      <c r="N47" t="inlineStr">
        <is>
          <t>纳入A/D/Dh；若有Pair_ID则纳入CWR</t>
        </is>
      </c>
      <c r="O47" t="inlineStr">
        <is>
          <t>自动管线检出的合格导管腔。</t>
        </is>
      </c>
      <c r="P47" t="inlineStr">
        <is>
          <t>auto_pipeline;review_png_green</t>
        </is>
      </c>
      <c r="R47" t="inlineStr">
        <is>
          <t>样品2</t>
        </is>
      </c>
    </row>
    <row r="48">
      <c r="A48" t="inlineStr">
        <is>
          <t>2(1)-V03</t>
        </is>
      </c>
      <c r="B48" t="inlineStr">
        <is>
          <t>2 (1).tif</t>
        </is>
      </c>
      <c r="C48" t="n">
        <v>469</v>
      </c>
      <c r="D48" t="n">
        <v>377</v>
      </c>
      <c r="E48" t="inlineStr">
        <is>
          <t>419,326,520,429</t>
        </is>
      </c>
      <c r="F48" t="n">
        <v>326</v>
      </c>
      <c r="G48" t="inlineStr">
        <is>
          <t>primary</t>
        </is>
      </c>
      <c r="H48" t="inlineStr">
        <is>
          <t>AUTO_VESSEL</t>
        </is>
      </c>
      <c r="I48" t="inlineStr">
        <is>
          <t>是</t>
        </is>
      </c>
      <c r="J48" t="inlineStr">
        <is>
          <t>纳入</t>
        </is>
      </c>
      <c r="K48" t="n">
        <v>366.0916824196597</v>
      </c>
      <c r="L48">
        <f>导管母表_1781!G48</f>
        <v/>
      </c>
      <c r="M48" t="inlineStr">
        <is>
          <t>视野内部</t>
        </is>
      </c>
      <c r="N48" t="inlineStr">
        <is>
          <t>纳入A/D/Dh；若有Pair_ID则纳入CWR</t>
        </is>
      </c>
      <c r="O48" t="inlineStr">
        <is>
          <t>自动管线检出的合格导管腔。</t>
        </is>
      </c>
      <c r="P48" t="inlineStr">
        <is>
          <t>auto_pipeline;review_png_green</t>
        </is>
      </c>
      <c r="R48" t="inlineStr">
        <is>
          <t>样品2</t>
        </is>
      </c>
    </row>
    <row r="49">
      <c r="A49" t="inlineStr">
        <is>
          <t>2(1)-V04</t>
        </is>
      </c>
      <c r="B49" t="inlineStr">
        <is>
          <t>2 (1).tif</t>
        </is>
      </c>
      <c r="C49" t="n">
        <v>124</v>
      </c>
      <c r="D49" t="n">
        <v>307</v>
      </c>
      <c r="E49" t="inlineStr">
        <is>
          <t>53,269,196,346</t>
        </is>
      </c>
      <c r="F49" t="n">
        <v>53</v>
      </c>
      <c r="G49" t="inlineStr">
        <is>
          <t>primary</t>
        </is>
      </c>
      <c r="H49" t="inlineStr">
        <is>
          <t>AUTO_VESSEL</t>
        </is>
      </c>
      <c r="I49" t="inlineStr">
        <is>
          <t>是</t>
        </is>
      </c>
      <c r="J49" t="inlineStr">
        <is>
          <t>纳入</t>
        </is>
      </c>
      <c r="K49" t="n">
        <v>274.6219281663516</v>
      </c>
      <c r="L49">
        <f>导管母表_1781!G49</f>
        <v/>
      </c>
      <c r="M49" t="inlineStr">
        <is>
          <t>视野内部</t>
        </is>
      </c>
      <c r="N49" t="inlineStr">
        <is>
          <t>纳入A/D/Dh；若有Pair_ID则纳入CWR</t>
        </is>
      </c>
      <c r="O49" t="inlineStr">
        <is>
          <t>自动管线检出的合格导管腔。</t>
        </is>
      </c>
      <c r="P49" t="inlineStr">
        <is>
          <t>auto_pipeline;review_png_green</t>
        </is>
      </c>
      <c r="R49" t="inlineStr">
        <is>
          <t>样品2</t>
        </is>
      </c>
    </row>
    <row r="50">
      <c r="A50" t="inlineStr">
        <is>
          <t>2(2)-V01</t>
        </is>
      </c>
      <c r="B50" t="inlineStr">
        <is>
          <t>2 (2).tif</t>
        </is>
      </c>
      <c r="C50" t="n">
        <v>886</v>
      </c>
      <c r="D50" t="n">
        <v>465</v>
      </c>
      <c r="E50" t="inlineStr">
        <is>
          <t>825,396,948,535</t>
        </is>
      </c>
      <c r="F50" t="n">
        <v>76</v>
      </c>
      <c r="G50" t="inlineStr">
        <is>
          <t>primary</t>
        </is>
      </c>
      <c r="H50" t="inlineStr">
        <is>
          <t>AUTO_VESSEL</t>
        </is>
      </c>
      <c r="I50" t="inlineStr">
        <is>
          <t>是</t>
        </is>
      </c>
      <c r="J50" t="inlineStr">
        <is>
          <t>纳入</t>
        </is>
      </c>
      <c r="K50" t="n">
        <v>623.7476370510396</v>
      </c>
      <c r="L50">
        <f>导管母表_1781!G50</f>
        <v/>
      </c>
      <c r="M50" t="inlineStr">
        <is>
          <t>视野内部</t>
        </is>
      </c>
      <c r="N50" t="inlineStr">
        <is>
          <t>纳入A/D/Dh；若有Pair_ID则纳入CWR</t>
        </is>
      </c>
      <c r="O50" t="inlineStr">
        <is>
          <t>自动管线检出的合格导管腔。</t>
        </is>
      </c>
      <c r="P50" t="inlineStr">
        <is>
          <t>auto_pipeline;review_png_green</t>
        </is>
      </c>
      <c r="R50" t="inlineStr">
        <is>
          <t>样品2</t>
        </is>
      </c>
    </row>
    <row r="51">
      <c r="A51" t="inlineStr">
        <is>
          <t>2(2)-V02</t>
        </is>
      </c>
      <c r="B51" t="inlineStr">
        <is>
          <t>2 (2).tif</t>
        </is>
      </c>
      <c r="C51" t="n">
        <v>444</v>
      </c>
      <c r="D51" t="n">
        <v>326</v>
      </c>
      <c r="E51" t="inlineStr">
        <is>
          <t>377,263,512,390</t>
        </is>
      </c>
      <c r="F51" t="n">
        <v>263</v>
      </c>
      <c r="G51" t="inlineStr">
        <is>
          <t>primary</t>
        </is>
      </c>
      <c r="H51" t="inlineStr">
        <is>
          <t>AUTO_VESSEL</t>
        </is>
      </c>
      <c r="I51" t="inlineStr">
        <is>
          <t>是</t>
        </is>
      </c>
      <c r="J51" t="inlineStr">
        <is>
          <t>纳入</t>
        </is>
      </c>
      <c r="K51" t="n">
        <v>622.6606805293005</v>
      </c>
      <c r="L51">
        <f>导管母表_1781!G51</f>
        <v/>
      </c>
      <c r="M51" t="inlineStr">
        <is>
          <t>视野内部</t>
        </is>
      </c>
      <c r="N51" t="inlineStr">
        <is>
          <t>纳入A/D/Dh；若有Pair_ID则纳入CWR</t>
        </is>
      </c>
      <c r="O51" t="inlineStr">
        <is>
          <t>自动管线检出的合格导管腔。</t>
        </is>
      </c>
      <c r="P51" t="inlineStr">
        <is>
          <t>auto_pipeline;review_png_green</t>
        </is>
      </c>
      <c r="R51" t="inlineStr">
        <is>
          <t>样品2</t>
        </is>
      </c>
    </row>
    <row r="52">
      <c r="A52" t="inlineStr">
        <is>
          <t>2(2)-V03</t>
        </is>
      </c>
      <c r="B52" t="inlineStr">
        <is>
          <t>2 (2).tif</t>
        </is>
      </c>
      <c r="C52" t="n">
        <v>153</v>
      </c>
      <c r="D52" t="n">
        <v>258</v>
      </c>
      <c r="E52" t="inlineStr">
        <is>
          <t>98,208,209,309</t>
        </is>
      </c>
      <c r="F52" t="n">
        <v>98</v>
      </c>
      <c r="G52" t="inlineStr">
        <is>
          <t>primary</t>
        </is>
      </c>
      <c r="H52" t="inlineStr">
        <is>
          <t>AUTO_VESSEL</t>
        </is>
      </c>
      <c r="I52" t="inlineStr">
        <is>
          <t>是</t>
        </is>
      </c>
      <c r="J52" t="inlineStr">
        <is>
          <t>纳入</t>
        </is>
      </c>
      <c r="K52" t="n">
        <v>407.2542533081286</v>
      </c>
      <c r="L52">
        <f>导管母表_1781!G52</f>
        <v/>
      </c>
      <c r="M52" t="inlineStr">
        <is>
          <t>视野内部</t>
        </is>
      </c>
      <c r="N52" t="inlineStr">
        <is>
          <t>纳入A/D/Dh；若有Pair_ID则纳入CWR</t>
        </is>
      </c>
      <c r="O52" t="inlineStr">
        <is>
          <t>自动管线检出的合格导管腔。</t>
        </is>
      </c>
      <c r="P52" t="inlineStr">
        <is>
          <t>auto_pipeline;review_png_green</t>
        </is>
      </c>
      <c r="R52" t="inlineStr">
        <is>
          <t>样品2</t>
        </is>
      </c>
    </row>
    <row r="53">
      <c r="A53" t="inlineStr">
        <is>
          <t>2(2)-V04</t>
        </is>
      </c>
      <c r="B53" t="inlineStr">
        <is>
          <t>2 (2).tif</t>
        </is>
      </c>
      <c r="C53" t="n">
        <v>520</v>
      </c>
      <c r="D53" t="n">
        <v>420</v>
      </c>
      <c r="E53" t="inlineStr">
        <is>
          <t>481,391,560,450</t>
        </is>
      </c>
      <c r="F53" t="n">
        <v>318</v>
      </c>
      <c r="G53" t="inlineStr">
        <is>
          <t>primary</t>
        </is>
      </c>
      <c r="H53" t="inlineStr">
        <is>
          <t>AUTO_VESSEL</t>
        </is>
      </c>
      <c r="I53" t="inlineStr">
        <is>
          <t>是</t>
        </is>
      </c>
      <c r="J53" t="inlineStr">
        <is>
          <t>纳入</t>
        </is>
      </c>
      <c r="K53" t="n">
        <v>166.5406427221172</v>
      </c>
      <c r="L53">
        <f>导管母表_1781!G53</f>
        <v/>
      </c>
      <c r="M53" t="inlineStr">
        <is>
          <t>视野内部</t>
        </is>
      </c>
      <c r="N53" t="inlineStr">
        <is>
          <t>纳入A/D/Dh；若有Pair_ID则纳入CWR</t>
        </is>
      </c>
      <c r="O53" t="inlineStr">
        <is>
          <t>自动管线检出的合格导管腔。</t>
        </is>
      </c>
      <c r="P53" t="inlineStr">
        <is>
          <t>auto_pipeline;review_png_green</t>
        </is>
      </c>
      <c r="R53" t="inlineStr">
        <is>
          <t>样品2</t>
        </is>
      </c>
    </row>
    <row r="54">
      <c r="A54" t="inlineStr">
        <is>
          <t>2(2)-V05</t>
        </is>
      </c>
      <c r="B54" t="inlineStr">
        <is>
          <t>2 (2).tif</t>
        </is>
      </c>
      <c r="C54" t="n">
        <v>104</v>
      </c>
      <c r="D54" t="n">
        <v>165</v>
      </c>
      <c r="E54" t="inlineStr">
        <is>
          <t>65,137,144,194</t>
        </is>
      </c>
      <c r="F54" t="n">
        <v>65</v>
      </c>
      <c r="G54" t="inlineStr">
        <is>
          <t>primary</t>
        </is>
      </c>
      <c r="H54" t="inlineStr">
        <is>
          <t>AUTO_VESSEL</t>
        </is>
      </c>
      <c r="I54" t="inlineStr">
        <is>
          <t>是</t>
        </is>
      </c>
      <c r="J54" t="inlineStr">
        <is>
          <t>纳入</t>
        </is>
      </c>
      <c r="K54" t="n">
        <v>160.3497164461248</v>
      </c>
      <c r="L54">
        <f>导管母表_1781!G54</f>
        <v/>
      </c>
      <c r="M54" t="inlineStr">
        <is>
          <t>视野内部</t>
        </is>
      </c>
      <c r="N54" t="inlineStr">
        <is>
          <t>纳入A/D/Dh；若有Pair_ID则纳入CWR</t>
        </is>
      </c>
      <c r="O54" t="inlineStr">
        <is>
          <t>自动管线检出的合格导管腔。</t>
        </is>
      </c>
      <c r="P54" t="inlineStr">
        <is>
          <t>auto_pipeline;review_png_green</t>
        </is>
      </c>
      <c r="R54" t="inlineStr">
        <is>
          <t>样品2</t>
        </is>
      </c>
    </row>
    <row r="55">
      <c r="A55" t="inlineStr">
        <is>
          <t>2(2)-V06</t>
        </is>
      </c>
      <c r="B55" t="inlineStr">
        <is>
          <t>2 (2).tif</t>
        </is>
      </c>
      <c r="C55" t="n">
        <v>213</v>
      </c>
      <c r="D55" t="n">
        <v>414</v>
      </c>
      <c r="E55" t="inlineStr">
        <is>
          <t>181,384,246,445</t>
        </is>
      </c>
      <c r="F55" t="n">
        <v>181</v>
      </c>
      <c r="G55" t="inlineStr">
        <is>
          <t>primary</t>
        </is>
      </c>
      <c r="H55" t="inlineStr">
        <is>
          <t>AUTO_VESSEL</t>
        </is>
      </c>
      <c r="I55" t="inlineStr">
        <is>
          <t>是</t>
        </is>
      </c>
      <c r="J55" t="inlineStr">
        <is>
          <t>纳入</t>
        </is>
      </c>
      <c r="K55" t="n">
        <v>129.7495274102079</v>
      </c>
      <c r="L55">
        <f>导管母表_1781!G55</f>
        <v/>
      </c>
      <c r="M55" t="inlineStr">
        <is>
          <t>视野内部</t>
        </is>
      </c>
      <c r="N55" t="inlineStr">
        <is>
          <t>纳入A/D/Dh；若有Pair_ID则纳入CWR</t>
        </is>
      </c>
      <c r="O55" t="inlineStr">
        <is>
          <t>自动管线检出的合格导管腔。</t>
        </is>
      </c>
      <c r="P55" t="inlineStr">
        <is>
          <t>auto_pipeline;review_png_green</t>
        </is>
      </c>
      <c r="R55" t="inlineStr">
        <is>
          <t>样品2</t>
        </is>
      </c>
    </row>
    <row r="56">
      <c r="A56" t="inlineStr">
        <is>
          <t>2(3)-V01</t>
        </is>
      </c>
      <c r="B56" t="inlineStr">
        <is>
          <t>2 (3).tif</t>
        </is>
      </c>
      <c r="C56" t="n">
        <v>239</v>
      </c>
      <c r="D56" t="n">
        <v>446</v>
      </c>
      <c r="E56" t="inlineStr">
        <is>
          <t>174,388,305,505</t>
        </is>
      </c>
      <c r="F56" t="n">
        <v>174</v>
      </c>
      <c r="G56" t="inlineStr">
        <is>
          <t>primary</t>
        </is>
      </c>
      <c r="H56" t="inlineStr">
        <is>
          <t>AUTO_VESSEL</t>
        </is>
      </c>
      <c r="I56" t="inlineStr">
        <is>
          <t>是</t>
        </is>
      </c>
      <c r="J56" t="inlineStr">
        <is>
          <t>纳入</t>
        </is>
      </c>
      <c r="K56" t="n">
        <v>559.4045368620037</v>
      </c>
      <c r="L56">
        <f>导管母表_1781!G56</f>
        <v/>
      </c>
      <c r="M56" t="inlineStr">
        <is>
          <t>视野内部</t>
        </is>
      </c>
      <c r="N56" t="inlineStr">
        <is>
          <t>纳入A/D/Dh；若有Pair_ID则纳入CWR</t>
        </is>
      </c>
      <c r="O56" t="inlineStr">
        <is>
          <t>自动管线检出的合格导管腔。</t>
        </is>
      </c>
      <c r="P56" t="inlineStr">
        <is>
          <t>auto_pipeline;review_png_green</t>
        </is>
      </c>
      <c r="R56" t="inlineStr">
        <is>
          <t>样品2</t>
        </is>
      </c>
    </row>
    <row r="57">
      <c r="A57" t="inlineStr">
        <is>
          <t>2(3)-V02</t>
        </is>
      </c>
      <c r="B57" t="inlineStr">
        <is>
          <t>2 (3).tif</t>
        </is>
      </c>
      <c r="C57" t="n">
        <v>459</v>
      </c>
      <c r="D57" t="n">
        <v>322</v>
      </c>
      <c r="E57" t="inlineStr">
        <is>
          <t>403,265,516,380</t>
        </is>
      </c>
      <c r="F57" t="n">
        <v>265</v>
      </c>
      <c r="G57" t="inlineStr">
        <is>
          <t>primary</t>
        </is>
      </c>
      <c r="H57" t="inlineStr">
        <is>
          <t>AUTO_VESSEL</t>
        </is>
      </c>
      <c r="I57" t="inlineStr">
        <is>
          <t>是</t>
        </is>
      </c>
      <c r="J57" t="inlineStr">
        <is>
          <t>纳入</t>
        </is>
      </c>
      <c r="K57" t="n">
        <v>472.5425330812855</v>
      </c>
      <c r="L57">
        <f>导管母表_1781!G57</f>
        <v/>
      </c>
      <c r="M57" t="inlineStr">
        <is>
          <t>视野内部</t>
        </is>
      </c>
      <c r="N57" t="inlineStr">
        <is>
          <t>纳入A/D/Dh；若有Pair_ID则纳入CWR</t>
        </is>
      </c>
      <c r="O57" t="inlineStr">
        <is>
          <t>自动管线检出的合格导管腔。</t>
        </is>
      </c>
      <c r="P57" t="inlineStr">
        <is>
          <t>auto_pipeline;review_png_green</t>
        </is>
      </c>
      <c r="Q57" t="inlineStr">
        <is>
          <t>2(3)-P01</t>
        </is>
      </c>
      <c r="R57" t="inlineStr">
        <is>
          <t>样品2</t>
        </is>
      </c>
    </row>
    <row r="58">
      <c r="A58" t="inlineStr">
        <is>
          <t>2(3)-V03</t>
        </is>
      </c>
      <c r="B58" t="inlineStr">
        <is>
          <t>2 (3).tif</t>
        </is>
      </c>
      <c r="C58" t="n">
        <v>561</v>
      </c>
      <c r="D58" t="n">
        <v>397</v>
      </c>
      <c r="E58" t="inlineStr">
        <is>
          <t>507,348,616,447</t>
        </is>
      </c>
      <c r="F58" t="n">
        <v>321</v>
      </c>
      <c r="G58" t="inlineStr">
        <is>
          <t>primary</t>
        </is>
      </c>
      <c r="H58" t="inlineStr">
        <is>
          <t>AUTO_VESSEL</t>
        </is>
      </c>
      <c r="I58" t="inlineStr">
        <is>
          <t>是</t>
        </is>
      </c>
      <c r="J58" t="inlineStr">
        <is>
          <t>纳入</t>
        </is>
      </c>
      <c r="K58" t="n">
        <v>393.5727788279773</v>
      </c>
      <c r="L58">
        <f>导管母表_1781!G58</f>
        <v/>
      </c>
      <c r="M58" t="inlineStr">
        <is>
          <t>视野内部</t>
        </is>
      </c>
      <c r="N58" t="inlineStr">
        <is>
          <t>纳入A/D/Dh；若有Pair_ID则纳入CWR</t>
        </is>
      </c>
      <c r="O58" t="inlineStr">
        <is>
          <t>自动管线检出的合格导管腔。</t>
        </is>
      </c>
      <c r="P58" t="inlineStr">
        <is>
          <t>auto_pipeline;review_png_green</t>
        </is>
      </c>
      <c r="Q58" t="inlineStr">
        <is>
          <t>2(3)-P01</t>
        </is>
      </c>
      <c r="R58" t="inlineStr">
        <is>
          <t>样品2</t>
        </is>
      </c>
    </row>
    <row r="59">
      <c r="A59" t="inlineStr">
        <is>
          <t>2(3)-V04</t>
        </is>
      </c>
      <c r="B59" t="inlineStr">
        <is>
          <t>2 (3).tif</t>
        </is>
      </c>
      <c r="C59" t="n">
        <v>725</v>
      </c>
      <c r="D59" t="n">
        <v>513</v>
      </c>
      <c r="E59" t="inlineStr">
        <is>
          <t>681,470,770,557</t>
        </is>
      </c>
      <c r="F59" t="n">
        <v>211</v>
      </c>
      <c r="G59" t="inlineStr">
        <is>
          <t>primary</t>
        </is>
      </c>
      <c r="H59" t="inlineStr">
        <is>
          <t>AUTO_VESSEL</t>
        </is>
      </c>
      <c r="I59" t="inlineStr">
        <is>
          <t>是</t>
        </is>
      </c>
      <c r="J59" t="inlineStr">
        <is>
          <t>纳入</t>
        </is>
      </c>
      <c r="K59" t="n">
        <v>279.4423440453686</v>
      </c>
      <c r="L59">
        <f>导管母表_1781!G59</f>
        <v/>
      </c>
      <c r="M59" t="inlineStr">
        <is>
          <t>视野内部</t>
        </is>
      </c>
      <c r="N59" t="inlineStr">
        <is>
          <t>纳入A/D/Dh；若有Pair_ID则纳入CWR</t>
        </is>
      </c>
      <c r="O59" t="inlineStr">
        <is>
          <t>自动管线检出的合格导管腔。</t>
        </is>
      </c>
      <c r="P59" t="inlineStr">
        <is>
          <t>auto_pipeline;review_png_green</t>
        </is>
      </c>
      <c r="R59" t="inlineStr">
        <is>
          <t>样品2</t>
        </is>
      </c>
    </row>
    <row r="60">
      <c r="A60" t="inlineStr">
        <is>
          <t>2(3)-V05</t>
        </is>
      </c>
      <c r="B60" t="inlineStr">
        <is>
          <t>2 (3).tif</t>
        </is>
      </c>
      <c r="C60" t="n">
        <v>811</v>
      </c>
      <c r="D60" t="n">
        <v>568</v>
      </c>
      <c r="E60" t="inlineStr">
        <is>
          <t>770,526,853,611</t>
        </is>
      </c>
      <c r="F60" t="n">
        <v>157</v>
      </c>
      <c r="G60" t="inlineStr">
        <is>
          <t>primary</t>
        </is>
      </c>
      <c r="H60" t="inlineStr">
        <is>
          <t>AUTO_VESSEL</t>
        </is>
      </c>
      <c r="I60" t="inlineStr">
        <is>
          <t>是</t>
        </is>
      </c>
      <c r="J60" t="inlineStr">
        <is>
          <t>纳入</t>
        </is>
      </c>
      <c r="K60" t="n">
        <v>255.741965973535</v>
      </c>
      <c r="L60">
        <f>导管母表_1781!G60</f>
        <v/>
      </c>
      <c r="M60" t="inlineStr">
        <is>
          <t>视野内部</t>
        </is>
      </c>
      <c r="N60" t="inlineStr">
        <is>
          <t>纳入A/D/Dh；若有Pair_ID则纳入CWR</t>
        </is>
      </c>
      <c r="O60" t="inlineStr">
        <is>
          <t>自动管线检出的合格导管腔。</t>
        </is>
      </c>
      <c r="P60" t="inlineStr">
        <is>
          <t>auto_pipeline;review_png_green</t>
        </is>
      </c>
      <c r="R60" t="inlineStr">
        <is>
          <t>样品2</t>
        </is>
      </c>
    </row>
    <row r="61">
      <c r="A61" t="inlineStr">
        <is>
          <t>2(3)-V06</t>
        </is>
      </c>
      <c r="B61" t="inlineStr">
        <is>
          <t>2 (3).tif</t>
        </is>
      </c>
      <c r="C61" t="n">
        <v>88</v>
      </c>
      <c r="D61" t="n">
        <v>333</v>
      </c>
      <c r="E61" t="inlineStr">
        <is>
          <t>53,297,124,370</t>
        </is>
      </c>
      <c r="F61" t="n">
        <v>53</v>
      </c>
      <c r="G61" t="inlineStr">
        <is>
          <t>primary</t>
        </is>
      </c>
      <c r="H61" t="inlineStr">
        <is>
          <t>AUTO_VESSEL</t>
        </is>
      </c>
      <c r="I61" t="inlineStr">
        <is>
          <t>是</t>
        </is>
      </c>
      <c r="J61" t="inlineStr">
        <is>
          <t>纳入</t>
        </is>
      </c>
      <c r="K61" t="n">
        <v>187.4054820415879</v>
      </c>
      <c r="L61">
        <f>导管母表_1781!G61</f>
        <v/>
      </c>
      <c r="M61" t="inlineStr">
        <is>
          <t>视野内部</t>
        </is>
      </c>
      <c r="N61" t="inlineStr">
        <is>
          <t>纳入A/D/Dh；若有Pair_ID则纳入CWR</t>
        </is>
      </c>
      <c r="O61" t="inlineStr">
        <is>
          <t>自动管线检出的合格导管腔。</t>
        </is>
      </c>
      <c r="P61" t="inlineStr">
        <is>
          <t>auto_pipeline;review_png_green</t>
        </is>
      </c>
      <c r="R61" t="inlineStr">
        <is>
          <t>样品2</t>
        </is>
      </c>
    </row>
    <row r="62">
      <c r="A62" t="inlineStr">
        <is>
          <t>2(3)-V07</t>
        </is>
      </c>
      <c r="B62" t="inlineStr">
        <is>
          <t>2 (3).tif</t>
        </is>
      </c>
      <c r="C62" t="n">
        <v>191</v>
      </c>
      <c r="D62" t="n">
        <v>180</v>
      </c>
      <c r="E62" t="inlineStr">
        <is>
          <t>131,139,252,222</t>
        </is>
      </c>
      <c r="F62" t="n">
        <v>131</v>
      </c>
      <c r="G62" t="inlineStr">
        <is>
          <t>primary</t>
        </is>
      </c>
      <c r="H62" t="inlineStr">
        <is>
          <t>AUTO_VESSEL</t>
        </is>
      </c>
      <c r="I62" t="inlineStr">
        <is>
          <t>是</t>
        </is>
      </c>
      <c r="J62" t="inlineStr">
        <is>
          <t>纳入</t>
        </is>
      </c>
      <c r="K62" t="n">
        <v>179.7022684310019</v>
      </c>
      <c r="L62">
        <f>导管母表_1781!G62</f>
        <v/>
      </c>
      <c r="M62" t="inlineStr">
        <is>
          <t>视野内部</t>
        </is>
      </c>
      <c r="N62" t="inlineStr">
        <is>
          <t>纳入A/D/Dh；若有Pair_ID则纳入CWR</t>
        </is>
      </c>
      <c r="O62" t="inlineStr">
        <is>
          <t>自动管线检出的合格导管腔。</t>
        </is>
      </c>
      <c r="P62" t="inlineStr">
        <is>
          <t>auto_pipeline;review_png_green</t>
        </is>
      </c>
      <c r="R62" t="inlineStr">
        <is>
          <t>样品2</t>
        </is>
      </c>
    </row>
    <row r="63">
      <c r="A63" t="inlineStr">
        <is>
          <t>2(3)-V08</t>
        </is>
      </c>
      <c r="B63" t="inlineStr">
        <is>
          <t>2 (3).tif</t>
        </is>
      </c>
      <c r="C63" t="n">
        <v>880</v>
      </c>
      <c r="D63" t="n">
        <v>127</v>
      </c>
      <c r="E63" t="inlineStr">
        <is>
          <t>851,90,910,165</t>
        </is>
      </c>
      <c r="F63" t="n">
        <v>90</v>
      </c>
      <c r="G63" t="inlineStr">
        <is>
          <t>primary</t>
        </is>
      </c>
      <c r="H63" t="inlineStr">
        <is>
          <t>AUTO_VESSEL</t>
        </is>
      </c>
      <c r="I63" t="inlineStr">
        <is>
          <t>是</t>
        </is>
      </c>
      <c r="J63" t="inlineStr">
        <is>
          <t>纳入</t>
        </is>
      </c>
      <c r="K63" t="n">
        <v>142.8875236294896</v>
      </c>
      <c r="L63">
        <f>导管母表_1781!G63</f>
        <v/>
      </c>
      <c r="M63" t="inlineStr">
        <is>
          <t>视野内部</t>
        </is>
      </c>
      <c r="N63" t="inlineStr">
        <is>
          <t>纳入A/D/Dh；若有Pair_ID则纳入CWR</t>
        </is>
      </c>
      <c r="O63" t="inlineStr">
        <is>
          <t>自动管线检出的合格导管腔。</t>
        </is>
      </c>
      <c r="P63" t="inlineStr">
        <is>
          <t>auto_pipeline;review_png_green</t>
        </is>
      </c>
      <c r="R63" t="inlineStr">
        <is>
          <t>样品2</t>
        </is>
      </c>
    </row>
    <row r="64">
      <c r="A64" t="inlineStr">
        <is>
          <t>2(4)-V01</t>
        </is>
      </c>
      <c r="B64" t="inlineStr">
        <is>
          <t>2 (4).tif</t>
        </is>
      </c>
      <c r="C64" t="n">
        <v>445</v>
      </c>
      <c r="D64" t="n">
        <v>316</v>
      </c>
      <c r="E64" t="inlineStr">
        <is>
          <t>372,246,519,387</t>
        </is>
      </c>
      <c r="F64" t="n">
        <v>246</v>
      </c>
      <c r="G64" t="inlineStr">
        <is>
          <t>primary</t>
        </is>
      </c>
      <c r="H64" t="inlineStr">
        <is>
          <t>AUTO_VESSEL</t>
        </is>
      </c>
      <c r="I64" t="inlineStr">
        <is>
          <t>是</t>
        </is>
      </c>
      <c r="J64" t="inlineStr">
        <is>
          <t>纳入</t>
        </is>
      </c>
      <c r="K64" t="n">
        <v>756.758034026465</v>
      </c>
      <c r="L64">
        <f>导管母表_1781!G64</f>
        <v/>
      </c>
      <c r="M64" t="inlineStr">
        <is>
          <t>视野内部</t>
        </is>
      </c>
      <c r="N64" t="inlineStr">
        <is>
          <t>纳入A/D/Dh；若有Pair_ID则纳入CWR</t>
        </is>
      </c>
      <c r="O64" t="inlineStr">
        <is>
          <t>自动管线检出的合格导管腔。</t>
        </is>
      </c>
      <c r="P64" t="inlineStr">
        <is>
          <t>auto_pipeline;review_png_green</t>
        </is>
      </c>
      <c r="Q64" t="inlineStr">
        <is>
          <t>2(4)-P01</t>
        </is>
      </c>
      <c r="R64" t="inlineStr">
        <is>
          <t>样品2</t>
        </is>
      </c>
    </row>
    <row r="65">
      <c r="A65" t="inlineStr">
        <is>
          <t>2(4)-V02</t>
        </is>
      </c>
      <c r="B65" t="inlineStr">
        <is>
          <t>2 (4).tif</t>
        </is>
      </c>
      <c r="C65" t="n">
        <v>597</v>
      </c>
      <c r="D65" t="n">
        <v>370</v>
      </c>
      <c r="E65" t="inlineStr">
        <is>
          <t>536,303,659,438</t>
        </is>
      </c>
      <c r="F65" t="n">
        <v>303</v>
      </c>
      <c r="G65" t="inlineStr">
        <is>
          <t>primary</t>
        </is>
      </c>
      <c r="H65" t="inlineStr">
        <is>
          <t>AUTO_VESSEL</t>
        </is>
      </c>
      <c r="I65" t="inlineStr">
        <is>
          <t>是</t>
        </is>
      </c>
      <c r="J65" t="inlineStr">
        <is>
          <t>纳入</t>
        </is>
      </c>
      <c r="K65" t="n">
        <v>606.6635160680529</v>
      </c>
      <c r="L65">
        <f>导管母表_1781!G65</f>
        <v/>
      </c>
      <c r="M65" t="inlineStr">
        <is>
          <t>视野内部</t>
        </is>
      </c>
      <c r="N65" t="inlineStr">
        <is>
          <t>纳入A/D/Dh；若有Pair_ID则纳入CWR</t>
        </is>
      </c>
      <c r="O65" t="inlineStr">
        <is>
          <t>自动管线检出的合格导管腔。</t>
        </is>
      </c>
      <c r="P65" t="inlineStr">
        <is>
          <t>auto_pipeline;review_png_green</t>
        </is>
      </c>
      <c r="Q65" t="inlineStr">
        <is>
          <t>2(4)-P01</t>
        </is>
      </c>
      <c r="R65" t="inlineStr">
        <is>
          <t>样品2</t>
        </is>
      </c>
    </row>
    <row r="66">
      <c r="A66" t="inlineStr">
        <is>
          <t>2(4)-V03</t>
        </is>
      </c>
      <c r="B66" t="inlineStr">
        <is>
          <t>2 (4).tif</t>
        </is>
      </c>
      <c r="C66" t="n">
        <v>765</v>
      </c>
      <c r="D66" t="n">
        <v>432</v>
      </c>
      <c r="E66" t="inlineStr">
        <is>
          <t>712,384,819,481</t>
        </is>
      </c>
      <c r="F66" t="n">
        <v>205</v>
      </c>
      <c r="G66" t="inlineStr">
        <is>
          <t>primary</t>
        </is>
      </c>
      <c r="H66" t="inlineStr">
        <is>
          <t>AUTO_VESSEL</t>
        </is>
      </c>
      <c r="I66" t="inlineStr">
        <is>
          <t>是</t>
        </is>
      </c>
      <c r="J66" t="inlineStr">
        <is>
          <t>纳入</t>
        </is>
      </c>
      <c r="K66" t="n">
        <v>378.0718336483932</v>
      </c>
      <c r="L66">
        <f>导管母表_1781!G66</f>
        <v/>
      </c>
      <c r="M66" t="inlineStr">
        <is>
          <t>视野内部</t>
        </is>
      </c>
      <c r="N66" t="inlineStr">
        <is>
          <t>纳入A/D/Dh；若有Pair_ID则纳入CWR</t>
        </is>
      </c>
      <c r="O66" t="inlineStr">
        <is>
          <t>自动管线检出的合格导管腔。</t>
        </is>
      </c>
      <c r="P66" t="inlineStr">
        <is>
          <t>auto_pipeline;review_png_green</t>
        </is>
      </c>
      <c r="R66" t="inlineStr">
        <is>
          <t>样品2</t>
        </is>
      </c>
    </row>
    <row r="67">
      <c r="A67" t="inlineStr">
        <is>
          <t>2(4)-V04</t>
        </is>
      </c>
      <c r="B67" t="inlineStr">
        <is>
          <t>2 (4).tif</t>
        </is>
      </c>
      <c r="C67" t="n">
        <v>859</v>
      </c>
      <c r="D67" t="n">
        <v>462</v>
      </c>
      <c r="E67" t="inlineStr">
        <is>
          <t>827,432,892,493</t>
        </is>
      </c>
      <c r="F67" t="n">
        <v>132</v>
      </c>
      <c r="G67" t="inlineStr">
        <is>
          <t>primary</t>
        </is>
      </c>
      <c r="H67" t="inlineStr">
        <is>
          <t>AUTO_VESSEL</t>
        </is>
      </c>
      <c r="I67" t="inlineStr">
        <is>
          <t>是</t>
        </is>
      </c>
      <c r="J67" t="inlineStr">
        <is>
          <t>纳入</t>
        </is>
      </c>
      <c r="K67" t="n">
        <v>142.1786389413989</v>
      </c>
      <c r="L67">
        <f>导管母表_1781!G67</f>
        <v/>
      </c>
      <c r="M67" t="inlineStr">
        <is>
          <t>视野内部</t>
        </is>
      </c>
      <c r="N67" t="inlineStr">
        <is>
          <t>纳入A/D/Dh；若有Pair_ID则纳入CWR</t>
        </is>
      </c>
      <c r="O67" t="inlineStr">
        <is>
          <t>自动管线检出的合格导管腔。</t>
        </is>
      </c>
      <c r="P67" t="inlineStr">
        <is>
          <t>auto_pipeline;review_png_green</t>
        </is>
      </c>
      <c r="R67" t="inlineStr">
        <is>
          <t>样品2</t>
        </is>
      </c>
    </row>
    <row r="68">
      <c r="A68" t="inlineStr">
        <is>
          <t>2(4)-V05</t>
        </is>
      </c>
      <c r="B68" t="inlineStr">
        <is>
          <t>2 (4).tif</t>
        </is>
      </c>
      <c r="C68" t="n">
        <v>141</v>
      </c>
      <c r="D68" t="n">
        <v>474</v>
      </c>
      <c r="E68" t="inlineStr">
        <is>
          <t>101,453,182,496</t>
        </is>
      </c>
      <c r="F68" t="n">
        <v>101</v>
      </c>
      <c r="G68" t="inlineStr">
        <is>
          <t>primary</t>
        </is>
      </c>
      <c r="H68" t="inlineStr">
        <is>
          <t>AUTO_VESSEL</t>
        </is>
      </c>
      <c r="I68" t="inlineStr">
        <is>
          <t>是</t>
        </is>
      </c>
      <c r="J68" t="inlineStr">
        <is>
          <t>纳入</t>
        </is>
      </c>
      <c r="K68" t="n">
        <v>100.2835538752363</v>
      </c>
      <c r="L68">
        <f>导管母表_1781!G68</f>
        <v/>
      </c>
      <c r="M68" t="inlineStr">
        <is>
          <t>视野内部</t>
        </is>
      </c>
      <c r="N68" t="inlineStr">
        <is>
          <t>纳入A/D/Dh；若有Pair_ID则纳入CWR</t>
        </is>
      </c>
      <c r="O68" t="inlineStr">
        <is>
          <t>自动管线检出的合格导管腔。</t>
        </is>
      </c>
      <c r="P68" t="inlineStr">
        <is>
          <t>auto_pipeline;review_png_green</t>
        </is>
      </c>
      <c r="R68" t="inlineStr">
        <is>
          <t>样品2</t>
        </is>
      </c>
    </row>
    <row r="69">
      <c r="A69" t="inlineStr">
        <is>
          <t>2(5)-V01</t>
        </is>
      </c>
      <c r="B69" t="inlineStr">
        <is>
          <t>2 (5).tif</t>
        </is>
      </c>
      <c r="C69" t="n">
        <v>454</v>
      </c>
      <c r="D69" t="n">
        <v>340</v>
      </c>
      <c r="E69" t="inlineStr">
        <is>
          <t>399,280,510,401</t>
        </is>
      </c>
      <c r="F69" t="n">
        <v>280</v>
      </c>
      <c r="G69" t="inlineStr">
        <is>
          <t>primary</t>
        </is>
      </c>
      <c r="H69" t="inlineStr">
        <is>
          <t>AUTO_VESSEL</t>
        </is>
      </c>
      <c r="I69" t="inlineStr">
        <is>
          <t>是</t>
        </is>
      </c>
      <c r="J69" t="inlineStr">
        <is>
          <t>纳入</t>
        </is>
      </c>
      <c r="K69" t="n">
        <v>489.1776937618147</v>
      </c>
      <c r="L69">
        <f>导管母表_1781!G69</f>
        <v/>
      </c>
      <c r="M69" t="inlineStr">
        <is>
          <t>视野内部</t>
        </is>
      </c>
      <c r="N69" t="inlineStr">
        <is>
          <t>纳入A/D/Dh；若有Pair_ID则纳入CWR</t>
        </is>
      </c>
      <c r="O69" t="inlineStr">
        <is>
          <t>自动管线检出的合格导管腔。</t>
        </is>
      </c>
      <c r="P69" t="inlineStr">
        <is>
          <t>auto_pipeline;review_png_green</t>
        </is>
      </c>
      <c r="R69" t="inlineStr">
        <is>
          <t>样品2</t>
        </is>
      </c>
    </row>
    <row r="70">
      <c r="A70" t="inlineStr">
        <is>
          <t>2(5)-V02</t>
        </is>
      </c>
      <c r="B70" t="inlineStr">
        <is>
          <t>2 (5).tif</t>
        </is>
      </c>
      <c r="C70" t="n">
        <v>749</v>
      </c>
      <c r="D70" t="n">
        <v>112</v>
      </c>
      <c r="E70" t="inlineStr">
        <is>
          <t>697,57,802,168</t>
        </is>
      </c>
      <c r="F70" t="n">
        <v>57</v>
      </c>
      <c r="G70" t="inlineStr">
        <is>
          <t>primary</t>
        </is>
      </c>
      <c r="H70" t="inlineStr">
        <is>
          <t>AUTO_VESSEL</t>
        </is>
      </c>
      <c r="I70" t="inlineStr">
        <is>
          <t>是</t>
        </is>
      </c>
      <c r="J70" t="inlineStr">
        <is>
          <t>纳入</t>
        </is>
      </c>
      <c r="K70" t="n">
        <v>423.2277882797732</v>
      </c>
      <c r="L70">
        <f>导管母表_1781!G70</f>
        <v/>
      </c>
      <c r="M70" t="inlineStr">
        <is>
          <t>视野内部</t>
        </is>
      </c>
      <c r="N70" t="inlineStr">
        <is>
          <t>纳入A/D/Dh；若有Pair_ID则纳入CWR</t>
        </is>
      </c>
      <c r="O70" t="inlineStr">
        <is>
          <t>自动管线检出的合格导管腔。</t>
        </is>
      </c>
      <c r="P70" t="inlineStr">
        <is>
          <t>auto_pipeline;review_png_green</t>
        </is>
      </c>
      <c r="Q70" t="inlineStr">
        <is>
          <t>2(5)-P01</t>
        </is>
      </c>
      <c r="R70" t="inlineStr">
        <is>
          <t>样品2</t>
        </is>
      </c>
    </row>
    <row r="71">
      <c r="A71" t="inlineStr">
        <is>
          <t>2(5)-V03</t>
        </is>
      </c>
      <c r="B71" t="inlineStr">
        <is>
          <t>2 (5).tif</t>
        </is>
      </c>
      <c r="C71" t="n">
        <v>858</v>
      </c>
      <c r="D71" t="n">
        <v>151</v>
      </c>
      <c r="E71" t="inlineStr">
        <is>
          <t>807,99,910,204</t>
        </is>
      </c>
      <c r="F71" t="n">
        <v>99</v>
      </c>
      <c r="G71" t="inlineStr">
        <is>
          <t>primary</t>
        </is>
      </c>
      <c r="H71" t="inlineStr">
        <is>
          <t>AUTO_VESSEL</t>
        </is>
      </c>
      <c r="I71" t="inlineStr">
        <is>
          <t>是</t>
        </is>
      </c>
      <c r="J71" t="inlineStr">
        <is>
          <t>纳入</t>
        </is>
      </c>
      <c r="K71" t="n">
        <v>393.5491493383743</v>
      </c>
      <c r="L71">
        <f>导管母表_1781!G71</f>
        <v/>
      </c>
      <c r="M71" t="inlineStr">
        <is>
          <t>视野内部</t>
        </is>
      </c>
      <c r="N71" t="inlineStr">
        <is>
          <t>纳入A/D/Dh；若有Pair_ID则纳入CWR</t>
        </is>
      </c>
      <c r="O71" t="inlineStr">
        <is>
          <t>自动管线检出的合格导管腔。</t>
        </is>
      </c>
      <c r="P71" t="inlineStr">
        <is>
          <t>auto_pipeline;review_png_green</t>
        </is>
      </c>
      <c r="R71" t="inlineStr">
        <is>
          <t>样品2</t>
        </is>
      </c>
    </row>
    <row r="72">
      <c r="A72" t="inlineStr">
        <is>
          <t>2(5)-V04</t>
        </is>
      </c>
      <c r="B72" t="inlineStr">
        <is>
          <t>2 (5).tif</t>
        </is>
      </c>
      <c r="C72" t="n">
        <v>774</v>
      </c>
      <c r="D72" t="n">
        <v>132</v>
      </c>
      <c r="E72" t="inlineStr">
        <is>
          <t>748,100,801,165</t>
        </is>
      </c>
      <c r="F72" t="n">
        <v>100</v>
      </c>
      <c r="G72" t="inlineStr">
        <is>
          <t>primary</t>
        </is>
      </c>
      <c r="H72" t="inlineStr">
        <is>
          <t>AUTO_VESSEL</t>
        </is>
      </c>
      <c r="I72" t="inlineStr">
        <is>
          <t>是</t>
        </is>
      </c>
      <c r="J72" t="inlineStr">
        <is>
          <t>纳入</t>
        </is>
      </c>
      <c r="K72" t="n">
        <v>99.05482041587902</v>
      </c>
      <c r="L72">
        <f>导管母表_1781!G72</f>
        <v/>
      </c>
      <c r="M72" t="inlineStr">
        <is>
          <t>视野内部</t>
        </is>
      </c>
      <c r="N72" t="inlineStr">
        <is>
          <t>纳入A/D/Dh；若有Pair_ID则纳入CWR</t>
        </is>
      </c>
      <c r="O72" t="inlineStr">
        <is>
          <t>自动管线检出的合格导管腔。</t>
        </is>
      </c>
      <c r="P72" t="inlineStr">
        <is>
          <t>auto_pipeline;review_png_green</t>
        </is>
      </c>
      <c r="Q72" t="inlineStr">
        <is>
          <t>2(5)-P01</t>
        </is>
      </c>
      <c r="R72" t="inlineStr">
        <is>
          <t>样品2</t>
        </is>
      </c>
    </row>
    <row r="73">
      <c r="A73" t="inlineStr">
        <is>
          <t>2(6)-V01</t>
        </is>
      </c>
      <c r="B73" t="inlineStr">
        <is>
          <t>2 (6).tif</t>
        </is>
      </c>
      <c r="C73" t="n">
        <v>563</v>
      </c>
      <c r="D73" t="n">
        <v>308</v>
      </c>
      <c r="E73" t="inlineStr">
        <is>
          <t>489,229,638,388</t>
        </is>
      </c>
      <c r="F73" t="n">
        <v>229</v>
      </c>
      <c r="G73" t="inlineStr">
        <is>
          <t>primary</t>
        </is>
      </c>
      <c r="H73" t="inlineStr">
        <is>
          <t>AUTO_VESSEL</t>
        </is>
      </c>
      <c r="I73" t="inlineStr">
        <is>
          <t>是</t>
        </is>
      </c>
      <c r="J73" t="inlineStr">
        <is>
          <t>纳入</t>
        </is>
      </c>
      <c r="K73" t="n">
        <v>865.5718336483932</v>
      </c>
      <c r="L73">
        <f>导管母表_1781!G73</f>
        <v/>
      </c>
      <c r="M73" t="inlineStr">
        <is>
          <t>视野内部</t>
        </is>
      </c>
      <c r="N73" t="inlineStr">
        <is>
          <t>纳入A/D/Dh；若有Pair_ID则纳入CWR</t>
        </is>
      </c>
      <c r="O73" t="inlineStr">
        <is>
          <t>自动管线检出的合格导管腔。</t>
        </is>
      </c>
      <c r="P73" t="inlineStr">
        <is>
          <t>auto_pipeline;review_png_green</t>
        </is>
      </c>
      <c r="Q73" t="inlineStr">
        <is>
          <t>2(6)-P01</t>
        </is>
      </c>
      <c r="R73" t="inlineStr">
        <is>
          <t>样品2</t>
        </is>
      </c>
    </row>
    <row r="74">
      <c r="A74" t="inlineStr">
        <is>
          <t>2(6)-V02</t>
        </is>
      </c>
      <c r="B74" t="inlineStr">
        <is>
          <t>2 (6).tif</t>
        </is>
      </c>
      <c r="C74" t="n">
        <v>408</v>
      </c>
      <c r="D74" t="n">
        <v>360</v>
      </c>
      <c r="E74" t="inlineStr">
        <is>
          <t>342,289,475,432</t>
        </is>
      </c>
      <c r="F74" t="n">
        <v>289</v>
      </c>
      <c r="G74" t="inlineStr">
        <is>
          <t>primary</t>
        </is>
      </c>
      <c r="H74" t="inlineStr">
        <is>
          <t>AUTO_VESSEL</t>
        </is>
      </c>
      <c r="I74" t="inlineStr">
        <is>
          <t>是</t>
        </is>
      </c>
      <c r="J74" t="inlineStr">
        <is>
          <t>纳入</t>
        </is>
      </c>
      <c r="K74" t="n">
        <v>693.7618147448015</v>
      </c>
      <c r="L74">
        <f>导管母表_1781!G74</f>
        <v/>
      </c>
      <c r="M74" t="inlineStr">
        <is>
          <t>视野内部</t>
        </is>
      </c>
      <c r="N74" t="inlineStr">
        <is>
          <t>纳入A/D/Dh；若有Pair_ID则纳入CWR</t>
        </is>
      </c>
      <c r="O74" t="inlineStr">
        <is>
          <t>自动管线检出的合格导管腔。</t>
        </is>
      </c>
      <c r="P74" t="inlineStr">
        <is>
          <t>auto_pipeline;review_png_green</t>
        </is>
      </c>
      <c r="Q74" t="inlineStr">
        <is>
          <t>2(6)-P01</t>
        </is>
      </c>
      <c r="R74" t="inlineStr">
        <is>
          <t>样品2</t>
        </is>
      </c>
    </row>
    <row r="75">
      <c r="A75" t="inlineStr">
        <is>
          <t>2(6)-V03</t>
        </is>
      </c>
      <c r="B75" t="inlineStr">
        <is>
          <t>2 (6).tif</t>
        </is>
      </c>
      <c r="C75" t="n">
        <v>307</v>
      </c>
      <c r="D75" t="n">
        <v>134</v>
      </c>
      <c r="E75" t="inlineStr">
        <is>
          <t>233,74,382,195</t>
        </is>
      </c>
      <c r="F75" t="n">
        <v>74</v>
      </c>
      <c r="G75" t="inlineStr">
        <is>
          <t>primary</t>
        </is>
      </c>
      <c r="H75" t="inlineStr">
        <is>
          <t>AUTO_VESSEL</t>
        </is>
      </c>
      <c r="I75" t="inlineStr">
        <is>
          <t>是</t>
        </is>
      </c>
      <c r="J75" t="inlineStr">
        <is>
          <t>纳入</t>
        </is>
      </c>
      <c r="K75" t="n">
        <v>625.2362948960302</v>
      </c>
      <c r="L75">
        <f>导管母表_1781!G75</f>
        <v/>
      </c>
      <c r="M75" t="inlineStr">
        <is>
          <t>视野内部</t>
        </is>
      </c>
      <c r="N75" t="inlineStr">
        <is>
          <t>纳入A/D/Dh；若有Pair_ID则纳入CWR</t>
        </is>
      </c>
      <c r="O75" t="inlineStr">
        <is>
          <t>自动管线检出的合格导管腔。</t>
        </is>
      </c>
      <c r="P75" t="inlineStr">
        <is>
          <t>auto_pipeline;review_png_green</t>
        </is>
      </c>
      <c r="R75" t="inlineStr">
        <is>
          <t>样品2</t>
        </is>
      </c>
    </row>
    <row r="76">
      <c r="A76" t="inlineStr">
        <is>
          <t>2(6)-V04</t>
        </is>
      </c>
      <c r="B76" t="inlineStr">
        <is>
          <t>2 (6).tif</t>
        </is>
      </c>
      <c r="C76" t="n">
        <v>662</v>
      </c>
      <c r="D76" t="n">
        <v>458</v>
      </c>
      <c r="E76" t="inlineStr">
        <is>
          <t>571,412,754,505</t>
        </is>
      </c>
      <c r="F76" t="n">
        <v>263</v>
      </c>
      <c r="G76" t="inlineStr">
        <is>
          <t>primary</t>
        </is>
      </c>
      <c r="H76" t="inlineStr">
        <is>
          <t>AUTO_VESSEL</t>
        </is>
      </c>
      <c r="I76" t="inlineStr">
        <is>
          <t>是</t>
        </is>
      </c>
      <c r="J76" t="inlineStr">
        <is>
          <t>纳入</t>
        </is>
      </c>
      <c r="K76" t="n">
        <v>571.8100189035916</v>
      </c>
      <c r="L76">
        <f>导管母表_1781!G76</f>
        <v/>
      </c>
      <c r="M76" t="inlineStr">
        <is>
          <t>视野内部</t>
        </is>
      </c>
      <c r="N76" t="inlineStr">
        <is>
          <t>纳入A/D/Dh；若有Pair_ID则纳入CWR</t>
        </is>
      </c>
      <c r="O76" t="inlineStr">
        <is>
          <t>自动管线检出的合格导管腔。</t>
        </is>
      </c>
      <c r="P76" t="inlineStr">
        <is>
          <t>auto_pipeline;review_png_green</t>
        </is>
      </c>
      <c r="R76" t="inlineStr">
        <is>
          <t>样品2</t>
        </is>
      </c>
    </row>
    <row r="77">
      <c r="A77" t="inlineStr">
        <is>
          <t>2(6)-V05</t>
        </is>
      </c>
      <c r="B77" t="inlineStr">
        <is>
          <t>2 (6).tif</t>
        </is>
      </c>
      <c r="C77" t="n">
        <v>146</v>
      </c>
      <c r="D77" t="n">
        <v>166</v>
      </c>
      <c r="E77" t="inlineStr">
        <is>
          <t>91,120,202,213</t>
        </is>
      </c>
      <c r="F77" t="n">
        <v>91</v>
      </c>
      <c r="G77" t="inlineStr">
        <is>
          <t>primary</t>
        </is>
      </c>
      <c r="H77" t="inlineStr">
        <is>
          <t>AUTO_VESSEL</t>
        </is>
      </c>
      <c r="I77" t="inlineStr">
        <is>
          <t>是</t>
        </is>
      </c>
      <c r="J77" t="inlineStr">
        <is>
          <t>纳入</t>
        </is>
      </c>
      <c r="K77" t="n">
        <v>374.8109640831758</v>
      </c>
      <c r="L77">
        <f>导管母表_1781!G77</f>
        <v/>
      </c>
      <c r="M77" t="inlineStr">
        <is>
          <t>视野内部</t>
        </is>
      </c>
      <c r="N77" t="inlineStr">
        <is>
          <t>纳入A/D/Dh；若有Pair_ID则纳入CWR</t>
        </is>
      </c>
      <c r="O77" t="inlineStr">
        <is>
          <t>自动管线检出的合格导管腔。</t>
        </is>
      </c>
      <c r="P77" t="inlineStr">
        <is>
          <t>auto_pipeline;review_png_green</t>
        </is>
      </c>
      <c r="R77" t="inlineStr">
        <is>
          <t>样品2</t>
        </is>
      </c>
    </row>
    <row r="78">
      <c r="A78" t="inlineStr">
        <is>
          <t>2(6)-V06</t>
        </is>
      </c>
      <c r="B78" t="inlineStr">
        <is>
          <t>2 (6).tif</t>
        </is>
      </c>
      <c r="C78" t="n">
        <v>636</v>
      </c>
      <c r="D78" t="n">
        <v>442</v>
      </c>
      <c r="E78" t="inlineStr">
        <is>
          <t>579,414,694,471</t>
        </is>
      </c>
      <c r="F78" t="n">
        <v>297</v>
      </c>
      <c r="G78" t="inlineStr">
        <is>
          <t>primary</t>
        </is>
      </c>
      <c r="H78" t="inlineStr">
        <is>
          <t>AUTO_VESSEL</t>
        </is>
      </c>
      <c r="I78" t="inlineStr">
        <is>
          <t>是</t>
        </is>
      </c>
      <c r="J78" t="inlineStr">
        <is>
          <t>纳入</t>
        </is>
      </c>
      <c r="K78" t="n">
        <v>162.523629489603</v>
      </c>
      <c r="L78">
        <f>导管母表_1781!G78</f>
        <v/>
      </c>
      <c r="M78" t="inlineStr">
        <is>
          <t>视野内部</t>
        </is>
      </c>
      <c r="N78" t="inlineStr">
        <is>
          <t>纳入A/D/Dh；若有Pair_ID则纳入CWR</t>
        </is>
      </c>
      <c r="O78" t="inlineStr">
        <is>
          <t>自动管线检出的合格导管腔。</t>
        </is>
      </c>
      <c r="P78" t="inlineStr">
        <is>
          <t>auto_pipeline;review_png_green</t>
        </is>
      </c>
      <c r="R78" t="inlineStr">
        <is>
          <t>样品2</t>
        </is>
      </c>
    </row>
    <row r="79">
      <c r="A79" t="inlineStr">
        <is>
          <t>2(6)-V07</t>
        </is>
      </c>
      <c r="B79" t="inlineStr">
        <is>
          <t>2 (6).tif</t>
        </is>
      </c>
      <c r="C79" t="n">
        <v>931</v>
      </c>
      <c r="D79" t="n">
        <v>313</v>
      </c>
      <c r="E79" t="inlineStr">
        <is>
          <t>893,294,970,333</t>
        </is>
      </c>
      <c r="F79" t="n">
        <v>54</v>
      </c>
      <c r="G79" t="inlineStr">
        <is>
          <t>primary</t>
        </is>
      </c>
      <c r="H79" t="inlineStr">
        <is>
          <t>AUTO_VESSEL</t>
        </is>
      </c>
      <c r="I79" t="inlineStr">
        <is>
          <t>是</t>
        </is>
      </c>
      <c r="J79" t="inlineStr">
        <is>
          <t>纳入</t>
        </is>
      </c>
      <c r="K79" t="n">
        <v>101.7249527410208</v>
      </c>
      <c r="L79">
        <f>导管母表_1781!G79</f>
        <v/>
      </c>
      <c r="M79" t="inlineStr">
        <is>
          <t>视野内部</t>
        </is>
      </c>
      <c r="N79" t="inlineStr">
        <is>
          <t>纳入A/D/Dh；若有Pair_ID则纳入CWR</t>
        </is>
      </c>
      <c r="O79" t="inlineStr">
        <is>
          <t>自动管线检出的合格导管腔。</t>
        </is>
      </c>
      <c r="P79" t="inlineStr">
        <is>
          <t>auto_pipeline;review_png_green</t>
        </is>
      </c>
      <c r="R79" t="inlineStr">
        <is>
          <t>样品2</t>
        </is>
      </c>
    </row>
    <row r="80">
      <c r="A80" t="inlineStr">
        <is>
          <t>2(7)-V01</t>
        </is>
      </c>
      <c r="B80" t="inlineStr">
        <is>
          <t>2 (7).tif</t>
        </is>
      </c>
      <c r="C80" t="n">
        <v>511</v>
      </c>
      <c r="D80" t="n">
        <v>281</v>
      </c>
      <c r="E80" t="inlineStr">
        <is>
          <t>425,206,598,357</t>
        </is>
      </c>
      <c r="F80" t="n">
        <v>206</v>
      </c>
      <c r="G80" t="inlineStr">
        <is>
          <t>primary</t>
        </is>
      </c>
      <c r="H80" t="inlineStr">
        <is>
          <t>AUTO_VESSEL</t>
        </is>
      </c>
      <c r="I80" t="inlineStr">
        <is>
          <t>是</t>
        </is>
      </c>
      <c r="J80" t="inlineStr">
        <is>
          <t>纳入</t>
        </is>
      </c>
      <c r="K80" t="n">
        <v>956.4272211720227</v>
      </c>
      <c r="L80">
        <f>导管母表_1781!G80</f>
        <v/>
      </c>
      <c r="M80" t="inlineStr">
        <is>
          <t>视野内部</t>
        </is>
      </c>
      <c r="N80" t="inlineStr">
        <is>
          <t>纳入A/D/Dh；若有Pair_ID则纳入CWR</t>
        </is>
      </c>
      <c r="O80" t="inlineStr">
        <is>
          <t>自动管线检出的合格导管腔。</t>
        </is>
      </c>
      <c r="P80" t="inlineStr">
        <is>
          <t>auto_pipeline;review_png_green</t>
        </is>
      </c>
      <c r="Q80" t="inlineStr">
        <is>
          <t>2(7)-P01</t>
        </is>
      </c>
      <c r="R80" t="inlineStr">
        <is>
          <t>样品2</t>
        </is>
      </c>
    </row>
    <row r="81">
      <c r="A81" t="inlineStr">
        <is>
          <t>2(7)-V02</t>
        </is>
      </c>
      <c r="B81" t="inlineStr">
        <is>
          <t>2 (7).tif</t>
        </is>
      </c>
      <c r="C81" t="n">
        <v>749</v>
      </c>
      <c r="D81" t="n">
        <v>582</v>
      </c>
      <c r="E81" t="inlineStr">
        <is>
          <t>684,509,815,656</t>
        </is>
      </c>
      <c r="F81" t="n">
        <v>112</v>
      </c>
      <c r="G81" t="inlineStr">
        <is>
          <t>primary</t>
        </is>
      </c>
      <c r="H81" t="inlineStr">
        <is>
          <t>AUTO_VESSEL</t>
        </is>
      </c>
      <c r="I81" t="inlineStr">
        <is>
          <t>是</t>
        </is>
      </c>
      <c r="J81" t="inlineStr">
        <is>
          <t>纳入</t>
        </is>
      </c>
      <c r="K81" t="n">
        <v>701.0160680529301</v>
      </c>
      <c r="L81">
        <f>导管母表_1781!G81</f>
        <v/>
      </c>
      <c r="M81" t="inlineStr">
        <is>
          <t>视野内部</t>
        </is>
      </c>
      <c r="N81" t="inlineStr">
        <is>
          <t>纳入A/D/Dh；若有Pair_ID则纳入CWR</t>
        </is>
      </c>
      <c r="O81" t="inlineStr">
        <is>
          <t>自动管线检出的合格导管腔。</t>
        </is>
      </c>
      <c r="P81" t="inlineStr">
        <is>
          <t>auto_pipeline;review_png_green</t>
        </is>
      </c>
      <c r="R81" t="inlineStr">
        <is>
          <t>样品2</t>
        </is>
      </c>
    </row>
    <row r="82">
      <c r="A82" t="inlineStr">
        <is>
          <t>2(7)-V03</t>
        </is>
      </c>
      <c r="B82" t="inlineStr">
        <is>
          <t>2 (7).tif</t>
        </is>
      </c>
      <c r="C82" t="n">
        <v>748</v>
      </c>
      <c r="D82" t="n">
        <v>324</v>
      </c>
      <c r="E82" t="inlineStr">
        <is>
          <t>692,251,805,398</t>
        </is>
      </c>
      <c r="F82" t="n">
        <v>219</v>
      </c>
      <c r="G82" t="inlineStr">
        <is>
          <t>primary</t>
        </is>
      </c>
      <c r="H82" t="inlineStr">
        <is>
          <t>AUTO_VESSEL</t>
        </is>
      </c>
      <c r="I82" t="inlineStr">
        <is>
          <t>是</t>
        </is>
      </c>
      <c r="J82" t="inlineStr">
        <is>
          <t>纳入</t>
        </is>
      </c>
      <c r="K82" t="n">
        <v>590.1937618147448</v>
      </c>
      <c r="L82">
        <f>导管母表_1781!G82</f>
        <v/>
      </c>
      <c r="M82" t="inlineStr">
        <is>
          <t>视野内部</t>
        </is>
      </c>
      <c r="N82" t="inlineStr">
        <is>
          <t>纳入A/D/Dh；若有Pair_ID则纳入CWR</t>
        </is>
      </c>
      <c r="O82" t="inlineStr">
        <is>
          <t>自动管线检出的合格导管腔。</t>
        </is>
      </c>
      <c r="P82" t="inlineStr">
        <is>
          <t>auto_pipeline;review_png_green</t>
        </is>
      </c>
      <c r="R82" t="inlineStr">
        <is>
          <t>样品2</t>
        </is>
      </c>
    </row>
    <row r="83">
      <c r="A83" t="inlineStr">
        <is>
          <t>2(7)-V04</t>
        </is>
      </c>
      <c r="B83" t="inlineStr">
        <is>
          <t>2 (7).tif</t>
        </is>
      </c>
      <c r="C83" t="n">
        <v>350</v>
      </c>
      <c r="D83" t="n">
        <v>583</v>
      </c>
      <c r="E83" t="inlineStr">
        <is>
          <t>293,521,408,646</t>
        </is>
      </c>
      <c r="F83" t="n">
        <v>122</v>
      </c>
      <c r="G83" t="inlineStr">
        <is>
          <t>primary</t>
        </is>
      </c>
      <c r="H83" t="inlineStr">
        <is>
          <t>AUTO_VESSEL</t>
        </is>
      </c>
      <c r="I83" t="inlineStr">
        <is>
          <t>是</t>
        </is>
      </c>
      <c r="J83" t="inlineStr">
        <is>
          <t>纳入</t>
        </is>
      </c>
      <c r="K83" t="n">
        <v>521.195652173913</v>
      </c>
      <c r="L83">
        <f>导管母表_1781!G83</f>
        <v/>
      </c>
      <c r="M83" t="inlineStr">
        <is>
          <t>视野内部</t>
        </is>
      </c>
      <c r="N83" t="inlineStr">
        <is>
          <t>纳入A/D/Dh；若有Pair_ID则纳入CWR</t>
        </is>
      </c>
      <c r="O83" t="inlineStr">
        <is>
          <t>自动管线检出的合格导管腔。</t>
        </is>
      </c>
      <c r="P83" t="inlineStr">
        <is>
          <t>auto_pipeline;review_png_green</t>
        </is>
      </c>
      <c r="R83" t="inlineStr">
        <is>
          <t>样品2</t>
        </is>
      </c>
    </row>
    <row r="84">
      <c r="A84" t="inlineStr">
        <is>
          <t>2(7)-V05</t>
        </is>
      </c>
      <c r="B84" t="inlineStr">
        <is>
          <t>2 (7).tif</t>
        </is>
      </c>
      <c r="C84" t="n">
        <v>884</v>
      </c>
      <c r="D84" t="n">
        <v>318</v>
      </c>
      <c r="E84" t="inlineStr">
        <is>
          <t>830,254,939,383</t>
        </is>
      </c>
      <c r="F84" t="n">
        <v>85</v>
      </c>
      <c r="G84" t="inlineStr">
        <is>
          <t>primary</t>
        </is>
      </c>
      <c r="H84" t="inlineStr">
        <is>
          <t>AUTO_VESSEL</t>
        </is>
      </c>
      <c r="I84" t="inlineStr">
        <is>
          <t>是</t>
        </is>
      </c>
      <c r="J84" t="inlineStr">
        <is>
          <t>纳入</t>
        </is>
      </c>
      <c r="K84" t="n">
        <v>500.5671077504726</v>
      </c>
      <c r="L84">
        <f>导管母表_1781!G84</f>
        <v/>
      </c>
      <c r="M84" t="inlineStr">
        <is>
          <t>视野内部</t>
        </is>
      </c>
      <c r="N84" t="inlineStr">
        <is>
          <t>纳入A/D/Dh；若有Pair_ID则纳入CWR</t>
        </is>
      </c>
      <c r="O84" t="inlineStr">
        <is>
          <t>自动管线检出的合格导管腔。</t>
        </is>
      </c>
      <c r="P84" t="inlineStr">
        <is>
          <t>auto_pipeline;review_png_green</t>
        </is>
      </c>
      <c r="R84" t="inlineStr">
        <is>
          <t>样品2</t>
        </is>
      </c>
    </row>
    <row r="85">
      <c r="A85" t="inlineStr">
        <is>
          <t>2(7)-V06</t>
        </is>
      </c>
      <c r="B85" t="inlineStr">
        <is>
          <t>2 (7).tif</t>
        </is>
      </c>
      <c r="C85" t="n">
        <v>639</v>
      </c>
      <c r="D85" t="n">
        <v>119</v>
      </c>
      <c r="E85" t="inlineStr">
        <is>
          <t>582,60,697,179</t>
        </is>
      </c>
      <c r="F85" t="n">
        <v>60</v>
      </c>
      <c r="G85" t="inlineStr">
        <is>
          <t>primary</t>
        </is>
      </c>
      <c r="H85" t="inlineStr">
        <is>
          <t>AUTO_VESSEL</t>
        </is>
      </c>
      <c r="I85" t="inlineStr">
        <is>
          <t>是</t>
        </is>
      </c>
      <c r="J85" t="inlineStr">
        <is>
          <t>纳入</t>
        </is>
      </c>
      <c r="K85" t="n">
        <v>484.4990548204159</v>
      </c>
      <c r="L85">
        <f>导管母表_1781!G85</f>
        <v/>
      </c>
      <c r="M85" t="inlineStr">
        <is>
          <t>视野内部</t>
        </is>
      </c>
      <c r="N85" t="inlineStr">
        <is>
          <t>纳入A/D/Dh；若有Pair_ID则纳入CWR</t>
        </is>
      </c>
      <c r="O85" t="inlineStr">
        <is>
          <t>自动管线检出的合格导管腔。</t>
        </is>
      </c>
      <c r="P85" t="inlineStr">
        <is>
          <t>auto_pipeline;review_png_green</t>
        </is>
      </c>
      <c r="R85" t="inlineStr">
        <is>
          <t>样品2</t>
        </is>
      </c>
    </row>
    <row r="86">
      <c r="A86" t="inlineStr">
        <is>
          <t>2(7)-V07</t>
        </is>
      </c>
      <c r="B86" t="inlineStr">
        <is>
          <t>2 (7).tif</t>
        </is>
      </c>
      <c r="C86" t="n">
        <v>466</v>
      </c>
      <c r="D86" t="n">
        <v>413</v>
      </c>
      <c r="E86" t="inlineStr">
        <is>
          <t>412,365,521,462</t>
        </is>
      </c>
      <c r="F86" t="n">
        <v>306</v>
      </c>
      <c r="G86" t="inlineStr">
        <is>
          <t>primary</t>
        </is>
      </c>
      <c r="H86" t="inlineStr">
        <is>
          <t>AUTO_VESSEL</t>
        </is>
      </c>
      <c r="I86" t="inlineStr">
        <is>
          <t>是</t>
        </is>
      </c>
      <c r="J86" t="inlineStr">
        <is>
          <t>纳入</t>
        </is>
      </c>
      <c r="K86" t="n">
        <v>383.9083175803403</v>
      </c>
      <c r="L86">
        <f>导管母表_1781!G86</f>
        <v/>
      </c>
      <c r="M86" t="inlineStr">
        <is>
          <t>视野内部</t>
        </is>
      </c>
      <c r="N86" t="inlineStr">
        <is>
          <t>纳入A/D/Dh；若有Pair_ID则纳入CWR</t>
        </is>
      </c>
      <c r="O86" t="inlineStr">
        <is>
          <t>自动管线检出的合格导管腔。</t>
        </is>
      </c>
      <c r="P86" t="inlineStr">
        <is>
          <t>auto_pipeline;review_png_green</t>
        </is>
      </c>
      <c r="Q86" t="inlineStr">
        <is>
          <t>2(7)-P01</t>
        </is>
      </c>
      <c r="R86" t="inlineStr">
        <is>
          <t>样品2</t>
        </is>
      </c>
    </row>
    <row r="87">
      <c r="A87" t="inlineStr">
        <is>
          <t>2(8)-V01</t>
        </is>
      </c>
      <c r="B87" t="inlineStr">
        <is>
          <t>2 (8).tif</t>
        </is>
      </c>
      <c r="C87" t="n">
        <v>409</v>
      </c>
      <c r="D87" t="n">
        <v>346</v>
      </c>
      <c r="E87" t="inlineStr">
        <is>
          <t>337,270,482,423</t>
        </is>
      </c>
      <c r="F87" t="n">
        <v>270</v>
      </c>
      <c r="G87" t="inlineStr">
        <is>
          <t>primary</t>
        </is>
      </c>
      <c r="H87" t="inlineStr">
        <is>
          <t>AUTO_VESSEL</t>
        </is>
      </c>
      <c r="I87" t="inlineStr">
        <is>
          <t>是</t>
        </is>
      </c>
      <c r="J87" t="inlineStr">
        <is>
          <t>纳入</t>
        </is>
      </c>
      <c r="K87" t="n">
        <v>812.547258979206</v>
      </c>
      <c r="L87">
        <f>导管母表_1781!G87</f>
        <v/>
      </c>
      <c r="M87" t="inlineStr">
        <is>
          <t>视野内部</t>
        </is>
      </c>
      <c r="N87" t="inlineStr">
        <is>
          <t>纳入A/D/Dh；若有Pair_ID则纳入CWR</t>
        </is>
      </c>
      <c r="O87" t="inlineStr">
        <is>
          <t>自动管线检出的合格导管腔。</t>
        </is>
      </c>
      <c r="P87" t="inlineStr">
        <is>
          <t>auto_pipeline;review_png_green</t>
        </is>
      </c>
      <c r="Q87" t="inlineStr">
        <is>
          <t>2(8)-P01</t>
        </is>
      </c>
      <c r="R87" t="inlineStr">
        <is>
          <t>样品2</t>
        </is>
      </c>
    </row>
    <row r="88">
      <c r="A88" t="inlineStr">
        <is>
          <t>2(8)-V02</t>
        </is>
      </c>
      <c r="B88" t="inlineStr">
        <is>
          <t>2 (8).tif</t>
        </is>
      </c>
      <c r="C88" t="n">
        <v>568</v>
      </c>
      <c r="D88" t="n">
        <v>371</v>
      </c>
      <c r="E88" t="inlineStr">
        <is>
          <t>503,304,634,439</t>
        </is>
      </c>
      <c r="F88" t="n">
        <v>304</v>
      </c>
      <c r="G88" t="inlineStr">
        <is>
          <t>primary</t>
        </is>
      </c>
      <c r="H88" t="inlineStr">
        <is>
          <t>AUTO_VESSEL</t>
        </is>
      </c>
      <c r="I88" t="inlineStr">
        <is>
          <t>是</t>
        </is>
      </c>
      <c r="J88" t="inlineStr">
        <is>
          <t>纳入</t>
        </is>
      </c>
      <c r="K88" t="n">
        <v>644.2816635160681</v>
      </c>
      <c r="L88">
        <f>导管母表_1781!G88</f>
        <v/>
      </c>
      <c r="M88" t="inlineStr">
        <is>
          <t>视野内部</t>
        </is>
      </c>
      <c r="N88" t="inlineStr">
        <is>
          <t>纳入A/D/Dh；若有Pair_ID则纳入CWR</t>
        </is>
      </c>
      <c r="O88" t="inlineStr">
        <is>
          <t>自动管线检出的合格导管腔。</t>
        </is>
      </c>
      <c r="P88" t="inlineStr">
        <is>
          <t>auto_pipeline;review_png_green</t>
        </is>
      </c>
      <c r="Q88" t="inlineStr">
        <is>
          <t>2(8)-P01</t>
        </is>
      </c>
      <c r="R88" t="inlineStr">
        <is>
          <t>样品2</t>
        </is>
      </c>
    </row>
    <row r="89">
      <c r="A89" t="inlineStr">
        <is>
          <t>2(8)-V03</t>
        </is>
      </c>
      <c r="B89" t="inlineStr">
        <is>
          <t>2 (8).tif</t>
        </is>
      </c>
      <c r="C89" t="n">
        <v>814</v>
      </c>
      <c r="D89" t="n">
        <v>67</v>
      </c>
      <c r="E89" t="inlineStr">
        <is>
          <t>744,0,885,136</t>
        </is>
      </c>
      <c r="F89" t="n">
        <v>0</v>
      </c>
      <c r="G89" t="inlineStr">
        <is>
          <t>primary</t>
        </is>
      </c>
      <c r="H89" t="inlineStr">
        <is>
          <t>AUTO_VESSEL</t>
        </is>
      </c>
      <c r="I89" t="inlineStr">
        <is>
          <t>是</t>
        </is>
      </c>
      <c r="J89" t="inlineStr">
        <is>
          <t>纳入</t>
        </is>
      </c>
      <c r="K89" t="n">
        <v>622.3771266540642</v>
      </c>
      <c r="L89">
        <f>导管母表_1781!G89</f>
        <v/>
      </c>
      <c r="M89" t="inlineStr">
        <is>
          <t>近边缘（&lt;25 px）</t>
        </is>
      </c>
      <c r="N89" t="inlineStr">
        <is>
          <t>纳入A/D/Dh；若有Pair_ID则纳入CWR</t>
        </is>
      </c>
      <c r="O89" t="inlineStr">
        <is>
          <t>自动管线检出的合格导管腔。</t>
        </is>
      </c>
      <c r="P89" t="inlineStr">
        <is>
          <t>auto_pipeline;review_png_green</t>
        </is>
      </c>
      <c r="R89" t="inlineStr">
        <is>
          <t>样品2</t>
        </is>
      </c>
    </row>
    <row r="90">
      <c r="A90" t="inlineStr">
        <is>
          <t>2(8)-V04</t>
        </is>
      </c>
      <c r="B90" t="inlineStr">
        <is>
          <t>2 (8).tif</t>
        </is>
      </c>
      <c r="C90" t="n">
        <v>217</v>
      </c>
      <c r="D90" t="n">
        <v>211</v>
      </c>
      <c r="E90" t="inlineStr">
        <is>
          <t>158,154,277,269</t>
        </is>
      </c>
      <c r="F90" t="n">
        <v>154</v>
      </c>
      <c r="G90" t="inlineStr">
        <is>
          <t>primary</t>
        </is>
      </c>
      <c r="H90" t="inlineStr">
        <is>
          <t>AUTO_VESSEL</t>
        </is>
      </c>
      <c r="I90" t="inlineStr">
        <is>
          <t>是</t>
        </is>
      </c>
      <c r="J90" t="inlineStr">
        <is>
          <t>纳入</t>
        </is>
      </c>
      <c r="K90" t="n">
        <v>499.2911153119093</v>
      </c>
      <c r="L90">
        <f>导管母表_1781!G90</f>
        <v/>
      </c>
      <c r="M90" t="inlineStr">
        <is>
          <t>视野内部</t>
        </is>
      </c>
      <c r="N90" t="inlineStr">
        <is>
          <t>纳入A/D/Dh；若有Pair_ID则纳入CWR</t>
        </is>
      </c>
      <c r="O90" t="inlineStr">
        <is>
          <t>自动管线检出的合格导管腔。</t>
        </is>
      </c>
      <c r="P90" t="inlineStr">
        <is>
          <t>auto_pipeline;review_png_green</t>
        </is>
      </c>
      <c r="R90" t="inlineStr">
        <is>
          <t>样品2</t>
        </is>
      </c>
    </row>
    <row r="91">
      <c r="A91" t="inlineStr">
        <is>
          <t>2(8)-V05</t>
        </is>
      </c>
      <c r="B91" t="inlineStr">
        <is>
          <t>2 (8).tif</t>
        </is>
      </c>
      <c r="C91" t="n">
        <v>89</v>
      </c>
      <c r="D91" t="n">
        <v>152</v>
      </c>
      <c r="E91" t="inlineStr">
        <is>
          <t>32,102,147,203</t>
        </is>
      </c>
      <c r="F91" t="n">
        <v>32</v>
      </c>
      <c r="G91" t="inlineStr">
        <is>
          <t>primary</t>
        </is>
      </c>
      <c r="H91" t="inlineStr">
        <is>
          <t>AUTO_VESSEL</t>
        </is>
      </c>
      <c r="I91" t="inlineStr">
        <is>
          <t>是</t>
        </is>
      </c>
      <c r="J91" t="inlineStr">
        <is>
          <t>纳入</t>
        </is>
      </c>
      <c r="K91" t="n">
        <v>423.2277882797732</v>
      </c>
      <c r="L91">
        <f>导管母表_1781!G91</f>
        <v/>
      </c>
      <c r="M91" t="inlineStr">
        <is>
          <t>视野内部</t>
        </is>
      </c>
      <c r="N91" t="inlineStr">
        <is>
          <t>纳入A/D/Dh；若有Pair_ID则纳入CWR</t>
        </is>
      </c>
      <c r="O91" t="inlineStr">
        <is>
          <t>自动管线检出的合格导管腔。</t>
        </is>
      </c>
      <c r="P91" t="inlineStr">
        <is>
          <t>auto_pipeline;review_png_green</t>
        </is>
      </c>
      <c r="R91" t="inlineStr">
        <is>
          <t>样品2</t>
        </is>
      </c>
    </row>
    <row r="92">
      <c r="A92" t="inlineStr">
        <is>
          <t>2(8)-V06</t>
        </is>
      </c>
      <c r="B92" t="inlineStr">
        <is>
          <t>2 (8).tif</t>
        </is>
      </c>
      <c r="C92" t="n">
        <v>942</v>
      </c>
      <c r="D92" t="n">
        <v>515</v>
      </c>
      <c r="E92" t="inlineStr">
        <is>
          <t>887,467,998,564</t>
        </is>
      </c>
      <c r="F92" t="n">
        <v>26</v>
      </c>
      <c r="G92" t="inlineStr">
        <is>
          <t>primary</t>
        </is>
      </c>
      <c r="H92" t="inlineStr">
        <is>
          <t>AUTO_VESSEL</t>
        </is>
      </c>
      <c r="I92" t="inlineStr">
        <is>
          <t>是</t>
        </is>
      </c>
      <c r="J92" t="inlineStr">
        <is>
          <t>纳入</t>
        </is>
      </c>
      <c r="K92" t="n">
        <v>392.0604914933837</v>
      </c>
      <c r="L92">
        <f>导管母表_1781!G92</f>
        <v/>
      </c>
      <c r="M92" t="inlineStr">
        <is>
          <t>视野内部</t>
        </is>
      </c>
      <c r="N92" t="inlineStr">
        <is>
          <t>纳入A/D/Dh；若有Pair_ID则纳入CWR</t>
        </is>
      </c>
      <c r="O92" t="inlineStr">
        <is>
          <t>自动管线检出的合格导管腔。</t>
        </is>
      </c>
      <c r="P92" t="inlineStr">
        <is>
          <t>auto_pipeline;review_png_green</t>
        </is>
      </c>
      <c r="R92" t="inlineStr">
        <is>
          <t>样品2</t>
        </is>
      </c>
    </row>
    <row r="93">
      <c r="A93" t="inlineStr">
        <is>
          <t>2(8)-V07</t>
        </is>
      </c>
      <c r="B93" t="inlineStr">
        <is>
          <t>2 (8).tif</t>
        </is>
      </c>
      <c r="C93" t="n">
        <v>606</v>
      </c>
      <c r="D93" t="n">
        <v>53</v>
      </c>
      <c r="E93" t="inlineStr">
        <is>
          <t>549,27,664,80</t>
        </is>
      </c>
      <c r="F93" t="n">
        <v>27</v>
      </c>
      <c r="G93" t="inlineStr">
        <is>
          <t>primary</t>
        </is>
      </c>
      <c r="H93" t="inlineStr">
        <is>
          <t>AUTO_VESSEL</t>
        </is>
      </c>
      <c r="I93" t="inlineStr">
        <is>
          <t>是</t>
        </is>
      </c>
      <c r="J93" t="inlineStr">
        <is>
          <t>纳入</t>
        </is>
      </c>
      <c r="K93" t="n">
        <v>135.8695652173913</v>
      </c>
      <c r="L93">
        <f>导管母表_1781!G93</f>
        <v/>
      </c>
      <c r="M93" t="inlineStr">
        <is>
          <t>视野内部</t>
        </is>
      </c>
      <c r="N93" t="inlineStr">
        <is>
          <t>纳入A/D/Dh；若有Pair_ID则纳入CWR</t>
        </is>
      </c>
      <c r="O93" t="inlineStr">
        <is>
          <t>自动管线检出的合格导管腔。</t>
        </is>
      </c>
      <c r="P93" t="inlineStr">
        <is>
          <t>auto_pipeline;review_png_green</t>
        </is>
      </c>
      <c r="R93" t="inlineStr">
        <is>
          <t>样品2</t>
        </is>
      </c>
    </row>
    <row r="94">
      <c r="A94" t="inlineStr">
        <is>
          <t>2(9)-V01</t>
        </is>
      </c>
      <c r="B94" t="inlineStr">
        <is>
          <t>2 (9).tif</t>
        </is>
      </c>
      <c r="C94" t="n">
        <v>783</v>
      </c>
      <c r="D94" t="n">
        <v>149</v>
      </c>
      <c r="E94" t="inlineStr">
        <is>
          <t>708,81,859,218</t>
        </is>
      </c>
      <c r="F94" t="n">
        <v>81</v>
      </c>
      <c r="G94" t="inlineStr">
        <is>
          <t>primary</t>
        </is>
      </c>
      <c r="H94" t="inlineStr">
        <is>
          <t>AUTO_VESSEL</t>
        </is>
      </c>
      <c r="I94" t="inlineStr">
        <is>
          <t>是</t>
        </is>
      </c>
      <c r="J94" t="inlineStr">
        <is>
          <t>纳入</t>
        </is>
      </c>
      <c r="K94" t="n">
        <v>755.7183364839319</v>
      </c>
      <c r="L94">
        <f>导管母表_1781!G94</f>
        <v/>
      </c>
      <c r="M94" t="inlineStr">
        <is>
          <t>视野内部</t>
        </is>
      </c>
      <c r="N94" t="inlineStr">
        <is>
          <t>纳入A/D/Dh；若有Pair_ID则纳入CWR</t>
        </is>
      </c>
      <c r="O94" t="inlineStr">
        <is>
          <t>自动管线检出的合格导管腔。</t>
        </is>
      </c>
      <c r="P94" t="inlineStr">
        <is>
          <t>auto_pipeline;review_png_green</t>
        </is>
      </c>
      <c r="R94" t="inlineStr">
        <is>
          <t>样品2</t>
        </is>
      </c>
    </row>
    <row r="95">
      <c r="A95" t="inlineStr">
        <is>
          <t>2(9)-V02</t>
        </is>
      </c>
      <c r="B95" t="inlineStr">
        <is>
          <t>2 (9).tif</t>
        </is>
      </c>
      <c r="C95" t="n">
        <v>125</v>
      </c>
      <c r="D95" t="n">
        <v>239</v>
      </c>
      <c r="E95" t="inlineStr">
        <is>
          <t>45,176,206,303</t>
        </is>
      </c>
      <c r="F95" t="n">
        <v>45</v>
      </c>
      <c r="G95" t="inlineStr">
        <is>
          <t>primary</t>
        </is>
      </c>
      <c r="H95" t="inlineStr">
        <is>
          <t>AUTO_VESSEL</t>
        </is>
      </c>
      <c r="I95" t="inlineStr">
        <is>
          <t>是</t>
        </is>
      </c>
      <c r="J95" t="inlineStr">
        <is>
          <t>纳入</t>
        </is>
      </c>
      <c r="K95" t="n">
        <v>748.7948960302457</v>
      </c>
      <c r="L95">
        <f>导管母表_1781!G95</f>
        <v/>
      </c>
      <c r="M95" t="inlineStr">
        <is>
          <t>视野内部</t>
        </is>
      </c>
      <c r="N95" t="inlineStr">
        <is>
          <t>纳入A/D/Dh；若有Pair_ID则纳入CWR</t>
        </is>
      </c>
      <c r="O95" t="inlineStr">
        <is>
          <t>自动管线检出的合格导管腔。</t>
        </is>
      </c>
      <c r="P95" t="inlineStr">
        <is>
          <t>auto_pipeline;review_png_green</t>
        </is>
      </c>
      <c r="R95" t="inlineStr">
        <is>
          <t>样品2</t>
        </is>
      </c>
    </row>
    <row r="96">
      <c r="A96" t="inlineStr">
        <is>
          <t>2(9)-V03</t>
        </is>
      </c>
      <c r="B96" t="inlineStr">
        <is>
          <t>2 (9).tif</t>
        </is>
      </c>
      <c r="C96" t="n">
        <v>655</v>
      </c>
      <c r="D96" t="n">
        <v>449</v>
      </c>
      <c r="E96" t="inlineStr">
        <is>
          <t>590,374,721,525</t>
        </is>
      </c>
      <c r="F96" t="n">
        <v>243</v>
      </c>
      <c r="G96" t="inlineStr">
        <is>
          <t>primary</t>
        </is>
      </c>
      <c r="H96" t="inlineStr">
        <is>
          <t>AUTO_VESSEL</t>
        </is>
      </c>
      <c r="I96" t="inlineStr">
        <is>
          <t>是</t>
        </is>
      </c>
      <c r="J96" t="inlineStr">
        <is>
          <t>纳入</t>
        </is>
      </c>
      <c r="K96" t="n">
        <v>722.9678638941399</v>
      </c>
      <c r="L96">
        <f>导管母表_1781!G96</f>
        <v/>
      </c>
      <c r="M96" t="inlineStr">
        <is>
          <t>视野内部</t>
        </is>
      </c>
      <c r="N96" t="inlineStr">
        <is>
          <t>纳入A/D/Dh；若有Pair_ID则纳入CWR</t>
        </is>
      </c>
      <c r="O96" t="inlineStr">
        <is>
          <t>自动管线检出的合格导管腔。</t>
        </is>
      </c>
      <c r="P96" t="inlineStr">
        <is>
          <t>auto_pipeline;review_png_green</t>
        </is>
      </c>
      <c r="R96" t="inlineStr">
        <is>
          <t>样品2</t>
        </is>
      </c>
    </row>
    <row r="97">
      <c r="A97" t="inlineStr">
        <is>
          <t>2(9)-V04</t>
        </is>
      </c>
      <c r="B97" t="inlineStr">
        <is>
          <t>2 (9).tif</t>
        </is>
      </c>
      <c r="C97" t="n">
        <v>554</v>
      </c>
      <c r="D97" t="n">
        <v>347</v>
      </c>
      <c r="E97" t="inlineStr">
        <is>
          <t>487,284,622,411</t>
        </is>
      </c>
      <c r="F97" t="n">
        <v>284</v>
      </c>
      <c r="G97" t="inlineStr">
        <is>
          <t>primary</t>
        </is>
      </c>
      <c r="H97" t="inlineStr">
        <is>
          <t>AUTO_VESSEL</t>
        </is>
      </c>
      <c r="I97" t="inlineStr">
        <is>
          <t>是</t>
        </is>
      </c>
      <c r="J97" t="inlineStr">
        <is>
          <t>纳入</t>
        </is>
      </c>
      <c r="K97" t="n">
        <v>626.2051039697543</v>
      </c>
      <c r="L97">
        <f>导管母表_1781!G97</f>
        <v/>
      </c>
      <c r="M97" t="inlineStr">
        <is>
          <t>视野内部</t>
        </is>
      </c>
      <c r="N97" t="inlineStr">
        <is>
          <t>纳入A/D/Dh；若有Pair_ID则纳入CWR</t>
        </is>
      </c>
      <c r="O97" t="inlineStr">
        <is>
          <t>自动管线检出的合格导管腔。</t>
        </is>
      </c>
      <c r="P97" t="inlineStr">
        <is>
          <t>auto_pipeline;review_png_green</t>
        </is>
      </c>
      <c r="Q97" t="inlineStr">
        <is>
          <t>2(9)-P01</t>
        </is>
      </c>
      <c r="R97" t="inlineStr">
        <is>
          <t>样品2</t>
        </is>
      </c>
    </row>
    <row r="98">
      <c r="A98" t="inlineStr">
        <is>
          <t>2(9)-V05</t>
        </is>
      </c>
      <c r="B98" t="inlineStr">
        <is>
          <t>2 (9).tif</t>
        </is>
      </c>
      <c r="C98" t="n">
        <v>957</v>
      </c>
      <c r="D98" t="n">
        <v>103</v>
      </c>
      <c r="E98" t="inlineStr">
        <is>
          <t>900,44,1015,163</t>
        </is>
      </c>
      <c r="F98" t="n">
        <v>9</v>
      </c>
      <c r="G98" t="inlineStr">
        <is>
          <t>primary</t>
        </is>
      </c>
      <c r="H98" t="inlineStr">
        <is>
          <t>AUTO_VESSEL</t>
        </is>
      </c>
      <c r="I98" t="inlineStr">
        <is>
          <t>是</t>
        </is>
      </c>
      <c r="J98" t="inlineStr">
        <is>
          <t>纳入</t>
        </is>
      </c>
      <c r="K98" t="n">
        <v>498.7712665406427</v>
      </c>
      <c r="L98">
        <f>导管母表_1781!G98</f>
        <v/>
      </c>
      <c r="M98" t="inlineStr">
        <is>
          <t>近边缘（&lt;25 px）</t>
        </is>
      </c>
      <c r="N98" t="inlineStr">
        <is>
          <t>纳入A/D/Dh；若有Pair_ID则纳入CWR</t>
        </is>
      </c>
      <c r="O98" t="inlineStr">
        <is>
          <t>自动管线检出的合格导管腔。</t>
        </is>
      </c>
      <c r="P98" t="inlineStr">
        <is>
          <t>auto_pipeline;review_png_green</t>
        </is>
      </c>
      <c r="R98" t="inlineStr">
        <is>
          <t>样品2</t>
        </is>
      </c>
    </row>
    <row r="99">
      <c r="A99" t="inlineStr">
        <is>
          <t>2(9)-V06</t>
        </is>
      </c>
      <c r="B99" t="inlineStr">
        <is>
          <t>2 (9).tif</t>
        </is>
      </c>
      <c r="C99" t="n">
        <v>406</v>
      </c>
      <c r="D99" t="n">
        <v>382</v>
      </c>
      <c r="E99" t="inlineStr">
        <is>
          <t>350,329,463,436</t>
        </is>
      </c>
      <c r="F99" t="n">
        <v>329</v>
      </c>
      <c r="G99" t="inlineStr">
        <is>
          <t>primary</t>
        </is>
      </c>
      <c r="H99" t="inlineStr">
        <is>
          <t>AUTO_VESSEL</t>
        </is>
      </c>
      <c r="I99" t="inlineStr">
        <is>
          <t>是</t>
        </is>
      </c>
      <c r="J99" t="inlineStr">
        <is>
          <t>纳入</t>
        </is>
      </c>
      <c r="K99" t="n">
        <v>439.0359168241966</v>
      </c>
      <c r="L99">
        <f>导管母表_1781!G99</f>
        <v/>
      </c>
      <c r="M99" t="inlineStr">
        <is>
          <t>视野内部</t>
        </is>
      </c>
      <c r="N99" t="inlineStr">
        <is>
          <t>纳入A/D/Dh；若有Pair_ID则纳入CWR</t>
        </is>
      </c>
      <c r="O99" t="inlineStr">
        <is>
          <t>自动管线检出的合格导管腔。</t>
        </is>
      </c>
      <c r="P99" t="inlineStr">
        <is>
          <t>auto_pipeline;review_png_green</t>
        </is>
      </c>
      <c r="Q99" t="inlineStr">
        <is>
          <t>2(9)-P01</t>
        </is>
      </c>
      <c r="R99" t="inlineStr">
        <is>
          <t>样品2</t>
        </is>
      </c>
    </row>
    <row r="100">
      <c r="A100" t="inlineStr">
        <is>
          <t>2(10)-V01</t>
        </is>
      </c>
      <c r="B100" t="inlineStr">
        <is>
          <t>2 (10).tif</t>
        </is>
      </c>
      <c r="C100" t="n">
        <v>200</v>
      </c>
      <c r="D100" t="n">
        <v>182</v>
      </c>
      <c r="E100" t="inlineStr">
        <is>
          <t>110,106,291,259</t>
        </is>
      </c>
      <c r="F100" t="n">
        <v>106</v>
      </c>
      <c r="G100" t="inlineStr">
        <is>
          <t>primary</t>
        </is>
      </c>
      <c r="H100" t="inlineStr">
        <is>
          <t>AUTO_VESSEL</t>
        </is>
      </c>
      <c r="I100" t="inlineStr">
        <is>
          <t>是</t>
        </is>
      </c>
      <c r="J100" t="inlineStr">
        <is>
          <t>纳入</t>
        </is>
      </c>
      <c r="K100" t="n">
        <v>994.3761814744802</v>
      </c>
      <c r="L100">
        <f>导管母表_1781!G100</f>
        <v/>
      </c>
      <c r="M100" t="inlineStr">
        <is>
          <t>视野内部</t>
        </is>
      </c>
      <c r="N100" t="inlineStr">
        <is>
          <t>纳入A/D/Dh；若有Pair_ID则纳入CWR</t>
        </is>
      </c>
      <c r="O100" t="inlineStr">
        <is>
          <t>自动管线检出的合格导管腔。</t>
        </is>
      </c>
      <c r="P100" t="inlineStr">
        <is>
          <t>auto_pipeline;review_png_green</t>
        </is>
      </c>
      <c r="R100" t="inlineStr">
        <is>
          <t>样品2</t>
        </is>
      </c>
    </row>
    <row r="101">
      <c r="A101" t="inlineStr">
        <is>
          <t>2(10)-V02</t>
        </is>
      </c>
      <c r="B101" t="inlineStr">
        <is>
          <t>2 (10).tif</t>
        </is>
      </c>
      <c r="C101" t="n">
        <v>647</v>
      </c>
      <c r="D101" t="n">
        <v>379</v>
      </c>
      <c r="E101" t="inlineStr">
        <is>
          <t>565,306,730,453</t>
        </is>
      </c>
      <c r="F101" t="n">
        <v>294</v>
      </c>
      <c r="G101" t="inlineStr">
        <is>
          <t>primary</t>
        </is>
      </c>
      <c r="H101" t="inlineStr">
        <is>
          <t>AUTO_VESSEL</t>
        </is>
      </c>
      <c r="I101" t="inlineStr">
        <is>
          <t>是</t>
        </is>
      </c>
      <c r="J101" t="inlineStr">
        <is>
          <t>纳入</t>
        </is>
      </c>
      <c r="K101" t="n">
        <v>889.2485822306238</v>
      </c>
      <c r="L101">
        <f>导管母表_1781!G101</f>
        <v/>
      </c>
      <c r="M101" t="inlineStr">
        <is>
          <t>视野内部</t>
        </is>
      </c>
      <c r="N101" t="inlineStr">
        <is>
          <t>纳入A/D/Dh；若有Pair_ID则纳入CWR</t>
        </is>
      </c>
      <c r="O101" t="inlineStr">
        <is>
          <t>自动管线检出的合格导管腔。</t>
        </is>
      </c>
      <c r="P101" t="inlineStr">
        <is>
          <t>auto_pipeline;review_png_green</t>
        </is>
      </c>
      <c r="R101" t="inlineStr">
        <is>
          <t>样品2</t>
        </is>
      </c>
    </row>
    <row r="102">
      <c r="A102" t="inlineStr">
        <is>
          <t>2(10)-V03</t>
        </is>
      </c>
      <c r="B102" t="inlineStr">
        <is>
          <t>2 (10).tif</t>
        </is>
      </c>
      <c r="C102" t="n">
        <v>413</v>
      </c>
      <c r="D102" t="n">
        <v>385</v>
      </c>
      <c r="E102" t="inlineStr">
        <is>
          <t>331,321,496,450</t>
        </is>
      </c>
      <c r="F102" t="n">
        <v>318</v>
      </c>
      <c r="G102" t="inlineStr">
        <is>
          <t>primary</t>
        </is>
      </c>
      <c r="H102" t="inlineStr">
        <is>
          <t>AUTO_VESSEL</t>
        </is>
      </c>
      <c r="I102" t="inlineStr">
        <is>
          <t>是</t>
        </is>
      </c>
      <c r="J102" t="inlineStr">
        <is>
          <t>纳入</t>
        </is>
      </c>
      <c r="K102" t="n">
        <v>775.945179584121</v>
      </c>
      <c r="L102">
        <f>导管母表_1781!G102</f>
        <v/>
      </c>
      <c r="M102" t="inlineStr">
        <is>
          <t>视野内部</t>
        </is>
      </c>
      <c r="N102" t="inlineStr">
        <is>
          <t>纳入A/D/Dh；若有Pair_ID则纳入CWR</t>
        </is>
      </c>
      <c r="O102" t="inlineStr">
        <is>
          <t>自动管线检出的合格导管腔。</t>
        </is>
      </c>
      <c r="P102" t="inlineStr">
        <is>
          <t>auto_pipeline;review_png_green</t>
        </is>
      </c>
      <c r="R102" t="inlineStr">
        <is>
          <t>样品2</t>
        </is>
      </c>
    </row>
    <row r="103">
      <c r="A103" t="inlineStr">
        <is>
          <t>2(10)-V04</t>
        </is>
      </c>
      <c r="B103" t="inlineStr">
        <is>
          <t>2 (10).tif</t>
        </is>
      </c>
      <c r="C103" t="n">
        <v>67</v>
      </c>
      <c r="D103" t="n">
        <v>606</v>
      </c>
      <c r="E103" t="inlineStr">
        <is>
          <t>14,574,121,639</t>
        </is>
      </c>
      <c r="F103" t="n">
        <v>14</v>
      </c>
      <c r="G103" t="inlineStr">
        <is>
          <t>primary</t>
        </is>
      </c>
      <c r="H103" t="inlineStr">
        <is>
          <t>AUTO_VESSEL</t>
        </is>
      </c>
      <c r="I103" t="inlineStr">
        <is>
          <t>是</t>
        </is>
      </c>
      <c r="J103" t="inlineStr">
        <is>
          <t>纳入</t>
        </is>
      </c>
      <c r="K103" t="n">
        <v>251.2051039697542</v>
      </c>
      <c r="L103">
        <f>导管母表_1781!G103</f>
        <v/>
      </c>
      <c r="M103" t="inlineStr">
        <is>
          <t>近边缘（&lt;25 px）</t>
        </is>
      </c>
      <c r="N103" t="inlineStr">
        <is>
          <t>纳入A/D/Dh；若有Pair_ID则纳入CWR</t>
        </is>
      </c>
      <c r="O103" t="inlineStr">
        <is>
          <t>自动管线检出的合格导管腔。</t>
        </is>
      </c>
      <c r="P103" t="inlineStr">
        <is>
          <t>auto_pipeline;review_png_green</t>
        </is>
      </c>
      <c r="R103" t="inlineStr">
        <is>
          <t>样品2</t>
        </is>
      </c>
    </row>
    <row r="104">
      <c r="A104" t="inlineStr">
        <is>
          <t>2(11)-V01</t>
        </is>
      </c>
      <c r="B104" t="inlineStr">
        <is>
          <t>2 (11).tif</t>
        </is>
      </c>
      <c r="C104" t="n">
        <v>392</v>
      </c>
      <c r="D104" t="n">
        <v>357</v>
      </c>
      <c r="E104" t="inlineStr">
        <is>
          <t>300,273,485,442</t>
        </is>
      </c>
      <c r="F104" t="n">
        <v>273</v>
      </c>
      <c r="G104" t="inlineStr">
        <is>
          <t>primary</t>
        </is>
      </c>
      <c r="H104" t="inlineStr">
        <is>
          <t>AUTO_VESSEL</t>
        </is>
      </c>
      <c r="I104" t="inlineStr">
        <is>
          <t>是</t>
        </is>
      </c>
      <c r="J104" t="inlineStr">
        <is>
          <t>纳入</t>
        </is>
      </c>
      <c r="K104" t="n">
        <v>1145.179584120983</v>
      </c>
      <c r="L104">
        <f>导管母表_1781!G104</f>
        <v/>
      </c>
      <c r="M104" t="inlineStr">
        <is>
          <t>视野内部</t>
        </is>
      </c>
      <c r="N104" t="inlineStr">
        <is>
          <t>纳入A/D/Dh；若有Pair_ID则纳入CWR</t>
        </is>
      </c>
      <c r="O104" t="inlineStr">
        <is>
          <t>自动管线检出的合格导管腔。</t>
        </is>
      </c>
      <c r="P104" t="inlineStr">
        <is>
          <t>auto_pipeline;review_png_green</t>
        </is>
      </c>
      <c r="R104" t="inlineStr">
        <is>
          <t>样品2</t>
        </is>
      </c>
    </row>
    <row r="105">
      <c r="A105" t="inlineStr">
        <is>
          <t>2(11)-V02</t>
        </is>
      </c>
      <c r="B105" t="inlineStr">
        <is>
          <t>2 (11).tif</t>
        </is>
      </c>
      <c r="C105" t="n">
        <v>617</v>
      </c>
      <c r="D105" t="n">
        <v>347</v>
      </c>
      <c r="E105" t="inlineStr">
        <is>
          <t>532,266,703,429</t>
        </is>
      </c>
      <c r="F105" t="n">
        <v>266</v>
      </c>
      <c r="G105" t="inlineStr">
        <is>
          <t>primary</t>
        </is>
      </c>
      <c r="H105" t="inlineStr">
        <is>
          <t>AUTO_VESSEL</t>
        </is>
      </c>
      <c r="I105" t="inlineStr">
        <is>
          <t>是</t>
        </is>
      </c>
      <c r="J105" t="inlineStr">
        <is>
          <t>纳入</t>
        </is>
      </c>
      <c r="K105" t="n">
        <v>1022.826086956522</v>
      </c>
      <c r="L105">
        <f>导管母表_1781!G105</f>
        <v/>
      </c>
      <c r="M105" t="inlineStr">
        <is>
          <t>视野内部</t>
        </is>
      </c>
      <c r="N105" t="inlineStr">
        <is>
          <t>纳入A/D/Dh；若有Pair_ID则纳入CWR</t>
        </is>
      </c>
      <c r="O105" t="inlineStr">
        <is>
          <t>自动管线检出的合格导管腔。</t>
        </is>
      </c>
      <c r="P105" t="inlineStr">
        <is>
          <t>auto_pipeline;review_png_green</t>
        </is>
      </c>
      <c r="R105" t="inlineStr">
        <is>
          <t>样品2</t>
        </is>
      </c>
    </row>
    <row r="106">
      <c r="A106" t="inlineStr">
        <is>
          <t>2(11)-V03</t>
        </is>
      </c>
      <c r="B106" t="inlineStr">
        <is>
          <t>2 (11).tif</t>
        </is>
      </c>
      <c r="C106" t="n">
        <v>861</v>
      </c>
      <c r="D106" t="n">
        <v>377</v>
      </c>
      <c r="E106" t="inlineStr">
        <is>
          <t>787,316,936,439</t>
        </is>
      </c>
      <c r="F106" t="n">
        <v>88</v>
      </c>
      <c r="G106" t="inlineStr">
        <is>
          <t>primary</t>
        </is>
      </c>
      <c r="H106" t="inlineStr">
        <is>
          <t>AUTO_VESSEL</t>
        </is>
      </c>
      <c r="I106" t="inlineStr">
        <is>
          <t>是</t>
        </is>
      </c>
      <c r="J106" t="inlineStr">
        <is>
          <t>纳入</t>
        </is>
      </c>
      <c r="K106" t="n">
        <v>662.547258979206</v>
      </c>
      <c r="L106">
        <f>导管母表_1781!G106</f>
        <v/>
      </c>
      <c r="M106" t="inlineStr">
        <is>
          <t>视野内部</t>
        </is>
      </c>
      <c r="N106" t="inlineStr">
        <is>
          <t>纳入A/D/Dh；若有Pair_ID则纳入CWR</t>
        </is>
      </c>
      <c r="O106" t="inlineStr">
        <is>
          <t>自动管线检出的合格导管腔。</t>
        </is>
      </c>
      <c r="P106" t="inlineStr">
        <is>
          <t>auto_pipeline;review_png_green</t>
        </is>
      </c>
      <c r="R106" t="inlineStr">
        <is>
          <t>样品2</t>
        </is>
      </c>
    </row>
    <row r="107">
      <c r="A107" t="inlineStr">
        <is>
          <t>2(12)-V01</t>
        </is>
      </c>
      <c r="B107" t="inlineStr">
        <is>
          <t>2 (12).tif</t>
        </is>
      </c>
      <c r="C107" t="n">
        <v>684</v>
      </c>
      <c r="D107" t="n">
        <v>270</v>
      </c>
      <c r="E107" t="inlineStr">
        <is>
          <t>609,201,760,340</t>
        </is>
      </c>
      <c r="F107" t="n">
        <v>201</v>
      </c>
      <c r="G107" t="inlineStr">
        <is>
          <t>primary</t>
        </is>
      </c>
      <c r="H107" t="inlineStr">
        <is>
          <t>AUTO_VESSEL</t>
        </is>
      </c>
      <c r="I107" t="inlineStr">
        <is>
          <t>是</t>
        </is>
      </c>
      <c r="J107" t="inlineStr">
        <is>
          <t>纳入</t>
        </is>
      </c>
      <c r="K107" t="n">
        <v>765.9971644612476</v>
      </c>
      <c r="L107">
        <f>导管母表_1781!G107</f>
        <v/>
      </c>
      <c r="M107" t="inlineStr">
        <is>
          <t>视野内部</t>
        </is>
      </c>
      <c r="N107" t="inlineStr">
        <is>
          <t>纳入A/D/Dh；若有Pair_ID则纳入CWR</t>
        </is>
      </c>
      <c r="O107" t="inlineStr">
        <is>
          <t>自动管线检出的合格导管腔。</t>
        </is>
      </c>
      <c r="P107" t="inlineStr">
        <is>
          <t>auto_pipeline;review_png_green</t>
        </is>
      </c>
      <c r="R107" t="inlineStr">
        <is>
          <t>样品2</t>
        </is>
      </c>
    </row>
    <row r="108">
      <c r="A108" t="inlineStr">
        <is>
          <t>2(12)-V02</t>
        </is>
      </c>
      <c r="B108" t="inlineStr">
        <is>
          <t>2 (12).tif</t>
        </is>
      </c>
      <c r="C108" t="n">
        <v>295</v>
      </c>
      <c r="D108" t="n">
        <v>424</v>
      </c>
      <c r="E108" t="inlineStr">
        <is>
          <t>226,355,365,494</t>
        </is>
      </c>
      <c r="F108" t="n">
        <v>226</v>
      </c>
      <c r="G108" t="inlineStr">
        <is>
          <t>primary</t>
        </is>
      </c>
      <c r="H108" t="inlineStr">
        <is>
          <t>AUTO_VESSEL</t>
        </is>
      </c>
      <c r="I108" t="inlineStr">
        <is>
          <t>是</t>
        </is>
      </c>
      <c r="J108" t="inlineStr">
        <is>
          <t>纳入</t>
        </is>
      </c>
      <c r="K108" t="n">
        <v>690.5954631379963</v>
      </c>
      <c r="L108">
        <f>导管母表_1781!G108</f>
        <v/>
      </c>
      <c r="M108" t="inlineStr">
        <is>
          <t>视野内部</t>
        </is>
      </c>
      <c r="N108" t="inlineStr">
        <is>
          <t>纳入A/D/Dh；若有Pair_ID则纳入CWR</t>
        </is>
      </c>
      <c r="O108" t="inlineStr">
        <is>
          <t>自动管线检出的合格导管腔。</t>
        </is>
      </c>
      <c r="P108" t="inlineStr">
        <is>
          <t>auto_pipeline;review_png_green</t>
        </is>
      </c>
      <c r="R108" t="inlineStr">
        <is>
          <t>样品2</t>
        </is>
      </c>
    </row>
    <row r="109">
      <c r="A109" t="inlineStr">
        <is>
          <t>2(12)-V03</t>
        </is>
      </c>
      <c r="B109" t="inlineStr">
        <is>
          <t>2 (12).tif</t>
        </is>
      </c>
      <c r="C109" t="n">
        <v>526</v>
      </c>
      <c r="D109" t="n">
        <v>210</v>
      </c>
      <c r="E109" t="inlineStr">
        <is>
          <t>462,140,591,281</t>
        </is>
      </c>
      <c r="F109" t="n">
        <v>140</v>
      </c>
      <c r="G109" t="inlineStr">
        <is>
          <t>primary</t>
        </is>
      </c>
      <c r="H109" t="inlineStr">
        <is>
          <t>AUTO_VESSEL</t>
        </is>
      </c>
      <c r="I109" t="inlineStr">
        <is>
          <t>是</t>
        </is>
      </c>
      <c r="J109" t="inlineStr">
        <is>
          <t>纳入</t>
        </is>
      </c>
      <c r="K109" t="n">
        <v>662.5</v>
      </c>
      <c r="L109">
        <f>导管母表_1781!G109</f>
        <v/>
      </c>
      <c r="M109" t="inlineStr">
        <is>
          <t>视野内部</t>
        </is>
      </c>
      <c r="N109" t="inlineStr">
        <is>
          <t>纳入A/D/Dh；若有Pair_ID则纳入CWR</t>
        </is>
      </c>
      <c r="O109" t="inlineStr">
        <is>
          <t>自动管线检出的合格导管腔。</t>
        </is>
      </c>
      <c r="P109" t="inlineStr">
        <is>
          <t>auto_pipeline;review_png_green</t>
        </is>
      </c>
      <c r="R109" t="inlineStr">
        <is>
          <t>样品2</t>
        </is>
      </c>
    </row>
    <row r="110">
      <c r="A110" t="inlineStr">
        <is>
          <t>2(12)-V04</t>
        </is>
      </c>
      <c r="B110" t="inlineStr">
        <is>
          <t>2 (12).tif</t>
        </is>
      </c>
      <c r="C110" t="n">
        <v>429</v>
      </c>
      <c r="D110" t="n">
        <v>540</v>
      </c>
      <c r="E110" t="inlineStr">
        <is>
          <t>379,506,480,575</t>
        </is>
      </c>
      <c r="F110" t="n">
        <v>193</v>
      </c>
      <c r="G110" t="inlineStr">
        <is>
          <t>primary</t>
        </is>
      </c>
      <c r="H110" t="inlineStr">
        <is>
          <t>AUTO_VESSEL</t>
        </is>
      </c>
      <c r="I110" t="inlineStr">
        <is>
          <t>是</t>
        </is>
      </c>
      <c r="J110" t="inlineStr">
        <is>
          <t>纳入</t>
        </is>
      </c>
      <c r="K110" t="n">
        <v>249.4328922495274</v>
      </c>
      <c r="L110">
        <f>导管母表_1781!G110</f>
        <v/>
      </c>
      <c r="M110" t="inlineStr">
        <is>
          <t>视野内部</t>
        </is>
      </c>
      <c r="N110" t="inlineStr">
        <is>
          <t>纳入A/D/Dh；若有Pair_ID则纳入CWR</t>
        </is>
      </c>
      <c r="O110" t="inlineStr">
        <is>
          <t>自动管线检出的合格导管腔。</t>
        </is>
      </c>
      <c r="P110" t="inlineStr">
        <is>
          <t>auto_pipeline;review_png_green</t>
        </is>
      </c>
      <c r="R110" t="inlineStr">
        <is>
          <t>样品2</t>
        </is>
      </c>
    </row>
    <row r="111">
      <c r="A111" t="inlineStr">
        <is>
          <t>2(12)-V05</t>
        </is>
      </c>
      <c r="B111" t="inlineStr">
        <is>
          <t>2 (12).tif</t>
        </is>
      </c>
      <c r="C111" t="n">
        <v>682</v>
      </c>
      <c r="D111" t="n">
        <v>167</v>
      </c>
      <c r="E111" t="inlineStr">
        <is>
          <t>644,141,721,194</t>
        </is>
      </c>
      <c r="F111" t="n">
        <v>141</v>
      </c>
      <c r="G111" t="inlineStr">
        <is>
          <t>primary</t>
        </is>
      </c>
      <c r="H111" t="inlineStr">
        <is>
          <t>AUTO_VESSEL</t>
        </is>
      </c>
      <c r="I111" t="inlineStr">
        <is>
          <t>是</t>
        </is>
      </c>
      <c r="J111" t="inlineStr">
        <is>
          <t>纳入</t>
        </is>
      </c>
      <c r="K111" t="n">
        <v>124.7164461247637</v>
      </c>
      <c r="L111">
        <f>导管母表_1781!G111</f>
        <v/>
      </c>
      <c r="M111" t="inlineStr">
        <is>
          <t>视野内部</t>
        </is>
      </c>
      <c r="N111" t="inlineStr">
        <is>
          <t>纳入A/D/Dh；若有Pair_ID则纳入CWR</t>
        </is>
      </c>
      <c r="O111" t="inlineStr">
        <is>
          <t>自动管线检出的合格导管腔。</t>
        </is>
      </c>
      <c r="P111" t="inlineStr">
        <is>
          <t>auto_pipeline;review_png_green</t>
        </is>
      </c>
      <c r="R111" t="inlineStr">
        <is>
          <t>样品2</t>
        </is>
      </c>
    </row>
    <row r="112">
      <c r="A112" t="inlineStr">
        <is>
          <t>2(12)-V06</t>
        </is>
      </c>
      <c r="B112" t="inlineStr">
        <is>
          <t>2 (12).tif</t>
        </is>
      </c>
      <c r="C112" t="n">
        <v>804</v>
      </c>
      <c r="D112" t="n">
        <v>250</v>
      </c>
      <c r="E112" t="inlineStr">
        <is>
          <t>773,220,836,281</t>
        </is>
      </c>
      <c r="F112" t="n">
        <v>188</v>
      </c>
      <c r="G112" t="inlineStr">
        <is>
          <t>primary</t>
        </is>
      </c>
      <c r="H112" t="inlineStr">
        <is>
          <t>AUTO_VESSEL</t>
        </is>
      </c>
      <c r="I112" t="inlineStr">
        <is>
          <t>是</t>
        </is>
      </c>
      <c r="J112" t="inlineStr">
        <is>
          <t>纳入</t>
        </is>
      </c>
      <c r="K112" t="n">
        <v>104.4187145557656</v>
      </c>
      <c r="L112">
        <f>导管母表_1781!G112</f>
        <v/>
      </c>
      <c r="M112" t="inlineStr">
        <is>
          <t>视野内部</t>
        </is>
      </c>
      <c r="N112" t="inlineStr">
        <is>
          <t>纳入A/D/Dh；若有Pair_ID则纳入CWR</t>
        </is>
      </c>
      <c r="O112" t="inlineStr">
        <is>
          <t>自动管线检出的合格导管腔。</t>
        </is>
      </c>
      <c r="P112" t="inlineStr">
        <is>
          <t>auto_pipeline;review_png_green</t>
        </is>
      </c>
      <c r="R112" t="inlineStr">
        <is>
          <t>样品2</t>
        </is>
      </c>
    </row>
    <row r="113">
      <c r="A113" t="inlineStr">
        <is>
          <t>2(13)-V01</t>
        </is>
      </c>
      <c r="B113" t="inlineStr">
        <is>
          <t>2 (13).tif</t>
        </is>
      </c>
      <c r="C113" t="n">
        <v>495</v>
      </c>
      <c r="D113" t="n">
        <v>329</v>
      </c>
      <c r="E113" t="inlineStr">
        <is>
          <t>441,273,550,386</t>
        </is>
      </c>
      <c r="F113" t="n">
        <v>273</v>
      </c>
      <c r="G113" t="inlineStr">
        <is>
          <t>primary</t>
        </is>
      </c>
      <c r="H113" t="inlineStr">
        <is>
          <t>AUTO_VESSEL</t>
        </is>
      </c>
      <c r="I113" t="inlineStr">
        <is>
          <t>是</t>
        </is>
      </c>
      <c r="J113" t="inlineStr">
        <is>
          <t>纳入</t>
        </is>
      </c>
      <c r="K113" t="n">
        <v>448.9839319470699</v>
      </c>
      <c r="L113">
        <f>导管母表_1781!G113</f>
        <v/>
      </c>
      <c r="M113" t="inlineStr">
        <is>
          <t>视野内部</t>
        </is>
      </c>
      <c r="N113" t="inlineStr">
        <is>
          <t>纳入A/D/Dh；若有Pair_ID则纳入CWR</t>
        </is>
      </c>
      <c r="O113" t="inlineStr">
        <is>
          <t>自动管线检出的合格导管腔。</t>
        </is>
      </c>
      <c r="P113" t="inlineStr">
        <is>
          <t>auto_pipeline;review_png_green</t>
        </is>
      </c>
      <c r="Q113" t="inlineStr">
        <is>
          <t>2(13)-P01</t>
        </is>
      </c>
      <c r="R113" t="inlineStr">
        <is>
          <t>样品2</t>
        </is>
      </c>
    </row>
    <row r="114">
      <c r="A114" t="inlineStr">
        <is>
          <t>2(13)-V02</t>
        </is>
      </c>
      <c r="B114" t="inlineStr">
        <is>
          <t>2 (13).tif</t>
        </is>
      </c>
      <c r="C114" t="n">
        <v>565</v>
      </c>
      <c r="D114" t="n">
        <v>436</v>
      </c>
      <c r="E114" t="inlineStr">
        <is>
          <t>509,388,622,485</t>
        </is>
      </c>
      <c r="F114" t="n">
        <v>283</v>
      </c>
      <c r="G114" t="inlineStr">
        <is>
          <t>primary</t>
        </is>
      </c>
      <c r="H114" t="inlineStr">
        <is>
          <t>AUTO_VESSEL</t>
        </is>
      </c>
      <c r="I114" t="inlineStr">
        <is>
          <t>是</t>
        </is>
      </c>
      <c r="J114" t="inlineStr">
        <is>
          <t>纳入</t>
        </is>
      </c>
      <c r="K114" t="n">
        <v>398.9603024574669</v>
      </c>
      <c r="L114">
        <f>导管母表_1781!G114</f>
        <v/>
      </c>
      <c r="M114" t="inlineStr">
        <is>
          <t>视野内部</t>
        </is>
      </c>
      <c r="N114" t="inlineStr">
        <is>
          <t>纳入A/D/Dh；若有Pair_ID则纳入CWR</t>
        </is>
      </c>
      <c r="O114" t="inlineStr">
        <is>
          <t>自动管线检出的合格导管腔。</t>
        </is>
      </c>
      <c r="P114" t="inlineStr">
        <is>
          <t>auto_pipeline;review_png_green</t>
        </is>
      </c>
      <c r="Q114" t="inlineStr">
        <is>
          <t>2(13)-P01</t>
        </is>
      </c>
      <c r="R114" t="inlineStr">
        <is>
          <t>样品2</t>
        </is>
      </c>
    </row>
    <row r="115">
      <c r="A115" t="inlineStr">
        <is>
          <t>2(13)-V03</t>
        </is>
      </c>
      <c r="B115" t="inlineStr">
        <is>
          <t>2 (13).tif</t>
        </is>
      </c>
      <c r="C115" t="n">
        <v>189</v>
      </c>
      <c r="D115" t="n">
        <v>400</v>
      </c>
      <c r="E115" t="inlineStr">
        <is>
          <t>160,342,219,459</t>
        </is>
      </c>
      <c r="F115" t="n">
        <v>160</v>
      </c>
      <c r="G115" t="inlineStr">
        <is>
          <t>primary</t>
        </is>
      </c>
      <c r="H115" t="inlineStr">
        <is>
          <t>AUTO_VESSEL</t>
        </is>
      </c>
      <c r="I115" t="inlineStr">
        <is>
          <t>是</t>
        </is>
      </c>
      <c r="J115" t="inlineStr">
        <is>
          <t>纳入</t>
        </is>
      </c>
      <c r="K115" t="n">
        <v>207.679584120983</v>
      </c>
      <c r="L115">
        <f>导管母表_1781!G115</f>
        <v/>
      </c>
      <c r="M115" t="inlineStr">
        <is>
          <t>视野内部</t>
        </is>
      </c>
      <c r="N115" t="inlineStr">
        <is>
          <t>纳入A/D/Dh；若有Pair_ID则纳入CWR</t>
        </is>
      </c>
      <c r="O115" t="inlineStr">
        <is>
          <t>自动管线检出的合格导管腔。</t>
        </is>
      </c>
      <c r="P115" t="inlineStr">
        <is>
          <t>auto_pipeline;review_png_green</t>
        </is>
      </c>
      <c r="R115" t="inlineStr">
        <is>
          <t>样品2</t>
        </is>
      </c>
    </row>
    <row r="116">
      <c r="A116" t="inlineStr">
        <is>
          <t>2(13)-V04</t>
        </is>
      </c>
      <c r="B116" t="inlineStr">
        <is>
          <t>2 (13).tif</t>
        </is>
      </c>
      <c r="C116" t="n">
        <v>180</v>
      </c>
      <c r="D116" t="n">
        <v>233</v>
      </c>
      <c r="E116" t="inlineStr">
        <is>
          <t>140,198,221,269</t>
        </is>
      </c>
      <c r="F116" t="n">
        <v>140</v>
      </c>
      <c r="G116" t="inlineStr">
        <is>
          <t>primary</t>
        </is>
      </c>
      <c r="H116" t="inlineStr">
        <is>
          <t>AUTO_VESSEL</t>
        </is>
      </c>
      <c r="I116" t="inlineStr">
        <is>
          <t>是</t>
        </is>
      </c>
      <c r="J116" t="inlineStr">
        <is>
          <t>纳入</t>
        </is>
      </c>
      <c r="K116" t="n">
        <v>197.140831758034</v>
      </c>
      <c r="L116">
        <f>导管母表_1781!G116</f>
        <v/>
      </c>
      <c r="M116" t="inlineStr">
        <is>
          <t>视野内部</t>
        </is>
      </c>
      <c r="N116" t="inlineStr">
        <is>
          <t>纳入A/D/Dh；若有Pair_ID则纳入CWR</t>
        </is>
      </c>
      <c r="O116" t="inlineStr">
        <is>
          <t>自动管线检出的合格导管腔。</t>
        </is>
      </c>
      <c r="P116" t="inlineStr">
        <is>
          <t>auto_pipeline;review_png_green</t>
        </is>
      </c>
      <c r="R116" t="inlineStr">
        <is>
          <t>样品2</t>
        </is>
      </c>
    </row>
    <row r="117">
      <c r="A117" t="inlineStr">
        <is>
          <t>2(13)-V05</t>
        </is>
      </c>
      <c r="B117" t="inlineStr">
        <is>
          <t>2 (13).tif</t>
        </is>
      </c>
      <c r="C117" t="n">
        <v>240</v>
      </c>
      <c r="D117" t="n">
        <v>345</v>
      </c>
      <c r="E117" t="inlineStr">
        <is>
          <t>205,320,276,371</t>
        </is>
      </c>
      <c r="F117" t="n">
        <v>205</v>
      </c>
      <c r="G117" t="inlineStr">
        <is>
          <t>primary</t>
        </is>
      </c>
      <c r="H117" t="inlineStr">
        <is>
          <t>AUTO_VESSEL</t>
        </is>
      </c>
      <c r="I117" t="inlineStr">
        <is>
          <t>是</t>
        </is>
      </c>
      <c r="J117" t="inlineStr">
        <is>
          <t>纳入</t>
        </is>
      </c>
      <c r="K117" t="n">
        <v>118.3837429111531</v>
      </c>
      <c r="L117">
        <f>导管母表_1781!G117</f>
        <v/>
      </c>
      <c r="M117" t="inlineStr">
        <is>
          <t>视野内部</t>
        </is>
      </c>
      <c r="N117" t="inlineStr">
        <is>
          <t>纳入A/D/Dh；若有Pair_ID则纳入CWR</t>
        </is>
      </c>
      <c r="O117" t="inlineStr">
        <is>
          <t>自动管线检出的合格导管腔。</t>
        </is>
      </c>
      <c r="P117" t="inlineStr">
        <is>
          <t>auto_pipeline;review_png_green</t>
        </is>
      </c>
      <c r="R117" t="inlineStr">
        <is>
          <t>样品2</t>
        </is>
      </c>
    </row>
    <row r="118">
      <c r="A118" t="inlineStr">
        <is>
          <t>2(13)-V06</t>
        </is>
      </c>
      <c r="B118" t="inlineStr">
        <is>
          <t>2 (13).tif</t>
        </is>
      </c>
      <c r="C118" t="n">
        <v>531</v>
      </c>
      <c r="D118" t="n">
        <v>635</v>
      </c>
      <c r="E118" t="inlineStr">
        <is>
          <t>490,596,573,675</t>
        </is>
      </c>
      <c r="F118" t="n">
        <v>93</v>
      </c>
      <c r="G118" t="inlineStr">
        <is>
          <t>primary</t>
        </is>
      </c>
      <c r="H118" t="inlineStr">
        <is>
          <t>AUTO_VESSEL</t>
        </is>
      </c>
      <c r="I118" t="inlineStr">
        <is>
          <t>是</t>
        </is>
      </c>
      <c r="J118" t="inlineStr">
        <is>
          <t>纳入</t>
        </is>
      </c>
      <c r="K118" t="n">
        <v>114.7448015122873</v>
      </c>
      <c r="L118">
        <f>导管母表_1781!G118</f>
        <v/>
      </c>
      <c r="M118" t="inlineStr">
        <is>
          <t>视野内部</t>
        </is>
      </c>
      <c r="N118" t="inlineStr">
        <is>
          <t>纳入A/D/Dh；若有Pair_ID则纳入CWR</t>
        </is>
      </c>
      <c r="O118" t="inlineStr">
        <is>
          <t>自动管线检出的合格导管腔。</t>
        </is>
      </c>
      <c r="P118" t="inlineStr">
        <is>
          <t>auto_pipeline;review_png_green</t>
        </is>
      </c>
      <c r="R118" t="inlineStr">
        <is>
          <t>样品2</t>
        </is>
      </c>
    </row>
    <row r="119">
      <c r="A119" t="inlineStr">
        <is>
          <t>2(13)-V07</t>
        </is>
      </c>
      <c r="B119" t="inlineStr">
        <is>
          <t>2 (13).tif</t>
        </is>
      </c>
      <c r="C119" t="n">
        <v>948</v>
      </c>
      <c r="D119" t="n">
        <v>44</v>
      </c>
      <c r="E119" t="inlineStr">
        <is>
          <t>923,11,974,78</t>
        </is>
      </c>
      <c r="F119" t="n">
        <v>11</v>
      </c>
      <c r="G119" t="inlineStr">
        <is>
          <t>primary</t>
        </is>
      </c>
      <c r="H119" t="inlineStr">
        <is>
          <t>AUTO_VESSEL</t>
        </is>
      </c>
      <c r="I119" t="inlineStr">
        <is>
          <t>是</t>
        </is>
      </c>
      <c r="J119" t="inlineStr">
        <is>
          <t>纳入</t>
        </is>
      </c>
      <c r="K119" t="n">
        <v>108.8610586011342</v>
      </c>
      <c r="L119">
        <f>导管母表_1781!G119</f>
        <v/>
      </c>
      <c r="M119" t="inlineStr">
        <is>
          <t>近边缘（&lt;25 px）</t>
        </is>
      </c>
      <c r="N119" t="inlineStr">
        <is>
          <t>纳入A/D/Dh；若有Pair_ID则纳入CWR</t>
        </is>
      </c>
      <c r="O119" t="inlineStr">
        <is>
          <t>自动管线检出的合格导管腔。</t>
        </is>
      </c>
      <c r="P119" t="inlineStr">
        <is>
          <t>auto_pipeline;review_png_green</t>
        </is>
      </c>
      <c r="R119" t="inlineStr">
        <is>
          <t>样品2</t>
        </is>
      </c>
    </row>
    <row r="120">
      <c r="A120" t="inlineStr">
        <is>
          <t>2(13)-V08</t>
        </is>
      </c>
      <c r="B120" t="inlineStr">
        <is>
          <t>2 (13).tif</t>
        </is>
      </c>
      <c r="C120" t="n">
        <v>270</v>
      </c>
      <c r="D120" t="n">
        <v>434</v>
      </c>
      <c r="E120" t="inlineStr">
        <is>
          <t>241,410,300,459</t>
        </is>
      </c>
      <c r="F120" t="n">
        <v>241</v>
      </c>
      <c r="G120" t="inlineStr">
        <is>
          <t>primary</t>
        </is>
      </c>
      <c r="H120" t="inlineStr">
        <is>
          <t>AUTO_VESSEL</t>
        </is>
      </c>
      <c r="I120" t="inlineStr">
        <is>
          <t>是</t>
        </is>
      </c>
      <c r="J120" t="inlineStr">
        <is>
          <t>纳入</t>
        </is>
      </c>
      <c r="K120" t="n">
        <v>103.9461247637051</v>
      </c>
      <c r="L120">
        <f>导管母表_1781!G120</f>
        <v/>
      </c>
      <c r="M120" t="inlineStr">
        <is>
          <t>视野内部</t>
        </is>
      </c>
      <c r="N120" t="inlineStr">
        <is>
          <t>纳入A/D/Dh；若有Pair_ID则纳入CWR</t>
        </is>
      </c>
      <c r="O120" t="inlineStr">
        <is>
          <t>自动管线检出的合格导管腔。</t>
        </is>
      </c>
      <c r="P120" t="inlineStr">
        <is>
          <t>auto_pipeline;review_png_green</t>
        </is>
      </c>
      <c r="R120" t="inlineStr">
        <is>
          <t>样品2</t>
        </is>
      </c>
    </row>
    <row r="121">
      <c r="A121" t="inlineStr">
        <is>
          <t>2(14)-V01</t>
        </is>
      </c>
      <c r="B121" t="inlineStr">
        <is>
          <t>2 (14).tif</t>
        </is>
      </c>
      <c r="C121" t="n">
        <v>531</v>
      </c>
      <c r="D121" t="n">
        <v>464</v>
      </c>
      <c r="E121" t="inlineStr">
        <is>
          <t>457,391,606,538</t>
        </is>
      </c>
      <c r="F121" t="n">
        <v>230</v>
      </c>
      <c r="G121" t="inlineStr">
        <is>
          <t>primary</t>
        </is>
      </c>
      <c r="H121" t="inlineStr">
        <is>
          <t>AUTO_VESSEL</t>
        </is>
      </c>
      <c r="I121" t="inlineStr">
        <is>
          <t>是</t>
        </is>
      </c>
      <c r="J121" t="inlineStr">
        <is>
          <t>纳入</t>
        </is>
      </c>
      <c r="K121" t="n">
        <v>800.2126654064273</v>
      </c>
      <c r="L121">
        <f>导管母表_1781!G121</f>
        <v/>
      </c>
      <c r="M121" t="inlineStr">
        <is>
          <t>视野内部</t>
        </is>
      </c>
      <c r="N121" t="inlineStr">
        <is>
          <t>纳入A/D/Dh；若有Pair_ID则纳入CWR</t>
        </is>
      </c>
      <c r="O121" t="inlineStr">
        <is>
          <t>自动管线检出的合格导管腔。</t>
        </is>
      </c>
      <c r="P121" t="inlineStr">
        <is>
          <t>auto_pipeline;review_png_green</t>
        </is>
      </c>
      <c r="Q121" t="inlineStr">
        <is>
          <t>2(14)-P01</t>
        </is>
      </c>
      <c r="R121" t="inlineStr">
        <is>
          <t>样品2</t>
        </is>
      </c>
    </row>
    <row r="122">
      <c r="A122" t="inlineStr">
        <is>
          <t>2(14)-V02</t>
        </is>
      </c>
      <c r="B122" t="inlineStr">
        <is>
          <t>2 (14).tif</t>
        </is>
      </c>
      <c r="C122" t="n">
        <v>157</v>
      </c>
      <c r="D122" t="n">
        <v>373</v>
      </c>
      <c r="E122" t="inlineStr">
        <is>
          <t>89,301,226,446</t>
        </is>
      </c>
      <c r="F122" t="n">
        <v>89</v>
      </c>
      <c r="G122" t="inlineStr">
        <is>
          <t>primary</t>
        </is>
      </c>
      <c r="H122" t="inlineStr">
        <is>
          <t>AUTO_VESSEL</t>
        </is>
      </c>
      <c r="I122" t="inlineStr">
        <is>
          <t>是</t>
        </is>
      </c>
      <c r="J122" t="inlineStr">
        <is>
          <t>纳入</t>
        </is>
      </c>
      <c r="K122" t="n">
        <v>726.1342155009452</v>
      </c>
      <c r="L122">
        <f>导管母表_1781!G122</f>
        <v/>
      </c>
      <c r="M122" t="inlineStr">
        <is>
          <t>视野内部</t>
        </is>
      </c>
      <c r="N122" t="inlineStr">
        <is>
          <t>纳入A/D/Dh；若有Pair_ID则纳入CWR</t>
        </is>
      </c>
      <c r="O122" t="inlineStr">
        <is>
          <t>自动管线检出的合格导管腔。</t>
        </is>
      </c>
      <c r="P122" t="inlineStr">
        <is>
          <t>auto_pipeline;review_png_green</t>
        </is>
      </c>
      <c r="R122" t="inlineStr">
        <is>
          <t>样品2</t>
        </is>
      </c>
    </row>
    <row r="123">
      <c r="A123" t="inlineStr">
        <is>
          <t>2(14)-V03</t>
        </is>
      </c>
      <c r="B123" t="inlineStr">
        <is>
          <t>2 (14).tif</t>
        </is>
      </c>
      <c r="C123" t="n">
        <v>506</v>
      </c>
      <c r="D123" t="n">
        <v>315</v>
      </c>
      <c r="E123" t="inlineStr">
        <is>
          <t>437,252,576,379</t>
        </is>
      </c>
      <c r="F123" t="n">
        <v>252</v>
      </c>
      <c r="G123" t="inlineStr">
        <is>
          <t>primary</t>
        </is>
      </c>
      <c r="H123" t="inlineStr">
        <is>
          <t>AUTO_VESSEL</t>
        </is>
      </c>
      <c r="I123" t="inlineStr">
        <is>
          <t>是</t>
        </is>
      </c>
      <c r="J123" t="inlineStr">
        <is>
          <t>纳入</t>
        </is>
      </c>
      <c r="K123" t="n">
        <v>645.7466918714556</v>
      </c>
      <c r="L123">
        <f>导管母表_1781!G123</f>
        <v/>
      </c>
      <c r="M123" t="inlineStr">
        <is>
          <t>视野内部</t>
        </is>
      </c>
      <c r="N123" t="inlineStr">
        <is>
          <t>纳入A/D/Dh；若有Pair_ID则纳入CWR</t>
        </is>
      </c>
      <c r="O123" t="inlineStr">
        <is>
          <t>自动管线检出的合格导管腔。</t>
        </is>
      </c>
      <c r="P123" t="inlineStr">
        <is>
          <t>auto_pipeline;review_png_green</t>
        </is>
      </c>
      <c r="Q123" t="inlineStr">
        <is>
          <t>2(14)-P01</t>
        </is>
      </c>
      <c r="R123" t="inlineStr">
        <is>
          <t>样品2</t>
        </is>
      </c>
    </row>
    <row r="124">
      <c r="A124" t="inlineStr">
        <is>
          <t>2(14)-V04</t>
        </is>
      </c>
      <c r="B124" t="inlineStr">
        <is>
          <t>2 (14).tif</t>
        </is>
      </c>
      <c r="C124" t="n">
        <v>863</v>
      </c>
      <c r="D124" t="n">
        <v>430</v>
      </c>
      <c r="E124" t="inlineStr">
        <is>
          <t>797,374,930,487</t>
        </is>
      </c>
      <c r="F124" t="n">
        <v>94</v>
      </c>
      <c r="G124" t="inlineStr">
        <is>
          <t>primary</t>
        </is>
      </c>
      <c r="H124" t="inlineStr">
        <is>
          <t>AUTO_VESSEL</t>
        </is>
      </c>
      <c r="I124" t="inlineStr">
        <is>
          <t>是</t>
        </is>
      </c>
      <c r="J124" t="inlineStr">
        <is>
          <t>纳入</t>
        </is>
      </c>
      <c r="K124" t="n">
        <v>530.4347826086956</v>
      </c>
      <c r="L124">
        <f>导管母表_1781!G124</f>
        <v/>
      </c>
      <c r="M124" t="inlineStr">
        <is>
          <t>视野内部</t>
        </is>
      </c>
      <c r="N124" t="inlineStr">
        <is>
          <t>纳入A/D/Dh；若有Pair_ID则纳入CWR</t>
        </is>
      </c>
      <c r="O124" t="inlineStr">
        <is>
          <t>自动管线检出的合格导管腔。</t>
        </is>
      </c>
      <c r="P124" t="inlineStr">
        <is>
          <t>auto_pipeline;review_png_green</t>
        </is>
      </c>
      <c r="R124" t="inlineStr">
        <is>
          <t>样品2</t>
        </is>
      </c>
    </row>
    <row r="125">
      <c r="A125" t="inlineStr">
        <is>
          <t>2(14)-V05</t>
        </is>
      </c>
      <c r="B125" t="inlineStr">
        <is>
          <t>2 (14).tif</t>
        </is>
      </c>
      <c r="C125" t="n">
        <v>158</v>
      </c>
      <c r="D125" t="n">
        <v>219</v>
      </c>
      <c r="E125" t="inlineStr">
        <is>
          <t>100,165,217,274</t>
        </is>
      </c>
      <c r="F125" t="n">
        <v>100</v>
      </c>
      <c r="G125" t="inlineStr">
        <is>
          <t>primary</t>
        </is>
      </c>
      <c r="H125" t="inlineStr">
        <is>
          <t>AUTO_VESSEL</t>
        </is>
      </c>
      <c r="I125" t="inlineStr">
        <is>
          <t>是</t>
        </is>
      </c>
      <c r="J125" t="inlineStr">
        <is>
          <t>纳入</t>
        </is>
      </c>
      <c r="K125" t="n">
        <v>455.6947069943289</v>
      </c>
      <c r="L125">
        <f>导管母表_1781!G125</f>
        <v/>
      </c>
      <c r="M125" t="inlineStr">
        <is>
          <t>视野内部</t>
        </is>
      </c>
      <c r="N125" t="inlineStr">
        <is>
          <t>纳入A/D/Dh；若有Pair_ID则纳入CWR</t>
        </is>
      </c>
      <c r="O125" t="inlineStr">
        <is>
          <t>自动管线检出的合格导管腔。</t>
        </is>
      </c>
      <c r="P125" t="inlineStr">
        <is>
          <t>auto_pipeline;review_png_green</t>
        </is>
      </c>
      <c r="R125" t="inlineStr">
        <is>
          <t>样品2</t>
        </is>
      </c>
    </row>
    <row r="126">
      <c r="A126" t="inlineStr">
        <is>
          <t>2(14)-V06</t>
        </is>
      </c>
      <c r="B126" t="inlineStr">
        <is>
          <t>2 (14).tif</t>
        </is>
      </c>
      <c r="C126" t="n">
        <v>881</v>
      </c>
      <c r="D126" t="n">
        <v>577</v>
      </c>
      <c r="E126" t="inlineStr">
        <is>
          <t>830,525,933,630</t>
        </is>
      </c>
      <c r="F126" t="n">
        <v>91</v>
      </c>
      <c r="G126" t="inlineStr">
        <is>
          <t>primary</t>
        </is>
      </c>
      <c r="H126" t="inlineStr">
        <is>
          <t>AUTO_VESSEL</t>
        </is>
      </c>
      <c r="I126" t="inlineStr">
        <is>
          <t>是</t>
        </is>
      </c>
      <c r="J126" t="inlineStr">
        <is>
          <t>纳入</t>
        </is>
      </c>
      <c r="K126" t="n">
        <v>392.4621928166351</v>
      </c>
      <c r="L126">
        <f>导管母表_1781!G126</f>
        <v/>
      </c>
      <c r="M126" t="inlineStr">
        <is>
          <t>视野内部</t>
        </is>
      </c>
      <c r="N126" t="inlineStr">
        <is>
          <t>纳入A/D/Dh；若有Pair_ID则纳入CWR</t>
        </is>
      </c>
      <c r="O126" t="inlineStr">
        <is>
          <t>自动管线检出的合格导管腔。</t>
        </is>
      </c>
      <c r="P126" t="inlineStr">
        <is>
          <t>auto_pipeline;review_png_green</t>
        </is>
      </c>
      <c r="R126" t="inlineStr">
        <is>
          <t>样品2</t>
        </is>
      </c>
    </row>
    <row r="127">
      <c r="A127" t="inlineStr">
        <is>
          <t>2(14)-V07</t>
        </is>
      </c>
      <c r="B127" t="inlineStr">
        <is>
          <t>2 (14).tif</t>
        </is>
      </c>
      <c r="C127" t="n">
        <v>176</v>
      </c>
      <c r="D127" t="n">
        <v>94</v>
      </c>
      <c r="E127" t="inlineStr">
        <is>
          <t>125,50,228,139</t>
        </is>
      </c>
      <c r="F127" t="n">
        <v>50</v>
      </c>
      <c r="G127" t="inlineStr">
        <is>
          <t>primary</t>
        </is>
      </c>
      <c r="H127" t="inlineStr">
        <is>
          <t>AUTO_VESSEL</t>
        </is>
      </c>
      <c r="I127" t="inlineStr">
        <is>
          <t>是</t>
        </is>
      </c>
      <c r="J127" t="inlineStr">
        <is>
          <t>纳入</t>
        </is>
      </c>
      <c r="K127" t="n">
        <v>332.2778827977316</v>
      </c>
      <c r="L127">
        <f>导管母表_1781!G127</f>
        <v/>
      </c>
      <c r="M127" t="inlineStr">
        <is>
          <t>视野内部</t>
        </is>
      </c>
      <c r="N127" t="inlineStr">
        <is>
          <t>纳入A/D/Dh；若有Pair_ID则纳入CWR</t>
        </is>
      </c>
      <c r="O127" t="inlineStr">
        <is>
          <t>自动管线检出的合格导管腔。</t>
        </is>
      </c>
      <c r="P127" t="inlineStr">
        <is>
          <t>auto_pipeline;review_png_green</t>
        </is>
      </c>
      <c r="R127" t="inlineStr">
        <is>
          <t>样品2</t>
        </is>
      </c>
    </row>
    <row r="128">
      <c r="A128" t="inlineStr">
        <is>
          <t>3(1)-V01</t>
        </is>
      </c>
      <c r="B128" t="inlineStr">
        <is>
          <t>3 (1).tif</t>
        </is>
      </c>
      <c r="C128" t="n">
        <v>93</v>
      </c>
      <c r="D128" t="n">
        <v>147</v>
      </c>
      <c r="E128" t="inlineStr">
        <is>
          <t>24,60,163,235</t>
        </is>
      </c>
      <c r="F128" t="n">
        <v>24</v>
      </c>
      <c r="G128" t="inlineStr">
        <is>
          <t>primary</t>
        </is>
      </c>
      <c r="H128" t="inlineStr">
        <is>
          <t>AUTO_VESSEL</t>
        </is>
      </c>
      <c r="I128" t="inlineStr">
        <is>
          <t>是</t>
        </is>
      </c>
      <c r="J128" t="inlineStr">
        <is>
          <t>纳入</t>
        </is>
      </c>
      <c r="K128" t="n">
        <v>891.2098298676749</v>
      </c>
      <c r="L128">
        <f>导管母表_1781!G128</f>
        <v/>
      </c>
      <c r="M128" t="inlineStr">
        <is>
          <t>近边缘（&lt;25 px）</t>
        </is>
      </c>
      <c r="N128" t="inlineStr">
        <is>
          <t>纳入A/D/Dh；若有Pair_ID则纳入CWR</t>
        </is>
      </c>
      <c r="O128" t="inlineStr">
        <is>
          <t>自动管线检出的合格导管腔。</t>
        </is>
      </c>
      <c r="P128" t="inlineStr">
        <is>
          <t>auto_pipeline;review_png_green</t>
        </is>
      </c>
      <c r="R128" t="inlineStr">
        <is>
          <t>样品3</t>
        </is>
      </c>
    </row>
    <row r="129">
      <c r="A129" t="inlineStr">
        <is>
          <t>3(1)-V02</t>
        </is>
      </c>
      <c r="B129" t="inlineStr">
        <is>
          <t>3 (1).tif</t>
        </is>
      </c>
      <c r="C129" t="n">
        <v>519</v>
      </c>
      <c r="D129" t="n">
        <v>450</v>
      </c>
      <c r="E129" t="inlineStr">
        <is>
          <t>456,386,583,515</t>
        </is>
      </c>
      <c r="F129" t="n">
        <v>253</v>
      </c>
      <c r="G129" t="inlineStr">
        <is>
          <t>primary</t>
        </is>
      </c>
      <c r="H129" t="inlineStr">
        <is>
          <t>AUTO_VESSEL</t>
        </is>
      </c>
      <c r="I129" t="inlineStr">
        <is>
          <t>是</t>
        </is>
      </c>
      <c r="J129" t="inlineStr">
        <is>
          <t>纳入</t>
        </is>
      </c>
      <c r="K129" t="n">
        <v>598.3695652173913</v>
      </c>
      <c r="L129">
        <f>导管母表_1781!G129</f>
        <v/>
      </c>
      <c r="M129" t="inlineStr">
        <is>
          <t>视野内部</t>
        </is>
      </c>
      <c r="N129" t="inlineStr">
        <is>
          <t>纳入A/D/Dh；若有Pair_ID则纳入CWR</t>
        </is>
      </c>
      <c r="O129" t="inlineStr">
        <is>
          <t>自动管线检出的合格导管腔。</t>
        </is>
      </c>
      <c r="P129" t="inlineStr">
        <is>
          <t>auto_pipeline;review_png_green</t>
        </is>
      </c>
      <c r="Q129" t="inlineStr">
        <is>
          <t>3(1)-P01</t>
        </is>
      </c>
      <c r="R129" t="inlineStr">
        <is>
          <t>样品3</t>
        </is>
      </c>
    </row>
    <row r="130">
      <c r="A130" t="inlineStr">
        <is>
          <t>3(1)-V03</t>
        </is>
      </c>
      <c r="B130" t="inlineStr">
        <is>
          <t>3 (1).tif</t>
        </is>
      </c>
      <c r="C130" t="n">
        <v>121</v>
      </c>
      <c r="D130" t="n">
        <v>466</v>
      </c>
      <c r="E130" t="inlineStr">
        <is>
          <t>69,392,174,541</t>
        </is>
      </c>
      <c r="F130" t="n">
        <v>69</v>
      </c>
      <c r="G130" t="inlineStr">
        <is>
          <t>primary</t>
        </is>
      </c>
      <c r="H130" t="inlineStr">
        <is>
          <t>AUTO_VESSEL</t>
        </is>
      </c>
      <c r="I130" t="inlineStr">
        <is>
          <t>是</t>
        </is>
      </c>
      <c r="J130" t="inlineStr">
        <is>
          <t>纳入</t>
        </is>
      </c>
      <c r="K130" t="n">
        <v>571.5500945179584</v>
      </c>
      <c r="L130">
        <f>导管母表_1781!G130</f>
        <v/>
      </c>
      <c r="M130" t="inlineStr">
        <is>
          <t>视野内部</t>
        </is>
      </c>
      <c r="N130" t="inlineStr">
        <is>
          <t>纳入A/D/Dh；若有Pair_ID则纳入CWR</t>
        </is>
      </c>
      <c r="O130" t="inlineStr">
        <is>
          <t>自动管线检出的合格导管腔。</t>
        </is>
      </c>
      <c r="P130" t="inlineStr">
        <is>
          <t>auto_pipeline;review_png_green</t>
        </is>
      </c>
      <c r="R130" t="inlineStr">
        <is>
          <t>样品3</t>
        </is>
      </c>
    </row>
    <row r="131">
      <c r="A131" t="inlineStr">
        <is>
          <t>3(1)-V04</t>
        </is>
      </c>
      <c r="B131" t="inlineStr">
        <is>
          <t>3 (1).tif</t>
        </is>
      </c>
      <c r="C131" t="n">
        <v>489</v>
      </c>
      <c r="D131" t="n">
        <v>315</v>
      </c>
      <c r="E131" t="inlineStr">
        <is>
          <t>424,256,555,375</t>
        </is>
      </c>
      <c r="F131" t="n">
        <v>256</v>
      </c>
      <c r="G131" t="inlineStr">
        <is>
          <t>primary</t>
        </is>
      </c>
      <c r="H131" t="inlineStr">
        <is>
          <t>AUTO_VESSEL</t>
        </is>
      </c>
      <c r="I131" t="inlineStr">
        <is>
          <t>是</t>
        </is>
      </c>
      <c r="J131" t="inlineStr">
        <is>
          <t>纳入</t>
        </is>
      </c>
      <c r="K131" t="n">
        <v>567.6984877126654</v>
      </c>
      <c r="L131">
        <f>导管母表_1781!G131</f>
        <v/>
      </c>
      <c r="M131" t="inlineStr">
        <is>
          <t>视野内部</t>
        </is>
      </c>
      <c r="N131" t="inlineStr">
        <is>
          <t>纳入A/D/Dh；若有Pair_ID则纳入CWR</t>
        </is>
      </c>
      <c r="O131" t="inlineStr">
        <is>
          <t>自动管线检出的合格导管腔。</t>
        </is>
      </c>
      <c r="P131" t="inlineStr">
        <is>
          <t>auto_pipeline;review_png_green</t>
        </is>
      </c>
      <c r="Q131" t="inlineStr">
        <is>
          <t>3(1)-P01</t>
        </is>
      </c>
      <c r="R131" t="inlineStr">
        <is>
          <t>样品3</t>
        </is>
      </c>
    </row>
    <row r="132">
      <c r="A132" t="inlineStr">
        <is>
          <t>3(1)-V05</t>
        </is>
      </c>
      <c r="B132" t="inlineStr">
        <is>
          <t>3 (1).tif</t>
        </is>
      </c>
      <c r="C132" t="n">
        <v>625</v>
      </c>
      <c r="D132" t="n">
        <v>554</v>
      </c>
      <c r="E132" t="inlineStr">
        <is>
          <t>592,512,659,597</t>
        </is>
      </c>
      <c r="F132" t="n">
        <v>171</v>
      </c>
      <c r="G132" t="inlineStr">
        <is>
          <t>primary</t>
        </is>
      </c>
      <c r="H132" t="inlineStr">
        <is>
          <t>AUTO_VESSEL</t>
        </is>
      </c>
      <c r="I132" t="inlineStr">
        <is>
          <t>是</t>
        </is>
      </c>
      <c r="J132" t="inlineStr">
        <is>
          <t>纳入</t>
        </is>
      </c>
      <c r="K132" t="n">
        <v>205.5529300567108</v>
      </c>
      <c r="L132">
        <f>导管母表_1781!G132</f>
        <v/>
      </c>
      <c r="M132" t="inlineStr">
        <is>
          <t>视野内部</t>
        </is>
      </c>
      <c r="N132" t="inlineStr">
        <is>
          <t>纳入A/D/Dh；若有Pair_ID则纳入CWR</t>
        </is>
      </c>
      <c r="O132" t="inlineStr">
        <is>
          <t>自动管线检出的合格导管腔。</t>
        </is>
      </c>
      <c r="P132" t="inlineStr">
        <is>
          <t>auto_pipeline;review_png_green</t>
        </is>
      </c>
      <c r="R132" t="inlineStr">
        <is>
          <t>样品3</t>
        </is>
      </c>
    </row>
    <row r="133">
      <c r="A133" t="inlineStr">
        <is>
          <t>3(2)-V01</t>
        </is>
      </c>
      <c r="B133" t="inlineStr">
        <is>
          <t>3 (2).tif</t>
        </is>
      </c>
      <c r="C133" t="n">
        <v>475</v>
      </c>
      <c r="D133" t="n">
        <v>245</v>
      </c>
      <c r="E133" t="inlineStr">
        <is>
          <t>374,136,577,355</t>
        </is>
      </c>
      <c r="F133" t="n">
        <v>136</v>
      </c>
      <c r="G133" t="inlineStr">
        <is>
          <t>primary</t>
        </is>
      </c>
      <c r="H133" t="inlineStr">
        <is>
          <t>AUTO_VESSEL</t>
        </is>
      </c>
      <c r="I133" t="inlineStr">
        <is>
          <t>是</t>
        </is>
      </c>
      <c r="J133" t="inlineStr">
        <is>
          <t>纳入</t>
        </is>
      </c>
      <c r="K133" t="n">
        <v>1610.751417769376</v>
      </c>
      <c r="L133">
        <f>导管母表_1781!G133</f>
        <v/>
      </c>
      <c r="M133" t="inlineStr">
        <is>
          <t>视野内部</t>
        </is>
      </c>
      <c r="N133" t="inlineStr">
        <is>
          <t>纳入A/D/Dh；若有Pair_ID则纳入CWR</t>
        </is>
      </c>
      <c r="O133" t="inlineStr">
        <is>
          <t>自动管线检出的合格导管腔。</t>
        </is>
      </c>
      <c r="P133" t="inlineStr">
        <is>
          <t>auto_pipeline;review_png_green</t>
        </is>
      </c>
      <c r="Q133" t="inlineStr">
        <is>
          <t>3(2)-P01</t>
        </is>
      </c>
      <c r="R133" t="inlineStr">
        <is>
          <t>样品3</t>
        </is>
      </c>
    </row>
    <row r="134">
      <c r="A134" t="inlineStr">
        <is>
          <t>3(2)-V02</t>
        </is>
      </c>
      <c r="B134" t="inlineStr">
        <is>
          <t>3 (2).tif</t>
        </is>
      </c>
      <c r="C134" t="n">
        <v>433</v>
      </c>
      <c r="D134" t="n">
        <v>449</v>
      </c>
      <c r="E134" t="inlineStr">
        <is>
          <t>350,370,517,529</t>
        </is>
      </c>
      <c r="F134" t="n">
        <v>239</v>
      </c>
      <c r="G134" t="inlineStr">
        <is>
          <t>primary</t>
        </is>
      </c>
      <c r="H134" t="inlineStr">
        <is>
          <t>AUTO_VESSEL</t>
        </is>
      </c>
      <c r="I134" t="inlineStr">
        <is>
          <t>是</t>
        </is>
      </c>
      <c r="J134" t="inlineStr">
        <is>
          <t>纳入</t>
        </is>
      </c>
      <c r="K134" t="n">
        <v>970.9120982986767</v>
      </c>
      <c r="L134">
        <f>导管母表_1781!G134</f>
        <v/>
      </c>
      <c r="M134" t="inlineStr">
        <is>
          <t>视野内部</t>
        </is>
      </c>
      <c r="N134" t="inlineStr">
        <is>
          <t>纳入A/D/Dh；若有Pair_ID则纳入CWR</t>
        </is>
      </c>
      <c r="O134" t="inlineStr">
        <is>
          <t>自动管线检出的合格导管腔。</t>
        </is>
      </c>
      <c r="P134" t="inlineStr">
        <is>
          <t>auto_pipeline;review_png_green</t>
        </is>
      </c>
      <c r="Q134" t="inlineStr">
        <is>
          <t>3(2)-P01</t>
        </is>
      </c>
      <c r="R134" t="inlineStr">
        <is>
          <t>样品3</t>
        </is>
      </c>
    </row>
    <row r="135">
      <c r="A135" t="inlineStr">
        <is>
          <t>3(2)-V03</t>
        </is>
      </c>
      <c r="B135" t="inlineStr">
        <is>
          <t>3 (2).tif</t>
        </is>
      </c>
      <c r="C135" t="n">
        <v>797</v>
      </c>
      <c r="D135" t="n">
        <v>242</v>
      </c>
      <c r="E135" t="inlineStr">
        <is>
          <t>721,163,874,322</t>
        </is>
      </c>
      <c r="F135" t="n">
        <v>150</v>
      </c>
      <c r="G135" t="inlineStr">
        <is>
          <t>primary</t>
        </is>
      </c>
      <c r="H135" t="inlineStr">
        <is>
          <t>AUTO_VESSEL</t>
        </is>
      </c>
      <c r="I135" t="inlineStr">
        <is>
          <t>是</t>
        </is>
      </c>
      <c r="J135" t="inlineStr">
        <is>
          <t>纳入</t>
        </is>
      </c>
      <c r="K135" t="n">
        <v>890.2410207939508</v>
      </c>
      <c r="L135">
        <f>导管母表_1781!G135</f>
        <v/>
      </c>
      <c r="M135" t="inlineStr">
        <is>
          <t>视野内部</t>
        </is>
      </c>
      <c r="N135" t="inlineStr">
        <is>
          <t>纳入A/D/Dh；若有Pair_ID则纳入CWR</t>
        </is>
      </c>
      <c r="O135" t="inlineStr">
        <is>
          <t>自动管线检出的合格导管腔。</t>
        </is>
      </c>
      <c r="P135" t="inlineStr">
        <is>
          <t>auto_pipeline;review_png_green</t>
        </is>
      </c>
      <c r="R135" t="inlineStr">
        <is>
          <t>样品3</t>
        </is>
      </c>
    </row>
    <row r="136">
      <c r="A136" t="inlineStr">
        <is>
          <t>3(2)-V04</t>
        </is>
      </c>
      <c r="B136" t="inlineStr">
        <is>
          <t>3 (2).tif</t>
        </is>
      </c>
      <c r="C136" t="n">
        <v>219</v>
      </c>
      <c r="D136" t="n">
        <v>99</v>
      </c>
      <c r="E136" t="inlineStr">
        <is>
          <t>148,19,291,180</t>
        </is>
      </c>
      <c r="F136" t="n">
        <v>19</v>
      </c>
      <c r="G136" t="inlineStr">
        <is>
          <t>primary</t>
        </is>
      </c>
      <c r="H136" t="inlineStr">
        <is>
          <t>AUTO_VESSEL</t>
        </is>
      </c>
      <c r="I136" t="inlineStr">
        <is>
          <t>是</t>
        </is>
      </c>
      <c r="J136" t="inlineStr">
        <is>
          <t>纳入</t>
        </is>
      </c>
      <c r="K136" t="n">
        <v>840.8317580340265</v>
      </c>
      <c r="L136">
        <f>导管母表_1781!G136</f>
        <v/>
      </c>
      <c r="M136" t="inlineStr">
        <is>
          <t>近边缘（&lt;25 px）</t>
        </is>
      </c>
      <c r="N136" t="inlineStr">
        <is>
          <t>纳入A/D/Dh；若有Pair_ID则纳入CWR</t>
        </is>
      </c>
      <c r="O136" t="inlineStr">
        <is>
          <t>自动管线检出的合格导管腔。</t>
        </is>
      </c>
      <c r="P136" t="inlineStr">
        <is>
          <t>auto_pipeline;review_png_green</t>
        </is>
      </c>
      <c r="R136" t="inlineStr">
        <is>
          <t>样品3</t>
        </is>
      </c>
    </row>
    <row r="137">
      <c r="A137" t="inlineStr">
        <is>
          <t>3(2)-V05</t>
        </is>
      </c>
      <c r="B137" t="inlineStr">
        <is>
          <t>3 (2).tif</t>
        </is>
      </c>
      <c r="C137" t="n">
        <v>981</v>
      </c>
      <c r="D137" t="n">
        <v>272</v>
      </c>
      <c r="E137" t="inlineStr">
        <is>
          <t>960,222,1003,323</t>
        </is>
      </c>
      <c r="F137" t="n">
        <v>21</v>
      </c>
      <c r="G137" t="inlineStr">
        <is>
          <t>primary</t>
        </is>
      </c>
      <c r="H137" t="inlineStr">
        <is>
          <t>AUTO_VESSEL</t>
        </is>
      </c>
      <c r="I137" t="inlineStr">
        <is>
          <t>是</t>
        </is>
      </c>
      <c r="J137" t="inlineStr">
        <is>
          <t>纳入</t>
        </is>
      </c>
      <c r="K137" t="n">
        <v>108.4120982986768</v>
      </c>
      <c r="L137">
        <f>导管母表_1781!G137</f>
        <v/>
      </c>
      <c r="M137" t="inlineStr">
        <is>
          <t>近边缘（&lt;25 px）</t>
        </is>
      </c>
      <c r="N137" t="inlineStr">
        <is>
          <t>纳入A/D/Dh；若有Pair_ID则纳入CWR</t>
        </is>
      </c>
      <c r="O137" t="inlineStr">
        <is>
          <t>自动管线检出的合格导管腔。</t>
        </is>
      </c>
      <c r="P137" t="inlineStr">
        <is>
          <t>auto_pipeline;review_png_green</t>
        </is>
      </c>
      <c r="R137" t="inlineStr">
        <is>
          <t>样品3</t>
        </is>
      </c>
    </row>
    <row r="138">
      <c r="A138" t="inlineStr">
        <is>
          <t>3(3)-V01</t>
        </is>
      </c>
      <c r="B138" t="inlineStr">
        <is>
          <t>3 (3).tif</t>
        </is>
      </c>
      <c r="C138" t="n">
        <v>447</v>
      </c>
      <c r="D138" t="n">
        <v>290</v>
      </c>
      <c r="E138" t="inlineStr">
        <is>
          <t>376,204,519,377</t>
        </is>
      </c>
      <c r="F138" t="n">
        <v>204</v>
      </c>
      <c r="G138" t="inlineStr">
        <is>
          <t>primary</t>
        </is>
      </c>
      <c r="H138" t="inlineStr">
        <is>
          <t>AUTO_VESSEL</t>
        </is>
      </c>
      <c r="I138" t="inlineStr">
        <is>
          <t>是</t>
        </is>
      </c>
      <c r="J138" t="inlineStr">
        <is>
          <t>纳入</t>
        </is>
      </c>
      <c r="K138" t="n">
        <v>906.7107750472589</v>
      </c>
      <c r="L138">
        <f>导管母表_1781!G138</f>
        <v/>
      </c>
      <c r="M138" t="inlineStr">
        <is>
          <t>视野内部</t>
        </is>
      </c>
      <c r="N138" t="inlineStr">
        <is>
          <t>纳入A/D/Dh；若有Pair_ID则纳入CWR</t>
        </is>
      </c>
      <c r="O138" t="inlineStr">
        <is>
          <t>自动管线检出的合格导管腔。</t>
        </is>
      </c>
      <c r="P138" t="inlineStr">
        <is>
          <t>auto_pipeline;review_png_green</t>
        </is>
      </c>
      <c r="R138" t="inlineStr">
        <is>
          <t>样品3</t>
        </is>
      </c>
    </row>
    <row r="139">
      <c r="A139" t="inlineStr">
        <is>
          <t>3(3)-V02</t>
        </is>
      </c>
      <c r="B139" t="inlineStr">
        <is>
          <t>3 (3).tif</t>
        </is>
      </c>
      <c r="C139" t="n">
        <v>206</v>
      </c>
      <c r="D139" t="n">
        <v>359</v>
      </c>
      <c r="E139" t="inlineStr">
        <is>
          <t>151,292,262,427</t>
        </is>
      </c>
      <c r="F139" t="n">
        <v>151</v>
      </c>
      <c r="G139" t="inlineStr">
        <is>
          <t>primary</t>
        </is>
      </c>
      <c r="H139" t="inlineStr">
        <is>
          <t>AUTO_VESSEL</t>
        </is>
      </c>
      <c r="I139" t="inlineStr">
        <is>
          <t>是</t>
        </is>
      </c>
      <c r="J139" t="inlineStr">
        <is>
          <t>纳入</t>
        </is>
      </c>
      <c r="K139" t="n">
        <v>546.7627599243856</v>
      </c>
      <c r="L139">
        <f>导管母表_1781!G139</f>
        <v/>
      </c>
      <c r="M139" t="inlineStr">
        <is>
          <t>视野内部</t>
        </is>
      </c>
      <c r="N139" t="inlineStr">
        <is>
          <t>纳入A/D/Dh；若有Pair_ID则纳入CWR</t>
        </is>
      </c>
      <c r="O139" t="inlineStr">
        <is>
          <t>自动管线检出的合格导管腔。</t>
        </is>
      </c>
      <c r="P139" t="inlineStr">
        <is>
          <t>auto_pipeline;review_png_green</t>
        </is>
      </c>
      <c r="R139" t="inlineStr">
        <is>
          <t>样品3</t>
        </is>
      </c>
    </row>
    <row r="140">
      <c r="A140" t="inlineStr">
        <is>
          <t>3(4)-V01</t>
        </is>
      </c>
      <c r="B140" t="inlineStr">
        <is>
          <t>3 (4).tif</t>
        </is>
      </c>
      <c r="C140" t="n">
        <v>445</v>
      </c>
      <c r="D140" t="n">
        <v>288</v>
      </c>
      <c r="E140" t="inlineStr">
        <is>
          <t>355,201,536,376</t>
        </is>
      </c>
      <c r="F140" t="n">
        <v>201</v>
      </c>
      <c r="G140" t="inlineStr">
        <is>
          <t>primary</t>
        </is>
      </c>
      <c r="H140" t="inlineStr">
        <is>
          <t>AUTO_VESSEL</t>
        </is>
      </c>
      <c r="I140" t="inlineStr">
        <is>
          <t>是</t>
        </is>
      </c>
      <c r="J140" t="inlineStr">
        <is>
          <t>纳入</t>
        </is>
      </c>
      <c r="K140" t="n">
        <v>1162.405482041588</v>
      </c>
      <c r="L140">
        <f>导管母表_1781!G140</f>
        <v/>
      </c>
      <c r="M140" t="inlineStr">
        <is>
          <t>视野内部</t>
        </is>
      </c>
      <c r="N140" t="inlineStr">
        <is>
          <t>纳入A/D/Dh；若有Pair_ID则纳入CWR</t>
        </is>
      </c>
      <c r="O140" t="inlineStr">
        <is>
          <t>自动管线检出的合格导管腔。</t>
        </is>
      </c>
      <c r="P140" t="inlineStr">
        <is>
          <t>auto_pipeline;review_png_green</t>
        </is>
      </c>
      <c r="Q140" t="inlineStr">
        <is>
          <t>3(4)-P01</t>
        </is>
      </c>
      <c r="R140" t="inlineStr">
        <is>
          <t>样品3</t>
        </is>
      </c>
    </row>
    <row r="141">
      <c r="A141" t="inlineStr">
        <is>
          <t>3(4)-V02</t>
        </is>
      </c>
      <c r="B141" t="inlineStr">
        <is>
          <t>3 (4).tif</t>
        </is>
      </c>
      <c r="C141" t="n">
        <v>529</v>
      </c>
      <c r="D141" t="n">
        <v>464</v>
      </c>
      <c r="E141" t="inlineStr">
        <is>
          <t>446,378,613,551</t>
        </is>
      </c>
      <c r="F141" t="n">
        <v>217</v>
      </c>
      <c r="G141" t="inlineStr">
        <is>
          <t>primary</t>
        </is>
      </c>
      <c r="H141" t="inlineStr">
        <is>
          <t>AUTO_VESSEL</t>
        </is>
      </c>
      <c r="I141" t="inlineStr">
        <is>
          <t>是</t>
        </is>
      </c>
      <c r="J141" t="inlineStr">
        <is>
          <t>纳入</t>
        </is>
      </c>
      <c r="K141" t="n">
        <v>1058.057655954631</v>
      </c>
      <c r="L141">
        <f>导管母表_1781!G141</f>
        <v/>
      </c>
      <c r="M141" t="inlineStr">
        <is>
          <t>视野内部</t>
        </is>
      </c>
      <c r="N141" t="inlineStr">
        <is>
          <t>纳入A/D/Dh；若有Pair_ID则纳入CWR</t>
        </is>
      </c>
      <c r="O141" t="inlineStr">
        <is>
          <t>自动管线检出的合格导管腔。</t>
        </is>
      </c>
      <c r="P141" t="inlineStr">
        <is>
          <t>auto_pipeline;review_png_green</t>
        </is>
      </c>
      <c r="Q141" t="inlineStr">
        <is>
          <t>3(4)-P01</t>
        </is>
      </c>
      <c r="R141" t="inlineStr">
        <is>
          <t>样品3</t>
        </is>
      </c>
    </row>
    <row r="142">
      <c r="A142" t="inlineStr">
        <is>
          <t>3(4)-V03</t>
        </is>
      </c>
      <c r="B142" t="inlineStr">
        <is>
          <t>3 (4).tif</t>
        </is>
      </c>
      <c r="C142" t="n">
        <v>661</v>
      </c>
      <c r="D142" t="n">
        <v>90</v>
      </c>
      <c r="E142" t="inlineStr">
        <is>
          <t>588,9,735,172</t>
        </is>
      </c>
      <c r="F142" t="n">
        <v>9</v>
      </c>
      <c r="G142" t="inlineStr">
        <is>
          <t>primary</t>
        </is>
      </c>
      <c r="H142" t="inlineStr">
        <is>
          <t>AUTO_VESSEL</t>
        </is>
      </c>
      <c r="I142" t="inlineStr">
        <is>
          <t>是</t>
        </is>
      </c>
      <c r="J142" t="inlineStr">
        <is>
          <t>纳入</t>
        </is>
      </c>
      <c r="K142" t="n">
        <v>854.3714555765596</v>
      </c>
      <c r="L142">
        <f>导管母表_1781!G142</f>
        <v/>
      </c>
      <c r="M142" t="inlineStr">
        <is>
          <t>近边缘（&lt;25 px）</t>
        </is>
      </c>
      <c r="N142" t="inlineStr">
        <is>
          <t>纳入A/D/Dh；若有Pair_ID则纳入CWR</t>
        </is>
      </c>
      <c r="O142" t="inlineStr">
        <is>
          <t>自动管线检出的合格导管腔。</t>
        </is>
      </c>
      <c r="P142" t="inlineStr">
        <is>
          <t>auto_pipeline;review_png_green</t>
        </is>
      </c>
      <c r="R142" t="inlineStr">
        <is>
          <t>样品3</t>
        </is>
      </c>
    </row>
    <row r="143">
      <c r="A143" t="inlineStr">
        <is>
          <t>3(4)-V04</t>
        </is>
      </c>
      <c r="B143" t="inlineStr">
        <is>
          <t>3 (4).tif</t>
        </is>
      </c>
      <c r="C143" t="n">
        <v>379</v>
      </c>
      <c r="D143" t="n">
        <v>471</v>
      </c>
      <c r="E143" t="inlineStr">
        <is>
          <t>317,398,442,545</t>
        </is>
      </c>
      <c r="F143" t="n">
        <v>223</v>
      </c>
      <c r="G143" t="inlineStr">
        <is>
          <t>primary</t>
        </is>
      </c>
      <c r="H143" t="inlineStr">
        <is>
          <t>AUTO_VESSEL</t>
        </is>
      </c>
      <c r="I143" t="inlineStr">
        <is>
          <t>是</t>
        </is>
      </c>
      <c r="J143" t="inlineStr">
        <is>
          <t>纳入</t>
        </is>
      </c>
      <c r="K143" t="n">
        <v>608.0812854442344</v>
      </c>
      <c r="L143">
        <f>导管母表_1781!G143</f>
        <v/>
      </c>
      <c r="M143" t="inlineStr">
        <is>
          <t>视野内部</t>
        </is>
      </c>
      <c r="N143" t="inlineStr">
        <is>
          <t>纳入A/D/Dh；若有Pair_ID则纳入CWR</t>
        </is>
      </c>
      <c r="O143" t="inlineStr">
        <is>
          <t>自动管线检出的合格导管腔。</t>
        </is>
      </c>
      <c r="P143" t="inlineStr">
        <is>
          <t>auto_pipeline;review_png_green</t>
        </is>
      </c>
      <c r="R143" t="inlineStr">
        <is>
          <t>样品3</t>
        </is>
      </c>
    </row>
    <row r="144">
      <c r="A144" t="inlineStr">
        <is>
          <t>3(4)-V05</t>
        </is>
      </c>
      <c r="B144" t="inlineStr">
        <is>
          <t>3 (4).tif</t>
        </is>
      </c>
      <c r="C144" t="n">
        <v>156</v>
      </c>
      <c r="D144" t="n">
        <v>593</v>
      </c>
      <c r="E144" t="inlineStr">
        <is>
          <t>95,526,218,661</t>
        </is>
      </c>
      <c r="F144" t="n">
        <v>95</v>
      </c>
      <c r="G144" t="inlineStr">
        <is>
          <t>primary</t>
        </is>
      </c>
      <c r="H144" t="inlineStr">
        <is>
          <t>AUTO_VESSEL</t>
        </is>
      </c>
      <c r="I144" t="inlineStr">
        <is>
          <t>是</t>
        </is>
      </c>
      <c r="J144" t="inlineStr">
        <is>
          <t>纳入</t>
        </is>
      </c>
      <c r="K144" t="n">
        <v>603.6862003780718</v>
      </c>
      <c r="L144">
        <f>导管母表_1781!G144</f>
        <v/>
      </c>
      <c r="M144" t="inlineStr">
        <is>
          <t>视野内部</t>
        </is>
      </c>
      <c r="N144" t="inlineStr">
        <is>
          <t>纳入A/D/Dh；若有Pair_ID则纳入CWR</t>
        </is>
      </c>
      <c r="O144" t="inlineStr">
        <is>
          <t>自动管线检出的合格导管腔。</t>
        </is>
      </c>
      <c r="P144" t="inlineStr">
        <is>
          <t>auto_pipeline;review_png_green</t>
        </is>
      </c>
      <c r="R144" t="inlineStr">
        <is>
          <t>样品3</t>
        </is>
      </c>
    </row>
    <row r="145">
      <c r="A145" t="inlineStr">
        <is>
          <t>3(4)-V06</t>
        </is>
      </c>
      <c r="B145" t="inlineStr">
        <is>
          <t>3 (4).tif</t>
        </is>
      </c>
      <c r="C145" t="n">
        <v>955</v>
      </c>
      <c r="D145" t="n">
        <v>231</v>
      </c>
      <c r="E145" t="inlineStr">
        <is>
          <t>894,176,1017,287</t>
        </is>
      </c>
      <c r="F145" t="n">
        <v>7</v>
      </c>
      <c r="G145" t="inlineStr">
        <is>
          <t>primary</t>
        </is>
      </c>
      <c r="H145" t="inlineStr">
        <is>
          <t>AUTO_VESSEL</t>
        </is>
      </c>
      <c r="I145" t="inlineStr">
        <is>
          <t>是</t>
        </is>
      </c>
      <c r="J145" t="inlineStr">
        <is>
          <t>纳入</t>
        </is>
      </c>
      <c r="K145" t="n">
        <v>498.2041587901701</v>
      </c>
      <c r="L145">
        <f>导管母表_1781!G145</f>
        <v/>
      </c>
      <c r="M145" t="inlineStr">
        <is>
          <t>近边缘（&lt;25 px）</t>
        </is>
      </c>
      <c r="N145" t="inlineStr">
        <is>
          <t>纳入A/D/Dh；若有Pair_ID则纳入CWR</t>
        </is>
      </c>
      <c r="O145" t="inlineStr">
        <is>
          <t>自动管线检出的合格导管腔。</t>
        </is>
      </c>
      <c r="P145" t="inlineStr">
        <is>
          <t>auto_pipeline;review_png_green</t>
        </is>
      </c>
      <c r="R145" t="inlineStr">
        <is>
          <t>样品3</t>
        </is>
      </c>
    </row>
    <row r="146">
      <c r="A146" t="inlineStr">
        <is>
          <t>3(4)-V07</t>
        </is>
      </c>
      <c r="B146" t="inlineStr">
        <is>
          <t>3 (4).tif</t>
        </is>
      </c>
      <c r="C146" t="n">
        <v>891</v>
      </c>
      <c r="D146" t="n">
        <v>73</v>
      </c>
      <c r="E146" t="inlineStr">
        <is>
          <t>852,40,931,107</t>
        </is>
      </c>
      <c r="F146" t="n">
        <v>40</v>
      </c>
      <c r="G146" t="inlineStr">
        <is>
          <t>primary</t>
        </is>
      </c>
      <c r="H146" t="inlineStr">
        <is>
          <t>AUTO_VESSEL</t>
        </is>
      </c>
      <c r="I146" t="inlineStr">
        <is>
          <t>是</t>
        </is>
      </c>
      <c r="J146" t="inlineStr">
        <is>
          <t>纳入</t>
        </is>
      </c>
      <c r="K146" t="n">
        <v>174.6691871455577</v>
      </c>
      <c r="L146">
        <f>导管母表_1781!G146</f>
        <v/>
      </c>
      <c r="M146" t="inlineStr">
        <is>
          <t>视野内部</t>
        </is>
      </c>
      <c r="N146" t="inlineStr">
        <is>
          <t>纳入A/D/Dh；若有Pair_ID则纳入CWR</t>
        </is>
      </c>
      <c r="O146" t="inlineStr">
        <is>
          <t>自动管线检出的合格导管腔。</t>
        </is>
      </c>
      <c r="P146" t="inlineStr">
        <is>
          <t>auto_pipeline;review_png_green</t>
        </is>
      </c>
      <c r="R146" t="inlineStr">
        <is>
          <t>样品3</t>
        </is>
      </c>
    </row>
    <row r="147">
      <c r="A147" t="inlineStr">
        <is>
          <t>3(5)-V01</t>
        </is>
      </c>
      <c r="B147" t="inlineStr">
        <is>
          <t>3 (5).tif</t>
        </is>
      </c>
      <c r="C147" t="n">
        <v>528</v>
      </c>
      <c r="D147" t="n">
        <v>445</v>
      </c>
      <c r="E147" t="inlineStr">
        <is>
          <t>454,374,603,517</t>
        </is>
      </c>
      <c r="F147" t="n">
        <v>251</v>
      </c>
      <c r="G147" t="inlineStr">
        <is>
          <t>primary</t>
        </is>
      </c>
      <c r="H147" t="inlineStr">
        <is>
          <t>AUTO_VESSEL</t>
        </is>
      </c>
      <c r="I147" t="inlineStr">
        <is>
          <t>是</t>
        </is>
      </c>
      <c r="J147" t="inlineStr">
        <is>
          <t>纳入</t>
        </is>
      </c>
      <c r="K147" t="n">
        <v>779.3950850661626</v>
      </c>
      <c r="L147">
        <f>导管母表_1781!G147</f>
        <v/>
      </c>
      <c r="M147" t="inlineStr">
        <is>
          <t>视野内部</t>
        </is>
      </c>
      <c r="N147" t="inlineStr">
        <is>
          <t>纳入A/D/Dh；若有Pair_ID则纳入CWR</t>
        </is>
      </c>
      <c r="O147" t="inlineStr">
        <is>
          <t>自动管线检出的合格导管腔。</t>
        </is>
      </c>
      <c r="P147" t="inlineStr">
        <is>
          <t>auto_pipeline;review_png_green</t>
        </is>
      </c>
      <c r="Q147" t="inlineStr">
        <is>
          <t>3(5)-P01</t>
        </is>
      </c>
      <c r="R147" t="inlineStr">
        <is>
          <t>样品3</t>
        </is>
      </c>
    </row>
    <row r="148">
      <c r="A148" t="inlineStr">
        <is>
          <t>3(5)-V02</t>
        </is>
      </c>
      <c r="B148" t="inlineStr">
        <is>
          <t>3 (5).tif</t>
        </is>
      </c>
      <c r="C148" t="n">
        <v>454</v>
      </c>
      <c r="D148" t="n">
        <v>302</v>
      </c>
      <c r="E148" t="inlineStr">
        <is>
          <t>386,236,523,369</t>
        </is>
      </c>
      <c r="F148" t="n">
        <v>236</v>
      </c>
      <c r="G148" t="inlineStr">
        <is>
          <t>primary</t>
        </is>
      </c>
      <c r="H148" t="inlineStr">
        <is>
          <t>AUTO_VESSEL</t>
        </is>
      </c>
      <c r="I148" t="inlineStr">
        <is>
          <t>是</t>
        </is>
      </c>
      <c r="J148" t="inlineStr">
        <is>
          <t>纳入</t>
        </is>
      </c>
      <c r="K148" t="n">
        <v>666.0207939508507</v>
      </c>
      <c r="L148">
        <f>导管母表_1781!G148</f>
        <v/>
      </c>
      <c r="M148" t="inlineStr">
        <is>
          <t>视野内部</t>
        </is>
      </c>
      <c r="N148" t="inlineStr">
        <is>
          <t>纳入A/D/Dh；若有Pair_ID则纳入CWR</t>
        </is>
      </c>
      <c r="O148" t="inlineStr">
        <is>
          <t>自动管线检出的合格导管腔。</t>
        </is>
      </c>
      <c r="P148" t="inlineStr">
        <is>
          <t>auto_pipeline;review_png_green</t>
        </is>
      </c>
      <c r="Q148" t="inlineStr">
        <is>
          <t>3(5)-P01</t>
        </is>
      </c>
      <c r="R148" t="inlineStr">
        <is>
          <t>样品3</t>
        </is>
      </c>
    </row>
    <row r="149">
      <c r="A149" t="inlineStr">
        <is>
          <t>3(5)-V03</t>
        </is>
      </c>
      <c r="B149" t="inlineStr">
        <is>
          <t>3 (5).tif</t>
        </is>
      </c>
      <c r="C149" t="n">
        <v>251</v>
      </c>
      <c r="D149" t="n">
        <v>308</v>
      </c>
      <c r="E149" t="inlineStr">
        <is>
          <t>193,246,310,371</t>
        </is>
      </c>
      <c r="F149" t="n">
        <v>193</v>
      </c>
      <c r="G149" t="inlineStr">
        <is>
          <t>primary</t>
        </is>
      </c>
      <c r="H149" t="inlineStr">
        <is>
          <t>AUTO_VESSEL</t>
        </is>
      </c>
      <c r="I149" t="inlineStr">
        <is>
          <t>是</t>
        </is>
      </c>
      <c r="J149" t="inlineStr">
        <is>
          <t>纳入</t>
        </is>
      </c>
      <c r="K149" t="n">
        <v>518.8563327032136</v>
      </c>
      <c r="L149">
        <f>导管母表_1781!G149</f>
        <v/>
      </c>
      <c r="M149" t="inlineStr">
        <is>
          <t>视野内部</t>
        </is>
      </c>
      <c r="N149" t="inlineStr">
        <is>
          <t>纳入A/D/Dh；若有Pair_ID则纳入CWR</t>
        </is>
      </c>
      <c r="O149" t="inlineStr">
        <is>
          <t>自动管线检出的合格导管腔。</t>
        </is>
      </c>
      <c r="P149" t="inlineStr">
        <is>
          <t>auto_pipeline;review_png_green</t>
        </is>
      </c>
      <c r="R149" t="inlineStr">
        <is>
          <t>样品3</t>
        </is>
      </c>
    </row>
    <row r="150">
      <c r="A150" t="inlineStr">
        <is>
          <t>3(5)-V04</t>
        </is>
      </c>
      <c r="B150" t="inlineStr">
        <is>
          <t>3 (5).tif</t>
        </is>
      </c>
      <c r="C150" t="n">
        <v>862</v>
      </c>
      <c r="D150" t="n">
        <v>108</v>
      </c>
      <c r="E150" t="inlineStr">
        <is>
          <t>808,55,917,162</t>
        </is>
      </c>
      <c r="F150" t="n">
        <v>55</v>
      </c>
      <c r="G150" t="inlineStr">
        <is>
          <t>primary</t>
        </is>
      </c>
      <c r="H150" t="inlineStr">
        <is>
          <t>AUTO_VESSEL</t>
        </is>
      </c>
      <c r="I150" t="inlineStr">
        <is>
          <t>是</t>
        </is>
      </c>
      <c r="J150" t="inlineStr">
        <is>
          <t>纳入</t>
        </is>
      </c>
      <c r="K150" t="n">
        <v>424.6691871455577</v>
      </c>
      <c r="L150">
        <f>导管母表_1781!G150</f>
        <v/>
      </c>
      <c r="M150" t="inlineStr">
        <is>
          <t>视野内部</t>
        </is>
      </c>
      <c r="N150" t="inlineStr">
        <is>
          <t>纳入A/D/Dh；若有Pair_ID则纳入CWR</t>
        </is>
      </c>
      <c r="O150" t="inlineStr">
        <is>
          <t>自动管线检出的合格导管腔。</t>
        </is>
      </c>
      <c r="P150" t="inlineStr">
        <is>
          <t>auto_pipeline;review_png_green</t>
        </is>
      </c>
      <c r="R150" t="inlineStr">
        <is>
          <t>样品3</t>
        </is>
      </c>
    </row>
    <row r="151">
      <c r="A151" t="inlineStr">
        <is>
          <t>3(5)-V05</t>
        </is>
      </c>
      <c r="B151" t="inlineStr">
        <is>
          <t>3 (5).tif</t>
        </is>
      </c>
      <c r="C151" t="n">
        <v>187</v>
      </c>
      <c r="D151" t="n">
        <v>64</v>
      </c>
      <c r="E151" t="inlineStr">
        <is>
          <t>144,15,231,114</t>
        </is>
      </c>
      <c r="F151" t="n">
        <v>15</v>
      </c>
      <c r="G151" t="inlineStr">
        <is>
          <t>primary</t>
        </is>
      </c>
      <c r="H151" t="inlineStr">
        <is>
          <t>AUTO_VESSEL</t>
        </is>
      </c>
      <c r="I151" t="inlineStr">
        <is>
          <t>是</t>
        </is>
      </c>
      <c r="J151" t="inlineStr">
        <is>
          <t>纳入</t>
        </is>
      </c>
      <c r="K151" t="n">
        <v>311.0113421550095</v>
      </c>
      <c r="L151">
        <f>导管母表_1781!G151</f>
        <v/>
      </c>
      <c r="M151" t="inlineStr">
        <is>
          <t>近边缘（&lt;25 px）</t>
        </is>
      </c>
      <c r="N151" t="inlineStr">
        <is>
          <t>纳入A/D/Dh；若有Pair_ID则纳入CWR</t>
        </is>
      </c>
      <c r="O151" t="inlineStr">
        <is>
          <t>自动管线检出的合格导管腔。</t>
        </is>
      </c>
      <c r="P151" t="inlineStr">
        <is>
          <t>auto_pipeline;review_png_green</t>
        </is>
      </c>
      <c r="R151" t="inlineStr">
        <is>
          <t>样品3</t>
        </is>
      </c>
    </row>
    <row r="152">
      <c r="A152" t="inlineStr">
        <is>
          <t>3(5)-V06</t>
        </is>
      </c>
      <c r="B152" t="inlineStr">
        <is>
          <t>3 (5).tif</t>
        </is>
      </c>
      <c r="C152" t="n">
        <v>244</v>
      </c>
      <c r="D152" t="n">
        <v>118</v>
      </c>
      <c r="E152" t="inlineStr">
        <is>
          <t>222,71,267,166</t>
        </is>
      </c>
      <c r="F152" t="n">
        <v>71</v>
      </c>
      <c r="G152" t="inlineStr">
        <is>
          <t>primary</t>
        </is>
      </c>
      <c r="H152" t="inlineStr">
        <is>
          <t>AUTO_VESSEL</t>
        </is>
      </c>
      <c r="I152" t="inlineStr">
        <is>
          <t>是</t>
        </is>
      </c>
      <c r="J152" t="inlineStr">
        <is>
          <t>纳入</t>
        </is>
      </c>
      <c r="K152" t="n">
        <v>135.4678638941399</v>
      </c>
      <c r="L152">
        <f>导管母表_1781!G152</f>
        <v/>
      </c>
      <c r="M152" t="inlineStr">
        <is>
          <t>视野内部</t>
        </is>
      </c>
      <c r="N152" t="inlineStr">
        <is>
          <t>纳入A/D/Dh；若有Pair_ID则纳入CWR</t>
        </is>
      </c>
      <c r="O152" t="inlineStr">
        <is>
          <t>自动管线检出的合格导管腔。</t>
        </is>
      </c>
      <c r="P152" t="inlineStr">
        <is>
          <t>auto_pipeline;review_png_green</t>
        </is>
      </c>
      <c r="R152" t="inlineStr">
        <is>
          <t>样品3</t>
        </is>
      </c>
    </row>
    <row r="153">
      <c r="A153" t="inlineStr">
        <is>
          <t>3(6)-V01</t>
        </is>
      </c>
      <c r="B153" t="inlineStr">
        <is>
          <t>3 (6).tif</t>
        </is>
      </c>
      <c r="C153" t="n">
        <v>416</v>
      </c>
      <c r="D153" t="n">
        <v>353</v>
      </c>
      <c r="E153" t="inlineStr">
        <is>
          <t>349,287,484,420</t>
        </is>
      </c>
      <c r="F153" t="n">
        <v>287</v>
      </c>
      <c r="G153" t="inlineStr">
        <is>
          <t>primary</t>
        </is>
      </c>
      <c r="H153" t="inlineStr">
        <is>
          <t>AUTO_VESSEL</t>
        </is>
      </c>
      <c r="I153" t="inlineStr">
        <is>
          <t>是</t>
        </is>
      </c>
      <c r="J153" t="inlineStr">
        <is>
          <t>纳入</t>
        </is>
      </c>
      <c r="K153" t="n">
        <v>653.0245746691871</v>
      </c>
      <c r="L153">
        <f>导管母表_1781!G153</f>
        <v/>
      </c>
      <c r="M153" t="inlineStr">
        <is>
          <t>视野内部</t>
        </is>
      </c>
      <c r="N153" t="inlineStr">
        <is>
          <t>纳入A/D/Dh；若有Pair_ID则纳入CWR</t>
        </is>
      </c>
      <c r="O153" t="inlineStr">
        <is>
          <t>自动管线检出的合格导管腔。</t>
        </is>
      </c>
      <c r="P153" t="inlineStr">
        <is>
          <t>auto_pipeline;review_png_green</t>
        </is>
      </c>
      <c r="R153" t="inlineStr">
        <is>
          <t>样品3</t>
        </is>
      </c>
    </row>
    <row r="154">
      <c r="A154" t="inlineStr">
        <is>
          <t>3(6)-V02</t>
        </is>
      </c>
      <c r="B154" t="inlineStr">
        <is>
          <t>3 (6).tif</t>
        </is>
      </c>
      <c r="C154" t="n">
        <v>75</v>
      </c>
      <c r="D154" t="n">
        <v>265</v>
      </c>
      <c r="E154" t="inlineStr">
        <is>
          <t>6,204,145,327</t>
        </is>
      </c>
      <c r="F154" t="n">
        <v>6</v>
      </c>
      <c r="G154" t="inlineStr">
        <is>
          <t>primary</t>
        </is>
      </c>
      <c r="H154" t="inlineStr">
        <is>
          <t>AUTO_VESSEL</t>
        </is>
      </c>
      <c r="I154" t="inlineStr">
        <is>
          <t>是</t>
        </is>
      </c>
      <c r="J154" t="inlineStr">
        <is>
          <t>纳入</t>
        </is>
      </c>
      <c r="K154" t="n">
        <v>623.5586011342155</v>
      </c>
      <c r="L154">
        <f>导管母表_1781!G154</f>
        <v/>
      </c>
      <c r="M154" t="inlineStr">
        <is>
          <t>近边缘（&lt;25 px）</t>
        </is>
      </c>
      <c r="N154" t="inlineStr">
        <is>
          <t>纳入A/D/Dh；若有Pair_ID则纳入CWR</t>
        </is>
      </c>
      <c r="O154" t="inlineStr">
        <is>
          <t>自动管线检出的合格导管腔。</t>
        </is>
      </c>
      <c r="P154" t="inlineStr">
        <is>
          <t>auto_pipeline;review_png_green</t>
        </is>
      </c>
      <c r="R154" t="inlineStr">
        <is>
          <t>样品3</t>
        </is>
      </c>
    </row>
    <row r="155">
      <c r="A155" t="inlineStr">
        <is>
          <t>3(6)-V03</t>
        </is>
      </c>
      <c r="B155" t="inlineStr">
        <is>
          <t>3 (6).tif</t>
        </is>
      </c>
      <c r="C155" t="n">
        <v>846</v>
      </c>
      <c r="D155" t="n">
        <v>210</v>
      </c>
      <c r="E155" t="inlineStr">
        <is>
          <t>777,153,916,268</t>
        </is>
      </c>
      <c r="F155" t="n">
        <v>108</v>
      </c>
      <c r="G155" t="inlineStr">
        <is>
          <t>primary</t>
        </is>
      </c>
      <c r="H155" t="inlineStr">
        <is>
          <t>AUTO_VESSEL</t>
        </is>
      </c>
      <c r="I155" t="inlineStr">
        <is>
          <t>是</t>
        </is>
      </c>
      <c r="J155" t="inlineStr">
        <is>
          <t>纳入</t>
        </is>
      </c>
      <c r="K155" t="n">
        <v>583.624763705104</v>
      </c>
      <c r="L155">
        <f>导管母表_1781!G155</f>
        <v/>
      </c>
      <c r="M155" t="inlineStr">
        <is>
          <t>视野内部</t>
        </is>
      </c>
      <c r="N155" t="inlineStr">
        <is>
          <t>纳入A/D/Dh；若有Pair_ID则纳入CWR</t>
        </is>
      </c>
      <c r="O155" t="inlineStr">
        <is>
          <t>自动管线检出的合格导管腔。</t>
        </is>
      </c>
      <c r="P155" t="inlineStr">
        <is>
          <t>auto_pipeline;review_png_green</t>
        </is>
      </c>
      <c r="R155" t="inlineStr">
        <is>
          <t>样品3</t>
        </is>
      </c>
    </row>
    <row r="156">
      <c r="A156" t="inlineStr">
        <is>
          <t>3(6)-V04</t>
        </is>
      </c>
      <c r="B156" t="inlineStr">
        <is>
          <t>3 (6).tif</t>
        </is>
      </c>
      <c r="C156" t="n">
        <v>587</v>
      </c>
      <c r="D156" t="n">
        <v>322</v>
      </c>
      <c r="E156" t="inlineStr">
        <is>
          <t>526,256,649,389</t>
        </is>
      </c>
      <c r="F156" t="n">
        <v>256</v>
      </c>
      <c r="G156" t="inlineStr">
        <is>
          <t>primary</t>
        </is>
      </c>
      <c r="H156" t="inlineStr">
        <is>
          <t>AUTO_VESSEL</t>
        </is>
      </c>
      <c r="I156" t="inlineStr">
        <is>
          <t>是</t>
        </is>
      </c>
      <c r="J156" t="inlineStr">
        <is>
          <t>纳入</t>
        </is>
      </c>
      <c r="K156" t="n">
        <v>577.6937618147448</v>
      </c>
      <c r="L156">
        <f>导管母表_1781!G156</f>
        <v/>
      </c>
      <c r="M156" t="inlineStr">
        <is>
          <t>视野内部</t>
        </is>
      </c>
      <c r="N156" t="inlineStr">
        <is>
          <t>纳入A/D/Dh；若有Pair_ID则纳入CWR</t>
        </is>
      </c>
      <c r="O156" t="inlineStr">
        <is>
          <t>自动管线检出的合格导管腔。</t>
        </is>
      </c>
      <c r="P156" t="inlineStr">
        <is>
          <t>auto_pipeline;review_png_green</t>
        </is>
      </c>
      <c r="R156" t="inlineStr">
        <is>
          <t>样品3</t>
        </is>
      </c>
    </row>
    <row r="157">
      <c r="A157" t="inlineStr">
        <is>
          <t>3(6)-V05</t>
        </is>
      </c>
      <c r="B157" t="inlineStr">
        <is>
          <t>3 (6).tif</t>
        </is>
      </c>
      <c r="C157" t="n">
        <v>184</v>
      </c>
      <c r="D157" t="n">
        <v>199</v>
      </c>
      <c r="E157" t="inlineStr">
        <is>
          <t>145,163,224,236</t>
        </is>
      </c>
      <c r="F157" t="n">
        <v>145</v>
      </c>
      <c r="G157" t="inlineStr">
        <is>
          <t>primary</t>
        </is>
      </c>
      <c r="H157" t="inlineStr">
        <is>
          <t>AUTO_VESSEL</t>
        </is>
      </c>
      <c r="I157" t="inlineStr">
        <is>
          <t>是</t>
        </is>
      </c>
      <c r="J157" t="inlineStr">
        <is>
          <t>纳入</t>
        </is>
      </c>
      <c r="K157" t="n">
        <v>201.3941398865784</v>
      </c>
      <c r="L157">
        <f>导管母表_1781!G157</f>
        <v/>
      </c>
      <c r="M157" t="inlineStr">
        <is>
          <t>视野内部</t>
        </is>
      </c>
      <c r="N157" t="inlineStr">
        <is>
          <t>纳入A/D/Dh；若有Pair_ID则纳入CWR</t>
        </is>
      </c>
      <c r="O157" t="inlineStr">
        <is>
          <t>自动管线检出的合格导管腔。</t>
        </is>
      </c>
      <c r="P157" t="inlineStr">
        <is>
          <t>auto_pipeline;review_png_green</t>
        </is>
      </c>
      <c r="R157" t="inlineStr">
        <is>
          <t>样品3</t>
        </is>
      </c>
    </row>
    <row r="158">
      <c r="A158" t="inlineStr">
        <is>
          <t>3(6)-V06</t>
        </is>
      </c>
      <c r="B158" t="inlineStr">
        <is>
          <t>3 (6).tif</t>
        </is>
      </c>
      <c r="C158" t="n">
        <v>519</v>
      </c>
      <c r="D158" t="n">
        <v>272</v>
      </c>
      <c r="E158" t="inlineStr">
        <is>
          <t>485,236,554,309</t>
        </is>
      </c>
      <c r="F158" t="n">
        <v>236</v>
      </c>
      <c r="G158" t="inlineStr">
        <is>
          <t>primary</t>
        </is>
      </c>
      <c r="H158" t="inlineStr">
        <is>
          <t>AUTO_VESSEL</t>
        </is>
      </c>
      <c r="I158" t="inlineStr">
        <is>
          <t>是</t>
        </is>
      </c>
      <c r="J158" t="inlineStr">
        <is>
          <t>纳入</t>
        </is>
      </c>
      <c r="K158" t="n">
        <v>122.8733459357278</v>
      </c>
      <c r="L158">
        <f>导管母表_1781!G158</f>
        <v/>
      </c>
      <c r="M158" t="inlineStr">
        <is>
          <t>视野内部</t>
        </is>
      </c>
      <c r="N158" t="inlineStr">
        <is>
          <t>纳入A/D/Dh；若有Pair_ID则纳入CWR</t>
        </is>
      </c>
      <c r="O158" t="inlineStr">
        <is>
          <t>自动管线检出的合格导管腔。</t>
        </is>
      </c>
      <c r="P158" t="inlineStr">
        <is>
          <t>auto_pipeline;review_png_green</t>
        </is>
      </c>
      <c r="R158" t="inlineStr">
        <is>
          <t>样品3</t>
        </is>
      </c>
    </row>
    <row r="159">
      <c r="A159" t="inlineStr">
        <is>
          <t>3(7)-V01</t>
        </is>
      </c>
      <c r="B159" t="inlineStr">
        <is>
          <t>3 (7).tif</t>
        </is>
      </c>
      <c r="C159" t="n">
        <v>479</v>
      </c>
      <c r="D159" t="n">
        <v>371</v>
      </c>
      <c r="E159" t="inlineStr">
        <is>
          <t>329,304,630,439</t>
        </is>
      </c>
      <c r="F159" t="n">
        <v>304</v>
      </c>
      <c r="G159" t="inlineStr">
        <is>
          <t>primary</t>
        </is>
      </c>
      <c r="H159" t="inlineStr">
        <is>
          <t>AUTO_VESSEL</t>
        </is>
      </c>
      <c r="I159" t="inlineStr">
        <is>
          <t>是</t>
        </is>
      </c>
      <c r="J159" t="inlineStr">
        <is>
          <t>纳入</t>
        </is>
      </c>
      <c r="K159" t="n">
        <v>1420.463137996219</v>
      </c>
      <c r="L159">
        <f>导管母表_1781!G159</f>
        <v/>
      </c>
      <c r="M159" t="inlineStr">
        <is>
          <t>视野内部</t>
        </is>
      </c>
      <c r="N159" t="inlineStr">
        <is>
          <t>纳入A/D/Dh；若有Pair_ID则纳入CWR</t>
        </is>
      </c>
      <c r="O159" t="inlineStr">
        <is>
          <t>自动管线检出的合格导管腔。</t>
        </is>
      </c>
      <c r="P159" t="inlineStr">
        <is>
          <t>auto_pipeline;review_png_green</t>
        </is>
      </c>
      <c r="R159" t="inlineStr">
        <is>
          <t>样品3</t>
        </is>
      </c>
    </row>
    <row r="160">
      <c r="A160" t="inlineStr">
        <is>
          <t>3(7)-V02</t>
        </is>
      </c>
      <c r="B160" t="inlineStr">
        <is>
          <t>3 (7).tif</t>
        </is>
      </c>
      <c r="C160" t="n">
        <v>95</v>
      </c>
      <c r="D160" t="n">
        <v>138</v>
      </c>
      <c r="E160" t="inlineStr">
        <is>
          <t>24,71,167,206</t>
        </is>
      </c>
      <c r="F160" t="n">
        <v>24</v>
      </c>
      <c r="G160" t="inlineStr">
        <is>
          <t>primary</t>
        </is>
      </c>
      <c r="H160" t="inlineStr">
        <is>
          <t>AUTO_VESSEL</t>
        </is>
      </c>
      <c r="I160" t="inlineStr">
        <is>
          <t>是</t>
        </is>
      </c>
      <c r="J160" t="inlineStr">
        <is>
          <t>纳入</t>
        </is>
      </c>
      <c r="K160" t="n">
        <v>682.1124763705104</v>
      </c>
      <c r="L160">
        <f>导管母表_1781!G160</f>
        <v/>
      </c>
      <c r="M160" t="inlineStr">
        <is>
          <t>近边缘（&lt;25 px）</t>
        </is>
      </c>
      <c r="N160" t="inlineStr">
        <is>
          <t>纳入A/D/Dh；若有Pair_ID则纳入CWR</t>
        </is>
      </c>
      <c r="O160" t="inlineStr">
        <is>
          <t>自动管线检出的合格导管腔。</t>
        </is>
      </c>
      <c r="P160" t="inlineStr">
        <is>
          <t>auto_pipeline;review_png_green</t>
        </is>
      </c>
      <c r="R160" t="inlineStr">
        <is>
          <t>样品3</t>
        </is>
      </c>
    </row>
    <row r="161">
      <c r="A161" t="inlineStr">
        <is>
          <t>3(7)-V03</t>
        </is>
      </c>
      <c r="B161" t="inlineStr">
        <is>
          <t>3 (7).tif</t>
        </is>
      </c>
      <c r="C161" t="n">
        <v>378</v>
      </c>
      <c r="D161" t="n">
        <v>85</v>
      </c>
      <c r="E161" t="inlineStr">
        <is>
          <t>329,59,428,112</t>
        </is>
      </c>
      <c r="F161" t="n">
        <v>59</v>
      </c>
      <c r="G161" t="inlineStr">
        <is>
          <t>primary</t>
        </is>
      </c>
      <c r="H161" t="inlineStr">
        <is>
          <t>AUTO_VESSEL</t>
        </is>
      </c>
      <c r="I161" t="inlineStr">
        <is>
          <t>是</t>
        </is>
      </c>
      <c r="J161" t="inlineStr">
        <is>
          <t>纳入</t>
        </is>
      </c>
      <c r="K161" t="n">
        <v>112.476370510397</v>
      </c>
      <c r="L161">
        <f>导管母表_1781!G161</f>
        <v/>
      </c>
      <c r="M161" t="inlineStr">
        <is>
          <t>视野内部</t>
        </is>
      </c>
      <c r="N161" t="inlineStr">
        <is>
          <t>纳入A/D/Dh；若有Pair_ID则纳入CWR</t>
        </is>
      </c>
      <c r="O161" t="inlineStr">
        <is>
          <t>自动管线检出的合格导管腔。</t>
        </is>
      </c>
      <c r="P161" t="inlineStr">
        <is>
          <t>auto_pipeline;review_png_green</t>
        </is>
      </c>
      <c r="R161" t="inlineStr">
        <is>
          <t>样品3</t>
        </is>
      </c>
    </row>
    <row r="162">
      <c r="A162" t="inlineStr">
        <is>
          <t>3(8)-V01</t>
        </is>
      </c>
      <c r="B162" t="inlineStr">
        <is>
          <t>3 (8).tif</t>
        </is>
      </c>
      <c r="C162" t="n">
        <v>786</v>
      </c>
      <c r="D162" t="n">
        <v>110</v>
      </c>
      <c r="E162" t="inlineStr">
        <is>
          <t>717,38,856,183</t>
        </is>
      </c>
      <c r="F162" t="n">
        <v>38</v>
      </c>
      <c r="G162" t="inlineStr">
        <is>
          <t>primary</t>
        </is>
      </c>
      <c r="H162" t="inlineStr">
        <is>
          <t>AUTO_VESSEL</t>
        </is>
      </c>
      <c r="I162" t="inlineStr">
        <is>
          <t>是</t>
        </is>
      </c>
      <c r="J162" t="inlineStr">
        <is>
          <t>纳入</t>
        </is>
      </c>
      <c r="K162" t="n">
        <v>735.5151228733459</v>
      </c>
      <c r="L162">
        <f>导管母表_1781!G162</f>
        <v/>
      </c>
      <c r="M162" t="inlineStr">
        <is>
          <t>视野内部</t>
        </is>
      </c>
      <c r="N162" t="inlineStr">
        <is>
          <t>纳入A/D/Dh；若有Pair_ID则纳入CWR</t>
        </is>
      </c>
      <c r="O162" t="inlineStr">
        <is>
          <t>自动管线检出的合格导管腔。</t>
        </is>
      </c>
      <c r="P162" t="inlineStr">
        <is>
          <t>auto_pipeline;review_png_green</t>
        </is>
      </c>
      <c r="R162" t="inlineStr">
        <is>
          <t>样品3</t>
        </is>
      </c>
    </row>
    <row r="163">
      <c r="A163" t="inlineStr">
        <is>
          <t>3(8)-V02</t>
        </is>
      </c>
      <c r="B163" t="inlineStr">
        <is>
          <t>3 (8).tif</t>
        </is>
      </c>
      <c r="C163" t="n">
        <v>454</v>
      </c>
      <c r="D163" t="n">
        <v>337</v>
      </c>
      <c r="E163" t="inlineStr">
        <is>
          <t>384,275,525,400</t>
        </is>
      </c>
      <c r="F163" t="n">
        <v>275</v>
      </c>
      <c r="G163" t="inlineStr">
        <is>
          <t>primary</t>
        </is>
      </c>
      <c r="H163" t="inlineStr">
        <is>
          <t>AUTO_VESSEL</t>
        </is>
      </c>
      <c r="I163" t="inlineStr">
        <is>
          <t>是</t>
        </is>
      </c>
      <c r="J163" t="inlineStr">
        <is>
          <t>纳入</t>
        </is>
      </c>
      <c r="K163" t="n">
        <v>644.4706994328923</v>
      </c>
      <c r="L163">
        <f>导管母表_1781!G163</f>
        <v/>
      </c>
      <c r="M163" t="inlineStr">
        <is>
          <t>视野内部</t>
        </is>
      </c>
      <c r="N163" t="inlineStr">
        <is>
          <t>纳入A/D/Dh；若有Pair_ID则纳入CWR</t>
        </is>
      </c>
      <c r="O163" t="inlineStr">
        <is>
          <t>自动管线检出的合格导管腔。</t>
        </is>
      </c>
      <c r="P163" t="inlineStr">
        <is>
          <t>auto_pipeline;review_png_green</t>
        </is>
      </c>
      <c r="Q163" t="inlineStr">
        <is>
          <t>3(8)-P01</t>
        </is>
      </c>
      <c r="R163" t="inlineStr">
        <is>
          <t>样品3</t>
        </is>
      </c>
    </row>
    <row r="164">
      <c r="A164" t="inlineStr">
        <is>
          <t>3(8)-V03</t>
        </is>
      </c>
      <c r="B164" t="inlineStr">
        <is>
          <t>3 (8).tif</t>
        </is>
      </c>
      <c r="C164" t="n">
        <v>599</v>
      </c>
      <c r="D164" t="n">
        <v>313</v>
      </c>
      <c r="E164" t="inlineStr">
        <is>
          <t>536,252,663,375</t>
        </is>
      </c>
      <c r="F164" t="n">
        <v>252</v>
      </c>
      <c r="G164" t="inlineStr">
        <is>
          <t>primary</t>
        </is>
      </c>
      <c r="H164" t="inlineStr">
        <is>
          <t>AUTO_VESSEL</t>
        </is>
      </c>
      <c r="I164" t="inlineStr">
        <is>
          <t>是</t>
        </is>
      </c>
      <c r="J164" t="inlineStr">
        <is>
          <t>纳入</t>
        </is>
      </c>
      <c r="K164" t="n">
        <v>569.3525519848771</v>
      </c>
      <c r="L164">
        <f>导管母表_1781!G164</f>
        <v/>
      </c>
      <c r="M164" t="inlineStr">
        <is>
          <t>视野内部</t>
        </is>
      </c>
      <c r="N164" t="inlineStr">
        <is>
          <t>纳入A/D/Dh；若有Pair_ID则纳入CWR</t>
        </is>
      </c>
      <c r="O164" t="inlineStr">
        <is>
          <t>自动管线检出的合格导管腔。</t>
        </is>
      </c>
      <c r="P164" t="inlineStr">
        <is>
          <t>auto_pipeline;review_png_green</t>
        </is>
      </c>
      <c r="Q164" t="inlineStr">
        <is>
          <t>3(8)-P01</t>
        </is>
      </c>
      <c r="R164" t="inlineStr">
        <is>
          <t>样品3</t>
        </is>
      </c>
    </row>
    <row r="165">
      <c r="A165" t="inlineStr">
        <is>
          <t>3(8)-V04</t>
        </is>
      </c>
      <c r="B165" t="inlineStr">
        <is>
          <t>3 (8).tif</t>
        </is>
      </c>
      <c r="C165" t="n">
        <v>178</v>
      </c>
      <c r="D165" t="n">
        <v>370</v>
      </c>
      <c r="E165" t="inlineStr">
        <is>
          <t>132,349,225,392</t>
        </is>
      </c>
      <c r="F165" t="n">
        <v>132</v>
      </c>
      <c r="G165" t="inlineStr">
        <is>
          <t>primary</t>
        </is>
      </c>
      <c r="H165" t="inlineStr">
        <is>
          <t>AUTO_VESSEL</t>
        </is>
      </c>
      <c r="I165" t="inlineStr">
        <is>
          <t>是</t>
        </is>
      </c>
      <c r="J165" t="inlineStr">
        <is>
          <t>纳入</t>
        </is>
      </c>
      <c r="K165" t="n">
        <v>143.1947069943289</v>
      </c>
      <c r="L165">
        <f>导管母表_1781!G165</f>
        <v/>
      </c>
      <c r="M165" t="inlineStr">
        <is>
          <t>视野内部</t>
        </is>
      </c>
      <c r="N165" t="inlineStr">
        <is>
          <t>纳入A/D/Dh；若有Pair_ID则纳入CWR</t>
        </is>
      </c>
      <c r="O165" t="inlineStr">
        <is>
          <t>自动管线检出的合格导管腔。</t>
        </is>
      </c>
      <c r="P165" t="inlineStr">
        <is>
          <t>auto_pipeline;review_png_green</t>
        </is>
      </c>
      <c r="R165" t="inlineStr">
        <is>
          <t>样品3</t>
        </is>
      </c>
    </row>
    <row r="166">
      <c r="A166" t="inlineStr">
        <is>
          <t>3(8)-V05</t>
        </is>
      </c>
      <c r="B166" t="inlineStr">
        <is>
          <t>3 (8).tif</t>
        </is>
      </c>
      <c r="C166" t="n">
        <v>917</v>
      </c>
      <c r="D166" t="n">
        <v>430</v>
      </c>
      <c r="E166" t="inlineStr">
        <is>
          <t>872,409,963,452</t>
        </is>
      </c>
      <c r="F166" t="n">
        <v>61</v>
      </c>
      <c r="G166" t="inlineStr">
        <is>
          <t>primary</t>
        </is>
      </c>
      <c r="H166" t="inlineStr">
        <is>
          <t>AUTO_VESSEL</t>
        </is>
      </c>
      <c r="I166" t="inlineStr">
        <is>
          <t>是</t>
        </is>
      </c>
      <c r="J166" t="inlineStr">
        <is>
          <t>纳入</t>
        </is>
      </c>
      <c r="K166" t="n">
        <v>139.9574669187145</v>
      </c>
      <c r="L166">
        <f>导管母表_1781!G166</f>
        <v/>
      </c>
      <c r="M166" t="inlineStr">
        <is>
          <t>视野内部</t>
        </is>
      </c>
      <c r="N166" t="inlineStr">
        <is>
          <t>纳入A/D/Dh；若有Pair_ID则纳入CWR</t>
        </is>
      </c>
      <c r="O166" t="inlineStr">
        <is>
          <t>自动管线检出的合格导管腔。</t>
        </is>
      </c>
      <c r="P166" t="inlineStr">
        <is>
          <t>auto_pipeline;review_png_green</t>
        </is>
      </c>
      <c r="R166" t="inlineStr">
        <is>
          <t>样品3</t>
        </is>
      </c>
    </row>
    <row r="167">
      <c r="A167" t="inlineStr">
        <is>
          <t>3(9)-V01</t>
        </is>
      </c>
      <c r="B167" t="inlineStr">
        <is>
          <t>3 (9).tif</t>
        </is>
      </c>
      <c r="C167" t="n">
        <v>571</v>
      </c>
      <c r="D167" t="n">
        <v>369</v>
      </c>
      <c r="E167" t="inlineStr">
        <is>
          <t>492,303,651,436</t>
        </is>
      </c>
      <c r="F167" t="n">
        <v>303</v>
      </c>
      <c r="G167" t="inlineStr">
        <is>
          <t>primary</t>
        </is>
      </c>
      <c r="H167" t="inlineStr">
        <is>
          <t>AUTO_VESSEL</t>
        </is>
      </c>
      <c r="I167" t="inlineStr">
        <is>
          <t>是</t>
        </is>
      </c>
      <c r="J167" t="inlineStr">
        <is>
          <t>纳入</t>
        </is>
      </c>
      <c r="K167" t="n">
        <v>773.2277882797731</v>
      </c>
      <c r="L167">
        <f>导管母表_1781!G167</f>
        <v/>
      </c>
      <c r="M167" t="inlineStr">
        <is>
          <t>视野内部</t>
        </is>
      </c>
      <c r="N167" t="inlineStr">
        <is>
          <t>纳入A/D/Dh；若有Pair_ID则纳入CWR</t>
        </is>
      </c>
      <c r="O167" t="inlineStr">
        <is>
          <t>自动管线检出的合格导管腔。</t>
        </is>
      </c>
      <c r="P167" t="inlineStr">
        <is>
          <t>auto_pipeline;review_png_green</t>
        </is>
      </c>
      <c r="Q167" t="inlineStr">
        <is>
          <t>3(9)-P01</t>
        </is>
      </c>
      <c r="R167" t="inlineStr">
        <is>
          <t>样品3</t>
        </is>
      </c>
    </row>
    <row r="168">
      <c r="A168" t="inlineStr">
        <is>
          <t>3(9)-V02</t>
        </is>
      </c>
      <c r="B168" t="inlineStr">
        <is>
          <t>3 (9).tif</t>
        </is>
      </c>
      <c r="C168" t="n">
        <v>398</v>
      </c>
      <c r="D168" t="n">
        <v>335</v>
      </c>
      <c r="E168" t="inlineStr">
        <is>
          <t>324,266,473,405</t>
        </is>
      </c>
      <c r="F168" t="n">
        <v>266</v>
      </c>
      <c r="G168" t="inlineStr">
        <is>
          <t>primary</t>
        </is>
      </c>
      <c r="H168" t="inlineStr">
        <is>
          <t>AUTO_VESSEL</t>
        </is>
      </c>
      <c r="I168" t="inlineStr">
        <is>
          <t>是</t>
        </is>
      </c>
      <c r="J168" t="inlineStr">
        <is>
          <t>纳入</t>
        </is>
      </c>
      <c r="K168" t="n">
        <v>758.1994328922495</v>
      </c>
      <c r="L168">
        <f>导管母表_1781!G168</f>
        <v/>
      </c>
      <c r="M168" t="inlineStr">
        <is>
          <t>视野内部</t>
        </is>
      </c>
      <c r="N168" t="inlineStr">
        <is>
          <t>纳入A/D/Dh；若有Pair_ID则纳入CWR</t>
        </is>
      </c>
      <c r="O168" t="inlineStr">
        <is>
          <t>自动管线检出的合格导管腔。</t>
        </is>
      </c>
      <c r="P168" t="inlineStr">
        <is>
          <t>auto_pipeline;review_png_green</t>
        </is>
      </c>
      <c r="Q168" t="inlineStr">
        <is>
          <t>3(9)-P01</t>
        </is>
      </c>
      <c r="R168" t="inlineStr">
        <is>
          <t>样品3</t>
        </is>
      </c>
    </row>
    <row r="169">
      <c r="A169" t="inlineStr">
        <is>
          <t>3(9)-V03</t>
        </is>
      </c>
      <c r="B169" t="inlineStr">
        <is>
          <t>3 (9).tif</t>
        </is>
      </c>
      <c r="C169" t="n">
        <v>592</v>
      </c>
      <c r="D169" t="n">
        <v>605</v>
      </c>
      <c r="E169" t="inlineStr">
        <is>
          <t>530,556,655,655</t>
        </is>
      </c>
      <c r="F169" t="n">
        <v>113</v>
      </c>
      <c r="G169" t="inlineStr">
        <is>
          <t>primary</t>
        </is>
      </c>
      <c r="H169" t="inlineStr">
        <is>
          <t>AUTO_VESSEL</t>
        </is>
      </c>
      <c r="I169" t="inlineStr">
        <is>
          <t>是</t>
        </is>
      </c>
      <c r="J169" t="inlineStr">
        <is>
          <t>纳入</t>
        </is>
      </c>
      <c r="K169" t="n">
        <v>439.6030245746692</v>
      </c>
      <c r="L169">
        <f>导管母表_1781!G169</f>
        <v/>
      </c>
      <c r="M169" t="inlineStr">
        <is>
          <t>视野内部</t>
        </is>
      </c>
      <c r="N169" t="inlineStr">
        <is>
          <t>纳入A/D/Dh；若有Pair_ID则纳入CWR</t>
        </is>
      </c>
      <c r="O169" t="inlineStr">
        <is>
          <t>自动管线检出的合格导管腔。</t>
        </is>
      </c>
      <c r="P169" t="inlineStr">
        <is>
          <t>auto_pipeline;review_png_green</t>
        </is>
      </c>
      <c r="R169" t="inlineStr">
        <is>
          <t>样品3</t>
        </is>
      </c>
    </row>
    <row r="170">
      <c r="A170" t="inlineStr">
        <is>
          <t>3(9)-V04</t>
        </is>
      </c>
      <c r="B170" t="inlineStr">
        <is>
          <t>3 (9).tif</t>
        </is>
      </c>
      <c r="C170" t="n">
        <v>155</v>
      </c>
      <c r="D170" t="n">
        <v>600</v>
      </c>
      <c r="E170" t="inlineStr">
        <is>
          <t>110,561,201,640</t>
        </is>
      </c>
      <c r="F170" t="n">
        <v>110</v>
      </c>
      <c r="G170" t="inlineStr">
        <is>
          <t>primary</t>
        </is>
      </c>
      <c r="H170" t="inlineStr">
        <is>
          <t>AUTO_VESSEL</t>
        </is>
      </c>
      <c r="I170" t="inlineStr">
        <is>
          <t>是</t>
        </is>
      </c>
      <c r="J170" t="inlineStr">
        <is>
          <t>纳入</t>
        </is>
      </c>
      <c r="K170" t="n">
        <v>260.6805293005671</v>
      </c>
      <c r="L170">
        <f>导管母表_1781!G170</f>
        <v/>
      </c>
      <c r="M170" t="inlineStr">
        <is>
          <t>视野内部</t>
        </is>
      </c>
      <c r="N170" t="inlineStr">
        <is>
          <t>纳入A/D/Dh；若有Pair_ID则纳入CWR</t>
        </is>
      </c>
      <c r="O170" t="inlineStr">
        <is>
          <t>自动管线检出的合格导管腔。</t>
        </is>
      </c>
      <c r="P170" t="inlineStr">
        <is>
          <t>auto_pipeline;review_png_green</t>
        </is>
      </c>
      <c r="R170" t="inlineStr">
        <is>
          <t>样品3</t>
        </is>
      </c>
    </row>
    <row r="171">
      <c r="A171" t="inlineStr">
        <is>
          <t>3(9)-V05</t>
        </is>
      </c>
      <c r="B171" t="inlineStr">
        <is>
          <t>3 (9).tif</t>
        </is>
      </c>
      <c r="C171" t="n">
        <v>59</v>
      </c>
      <c r="D171" t="n">
        <v>558</v>
      </c>
      <c r="E171" t="inlineStr">
        <is>
          <t>21,518,98,599</t>
        </is>
      </c>
      <c r="F171" t="n">
        <v>21</v>
      </c>
      <c r="G171" t="inlineStr">
        <is>
          <t>primary</t>
        </is>
      </c>
      <c r="H171" t="inlineStr">
        <is>
          <t>AUTO_VESSEL</t>
        </is>
      </c>
      <c r="I171" t="inlineStr">
        <is>
          <t>是</t>
        </is>
      </c>
      <c r="J171" t="inlineStr">
        <is>
          <t>纳入</t>
        </is>
      </c>
      <c r="K171" t="n">
        <v>202.1266540642722</v>
      </c>
      <c r="L171">
        <f>导管母表_1781!G171</f>
        <v/>
      </c>
      <c r="M171" t="inlineStr">
        <is>
          <t>近边缘（&lt;25 px）</t>
        </is>
      </c>
      <c r="N171" t="inlineStr">
        <is>
          <t>纳入A/D/Dh；若有Pair_ID则纳入CWR</t>
        </is>
      </c>
      <c r="O171" t="inlineStr">
        <is>
          <t>自动管线检出的合格导管腔。</t>
        </is>
      </c>
      <c r="P171" t="inlineStr">
        <is>
          <t>auto_pipeline;review_png_green</t>
        </is>
      </c>
      <c r="R171" t="inlineStr">
        <is>
          <t>样品3</t>
        </is>
      </c>
    </row>
    <row r="172">
      <c r="A172" t="inlineStr">
        <is>
          <t>3(9)-V06</t>
        </is>
      </c>
      <c r="B172" t="inlineStr">
        <is>
          <t>3 (9).tif</t>
        </is>
      </c>
      <c r="C172" t="n">
        <v>652</v>
      </c>
      <c r="D172" t="n">
        <v>277</v>
      </c>
      <c r="E172" t="inlineStr">
        <is>
          <t>585,239,720,316</t>
        </is>
      </c>
      <c r="F172" t="n">
        <v>239</v>
      </c>
      <c r="G172" t="inlineStr">
        <is>
          <t>primary</t>
        </is>
      </c>
      <c r="H172" t="inlineStr">
        <is>
          <t>AUTO_VESSEL</t>
        </is>
      </c>
      <c r="I172" t="inlineStr">
        <is>
          <t>是</t>
        </is>
      </c>
      <c r="J172" t="inlineStr">
        <is>
          <t>纳入</t>
        </is>
      </c>
      <c r="K172" t="n">
        <v>200.2126654064272</v>
      </c>
      <c r="L172">
        <f>导管母表_1781!G172</f>
        <v/>
      </c>
      <c r="M172" t="inlineStr">
        <is>
          <t>视野内部</t>
        </is>
      </c>
      <c r="N172" t="inlineStr">
        <is>
          <t>纳入A/D/Dh；若有Pair_ID则纳入CWR</t>
        </is>
      </c>
      <c r="O172" t="inlineStr">
        <is>
          <t>自动管线检出的合格导管腔。</t>
        </is>
      </c>
      <c r="P172" t="inlineStr">
        <is>
          <t>auto_pipeline;review_png_green</t>
        </is>
      </c>
      <c r="R172" t="inlineStr">
        <is>
          <t>样品3</t>
        </is>
      </c>
    </row>
    <row r="173">
      <c r="A173" t="inlineStr">
        <is>
          <t>3(9)-V07</t>
        </is>
      </c>
      <c r="B173" t="inlineStr">
        <is>
          <t>3 (9).tif</t>
        </is>
      </c>
      <c r="C173" t="n">
        <v>825</v>
      </c>
      <c r="D173" t="n">
        <v>49</v>
      </c>
      <c r="E173" t="inlineStr">
        <is>
          <t>787,29,864,70</t>
        </is>
      </c>
      <c r="F173" t="n">
        <v>29</v>
      </c>
      <c r="G173" t="inlineStr">
        <is>
          <t>primary</t>
        </is>
      </c>
      <c r="H173" t="inlineStr">
        <is>
          <t>AUTO_VESSEL</t>
        </is>
      </c>
      <c r="I173" t="inlineStr">
        <is>
          <t>是</t>
        </is>
      </c>
      <c r="J173" t="inlineStr">
        <is>
          <t>纳入</t>
        </is>
      </c>
      <c r="K173" t="n">
        <v>104.0170132325142</v>
      </c>
      <c r="L173">
        <f>导管母表_1781!G173</f>
        <v/>
      </c>
      <c r="M173" t="inlineStr">
        <is>
          <t>视野内部</t>
        </is>
      </c>
      <c r="N173" t="inlineStr">
        <is>
          <t>纳入A/D/Dh；若有Pair_ID则纳入CWR</t>
        </is>
      </c>
      <c r="O173" t="inlineStr">
        <is>
          <t>自动管线检出的合格导管腔。</t>
        </is>
      </c>
      <c r="P173" t="inlineStr">
        <is>
          <t>auto_pipeline;review_png_green</t>
        </is>
      </c>
      <c r="R173" t="inlineStr">
        <is>
          <t>样品3</t>
        </is>
      </c>
    </row>
    <row r="174">
      <c r="A174" t="inlineStr">
        <is>
          <t>3(9)-V08</t>
        </is>
      </c>
      <c r="B174" t="inlineStr">
        <is>
          <t>3 (9).tif</t>
        </is>
      </c>
      <c r="C174" t="n">
        <v>713</v>
      </c>
      <c r="D174" t="n">
        <v>505</v>
      </c>
      <c r="E174" t="inlineStr">
        <is>
          <t>670,487,757,524</t>
        </is>
      </c>
      <c r="F174" t="n">
        <v>244</v>
      </c>
      <c r="G174" t="inlineStr">
        <is>
          <t>primary</t>
        </is>
      </c>
      <c r="H174" t="inlineStr">
        <is>
          <t>AUTO_VESSEL</t>
        </is>
      </c>
      <c r="I174" t="inlineStr">
        <is>
          <t>是</t>
        </is>
      </c>
      <c r="J174" t="inlineStr">
        <is>
          <t>纳入</t>
        </is>
      </c>
      <c r="K174" t="n">
        <v>104.0170132325142</v>
      </c>
      <c r="L174">
        <f>导管母表_1781!G174</f>
        <v/>
      </c>
      <c r="M174" t="inlineStr">
        <is>
          <t>视野内部</t>
        </is>
      </c>
      <c r="N174" t="inlineStr">
        <is>
          <t>纳入A/D/Dh；若有Pair_ID则纳入CWR</t>
        </is>
      </c>
      <c r="O174" t="inlineStr">
        <is>
          <t>自动管线检出的合格导管腔。</t>
        </is>
      </c>
      <c r="P174" t="inlineStr">
        <is>
          <t>auto_pipeline;review_png_green</t>
        </is>
      </c>
      <c r="R174" t="inlineStr">
        <is>
          <t>样品3</t>
        </is>
      </c>
    </row>
    <row r="175">
      <c r="A175" t="inlineStr">
        <is>
          <t>4(1)-V01</t>
        </is>
      </c>
      <c r="B175" t="inlineStr">
        <is>
          <t>4 (1).tif</t>
        </is>
      </c>
      <c r="C175" t="n">
        <v>444</v>
      </c>
      <c r="D175" t="n">
        <v>450</v>
      </c>
      <c r="E175" t="inlineStr">
        <is>
          <t>348,360,541,541</t>
        </is>
      </c>
      <c r="F175" t="n">
        <v>227</v>
      </c>
      <c r="G175" t="inlineStr">
        <is>
          <t>primary</t>
        </is>
      </c>
      <c r="H175" t="inlineStr">
        <is>
          <t>AUTO_VESSEL</t>
        </is>
      </c>
      <c r="I175" t="inlineStr">
        <is>
          <t>是</t>
        </is>
      </c>
      <c r="J175" t="inlineStr">
        <is>
          <t>纳入</t>
        </is>
      </c>
      <c r="K175" t="n">
        <v>1265.689981096408</v>
      </c>
      <c r="L175">
        <f>导管母表_1781!G175</f>
        <v/>
      </c>
      <c r="M175" t="inlineStr">
        <is>
          <t>视野内部</t>
        </is>
      </c>
      <c r="N175" t="inlineStr">
        <is>
          <t>纳入A/D/Dh；若有Pair_ID则纳入CWR</t>
        </is>
      </c>
      <c r="O175" t="inlineStr">
        <is>
          <t>自动管线检出的合格导管腔。</t>
        </is>
      </c>
      <c r="P175" t="inlineStr">
        <is>
          <t>auto_pipeline;review_png_green</t>
        </is>
      </c>
      <c r="Q175" t="inlineStr">
        <is>
          <t>4(1)-P01</t>
        </is>
      </c>
      <c r="R175" t="inlineStr">
        <is>
          <t>样品4</t>
        </is>
      </c>
    </row>
    <row r="176">
      <c r="A176" t="inlineStr">
        <is>
          <t>4(1)-V02</t>
        </is>
      </c>
      <c r="B176" t="inlineStr">
        <is>
          <t>4 (1).tif</t>
        </is>
      </c>
      <c r="C176" t="n">
        <v>539</v>
      </c>
      <c r="D176" t="n">
        <v>287</v>
      </c>
      <c r="E176" t="inlineStr">
        <is>
          <t>474,211,605,364</t>
        </is>
      </c>
      <c r="F176" t="n">
        <v>211</v>
      </c>
      <c r="G176" t="inlineStr">
        <is>
          <t>primary</t>
        </is>
      </c>
      <c r="H176" t="inlineStr">
        <is>
          <t>AUTO_VESSEL</t>
        </is>
      </c>
      <c r="I176" t="inlineStr">
        <is>
          <t>是</t>
        </is>
      </c>
      <c r="J176" t="inlineStr">
        <is>
          <t>纳入</t>
        </is>
      </c>
      <c r="K176" t="n">
        <v>732.5141776937618</v>
      </c>
      <c r="L176">
        <f>导管母表_1781!G176</f>
        <v/>
      </c>
      <c r="M176" t="inlineStr">
        <is>
          <t>视野内部</t>
        </is>
      </c>
      <c r="N176" t="inlineStr">
        <is>
          <t>纳入A/D/Dh；若有Pair_ID则纳入CWR</t>
        </is>
      </c>
      <c r="O176" t="inlineStr">
        <is>
          <t>自动管线检出的合格导管腔。</t>
        </is>
      </c>
      <c r="P176" t="inlineStr">
        <is>
          <t>auto_pipeline;review_png_green</t>
        </is>
      </c>
      <c r="Q176" t="inlineStr">
        <is>
          <t>4(1)-P01</t>
        </is>
      </c>
      <c r="R176" t="inlineStr">
        <is>
          <t>样品4</t>
        </is>
      </c>
    </row>
    <row r="177">
      <c r="A177" t="inlineStr">
        <is>
          <t>4(1)-V03</t>
        </is>
      </c>
      <c r="B177" t="inlineStr">
        <is>
          <t>4 (1).tif</t>
        </is>
      </c>
      <c r="C177" t="n">
        <v>624</v>
      </c>
      <c r="D177" t="n">
        <v>291</v>
      </c>
      <c r="E177" t="inlineStr">
        <is>
          <t>593,234,656,349</t>
        </is>
      </c>
      <c r="F177" t="n">
        <v>234</v>
      </c>
      <c r="G177" t="inlineStr">
        <is>
          <t>primary</t>
        </is>
      </c>
      <c r="H177" t="inlineStr">
        <is>
          <t>AUTO_VESSEL</t>
        </is>
      </c>
      <c r="I177" t="inlineStr">
        <is>
          <t>是</t>
        </is>
      </c>
      <c r="J177" t="inlineStr">
        <is>
          <t>纳入</t>
        </is>
      </c>
      <c r="K177" t="n">
        <v>262.476370510397</v>
      </c>
      <c r="L177">
        <f>导管母表_1781!G177</f>
        <v/>
      </c>
      <c r="M177" t="inlineStr">
        <is>
          <t>视野内部</t>
        </is>
      </c>
      <c r="N177" t="inlineStr">
        <is>
          <t>纳入A/D/Dh；若有Pair_ID则纳入CWR</t>
        </is>
      </c>
      <c r="O177" t="inlineStr">
        <is>
          <t>自动管线检出的合格导管腔。</t>
        </is>
      </c>
      <c r="P177" t="inlineStr">
        <is>
          <t>auto_pipeline;review_png_green</t>
        </is>
      </c>
      <c r="R177" t="inlineStr">
        <is>
          <t>样品4</t>
        </is>
      </c>
    </row>
    <row r="178">
      <c r="A178" t="inlineStr">
        <is>
          <t>4(1)-V04</t>
        </is>
      </c>
      <c r="B178" t="inlineStr">
        <is>
          <t>4 (1).tif</t>
        </is>
      </c>
      <c r="C178" t="n">
        <v>170</v>
      </c>
      <c r="D178" t="n">
        <v>278</v>
      </c>
      <c r="E178" t="inlineStr">
        <is>
          <t>125,223,216,334</t>
        </is>
      </c>
      <c r="F178" t="n">
        <v>125</v>
      </c>
      <c r="G178" t="inlineStr">
        <is>
          <t>primary</t>
        </is>
      </c>
      <c r="H178" t="inlineStr">
        <is>
          <t>AUTO_VESSEL</t>
        </is>
      </c>
      <c r="I178" t="inlineStr">
        <is>
          <t>是</t>
        </is>
      </c>
      <c r="J178" t="inlineStr">
        <is>
          <t>纳入</t>
        </is>
      </c>
      <c r="K178" t="n">
        <v>174.2674858223062</v>
      </c>
      <c r="L178">
        <f>导管母表_1781!G178</f>
        <v/>
      </c>
      <c r="M178" t="inlineStr">
        <is>
          <t>视野内部</t>
        </is>
      </c>
      <c r="N178" t="inlineStr">
        <is>
          <t>纳入A/D/Dh；若有Pair_ID则纳入CWR</t>
        </is>
      </c>
      <c r="O178" t="inlineStr">
        <is>
          <t>自动管线检出的合格导管腔。</t>
        </is>
      </c>
      <c r="P178" t="inlineStr">
        <is>
          <t>auto_pipeline;review_png_green</t>
        </is>
      </c>
      <c r="R178" t="inlineStr">
        <is>
          <t>样品4</t>
        </is>
      </c>
    </row>
    <row r="179">
      <c r="A179" t="inlineStr">
        <is>
          <t>4(1)-V05</t>
        </is>
      </c>
      <c r="B179" t="inlineStr">
        <is>
          <t>4 (1).tif</t>
        </is>
      </c>
      <c r="C179" t="n">
        <v>80</v>
      </c>
      <c r="D179" t="n">
        <v>376</v>
      </c>
      <c r="E179" t="inlineStr">
        <is>
          <t>35,337,126,416</t>
        </is>
      </c>
      <c r="F179" t="n">
        <v>35</v>
      </c>
      <c r="G179" t="inlineStr">
        <is>
          <t>primary</t>
        </is>
      </c>
      <c r="H179" t="inlineStr">
        <is>
          <t>AUTO_VESSEL</t>
        </is>
      </c>
      <c r="I179" t="inlineStr">
        <is>
          <t>是</t>
        </is>
      </c>
      <c r="J179" t="inlineStr">
        <is>
          <t>纳入</t>
        </is>
      </c>
      <c r="K179" t="n">
        <v>166.351606805293</v>
      </c>
      <c r="L179">
        <f>导管母表_1781!G179</f>
        <v/>
      </c>
      <c r="M179" t="inlineStr">
        <is>
          <t>视野内部</t>
        </is>
      </c>
      <c r="N179" t="inlineStr">
        <is>
          <t>纳入A/D/Dh；若有Pair_ID则纳入CWR</t>
        </is>
      </c>
      <c r="O179" t="inlineStr">
        <is>
          <t>自动管线检出的合格导管腔。</t>
        </is>
      </c>
      <c r="P179" t="inlineStr">
        <is>
          <t>auto_pipeline;review_png_green</t>
        </is>
      </c>
      <c r="R179" t="inlineStr">
        <is>
          <t>样品4</t>
        </is>
      </c>
    </row>
    <row r="180">
      <c r="A180" t="inlineStr">
        <is>
          <t>4(2)-V01</t>
        </is>
      </c>
      <c r="B180" t="inlineStr">
        <is>
          <t>4 (2).tif</t>
        </is>
      </c>
      <c r="C180" t="n">
        <v>440</v>
      </c>
      <c r="D180" t="n">
        <v>311</v>
      </c>
      <c r="E180" t="inlineStr">
        <is>
          <t>360,221,521,402</t>
        </is>
      </c>
      <c r="F180" t="n">
        <v>221</v>
      </c>
      <c r="G180" t="inlineStr">
        <is>
          <t>primary</t>
        </is>
      </c>
      <c r="H180" t="inlineStr">
        <is>
          <t>AUTO_VESSEL</t>
        </is>
      </c>
      <c r="I180" t="inlineStr">
        <is>
          <t>是</t>
        </is>
      </c>
      <c r="J180" t="inlineStr">
        <is>
          <t>纳入</t>
        </is>
      </c>
      <c r="K180" t="n">
        <v>1068.501890359168</v>
      </c>
      <c r="L180">
        <f>导管母表_1781!G180</f>
        <v/>
      </c>
      <c r="M180" t="inlineStr">
        <is>
          <t>视野内部</t>
        </is>
      </c>
      <c r="N180" t="inlineStr">
        <is>
          <t>纳入A/D/Dh；若有Pair_ID则纳入CWR</t>
        </is>
      </c>
      <c r="O180" t="inlineStr">
        <is>
          <t>自动管线检出的合格导管腔。</t>
        </is>
      </c>
      <c r="P180" t="inlineStr">
        <is>
          <t>auto_pipeline;review_png_green</t>
        </is>
      </c>
      <c r="Q180" t="inlineStr">
        <is>
          <t>4(2)-P01</t>
        </is>
      </c>
      <c r="R180" t="inlineStr">
        <is>
          <t>样品4</t>
        </is>
      </c>
    </row>
    <row r="181">
      <c r="A181" t="inlineStr">
        <is>
          <t>4(2)-V02</t>
        </is>
      </c>
      <c r="B181" t="inlineStr">
        <is>
          <t>4 (2).tif</t>
        </is>
      </c>
      <c r="C181" t="n">
        <v>543</v>
      </c>
      <c r="D181" t="n">
        <v>436</v>
      </c>
      <c r="E181" t="inlineStr">
        <is>
          <t>482,374,605,499</t>
        </is>
      </c>
      <c r="F181" t="n">
        <v>269</v>
      </c>
      <c r="G181" t="inlineStr">
        <is>
          <t>primary</t>
        </is>
      </c>
      <c r="H181" t="inlineStr">
        <is>
          <t>AUTO_VESSEL</t>
        </is>
      </c>
      <c r="I181" t="inlineStr">
        <is>
          <t>是</t>
        </is>
      </c>
      <c r="J181" t="inlineStr">
        <is>
          <t>纳入</t>
        </is>
      </c>
      <c r="K181" t="n">
        <v>559.617202268431</v>
      </c>
      <c r="L181">
        <f>导管母表_1781!G181</f>
        <v/>
      </c>
      <c r="M181" t="inlineStr">
        <is>
          <t>视野内部</t>
        </is>
      </c>
      <c r="N181" t="inlineStr">
        <is>
          <t>纳入A/D/Dh；若有Pair_ID则纳入CWR</t>
        </is>
      </c>
      <c r="O181" t="inlineStr">
        <is>
          <t>自动管线检出的合格导管腔。</t>
        </is>
      </c>
      <c r="P181" t="inlineStr">
        <is>
          <t>auto_pipeline;review_png_green</t>
        </is>
      </c>
      <c r="Q181" t="inlineStr">
        <is>
          <t>4(2)-P01</t>
        </is>
      </c>
      <c r="R181" t="inlineStr">
        <is>
          <t>样品4</t>
        </is>
      </c>
    </row>
    <row r="182">
      <c r="A182" t="inlineStr">
        <is>
          <t>4(2)-V03</t>
        </is>
      </c>
      <c r="B182" t="inlineStr">
        <is>
          <t>4 (2).tif</t>
        </is>
      </c>
      <c r="C182" t="n">
        <v>886</v>
      </c>
      <c r="D182" t="n">
        <v>425</v>
      </c>
      <c r="E182" t="inlineStr">
        <is>
          <t>820,359,953,492</t>
        </is>
      </c>
      <c r="F182" t="n">
        <v>71</v>
      </c>
      <c r="G182" t="inlineStr">
        <is>
          <t>primary</t>
        </is>
      </c>
      <c r="H182" t="inlineStr">
        <is>
          <t>AUTO_VESSEL</t>
        </is>
      </c>
      <c r="I182" t="inlineStr">
        <is>
          <t>是</t>
        </is>
      </c>
      <c r="J182" t="inlineStr">
        <is>
          <t>纳入</t>
        </is>
      </c>
      <c r="K182" t="n">
        <v>259.7826086956522</v>
      </c>
      <c r="L182">
        <f>导管母表_1781!G182</f>
        <v/>
      </c>
      <c r="M182" t="inlineStr">
        <is>
          <t>视野内部</t>
        </is>
      </c>
      <c r="N182" t="inlineStr">
        <is>
          <t>纳入A/D/Dh；若有Pair_ID则纳入CWR</t>
        </is>
      </c>
      <c r="O182" t="inlineStr">
        <is>
          <t>自动管线检出的合格导管腔。</t>
        </is>
      </c>
      <c r="P182" t="inlineStr">
        <is>
          <t>auto_pipeline;review_png_green</t>
        </is>
      </c>
      <c r="R182" t="inlineStr">
        <is>
          <t>样品4</t>
        </is>
      </c>
    </row>
    <row r="183">
      <c r="A183" t="inlineStr">
        <is>
          <t>4(2)-V04</t>
        </is>
      </c>
      <c r="B183" t="inlineStr">
        <is>
          <t>4 (2).tif</t>
        </is>
      </c>
      <c r="C183" t="n">
        <v>547</v>
      </c>
      <c r="D183" t="n">
        <v>110</v>
      </c>
      <c r="E183" t="inlineStr">
        <is>
          <t>500,68,595,153</t>
        </is>
      </c>
      <c r="F183" t="n">
        <v>68</v>
      </c>
      <c r="G183" t="inlineStr">
        <is>
          <t>primary</t>
        </is>
      </c>
      <c r="H183" t="inlineStr">
        <is>
          <t>AUTO_VESSEL</t>
        </is>
      </c>
      <c r="I183" t="inlineStr">
        <is>
          <t>是</t>
        </is>
      </c>
      <c r="J183" t="inlineStr">
        <is>
          <t>纳入</t>
        </is>
      </c>
      <c r="K183" t="n">
        <v>186.7911153119093</v>
      </c>
      <c r="L183">
        <f>导管母表_1781!G183</f>
        <v/>
      </c>
      <c r="M183" t="inlineStr">
        <is>
          <t>视野内部</t>
        </is>
      </c>
      <c r="N183" t="inlineStr">
        <is>
          <t>纳入A/D/Dh；若有Pair_ID则纳入CWR</t>
        </is>
      </c>
      <c r="O183" t="inlineStr">
        <is>
          <t>自动管线检出的合格导管腔。</t>
        </is>
      </c>
      <c r="P183" t="inlineStr">
        <is>
          <t>auto_pipeline;review_png_green</t>
        </is>
      </c>
      <c r="R183" t="inlineStr">
        <is>
          <t>样品4</t>
        </is>
      </c>
    </row>
    <row r="184">
      <c r="A184" t="inlineStr">
        <is>
          <t>4(2)-V05</t>
        </is>
      </c>
      <c r="B184" t="inlineStr">
        <is>
          <t>4 (2).tif</t>
        </is>
      </c>
      <c r="C184" t="n">
        <v>633</v>
      </c>
      <c r="D184" t="n">
        <v>182</v>
      </c>
      <c r="E184" t="inlineStr">
        <is>
          <t>597,150,670,215</t>
        </is>
      </c>
      <c r="F184" t="n">
        <v>150</v>
      </c>
      <c r="G184" t="inlineStr">
        <is>
          <t>primary</t>
        </is>
      </c>
      <c r="H184" t="inlineStr">
        <is>
          <t>AUTO_VESSEL</t>
        </is>
      </c>
      <c r="I184" t="inlineStr">
        <is>
          <t>是</t>
        </is>
      </c>
      <c r="J184" t="inlineStr">
        <is>
          <t>纳入</t>
        </is>
      </c>
      <c r="K184" t="n">
        <v>130.8364839319471</v>
      </c>
      <c r="L184">
        <f>导管母表_1781!G184</f>
        <v/>
      </c>
      <c r="M184" t="inlineStr">
        <is>
          <t>视野内部</t>
        </is>
      </c>
      <c r="N184" t="inlineStr">
        <is>
          <t>纳入A/D/Dh；若有Pair_ID则纳入CWR</t>
        </is>
      </c>
      <c r="O184" t="inlineStr">
        <is>
          <t>自动管线检出的合格导管腔。</t>
        </is>
      </c>
      <c r="P184" t="inlineStr">
        <is>
          <t>auto_pipeline;review_png_green</t>
        </is>
      </c>
      <c r="R184" t="inlineStr">
        <is>
          <t>样品4</t>
        </is>
      </c>
    </row>
    <row r="185">
      <c r="A185" t="inlineStr">
        <is>
          <t>4(3)-V01</t>
        </is>
      </c>
      <c r="B185" t="inlineStr">
        <is>
          <t>4 (3).tif</t>
        </is>
      </c>
      <c r="C185" t="n">
        <v>595</v>
      </c>
      <c r="D185" t="n">
        <v>407</v>
      </c>
      <c r="E185" t="inlineStr">
        <is>
          <t>515,333,676,482</t>
        </is>
      </c>
      <c r="F185" t="n">
        <v>286</v>
      </c>
      <c r="G185" t="inlineStr">
        <is>
          <t>primary</t>
        </is>
      </c>
      <c r="H185" t="inlineStr">
        <is>
          <t>AUTO_VESSEL</t>
        </is>
      </c>
      <c r="I185" t="inlineStr">
        <is>
          <t>是</t>
        </is>
      </c>
      <c r="J185" t="inlineStr">
        <is>
          <t>纳入</t>
        </is>
      </c>
      <c r="K185" t="n">
        <v>860.4206049149338</v>
      </c>
      <c r="L185">
        <f>导管母表_1781!G185</f>
        <v/>
      </c>
      <c r="M185" t="inlineStr">
        <is>
          <t>视野内部</t>
        </is>
      </c>
      <c r="N185" t="inlineStr">
        <is>
          <t>纳入A/D/Dh；若有Pair_ID则纳入CWR</t>
        </is>
      </c>
      <c r="O185" t="inlineStr">
        <is>
          <t>自动管线检出的合格导管腔。</t>
        </is>
      </c>
      <c r="P185" t="inlineStr">
        <is>
          <t>auto_pipeline;review_png_green</t>
        </is>
      </c>
      <c r="R185" t="inlineStr">
        <is>
          <t>样品4</t>
        </is>
      </c>
    </row>
    <row r="186">
      <c r="A186" t="inlineStr">
        <is>
          <t>4(3)-V02</t>
        </is>
      </c>
      <c r="B186" t="inlineStr">
        <is>
          <t>4 (3).tif</t>
        </is>
      </c>
      <c r="C186" t="n">
        <v>173</v>
      </c>
      <c r="D186" t="n">
        <v>531</v>
      </c>
      <c r="E186" t="inlineStr">
        <is>
          <t>102,481,245,582</t>
        </is>
      </c>
      <c r="F186" t="n">
        <v>102</v>
      </c>
      <c r="G186" t="inlineStr">
        <is>
          <t>primary</t>
        </is>
      </c>
      <c r="H186" t="inlineStr">
        <is>
          <t>AUTO_VESSEL</t>
        </is>
      </c>
      <c r="I186" t="inlineStr">
        <is>
          <t>是</t>
        </is>
      </c>
      <c r="J186" t="inlineStr">
        <is>
          <t>纳入</t>
        </is>
      </c>
      <c r="K186" t="n">
        <v>214.5085066162571</v>
      </c>
      <c r="L186">
        <f>导管母表_1781!G186</f>
        <v/>
      </c>
      <c r="M186" t="inlineStr">
        <is>
          <t>视野内部</t>
        </is>
      </c>
      <c r="N186" t="inlineStr">
        <is>
          <t>纳入A/D/Dh；若有Pair_ID则纳入CWR</t>
        </is>
      </c>
      <c r="O186" t="inlineStr">
        <is>
          <t>自动管线检出的合格导管腔。</t>
        </is>
      </c>
      <c r="P186" t="inlineStr">
        <is>
          <t>auto_pipeline;review_png_green</t>
        </is>
      </c>
      <c r="R186" t="inlineStr">
        <is>
          <t>样品4</t>
        </is>
      </c>
    </row>
    <row r="187">
      <c r="A187" t="inlineStr">
        <is>
          <t>4(4)-V01</t>
        </is>
      </c>
      <c r="B187" t="inlineStr">
        <is>
          <t>4 (4).tif</t>
        </is>
      </c>
      <c r="C187" t="n">
        <v>515</v>
      </c>
      <c r="D187" t="n">
        <v>517</v>
      </c>
      <c r="E187" t="inlineStr">
        <is>
          <t>396,403,635,632</t>
        </is>
      </c>
      <c r="F187" t="n">
        <v>136</v>
      </c>
      <c r="G187" t="inlineStr">
        <is>
          <t>primary</t>
        </is>
      </c>
      <c r="H187" t="inlineStr">
        <is>
          <t>AUTO_VESSEL</t>
        </is>
      </c>
      <c r="I187" t="inlineStr">
        <is>
          <t>是</t>
        </is>
      </c>
      <c r="J187" t="inlineStr">
        <is>
          <t>纳入</t>
        </is>
      </c>
      <c r="K187" t="n">
        <v>2011.436672967864</v>
      </c>
      <c r="L187">
        <f>导管母表_1781!G187</f>
        <v/>
      </c>
      <c r="M187" t="inlineStr">
        <is>
          <t>视野内部</t>
        </is>
      </c>
      <c r="N187" t="inlineStr">
        <is>
          <t>纳入A/D/Dh；若有Pair_ID则纳入CWR</t>
        </is>
      </c>
      <c r="O187" t="inlineStr">
        <is>
          <t>自动管线检出的合格导管腔。</t>
        </is>
      </c>
      <c r="P187" t="inlineStr">
        <is>
          <t>auto_pipeline;review_png_green</t>
        </is>
      </c>
      <c r="Q187" t="inlineStr">
        <is>
          <t>4(4)-P01</t>
        </is>
      </c>
      <c r="R187" t="inlineStr">
        <is>
          <t>样品4</t>
        </is>
      </c>
    </row>
    <row r="188">
      <c r="A188" t="inlineStr">
        <is>
          <t>4(4)-V02</t>
        </is>
      </c>
      <c r="B188" t="inlineStr">
        <is>
          <t>4 (4).tif</t>
        </is>
      </c>
      <c r="C188" t="n">
        <v>571</v>
      </c>
      <c r="D188" t="n">
        <v>305</v>
      </c>
      <c r="E188" t="inlineStr">
        <is>
          <t>497,237,646,374</t>
        </is>
      </c>
      <c r="F188" t="n">
        <v>237</v>
      </c>
      <c r="G188" t="inlineStr">
        <is>
          <t>primary</t>
        </is>
      </c>
      <c r="H188" t="inlineStr">
        <is>
          <t>AUTO_VESSEL</t>
        </is>
      </c>
      <c r="I188" t="inlineStr">
        <is>
          <t>是</t>
        </is>
      </c>
      <c r="J188" t="inlineStr">
        <is>
          <t>纳入</t>
        </is>
      </c>
      <c r="K188" t="n">
        <v>747.4952741020794</v>
      </c>
      <c r="L188">
        <f>导管母表_1781!G188</f>
        <v/>
      </c>
      <c r="M188" t="inlineStr">
        <is>
          <t>视野内部</t>
        </is>
      </c>
      <c r="N188" t="inlineStr">
        <is>
          <t>纳入A/D/Dh；若有Pair_ID则纳入CWR</t>
        </is>
      </c>
      <c r="O188" t="inlineStr">
        <is>
          <t>自动管线检出的合格导管腔。</t>
        </is>
      </c>
      <c r="P188" t="inlineStr">
        <is>
          <t>auto_pipeline;review_png_green</t>
        </is>
      </c>
      <c r="Q188" t="inlineStr">
        <is>
          <t>4(4)-P01</t>
        </is>
      </c>
      <c r="R188" t="inlineStr">
        <is>
          <t>样品4</t>
        </is>
      </c>
    </row>
    <row r="189">
      <c r="A189" t="inlineStr">
        <is>
          <t>4(4)-V03</t>
        </is>
      </c>
      <c r="B189" t="inlineStr">
        <is>
          <t>4 (4).tif</t>
        </is>
      </c>
      <c r="C189" t="n">
        <v>183</v>
      </c>
      <c r="D189" t="n">
        <v>505</v>
      </c>
      <c r="E189" t="inlineStr">
        <is>
          <t>152,446,215,565</t>
        </is>
      </c>
      <c r="F189" t="n">
        <v>152</v>
      </c>
      <c r="G189" t="inlineStr">
        <is>
          <t>primary</t>
        </is>
      </c>
      <c r="H189" t="inlineStr">
        <is>
          <t>AUTO_VESSEL</t>
        </is>
      </c>
      <c r="I189" t="inlineStr">
        <is>
          <t>是</t>
        </is>
      </c>
      <c r="J189" t="inlineStr">
        <is>
          <t>纳入</t>
        </is>
      </c>
      <c r="K189" t="n">
        <v>171.3610586011342</v>
      </c>
      <c r="L189">
        <f>导管母表_1781!G189</f>
        <v/>
      </c>
      <c r="M189" t="inlineStr">
        <is>
          <t>视野内部</t>
        </is>
      </c>
      <c r="N189" t="inlineStr">
        <is>
          <t>纳入A/D/Dh；若有Pair_ID则纳入CWR</t>
        </is>
      </c>
      <c r="O189" t="inlineStr">
        <is>
          <t>自动管线检出的合格导管腔。</t>
        </is>
      </c>
      <c r="P189" t="inlineStr">
        <is>
          <t>auto_pipeline;review_png_green</t>
        </is>
      </c>
      <c r="R189" t="inlineStr">
        <is>
          <t>样品4</t>
        </is>
      </c>
    </row>
    <row r="190">
      <c r="A190" t="inlineStr">
        <is>
          <t>4(4)-V04</t>
        </is>
      </c>
      <c r="B190" t="inlineStr">
        <is>
          <t>4 (4).tif</t>
        </is>
      </c>
      <c r="C190" t="n">
        <v>384</v>
      </c>
      <c r="D190" t="n">
        <v>518</v>
      </c>
      <c r="E190" t="inlineStr">
        <is>
          <t>367,460,402,577</t>
        </is>
      </c>
      <c r="F190" t="n">
        <v>191</v>
      </c>
      <c r="G190" t="inlineStr">
        <is>
          <t>primary</t>
        </is>
      </c>
      <c r="H190" t="inlineStr">
        <is>
          <t>AUTO_VESSEL</t>
        </is>
      </c>
      <c r="I190" t="inlineStr">
        <is>
          <t>是</t>
        </is>
      </c>
      <c r="J190" t="inlineStr">
        <is>
          <t>纳入</t>
        </is>
      </c>
      <c r="K190" t="n">
        <v>146.4083175803403</v>
      </c>
      <c r="L190">
        <f>导管母表_1781!G190</f>
        <v/>
      </c>
      <c r="M190" t="inlineStr">
        <is>
          <t>视野内部</t>
        </is>
      </c>
      <c r="N190" t="inlineStr">
        <is>
          <t>纳入A/D/Dh；若有Pair_ID则纳入CWR</t>
        </is>
      </c>
      <c r="O190" t="inlineStr">
        <is>
          <t>自动管线检出的合格导管腔。</t>
        </is>
      </c>
      <c r="P190" t="inlineStr">
        <is>
          <t>auto_pipeline;review_png_green</t>
        </is>
      </c>
      <c r="R190" t="inlineStr">
        <is>
          <t>样品4</t>
        </is>
      </c>
    </row>
    <row r="191">
      <c r="A191" t="inlineStr">
        <is>
          <t>4(4)-V05</t>
        </is>
      </c>
      <c r="B191" t="inlineStr">
        <is>
          <t>4 (4).tif</t>
        </is>
      </c>
      <c r="C191" t="n">
        <v>375</v>
      </c>
      <c r="D191" t="n">
        <v>64</v>
      </c>
      <c r="E191" t="inlineStr">
        <is>
          <t>344,33,407,96</t>
        </is>
      </c>
      <c r="F191" t="n">
        <v>33</v>
      </c>
      <c r="G191" t="inlineStr">
        <is>
          <t>primary</t>
        </is>
      </c>
      <c r="H191" t="inlineStr">
        <is>
          <t>AUTO_VESSEL</t>
        </is>
      </c>
      <c r="I191" t="inlineStr">
        <is>
          <t>是</t>
        </is>
      </c>
      <c r="J191" t="inlineStr">
        <is>
          <t>纳入</t>
        </is>
      </c>
      <c r="K191" t="n">
        <v>142.2258979206049</v>
      </c>
      <c r="L191">
        <f>导管母表_1781!G191</f>
        <v/>
      </c>
      <c r="M191" t="inlineStr">
        <is>
          <t>视野内部</t>
        </is>
      </c>
      <c r="N191" t="inlineStr">
        <is>
          <t>纳入A/D/Dh；若有Pair_ID则纳入CWR</t>
        </is>
      </c>
      <c r="O191" t="inlineStr">
        <is>
          <t>自动管线检出的合格导管腔。</t>
        </is>
      </c>
      <c r="P191" t="inlineStr">
        <is>
          <t>auto_pipeline;review_png_green</t>
        </is>
      </c>
      <c r="R191" t="inlineStr">
        <is>
          <t>样品4</t>
        </is>
      </c>
    </row>
    <row r="192">
      <c r="A192" t="inlineStr">
        <is>
          <t>4(4)-V06</t>
        </is>
      </c>
      <c r="B192" t="inlineStr">
        <is>
          <t>4 (4).tif</t>
        </is>
      </c>
      <c r="C192" t="n">
        <v>532</v>
      </c>
      <c r="D192" t="n">
        <v>57</v>
      </c>
      <c r="E192" t="inlineStr">
        <is>
          <t>501,28,564,87</t>
        </is>
      </c>
      <c r="F192" t="n">
        <v>28</v>
      </c>
      <c r="G192" t="inlineStr">
        <is>
          <t>primary</t>
        </is>
      </c>
      <c r="H192" t="inlineStr">
        <is>
          <t>AUTO_VESSEL</t>
        </is>
      </c>
      <c r="I192" t="inlineStr">
        <is>
          <t>是</t>
        </is>
      </c>
      <c r="J192" t="inlineStr">
        <is>
          <t>纳入</t>
        </is>
      </c>
      <c r="K192" t="n">
        <v>112.8308128544423</v>
      </c>
      <c r="L192">
        <f>导管母表_1781!G192</f>
        <v/>
      </c>
      <c r="M192" t="inlineStr">
        <is>
          <t>视野内部</t>
        </is>
      </c>
      <c r="N192" t="inlineStr">
        <is>
          <t>纳入A/D/Dh；若有Pair_ID则纳入CWR</t>
        </is>
      </c>
      <c r="O192" t="inlineStr">
        <is>
          <t>自动管线检出的合格导管腔。</t>
        </is>
      </c>
      <c r="P192" t="inlineStr">
        <is>
          <t>auto_pipeline;review_png_green</t>
        </is>
      </c>
      <c r="R192" t="inlineStr">
        <is>
          <t>样品4</t>
        </is>
      </c>
    </row>
    <row r="193">
      <c r="A193" t="inlineStr">
        <is>
          <t>4(4)-V07</t>
        </is>
      </c>
      <c r="B193" t="inlineStr">
        <is>
          <t>4 (4).tif</t>
        </is>
      </c>
      <c r="C193" t="n">
        <v>436</v>
      </c>
      <c r="D193" t="n">
        <v>112</v>
      </c>
      <c r="E193" t="inlineStr">
        <is>
          <t>405,86,468,139</t>
        </is>
      </c>
      <c r="F193" t="n">
        <v>86</v>
      </c>
      <c r="G193" t="inlineStr">
        <is>
          <t>primary</t>
        </is>
      </c>
      <c r="H193" t="inlineStr">
        <is>
          <t>AUTO_VESSEL</t>
        </is>
      </c>
      <c r="I193" t="inlineStr">
        <is>
          <t>是</t>
        </is>
      </c>
      <c r="J193" t="inlineStr">
        <is>
          <t>纳入</t>
        </is>
      </c>
      <c r="K193" t="n">
        <v>111.2476370510397</v>
      </c>
      <c r="L193">
        <f>导管母表_1781!G193</f>
        <v/>
      </c>
      <c r="M193" t="inlineStr">
        <is>
          <t>视野内部</t>
        </is>
      </c>
      <c r="N193" t="inlineStr">
        <is>
          <t>纳入A/D/Dh；若有Pair_ID则纳入CWR</t>
        </is>
      </c>
      <c r="O193" t="inlineStr">
        <is>
          <t>自动管线检出的合格导管腔。</t>
        </is>
      </c>
      <c r="P193" t="inlineStr">
        <is>
          <t>auto_pipeline;review_png_green</t>
        </is>
      </c>
      <c r="R193" t="inlineStr">
        <is>
          <t>样品4</t>
        </is>
      </c>
    </row>
    <row r="194">
      <c r="A194" t="inlineStr">
        <is>
          <t>4(5)-V01</t>
        </is>
      </c>
      <c r="B194" t="inlineStr">
        <is>
          <t>4 (5).tif</t>
        </is>
      </c>
      <c r="C194" t="n">
        <v>230</v>
      </c>
      <c r="D194" t="n">
        <v>116</v>
      </c>
      <c r="E194" t="inlineStr">
        <is>
          <t>127,19,334,214</t>
        </is>
      </c>
      <c r="F194" t="n">
        <v>19</v>
      </c>
      <c r="G194" t="inlineStr">
        <is>
          <t>primary</t>
        </is>
      </c>
      <c r="H194" t="inlineStr">
        <is>
          <t>AUTO_VESSEL</t>
        </is>
      </c>
      <c r="I194" t="inlineStr">
        <is>
          <t>是</t>
        </is>
      </c>
      <c r="J194" t="inlineStr">
        <is>
          <t>纳入</t>
        </is>
      </c>
      <c r="K194" t="n">
        <v>1476.79584120983</v>
      </c>
      <c r="L194">
        <f>导管母表_1781!G194</f>
        <v/>
      </c>
      <c r="M194" t="inlineStr">
        <is>
          <t>近边缘（&lt;25 px）</t>
        </is>
      </c>
      <c r="N194" t="inlineStr">
        <is>
          <t>纳入A/D/Dh；若有Pair_ID则纳入CWR</t>
        </is>
      </c>
      <c r="O194" t="inlineStr">
        <is>
          <t>自动管线检出的合格导管腔。</t>
        </is>
      </c>
      <c r="P194" t="inlineStr">
        <is>
          <t>auto_pipeline;review_png_green</t>
        </is>
      </c>
      <c r="R194" t="inlineStr">
        <is>
          <t>样品4</t>
        </is>
      </c>
    </row>
    <row r="195">
      <c r="A195" t="inlineStr">
        <is>
          <t>4(5)-V02</t>
        </is>
      </c>
      <c r="B195" t="inlineStr">
        <is>
          <t>4 (5).tif</t>
        </is>
      </c>
      <c r="C195" t="n">
        <v>522</v>
      </c>
      <c r="D195" t="n">
        <v>302</v>
      </c>
      <c r="E195" t="inlineStr">
        <is>
          <t>438,214,607,391</t>
        </is>
      </c>
      <c r="F195" t="n">
        <v>214</v>
      </c>
      <c r="G195" t="inlineStr">
        <is>
          <t>primary</t>
        </is>
      </c>
      <c r="H195" t="inlineStr">
        <is>
          <t>AUTO_VESSEL</t>
        </is>
      </c>
      <c r="I195" t="inlineStr">
        <is>
          <t>是</t>
        </is>
      </c>
      <c r="J195" t="inlineStr">
        <is>
          <t>纳入</t>
        </is>
      </c>
      <c r="K195" t="n">
        <v>1093.690926275993</v>
      </c>
      <c r="L195">
        <f>导管母表_1781!G195</f>
        <v/>
      </c>
      <c r="M195" t="inlineStr">
        <is>
          <t>视野内部</t>
        </is>
      </c>
      <c r="N195" t="inlineStr">
        <is>
          <t>纳入A/D/Dh；若有Pair_ID则纳入CWR</t>
        </is>
      </c>
      <c r="O195" t="inlineStr">
        <is>
          <t>自动管线检出的合格导管腔。</t>
        </is>
      </c>
      <c r="P195" t="inlineStr">
        <is>
          <t>auto_pipeline;review_png_green</t>
        </is>
      </c>
      <c r="R195" t="inlineStr">
        <is>
          <t>样品4</t>
        </is>
      </c>
    </row>
    <row r="196">
      <c r="A196" t="inlineStr">
        <is>
          <t>4(5)-V03</t>
        </is>
      </c>
      <c r="B196" t="inlineStr">
        <is>
          <t>4 (5).tif</t>
        </is>
      </c>
      <c r="C196" t="n">
        <v>692</v>
      </c>
      <c r="D196" t="n">
        <v>128</v>
      </c>
      <c r="E196" t="inlineStr">
        <is>
          <t>620,47,765,210</t>
        </is>
      </c>
      <c r="F196" t="n">
        <v>47</v>
      </c>
      <c r="G196" t="inlineStr">
        <is>
          <t>primary</t>
        </is>
      </c>
      <c r="H196" t="inlineStr">
        <is>
          <t>AUTO_VESSEL</t>
        </is>
      </c>
      <c r="I196" t="inlineStr">
        <is>
          <t>是</t>
        </is>
      </c>
      <c r="J196" t="inlineStr">
        <is>
          <t>纳入</t>
        </is>
      </c>
      <c r="K196" t="n">
        <v>862.7599243856333</v>
      </c>
      <c r="L196">
        <f>导管母表_1781!G196</f>
        <v/>
      </c>
      <c r="M196" t="inlineStr">
        <is>
          <t>视野内部</t>
        </is>
      </c>
      <c r="N196" t="inlineStr">
        <is>
          <t>纳入A/D/Dh；若有Pair_ID则纳入CWR</t>
        </is>
      </c>
      <c r="O196" t="inlineStr">
        <is>
          <t>自动管线检出的合格导管腔。</t>
        </is>
      </c>
      <c r="P196" t="inlineStr">
        <is>
          <t>auto_pipeline;review_png_green</t>
        </is>
      </c>
      <c r="R196" t="inlineStr">
        <is>
          <t>样品4</t>
        </is>
      </c>
    </row>
    <row r="197">
      <c r="A197" t="inlineStr">
        <is>
          <t>4(5)-V04</t>
        </is>
      </c>
      <c r="B197" t="inlineStr">
        <is>
          <t>4 (5).tif</t>
        </is>
      </c>
      <c r="C197" t="n">
        <v>621</v>
      </c>
      <c r="D197" t="n">
        <v>381</v>
      </c>
      <c r="E197" t="inlineStr">
        <is>
          <t>598,336,645,427</t>
        </is>
      </c>
      <c r="F197" t="n">
        <v>336</v>
      </c>
      <c r="G197" t="inlineStr">
        <is>
          <t>primary</t>
        </is>
      </c>
      <c r="H197" t="inlineStr">
        <is>
          <t>AUTO_VESSEL</t>
        </is>
      </c>
      <c r="I197" t="inlineStr">
        <is>
          <t>是</t>
        </is>
      </c>
      <c r="J197" t="inlineStr">
        <is>
          <t>纳入</t>
        </is>
      </c>
      <c r="K197" t="n">
        <v>125.6143667296786</v>
      </c>
      <c r="L197">
        <f>导管母表_1781!G197</f>
        <v/>
      </c>
      <c r="M197" t="inlineStr">
        <is>
          <t>视野内部</t>
        </is>
      </c>
      <c r="N197" t="inlineStr">
        <is>
          <t>纳入A/D/Dh；若有Pair_ID则纳入CWR</t>
        </is>
      </c>
      <c r="O197" t="inlineStr">
        <is>
          <t>自动管线检出的合格导管腔。</t>
        </is>
      </c>
      <c r="P197" t="inlineStr">
        <is>
          <t>auto_pipeline;review_png_green</t>
        </is>
      </c>
      <c r="R197" t="inlineStr">
        <is>
          <t>样品4</t>
        </is>
      </c>
    </row>
    <row r="198">
      <c r="A198" t="inlineStr">
        <is>
          <t>4(6)-V01</t>
        </is>
      </c>
      <c r="B198" t="inlineStr">
        <is>
          <t>4 (6).tif</t>
        </is>
      </c>
      <c r="C198" t="n">
        <v>546</v>
      </c>
      <c r="D198" t="n">
        <v>416</v>
      </c>
      <c r="E198" t="inlineStr">
        <is>
          <t>460,325,633,508</t>
        </is>
      </c>
      <c r="F198" t="n">
        <v>260</v>
      </c>
      <c r="G198" t="inlineStr">
        <is>
          <t>primary</t>
        </is>
      </c>
      <c r="H198" t="inlineStr">
        <is>
          <t>AUTO_VESSEL</t>
        </is>
      </c>
      <c r="I198" t="inlineStr">
        <is>
          <t>是</t>
        </is>
      </c>
      <c r="J198" t="inlineStr">
        <is>
          <t>纳入</t>
        </is>
      </c>
      <c r="K198" t="n">
        <v>1130.694706994329</v>
      </c>
      <c r="L198">
        <f>导管母表_1781!G198</f>
        <v/>
      </c>
      <c r="M198" t="inlineStr">
        <is>
          <t>视野内部</t>
        </is>
      </c>
      <c r="N198" t="inlineStr">
        <is>
          <t>纳入A/D/Dh；若有Pair_ID则纳入CWR</t>
        </is>
      </c>
      <c r="O198" t="inlineStr">
        <is>
          <t>自动管线检出的合格导管腔。</t>
        </is>
      </c>
      <c r="P198" t="inlineStr">
        <is>
          <t>auto_pipeline;review_png_green</t>
        </is>
      </c>
      <c r="Q198" t="inlineStr">
        <is>
          <t>4(6)-P01</t>
        </is>
      </c>
      <c r="R198" t="inlineStr">
        <is>
          <t>样品4</t>
        </is>
      </c>
    </row>
    <row r="199">
      <c r="A199" t="inlineStr">
        <is>
          <t>4(6)-V02</t>
        </is>
      </c>
      <c r="B199" t="inlineStr">
        <is>
          <t>4 (6).tif</t>
        </is>
      </c>
      <c r="C199" t="n">
        <v>479</v>
      </c>
      <c r="D199" t="n">
        <v>245</v>
      </c>
      <c r="E199" t="inlineStr">
        <is>
          <t>411,164,548,327</t>
        </is>
      </c>
      <c r="F199" t="n">
        <v>164</v>
      </c>
      <c r="G199" t="inlineStr">
        <is>
          <t>primary</t>
        </is>
      </c>
      <c r="H199" t="inlineStr">
        <is>
          <t>AUTO_VESSEL</t>
        </is>
      </c>
      <c r="I199" t="inlineStr">
        <is>
          <t>是</t>
        </is>
      </c>
      <c r="J199" t="inlineStr">
        <is>
          <t>纳入</t>
        </is>
      </c>
      <c r="K199" t="n">
        <v>815.5718336483932</v>
      </c>
      <c r="L199">
        <f>导管母表_1781!G199</f>
        <v/>
      </c>
      <c r="M199" t="inlineStr">
        <is>
          <t>视野内部</t>
        </is>
      </c>
      <c r="N199" t="inlineStr">
        <is>
          <t>纳入A/D/Dh；若有Pair_ID则纳入CWR</t>
        </is>
      </c>
      <c r="O199" t="inlineStr">
        <is>
          <t>自动管线检出的合格导管腔。</t>
        </is>
      </c>
      <c r="P199" t="inlineStr">
        <is>
          <t>auto_pipeline;review_png_green</t>
        </is>
      </c>
      <c r="Q199" t="inlineStr">
        <is>
          <t>4(6)-P01</t>
        </is>
      </c>
      <c r="R199" t="inlineStr">
        <is>
          <t>样品4</t>
        </is>
      </c>
    </row>
    <row r="200">
      <c r="A200" t="inlineStr">
        <is>
          <t>4(6)-V03</t>
        </is>
      </c>
      <c r="B200" t="inlineStr">
        <is>
          <t>4 (6).tif</t>
        </is>
      </c>
      <c r="C200" t="n">
        <v>143</v>
      </c>
      <c r="D200" t="n">
        <v>229</v>
      </c>
      <c r="E200" t="inlineStr">
        <is>
          <t>86,104,201,355</t>
        </is>
      </c>
      <c r="F200" t="n">
        <v>86</v>
      </c>
      <c r="G200" t="inlineStr">
        <is>
          <t>primary</t>
        </is>
      </c>
      <c r="H200" t="inlineStr">
        <is>
          <t>AUTO_VESSEL</t>
        </is>
      </c>
      <c r="I200" t="inlineStr">
        <is>
          <t>是</t>
        </is>
      </c>
      <c r="J200" t="inlineStr">
        <is>
          <t>纳入</t>
        </is>
      </c>
      <c r="K200" t="n">
        <v>424.2911153119093</v>
      </c>
      <c r="L200">
        <f>导管母表_1781!G200</f>
        <v/>
      </c>
      <c r="M200" t="inlineStr">
        <is>
          <t>视野内部</t>
        </is>
      </c>
      <c r="N200" t="inlineStr">
        <is>
          <t>纳入A/D/Dh；若有Pair_ID则纳入CWR</t>
        </is>
      </c>
      <c r="O200" t="inlineStr">
        <is>
          <t>自动管线检出的合格导管腔。</t>
        </is>
      </c>
      <c r="P200" t="inlineStr">
        <is>
          <t>auto_pipeline;review_png_green</t>
        </is>
      </c>
      <c r="R200" t="inlineStr">
        <is>
          <t>样品4</t>
        </is>
      </c>
    </row>
    <row r="201">
      <c r="A201" t="inlineStr">
        <is>
          <t>4(6)-V04</t>
        </is>
      </c>
      <c r="B201" t="inlineStr">
        <is>
          <t>4 (6).tif</t>
        </is>
      </c>
      <c r="C201" t="n">
        <v>869</v>
      </c>
      <c r="D201" t="n">
        <v>342</v>
      </c>
      <c r="E201" t="inlineStr">
        <is>
          <t>839,299,900,386</t>
        </is>
      </c>
      <c r="F201" t="n">
        <v>124</v>
      </c>
      <c r="G201" t="inlineStr">
        <is>
          <t>primary</t>
        </is>
      </c>
      <c r="H201" t="inlineStr">
        <is>
          <t>AUTO_VESSEL</t>
        </is>
      </c>
      <c r="I201" t="inlineStr">
        <is>
          <t>是</t>
        </is>
      </c>
      <c r="J201" t="inlineStr">
        <is>
          <t>纳入</t>
        </is>
      </c>
      <c r="K201" t="n">
        <v>189.8865784499055</v>
      </c>
      <c r="L201">
        <f>导管母表_1781!G201</f>
        <v/>
      </c>
      <c r="M201" t="inlineStr">
        <is>
          <t>视野内部</t>
        </is>
      </c>
      <c r="N201" t="inlineStr">
        <is>
          <t>纳入A/D/Dh；若有Pair_ID则纳入CWR</t>
        </is>
      </c>
      <c r="O201" t="inlineStr">
        <is>
          <t>自动管线检出的合格导管腔。</t>
        </is>
      </c>
      <c r="P201" t="inlineStr">
        <is>
          <t>auto_pipeline;review_png_green</t>
        </is>
      </c>
      <c r="R201" t="inlineStr">
        <is>
          <t>样品4</t>
        </is>
      </c>
    </row>
    <row r="202">
      <c r="A202" t="inlineStr">
        <is>
          <t>4(6)-V05</t>
        </is>
      </c>
      <c r="B202" t="inlineStr">
        <is>
          <t>4 (6).tif</t>
        </is>
      </c>
      <c r="C202" t="n">
        <v>255</v>
      </c>
      <c r="D202" t="n">
        <v>483</v>
      </c>
      <c r="E202" t="inlineStr">
        <is>
          <t>228,435,283,532</t>
        </is>
      </c>
      <c r="F202" t="n">
        <v>228</v>
      </c>
      <c r="G202" t="inlineStr">
        <is>
          <t>primary</t>
        </is>
      </c>
      <c r="H202" t="inlineStr">
        <is>
          <t>AUTO_VESSEL</t>
        </is>
      </c>
      <c r="I202" t="inlineStr">
        <is>
          <t>是</t>
        </is>
      </c>
      <c r="J202" t="inlineStr">
        <is>
          <t>纳入</t>
        </is>
      </c>
      <c r="K202" t="n">
        <v>138.6814744801512</v>
      </c>
      <c r="L202">
        <f>导管母表_1781!G202</f>
        <v/>
      </c>
      <c r="M202" t="inlineStr">
        <is>
          <t>视野内部</t>
        </is>
      </c>
      <c r="N202" t="inlineStr">
        <is>
          <t>纳入A/D/Dh；若有Pair_ID则纳入CWR</t>
        </is>
      </c>
      <c r="O202" t="inlineStr">
        <is>
          <t>自动管线检出的合格导管腔。</t>
        </is>
      </c>
      <c r="P202" t="inlineStr">
        <is>
          <t>auto_pipeline;review_png_green</t>
        </is>
      </c>
      <c r="R202" t="inlineStr">
        <is>
          <t>样品4</t>
        </is>
      </c>
    </row>
    <row r="203">
      <c r="A203" t="inlineStr">
        <is>
          <t>4(6)-V06</t>
        </is>
      </c>
      <c r="B203" t="inlineStr">
        <is>
          <t>4 (6).tif</t>
        </is>
      </c>
      <c r="C203" t="n">
        <v>382</v>
      </c>
      <c r="D203" t="n">
        <v>177</v>
      </c>
      <c r="E203" t="inlineStr">
        <is>
          <t>359,139,406,216</t>
        </is>
      </c>
      <c r="F203" t="n">
        <v>139</v>
      </c>
      <c r="G203" t="inlineStr">
        <is>
          <t>primary</t>
        </is>
      </c>
      <c r="H203" t="inlineStr">
        <is>
          <t>AUTO_VESSEL</t>
        </is>
      </c>
      <c r="I203" t="inlineStr">
        <is>
          <t>是</t>
        </is>
      </c>
      <c r="J203" t="inlineStr">
        <is>
          <t>纳入</t>
        </is>
      </c>
      <c r="K203" t="n">
        <v>129.4659735349717</v>
      </c>
      <c r="L203">
        <f>导管母表_1781!G203</f>
        <v/>
      </c>
      <c r="M203" t="inlineStr">
        <is>
          <t>视野内部</t>
        </is>
      </c>
      <c r="N203" t="inlineStr">
        <is>
          <t>纳入A/D/Dh；若有Pair_ID则纳入CWR</t>
        </is>
      </c>
      <c r="O203" t="inlineStr">
        <is>
          <t>自动管线检出的合格导管腔。</t>
        </is>
      </c>
      <c r="P203" t="inlineStr">
        <is>
          <t>auto_pipeline;review_png_green</t>
        </is>
      </c>
      <c r="R203" t="inlineStr">
        <is>
          <t>样品4</t>
        </is>
      </c>
    </row>
    <row r="204">
      <c r="A204" t="inlineStr">
        <is>
          <t>4(7)-V01</t>
        </is>
      </c>
      <c r="B204" t="inlineStr">
        <is>
          <t>4 (7).tif</t>
        </is>
      </c>
      <c r="C204" t="n">
        <v>886</v>
      </c>
      <c r="D204" t="n">
        <v>195</v>
      </c>
      <c r="E204" t="inlineStr">
        <is>
          <t>790,103,983,288</t>
        </is>
      </c>
      <c r="F204" t="n">
        <v>41</v>
      </c>
      <c r="G204" t="inlineStr">
        <is>
          <t>primary</t>
        </is>
      </c>
      <c r="H204" t="inlineStr">
        <is>
          <t>AUTO_VESSEL</t>
        </is>
      </c>
      <c r="I204" t="inlineStr">
        <is>
          <t>是</t>
        </is>
      </c>
      <c r="J204" t="inlineStr">
        <is>
          <t>纳入</t>
        </is>
      </c>
      <c r="K204" t="n">
        <v>1284.310018903592</v>
      </c>
      <c r="L204">
        <f>导管母表_1781!G204</f>
        <v/>
      </c>
      <c r="M204" t="inlineStr">
        <is>
          <t>视野内部</t>
        </is>
      </c>
      <c r="N204" t="inlineStr">
        <is>
          <t>纳入A/D/Dh；若有Pair_ID则纳入CWR</t>
        </is>
      </c>
      <c r="O204" t="inlineStr">
        <is>
          <t>自动管线检出的合格导管腔。</t>
        </is>
      </c>
      <c r="P204" t="inlineStr">
        <is>
          <t>auto_pipeline;review_png_green</t>
        </is>
      </c>
      <c r="R204" t="inlineStr">
        <is>
          <t>样品4</t>
        </is>
      </c>
    </row>
    <row r="205">
      <c r="A205" t="inlineStr">
        <is>
          <t>4(7)-V02</t>
        </is>
      </c>
      <c r="B205" t="inlineStr">
        <is>
          <t>4 (7).tif</t>
        </is>
      </c>
      <c r="C205" t="n">
        <v>458</v>
      </c>
      <c r="D205" t="n">
        <v>326</v>
      </c>
      <c r="E205" t="inlineStr">
        <is>
          <t>373,241,544,412</t>
        </is>
      </c>
      <c r="F205" t="n">
        <v>241</v>
      </c>
      <c r="G205" t="inlineStr">
        <is>
          <t>primary</t>
        </is>
      </c>
      <c r="H205" t="inlineStr">
        <is>
          <t>AUTO_VESSEL</t>
        </is>
      </c>
      <c r="I205" t="inlineStr">
        <is>
          <t>是</t>
        </is>
      </c>
      <c r="J205" t="inlineStr">
        <is>
          <t>纳入</t>
        </is>
      </c>
      <c r="K205" t="n">
        <v>1072.400756143667</v>
      </c>
      <c r="L205">
        <f>导管母表_1781!G205</f>
        <v/>
      </c>
      <c r="M205" t="inlineStr">
        <is>
          <t>视野内部</t>
        </is>
      </c>
      <c r="N205" t="inlineStr">
        <is>
          <t>纳入A/D/Dh；若有Pair_ID则纳入CWR</t>
        </is>
      </c>
      <c r="O205" t="inlineStr">
        <is>
          <t>自动管线检出的合格导管腔。</t>
        </is>
      </c>
      <c r="P205" t="inlineStr">
        <is>
          <t>auto_pipeline;review_png_green</t>
        </is>
      </c>
      <c r="R205" t="inlineStr">
        <is>
          <t>样品4</t>
        </is>
      </c>
    </row>
    <row r="206">
      <c r="A206" t="inlineStr">
        <is>
          <t>4(8)-V01</t>
        </is>
      </c>
      <c r="B206" t="inlineStr">
        <is>
          <t>4 (8).tif</t>
        </is>
      </c>
      <c r="C206" t="n">
        <v>619</v>
      </c>
      <c r="D206" t="n">
        <v>410</v>
      </c>
      <c r="E206" t="inlineStr">
        <is>
          <t>525,327,714,494</t>
        </is>
      </c>
      <c r="F206" t="n">
        <v>274</v>
      </c>
      <c r="G206" t="inlineStr">
        <is>
          <t>primary</t>
        </is>
      </c>
      <c r="H206" t="inlineStr">
        <is>
          <t>AUTO_VESSEL</t>
        </is>
      </c>
      <c r="I206" t="inlineStr">
        <is>
          <t>是</t>
        </is>
      </c>
      <c r="J206" t="inlineStr">
        <is>
          <t>纳入</t>
        </is>
      </c>
      <c r="K206" t="n">
        <v>1157.088846880907</v>
      </c>
      <c r="L206">
        <f>导管母表_1781!G206</f>
        <v/>
      </c>
      <c r="M206" t="inlineStr">
        <is>
          <t>视野内部</t>
        </is>
      </c>
      <c r="N206" t="inlineStr">
        <is>
          <t>纳入A/D/Dh；若有Pair_ID则纳入CWR</t>
        </is>
      </c>
      <c r="O206" t="inlineStr">
        <is>
          <t>自动管线检出的合格导管腔。</t>
        </is>
      </c>
      <c r="P206" t="inlineStr">
        <is>
          <t>auto_pipeline;review_png_green</t>
        </is>
      </c>
      <c r="R206" t="inlineStr">
        <is>
          <t>样品4</t>
        </is>
      </c>
    </row>
    <row r="207">
      <c r="A207" t="inlineStr">
        <is>
          <t>4(8)-V02</t>
        </is>
      </c>
      <c r="B207" t="inlineStr">
        <is>
          <t>4 (8).tif</t>
        </is>
      </c>
      <c r="C207" t="n">
        <v>378</v>
      </c>
      <c r="D207" t="n">
        <v>382</v>
      </c>
      <c r="E207" t="inlineStr">
        <is>
          <t>298,304,459,461</t>
        </is>
      </c>
      <c r="F207" t="n">
        <v>298</v>
      </c>
      <c r="G207" t="inlineStr">
        <is>
          <t>primary</t>
        </is>
      </c>
      <c r="H207" t="inlineStr">
        <is>
          <t>AUTO_VESSEL</t>
        </is>
      </c>
      <c r="I207" t="inlineStr">
        <is>
          <t>是</t>
        </is>
      </c>
      <c r="J207" t="inlineStr">
        <is>
          <t>纳入</t>
        </is>
      </c>
      <c r="K207" t="n">
        <v>925.992438563327</v>
      </c>
      <c r="L207">
        <f>导管母表_1781!G207</f>
        <v/>
      </c>
      <c r="M207" t="inlineStr">
        <is>
          <t>视野内部</t>
        </is>
      </c>
      <c r="N207" t="inlineStr">
        <is>
          <t>纳入A/D/Dh；若有Pair_ID则纳入CWR</t>
        </is>
      </c>
      <c r="O207" t="inlineStr">
        <is>
          <t>自动管线检出的合格导管腔。</t>
        </is>
      </c>
      <c r="P207" t="inlineStr">
        <is>
          <t>auto_pipeline;review_png_green</t>
        </is>
      </c>
      <c r="R207" t="inlineStr">
        <is>
          <t>样品4</t>
        </is>
      </c>
    </row>
    <row r="208">
      <c r="A208" t="inlineStr">
        <is>
          <t>4(8)-V03</t>
        </is>
      </c>
      <c r="B208" t="inlineStr">
        <is>
          <t>4 (8).tif</t>
        </is>
      </c>
      <c r="C208" t="n">
        <v>234</v>
      </c>
      <c r="D208" t="n">
        <v>377</v>
      </c>
      <c r="E208" t="inlineStr">
        <is>
          <t>205,334,264,421</t>
        </is>
      </c>
      <c r="F208" t="n">
        <v>205</v>
      </c>
      <c r="G208" t="inlineStr">
        <is>
          <t>primary</t>
        </is>
      </c>
      <c r="H208" t="inlineStr">
        <is>
          <t>AUTO_VESSEL</t>
        </is>
      </c>
      <c r="I208" t="inlineStr">
        <is>
          <t>是</t>
        </is>
      </c>
      <c r="J208" t="inlineStr">
        <is>
          <t>纳入</t>
        </is>
      </c>
      <c r="K208" t="n">
        <v>183.5302457466919</v>
      </c>
      <c r="L208">
        <f>导管母表_1781!G208</f>
        <v/>
      </c>
      <c r="M208" t="inlineStr">
        <is>
          <t>视野内部</t>
        </is>
      </c>
      <c r="N208" t="inlineStr">
        <is>
          <t>纳入A/D/Dh；若有Pair_ID则纳入CWR</t>
        </is>
      </c>
      <c r="O208" t="inlineStr">
        <is>
          <t>自动管线检出的合格导管腔。</t>
        </is>
      </c>
      <c r="P208" t="inlineStr">
        <is>
          <t>auto_pipeline;review_png_green</t>
        </is>
      </c>
      <c r="R208" t="inlineStr">
        <is>
          <t>样品4</t>
        </is>
      </c>
    </row>
    <row r="209">
      <c r="A209" t="inlineStr">
        <is>
          <t>4(8)-V04</t>
        </is>
      </c>
      <c r="B209" t="inlineStr">
        <is>
          <t>4 (8).tif</t>
        </is>
      </c>
      <c r="C209" t="n">
        <v>473</v>
      </c>
      <c r="D209" t="n">
        <v>518</v>
      </c>
      <c r="E209" t="inlineStr">
        <is>
          <t>423,494,524,543</t>
        </is>
      </c>
      <c r="F209" t="n">
        <v>225</v>
      </c>
      <c r="G209" t="inlineStr">
        <is>
          <t>primary</t>
        </is>
      </c>
      <c r="H209" t="inlineStr">
        <is>
          <t>AUTO_VESSEL</t>
        </is>
      </c>
      <c r="I209" t="inlineStr">
        <is>
          <t>是</t>
        </is>
      </c>
      <c r="J209" t="inlineStr">
        <is>
          <t>纳入</t>
        </is>
      </c>
      <c r="K209" t="n">
        <v>170.7466918714556</v>
      </c>
      <c r="L209">
        <f>导管母表_1781!G209</f>
        <v/>
      </c>
      <c r="M209" t="inlineStr">
        <is>
          <t>视野内部</t>
        </is>
      </c>
      <c r="N209" t="inlineStr">
        <is>
          <t>纳入A/D/Dh；若有Pair_ID则纳入CWR</t>
        </is>
      </c>
      <c r="O209" t="inlineStr">
        <is>
          <t>自动管线检出的合格导管腔。</t>
        </is>
      </c>
      <c r="P209" t="inlineStr">
        <is>
          <t>auto_pipeline;review_png_green</t>
        </is>
      </c>
      <c r="R209" t="inlineStr">
        <is>
          <t>样品4</t>
        </is>
      </c>
    </row>
    <row r="210">
      <c r="A210" t="inlineStr">
        <is>
          <t>4(8)-V05</t>
        </is>
      </c>
      <c r="B210" t="inlineStr">
        <is>
          <t>4 (8).tif</t>
        </is>
      </c>
      <c r="C210" t="n">
        <v>893</v>
      </c>
      <c r="D210" t="n">
        <v>293</v>
      </c>
      <c r="E210" t="inlineStr">
        <is>
          <t>845,271,942,316</t>
        </is>
      </c>
      <c r="F210" t="n">
        <v>82</v>
      </c>
      <c r="G210" t="inlineStr">
        <is>
          <t>primary</t>
        </is>
      </c>
      <c r="H210" t="inlineStr">
        <is>
          <t>AUTO_VESSEL</t>
        </is>
      </c>
      <c r="I210" t="inlineStr">
        <is>
          <t>是</t>
        </is>
      </c>
      <c r="J210" t="inlineStr">
        <is>
          <t>纳入</t>
        </is>
      </c>
      <c r="K210" t="n">
        <v>157.1597353497164</v>
      </c>
      <c r="L210">
        <f>导管母表_1781!G210</f>
        <v/>
      </c>
      <c r="M210" t="inlineStr">
        <is>
          <t>视野内部</t>
        </is>
      </c>
      <c r="N210" t="inlineStr">
        <is>
          <t>纳入A/D/Dh；若有Pair_ID则纳入CWR</t>
        </is>
      </c>
      <c r="O210" t="inlineStr">
        <is>
          <t>自动管线检出的合格导管腔。</t>
        </is>
      </c>
      <c r="P210" t="inlineStr">
        <is>
          <t>auto_pipeline;review_png_green</t>
        </is>
      </c>
      <c r="R210" t="inlineStr">
        <is>
          <t>样品4</t>
        </is>
      </c>
    </row>
    <row r="211">
      <c r="A211" t="inlineStr">
        <is>
          <t>4(8)-V06</t>
        </is>
      </c>
      <c r="B211" t="inlineStr">
        <is>
          <t>4 (8).tif</t>
        </is>
      </c>
      <c r="C211" t="n">
        <v>65</v>
      </c>
      <c r="D211" t="n">
        <v>225</v>
      </c>
      <c r="E211" t="inlineStr">
        <is>
          <t>30,201,101,250</t>
        </is>
      </c>
      <c r="F211" t="n">
        <v>30</v>
      </c>
      <c r="G211" t="inlineStr">
        <is>
          <t>primary</t>
        </is>
      </c>
      <c r="H211" t="inlineStr">
        <is>
          <t>AUTO_VESSEL</t>
        </is>
      </c>
      <c r="I211" t="inlineStr">
        <is>
          <t>是</t>
        </is>
      </c>
      <c r="J211" t="inlineStr">
        <is>
          <t>纳入</t>
        </is>
      </c>
      <c r="K211" t="n">
        <v>124.7400756143667</v>
      </c>
      <c r="L211">
        <f>导管母表_1781!G211</f>
        <v/>
      </c>
      <c r="M211" t="inlineStr">
        <is>
          <t>视野内部</t>
        </is>
      </c>
      <c r="N211" t="inlineStr">
        <is>
          <t>纳入A/D/Dh；若有Pair_ID则纳入CWR</t>
        </is>
      </c>
      <c r="O211" t="inlineStr">
        <is>
          <t>自动管线检出的合格导管腔。</t>
        </is>
      </c>
      <c r="P211" t="inlineStr">
        <is>
          <t>auto_pipeline;review_png_green</t>
        </is>
      </c>
      <c r="R211" t="inlineStr">
        <is>
          <t>样品4</t>
        </is>
      </c>
    </row>
    <row r="212">
      <c r="A212" t="inlineStr">
        <is>
          <t>5(1)-V01</t>
        </is>
      </c>
      <c r="B212" t="inlineStr">
        <is>
          <t>5 (1).tif</t>
        </is>
      </c>
      <c r="C212" t="n">
        <v>383</v>
      </c>
      <c r="D212" t="n">
        <v>348</v>
      </c>
      <c r="E212" t="inlineStr">
        <is>
          <t>270,249,497,448</t>
        </is>
      </c>
      <c r="F212" t="n">
        <v>249</v>
      </c>
      <c r="G212" t="inlineStr">
        <is>
          <t>primary</t>
        </is>
      </c>
      <c r="H212" t="inlineStr">
        <is>
          <t>AUTO_VESSEL</t>
        </is>
      </c>
      <c r="I212" t="inlineStr">
        <is>
          <t>是</t>
        </is>
      </c>
      <c r="J212" t="inlineStr">
        <is>
          <t>纳入</t>
        </is>
      </c>
      <c r="K212" t="n">
        <v>1657.821361058601</v>
      </c>
      <c r="L212">
        <f>导管母表_1781!G212</f>
        <v/>
      </c>
      <c r="M212" t="inlineStr">
        <is>
          <t>视野内部</t>
        </is>
      </c>
      <c r="N212" t="inlineStr">
        <is>
          <t>纳入A/D/Dh；若有Pair_ID则纳入CWR</t>
        </is>
      </c>
      <c r="O212" t="inlineStr">
        <is>
          <t>自动管线检出的合格导管腔。</t>
        </is>
      </c>
      <c r="P212" t="inlineStr">
        <is>
          <t>auto_pipeline;review_png_green</t>
        </is>
      </c>
      <c r="R212" t="inlineStr">
        <is>
          <t>样品5</t>
        </is>
      </c>
    </row>
    <row r="213">
      <c r="A213" t="inlineStr">
        <is>
          <t>5(1)-V02</t>
        </is>
      </c>
      <c r="B213" t="inlineStr">
        <is>
          <t>5 (1).tif</t>
        </is>
      </c>
      <c r="C213" t="n">
        <v>585</v>
      </c>
      <c r="D213" t="n">
        <v>372</v>
      </c>
      <c r="E213" t="inlineStr">
        <is>
          <t>512,291,659,454</t>
        </is>
      </c>
      <c r="F213" t="n">
        <v>291</v>
      </c>
      <c r="G213" t="inlineStr">
        <is>
          <t>primary</t>
        </is>
      </c>
      <c r="H213" t="inlineStr">
        <is>
          <t>AUTO_VESSEL</t>
        </is>
      </c>
      <c r="I213" t="inlineStr">
        <is>
          <t>是</t>
        </is>
      </c>
      <c r="J213" t="inlineStr">
        <is>
          <t>纳入</t>
        </is>
      </c>
      <c r="K213" t="n">
        <v>876.2523629489604</v>
      </c>
      <c r="L213">
        <f>导管母表_1781!G213</f>
        <v/>
      </c>
      <c r="M213" t="inlineStr">
        <is>
          <t>视野内部</t>
        </is>
      </c>
      <c r="N213" t="inlineStr">
        <is>
          <t>纳入A/D/Dh；若有Pair_ID则纳入CWR</t>
        </is>
      </c>
      <c r="O213" t="inlineStr">
        <is>
          <t>自动管线检出的合格导管腔。</t>
        </is>
      </c>
      <c r="P213" t="inlineStr">
        <is>
          <t>auto_pipeline;review_png_green</t>
        </is>
      </c>
      <c r="R213" t="inlineStr">
        <is>
          <t>样品5</t>
        </is>
      </c>
    </row>
    <row r="214">
      <c r="A214" t="inlineStr">
        <is>
          <t>5(1)-V03</t>
        </is>
      </c>
      <c r="B214" t="inlineStr">
        <is>
          <t>5 (1).tif</t>
        </is>
      </c>
      <c r="C214" t="n">
        <v>429</v>
      </c>
      <c r="D214" t="n">
        <v>56</v>
      </c>
      <c r="E214" t="inlineStr">
        <is>
          <t>363,18,496,95</t>
        </is>
      </c>
      <c r="F214" t="n">
        <v>18</v>
      </c>
      <c r="G214" t="inlineStr">
        <is>
          <t>primary</t>
        </is>
      </c>
      <c r="H214" t="inlineStr">
        <is>
          <t>AUTO_VESSEL</t>
        </is>
      </c>
      <c r="I214" t="inlineStr">
        <is>
          <t>是</t>
        </is>
      </c>
      <c r="J214" t="inlineStr">
        <is>
          <t>纳入</t>
        </is>
      </c>
      <c r="K214" t="n">
        <v>371.4083175803403</v>
      </c>
      <c r="L214">
        <f>导管母表_1781!G214</f>
        <v/>
      </c>
      <c r="M214" t="inlineStr">
        <is>
          <t>近边缘（&lt;25 px）</t>
        </is>
      </c>
      <c r="N214" t="inlineStr">
        <is>
          <t>纳入A/D/Dh；若有Pair_ID则纳入CWR</t>
        </is>
      </c>
      <c r="O214" t="inlineStr">
        <is>
          <t>自动管线检出的合格导管腔。</t>
        </is>
      </c>
      <c r="P214" t="inlineStr">
        <is>
          <t>auto_pipeline;review_png_green</t>
        </is>
      </c>
      <c r="R214" t="inlineStr">
        <is>
          <t>样品5</t>
        </is>
      </c>
    </row>
    <row r="215">
      <c r="A215" t="inlineStr">
        <is>
          <t>5(1)-V04</t>
        </is>
      </c>
      <c r="B215" t="inlineStr">
        <is>
          <t>5 (1).tif</t>
        </is>
      </c>
      <c r="C215" t="n">
        <v>586</v>
      </c>
      <c r="D215" t="n">
        <v>235</v>
      </c>
      <c r="E215" t="inlineStr">
        <is>
          <t>554,201,619,270</t>
        </is>
      </c>
      <c r="F215" t="n">
        <v>201</v>
      </c>
      <c r="G215" t="inlineStr">
        <is>
          <t>primary</t>
        </is>
      </c>
      <c r="H215" t="inlineStr">
        <is>
          <t>AUTO_VESSEL</t>
        </is>
      </c>
      <c r="I215" t="inlineStr">
        <is>
          <t>是</t>
        </is>
      </c>
      <c r="J215" t="inlineStr">
        <is>
          <t>纳入</t>
        </is>
      </c>
      <c r="K215" t="n">
        <v>133.9555765595463</v>
      </c>
      <c r="L215">
        <f>导管母表_1781!G215</f>
        <v/>
      </c>
      <c r="M215" t="inlineStr">
        <is>
          <t>视野内部</t>
        </is>
      </c>
      <c r="N215" t="inlineStr">
        <is>
          <t>纳入A/D/Dh；若有Pair_ID则纳入CWR</t>
        </is>
      </c>
      <c r="O215" t="inlineStr">
        <is>
          <t>自动管线检出的合格导管腔。</t>
        </is>
      </c>
      <c r="P215" t="inlineStr">
        <is>
          <t>auto_pipeline;review_png_green</t>
        </is>
      </c>
      <c r="R215" t="inlineStr">
        <is>
          <t>样品5</t>
        </is>
      </c>
    </row>
    <row r="216">
      <c r="A216" t="inlineStr">
        <is>
          <t>5(1)-V05</t>
        </is>
      </c>
      <c r="B216" t="inlineStr">
        <is>
          <t>5 (1).tif</t>
        </is>
      </c>
      <c r="C216" t="n">
        <v>393</v>
      </c>
      <c r="D216" t="n">
        <v>643</v>
      </c>
      <c r="E216" t="inlineStr">
        <is>
          <t>354,608,433,679</t>
        </is>
      </c>
      <c r="F216" t="n">
        <v>89</v>
      </c>
      <c r="G216" t="inlineStr">
        <is>
          <t>primary</t>
        </is>
      </c>
      <c r="H216" t="inlineStr">
        <is>
          <t>AUTO_VESSEL</t>
        </is>
      </c>
      <c r="I216" t="inlineStr">
        <is>
          <t>是</t>
        </is>
      </c>
      <c r="J216" t="inlineStr">
        <is>
          <t>纳入</t>
        </is>
      </c>
      <c r="K216" t="n">
        <v>123.2986767485822</v>
      </c>
      <c r="L216">
        <f>导管母表_1781!G216</f>
        <v/>
      </c>
      <c r="M216" t="inlineStr">
        <is>
          <t>视野内部</t>
        </is>
      </c>
      <c r="N216" t="inlineStr">
        <is>
          <t>纳入A/D/Dh；若有Pair_ID则纳入CWR</t>
        </is>
      </c>
      <c r="O216" t="inlineStr">
        <is>
          <t>自动管线检出的合格导管腔。</t>
        </is>
      </c>
      <c r="P216" t="inlineStr">
        <is>
          <t>auto_pipeline;review_png_green</t>
        </is>
      </c>
      <c r="R216" t="inlineStr">
        <is>
          <t>样品5</t>
        </is>
      </c>
    </row>
    <row r="217">
      <c r="A217" t="inlineStr">
        <is>
          <t>5(1)-V06</t>
        </is>
      </c>
      <c r="B217" t="inlineStr">
        <is>
          <t>5 (1).tif</t>
        </is>
      </c>
      <c r="C217" t="n">
        <v>938</v>
      </c>
      <c r="D217" t="n">
        <v>264</v>
      </c>
      <c r="E217" t="inlineStr">
        <is>
          <t>908,241,969,288</t>
        </is>
      </c>
      <c r="F217" t="n">
        <v>55</v>
      </c>
      <c r="G217" t="inlineStr">
        <is>
          <t>primary</t>
        </is>
      </c>
      <c r="H217" t="inlineStr">
        <is>
          <t>AUTO_VESSEL</t>
        </is>
      </c>
      <c r="I217" t="inlineStr">
        <is>
          <t>是</t>
        </is>
      </c>
      <c r="J217" t="inlineStr">
        <is>
          <t>纳入</t>
        </is>
      </c>
      <c r="K217" t="n">
        <v>101.2051039697542</v>
      </c>
      <c r="L217">
        <f>导管母表_1781!G217</f>
        <v/>
      </c>
      <c r="M217" t="inlineStr">
        <is>
          <t>视野内部</t>
        </is>
      </c>
      <c r="N217" t="inlineStr">
        <is>
          <t>纳入A/D/Dh；若有Pair_ID则纳入CWR</t>
        </is>
      </c>
      <c r="O217" t="inlineStr">
        <is>
          <t>自动管线检出的合格导管腔。</t>
        </is>
      </c>
      <c r="P217" t="inlineStr">
        <is>
          <t>auto_pipeline;review_png_green</t>
        </is>
      </c>
      <c r="R217" t="inlineStr">
        <is>
          <t>样品5</t>
        </is>
      </c>
    </row>
    <row r="218">
      <c r="A218" t="inlineStr">
        <is>
          <t>5(2)-V01</t>
        </is>
      </c>
      <c r="B218" t="inlineStr">
        <is>
          <t>5 (2).tif</t>
        </is>
      </c>
      <c r="C218" t="n">
        <v>126</v>
      </c>
      <c r="D218" t="n">
        <v>99</v>
      </c>
      <c r="E218" t="inlineStr">
        <is>
          <t>21,4,232,195</t>
        </is>
      </c>
      <c r="F218" t="n">
        <v>4</v>
      </c>
      <c r="G218" t="inlineStr">
        <is>
          <t>primary</t>
        </is>
      </c>
      <c r="H218" t="inlineStr">
        <is>
          <t>AUTO_VESSEL</t>
        </is>
      </c>
      <c r="I218" t="inlineStr">
        <is>
          <t>是</t>
        </is>
      </c>
      <c r="J218" t="inlineStr">
        <is>
          <t>纳入</t>
        </is>
      </c>
      <c r="K218" t="n">
        <v>1458.506616257089</v>
      </c>
      <c r="L218">
        <f>导管母表_1781!G218</f>
        <v/>
      </c>
      <c r="M218" t="inlineStr">
        <is>
          <t>近边缘（&lt;25 px）</t>
        </is>
      </c>
      <c r="N218" t="inlineStr">
        <is>
          <t>纳入A/D/Dh；若有Pair_ID则纳入CWR</t>
        </is>
      </c>
      <c r="O218" t="inlineStr">
        <is>
          <t>自动管线检出的合格导管腔。</t>
        </is>
      </c>
      <c r="P218" t="inlineStr">
        <is>
          <t>auto_pipeline;review_png_green</t>
        </is>
      </c>
      <c r="R218" t="inlineStr">
        <is>
          <t>样品5</t>
        </is>
      </c>
    </row>
    <row r="219">
      <c r="A219" t="inlineStr">
        <is>
          <t>5(2)-V02</t>
        </is>
      </c>
      <c r="B219" t="inlineStr">
        <is>
          <t>5 (2).tif</t>
        </is>
      </c>
      <c r="C219" t="n">
        <v>616</v>
      </c>
      <c r="D219" t="n">
        <v>396</v>
      </c>
      <c r="E219" t="inlineStr">
        <is>
          <t>531,311,702,482</t>
        </is>
      </c>
      <c r="F219" t="n">
        <v>286</v>
      </c>
      <c r="G219" t="inlineStr">
        <is>
          <t>primary</t>
        </is>
      </c>
      <c r="H219" t="inlineStr">
        <is>
          <t>AUTO_VESSEL</t>
        </is>
      </c>
      <c r="I219" t="inlineStr">
        <is>
          <t>是</t>
        </is>
      </c>
      <c r="J219" t="inlineStr">
        <is>
          <t>纳入</t>
        </is>
      </c>
      <c r="K219" t="n">
        <v>1057.254253308128</v>
      </c>
      <c r="L219">
        <f>导管母表_1781!G219</f>
        <v/>
      </c>
      <c r="M219" t="inlineStr">
        <is>
          <t>视野内部</t>
        </is>
      </c>
      <c r="N219" t="inlineStr">
        <is>
          <t>纳入A/D/Dh；若有Pair_ID则纳入CWR</t>
        </is>
      </c>
      <c r="O219" t="inlineStr">
        <is>
          <t>自动管线检出的合格导管腔。</t>
        </is>
      </c>
      <c r="P219" t="inlineStr">
        <is>
          <t>auto_pipeline;review_png_green</t>
        </is>
      </c>
      <c r="Q219" t="inlineStr">
        <is>
          <t>5(2)-P01</t>
        </is>
      </c>
      <c r="R219" t="inlineStr">
        <is>
          <t>样品5</t>
        </is>
      </c>
    </row>
    <row r="220">
      <c r="A220" t="inlineStr">
        <is>
          <t>5(2)-V03</t>
        </is>
      </c>
      <c r="B220" t="inlineStr">
        <is>
          <t>5 (2).tif</t>
        </is>
      </c>
      <c r="C220" t="n">
        <v>433</v>
      </c>
      <c r="D220" t="n">
        <v>366</v>
      </c>
      <c r="E220" t="inlineStr">
        <is>
          <t>347,284,520,449</t>
        </is>
      </c>
      <c r="F220" t="n">
        <v>284</v>
      </c>
      <c r="G220" t="inlineStr">
        <is>
          <t>primary</t>
        </is>
      </c>
      <c r="H220" t="inlineStr">
        <is>
          <t>AUTO_VESSEL</t>
        </is>
      </c>
      <c r="I220" t="inlineStr">
        <is>
          <t>是</t>
        </is>
      </c>
      <c r="J220" t="inlineStr">
        <is>
          <t>纳入</t>
        </is>
      </c>
      <c r="K220" t="n">
        <v>1047.707939508507</v>
      </c>
      <c r="L220">
        <f>导管母表_1781!G220</f>
        <v/>
      </c>
      <c r="M220" t="inlineStr">
        <is>
          <t>视野内部</t>
        </is>
      </c>
      <c r="N220" t="inlineStr">
        <is>
          <t>纳入A/D/Dh；若有Pair_ID则纳入CWR</t>
        </is>
      </c>
      <c r="O220" t="inlineStr">
        <is>
          <t>自动管线检出的合格导管腔。</t>
        </is>
      </c>
      <c r="P220" t="inlineStr">
        <is>
          <t>auto_pipeline;review_png_green</t>
        </is>
      </c>
      <c r="Q220" t="inlineStr">
        <is>
          <t>5(2)-P01</t>
        </is>
      </c>
      <c r="R220" t="inlineStr">
        <is>
          <t>样品5</t>
        </is>
      </c>
    </row>
    <row r="221">
      <c r="A221" t="inlineStr">
        <is>
          <t>5(2)-V04</t>
        </is>
      </c>
      <c r="B221" t="inlineStr">
        <is>
          <t>5 (2).tif</t>
        </is>
      </c>
      <c r="C221" t="n">
        <v>748</v>
      </c>
      <c r="D221" t="n">
        <v>377</v>
      </c>
      <c r="E221" t="inlineStr">
        <is>
          <t>709,314,788,441</t>
        </is>
      </c>
      <c r="F221" t="n">
        <v>236</v>
      </c>
      <c r="G221" t="inlineStr">
        <is>
          <t>primary</t>
        </is>
      </c>
      <c r="H221" t="inlineStr">
        <is>
          <t>AUTO_VESSEL</t>
        </is>
      </c>
      <c r="I221" t="inlineStr">
        <is>
          <t>是</t>
        </is>
      </c>
      <c r="J221" t="inlineStr">
        <is>
          <t>纳入</t>
        </is>
      </c>
      <c r="K221" t="n">
        <v>221.9045368620038</v>
      </c>
      <c r="L221">
        <f>导管母表_1781!G221</f>
        <v/>
      </c>
      <c r="M221" t="inlineStr">
        <is>
          <t>视野内部</t>
        </is>
      </c>
      <c r="N221" t="inlineStr">
        <is>
          <t>纳入A/D/Dh；若有Pair_ID则纳入CWR</t>
        </is>
      </c>
      <c r="O221" t="inlineStr">
        <is>
          <t>自动管线检出的合格导管腔。</t>
        </is>
      </c>
      <c r="P221" t="inlineStr">
        <is>
          <t>auto_pipeline;review_png_green</t>
        </is>
      </c>
      <c r="R221" t="inlineStr">
        <is>
          <t>样品5</t>
        </is>
      </c>
    </row>
    <row r="222">
      <c r="A222" t="inlineStr">
        <is>
          <t>5(2)-V05</t>
        </is>
      </c>
      <c r="B222" t="inlineStr">
        <is>
          <t>5 (2).tif</t>
        </is>
      </c>
      <c r="C222" t="n">
        <v>611</v>
      </c>
      <c r="D222" t="n">
        <v>205</v>
      </c>
      <c r="E222" t="inlineStr">
        <is>
          <t>563,186,660,225</t>
        </is>
      </c>
      <c r="F222" t="n">
        <v>186</v>
      </c>
      <c r="G222" t="inlineStr">
        <is>
          <t>primary</t>
        </is>
      </c>
      <c r="H222" t="inlineStr">
        <is>
          <t>AUTO_VESSEL</t>
        </is>
      </c>
      <c r="I222" t="inlineStr">
        <is>
          <t>是</t>
        </is>
      </c>
      <c r="J222" t="inlineStr">
        <is>
          <t>纳入</t>
        </is>
      </c>
      <c r="K222" t="n">
        <v>123.5822306238185</v>
      </c>
      <c r="L222">
        <f>导管母表_1781!G222</f>
        <v/>
      </c>
      <c r="M222" t="inlineStr">
        <is>
          <t>视野内部</t>
        </is>
      </c>
      <c r="N222" t="inlineStr">
        <is>
          <t>纳入A/D/Dh；若有Pair_ID则纳入CWR</t>
        </is>
      </c>
      <c r="O222" t="inlineStr">
        <is>
          <t>自动管线检出的合格导管腔。</t>
        </is>
      </c>
      <c r="P222" t="inlineStr">
        <is>
          <t>auto_pipeline;review_png_green</t>
        </is>
      </c>
      <c r="R222" t="inlineStr">
        <is>
          <t>样品5</t>
        </is>
      </c>
    </row>
    <row r="223">
      <c r="A223" t="inlineStr">
        <is>
          <t>5(2)-V06</t>
        </is>
      </c>
      <c r="B223" t="inlineStr">
        <is>
          <t>5 (2).tif</t>
        </is>
      </c>
      <c r="C223" t="n">
        <v>780</v>
      </c>
      <c r="D223" t="n">
        <v>502</v>
      </c>
      <c r="E223" t="inlineStr">
        <is>
          <t>746,472,815,533</t>
        </is>
      </c>
      <c r="F223" t="n">
        <v>209</v>
      </c>
      <c r="G223" t="inlineStr">
        <is>
          <t>primary</t>
        </is>
      </c>
      <c r="H223" t="inlineStr">
        <is>
          <t>AUTO_VESSEL</t>
        </is>
      </c>
      <c r="I223" t="inlineStr">
        <is>
          <t>是</t>
        </is>
      </c>
      <c r="J223" t="inlineStr">
        <is>
          <t>纳入</t>
        </is>
      </c>
      <c r="K223" t="n">
        <v>112.452741020794</v>
      </c>
      <c r="L223">
        <f>导管母表_1781!G223</f>
        <v/>
      </c>
      <c r="M223" t="inlineStr">
        <is>
          <t>视野内部</t>
        </is>
      </c>
      <c r="N223" t="inlineStr">
        <is>
          <t>纳入A/D/Dh；若有Pair_ID则纳入CWR</t>
        </is>
      </c>
      <c r="O223" t="inlineStr">
        <is>
          <t>自动管线检出的合格导管腔。</t>
        </is>
      </c>
      <c r="P223" t="inlineStr">
        <is>
          <t>auto_pipeline;review_png_green</t>
        </is>
      </c>
      <c r="R223" t="inlineStr">
        <is>
          <t>样品5</t>
        </is>
      </c>
    </row>
    <row r="224">
      <c r="A224" t="inlineStr">
        <is>
          <t>5(2)-V07</t>
        </is>
      </c>
      <c r="B224" t="inlineStr">
        <is>
          <t>5 (2).tif</t>
        </is>
      </c>
      <c r="C224" t="n">
        <v>509</v>
      </c>
      <c r="D224" t="n">
        <v>190</v>
      </c>
      <c r="E224" t="inlineStr">
        <is>
          <t>472,170,547,211</t>
        </is>
      </c>
      <c r="F224" t="n">
        <v>170</v>
      </c>
      <c r="G224" t="inlineStr">
        <is>
          <t>primary</t>
        </is>
      </c>
      <c r="H224" t="inlineStr">
        <is>
          <t>AUTO_VESSEL</t>
        </is>
      </c>
      <c r="I224" t="inlineStr">
        <is>
          <t>是</t>
        </is>
      </c>
      <c r="J224" t="inlineStr">
        <is>
          <t>纳入</t>
        </is>
      </c>
      <c r="K224" t="n">
        <v>109.8534971644612</v>
      </c>
      <c r="L224">
        <f>导管母表_1781!G224</f>
        <v/>
      </c>
      <c r="M224" t="inlineStr">
        <is>
          <t>视野内部</t>
        </is>
      </c>
      <c r="N224" t="inlineStr">
        <is>
          <t>纳入A/D/Dh；若有Pair_ID则纳入CWR</t>
        </is>
      </c>
      <c r="O224" t="inlineStr">
        <is>
          <t>自动管线检出的合格导管腔。</t>
        </is>
      </c>
      <c r="P224" t="inlineStr">
        <is>
          <t>auto_pipeline;review_png_green</t>
        </is>
      </c>
      <c r="R224" t="inlineStr">
        <is>
          <t>样品5</t>
        </is>
      </c>
    </row>
    <row r="225">
      <c r="A225" t="inlineStr">
        <is>
          <t>5(3)-V01</t>
        </is>
      </c>
      <c r="B225" t="inlineStr">
        <is>
          <t>5 (3).tif</t>
        </is>
      </c>
      <c r="C225" t="n">
        <v>107</v>
      </c>
      <c r="D225" t="n">
        <v>574</v>
      </c>
      <c r="E225" t="inlineStr">
        <is>
          <t>21,506,194,643</t>
        </is>
      </c>
      <c r="F225" t="n">
        <v>21</v>
      </c>
      <c r="G225" t="inlineStr">
        <is>
          <t>primary</t>
        </is>
      </c>
      <c r="H225" t="inlineStr">
        <is>
          <t>AUTO_VESSEL</t>
        </is>
      </c>
      <c r="I225" t="inlineStr">
        <is>
          <t>是</t>
        </is>
      </c>
      <c r="J225" t="inlineStr">
        <is>
          <t>纳入</t>
        </is>
      </c>
      <c r="K225" t="n">
        <v>864.6975425330813</v>
      </c>
      <c r="L225">
        <f>导管母表_1781!G225</f>
        <v/>
      </c>
      <c r="M225" t="inlineStr">
        <is>
          <t>近边缘（&lt;25 px）</t>
        </is>
      </c>
      <c r="N225" t="inlineStr">
        <is>
          <t>纳入A/D/Dh；若有Pair_ID则纳入CWR</t>
        </is>
      </c>
      <c r="O225" t="inlineStr">
        <is>
          <t>自动管线检出的合格导管腔。</t>
        </is>
      </c>
      <c r="P225" t="inlineStr">
        <is>
          <t>auto_pipeline;review_png_green</t>
        </is>
      </c>
      <c r="R225" t="inlineStr">
        <is>
          <t>样品5</t>
        </is>
      </c>
    </row>
    <row r="226">
      <c r="A226" t="inlineStr">
        <is>
          <t>5(3)-V02</t>
        </is>
      </c>
      <c r="B226" t="inlineStr">
        <is>
          <t>5 (3).tif</t>
        </is>
      </c>
      <c r="C226" t="n">
        <v>792</v>
      </c>
      <c r="D226" t="n">
        <v>293</v>
      </c>
      <c r="E226" t="inlineStr">
        <is>
          <t>725,208,860,379</t>
        </is>
      </c>
      <c r="F226" t="n">
        <v>164</v>
      </c>
      <c r="G226" t="inlineStr">
        <is>
          <t>primary</t>
        </is>
      </c>
      <c r="H226" t="inlineStr">
        <is>
          <t>AUTO_VESSEL</t>
        </is>
      </c>
      <c r="I226" t="inlineStr">
        <is>
          <t>是</t>
        </is>
      </c>
      <c r="J226" t="inlineStr">
        <is>
          <t>纳入</t>
        </is>
      </c>
      <c r="K226" t="n">
        <v>808.5302457466919</v>
      </c>
      <c r="L226">
        <f>导管母表_1781!G226</f>
        <v/>
      </c>
      <c r="M226" t="inlineStr">
        <is>
          <t>视野内部</t>
        </is>
      </c>
      <c r="N226" t="inlineStr">
        <is>
          <t>纳入A/D/Dh；若有Pair_ID则纳入CWR</t>
        </is>
      </c>
      <c r="O226" t="inlineStr">
        <is>
          <t>自动管线检出的合格导管腔。</t>
        </is>
      </c>
      <c r="P226" t="inlineStr">
        <is>
          <t>auto_pipeline;review_png_green</t>
        </is>
      </c>
      <c r="R226" t="inlineStr">
        <is>
          <t>样品5</t>
        </is>
      </c>
    </row>
    <row r="227">
      <c r="A227" t="inlineStr">
        <is>
          <t>5(3)-V03</t>
        </is>
      </c>
      <c r="B227" t="inlineStr">
        <is>
          <t>5 (3).tif</t>
        </is>
      </c>
      <c r="C227" t="n">
        <v>552</v>
      </c>
      <c r="D227" t="n">
        <v>425</v>
      </c>
      <c r="E227" t="inlineStr">
        <is>
          <t>482,348,623,503</t>
        </is>
      </c>
      <c r="F227" t="n">
        <v>265</v>
      </c>
      <c r="G227" t="inlineStr">
        <is>
          <t>primary</t>
        </is>
      </c>
      <c r="H227" t="inlineStr">
        <is>
          <t>AUTO_VESSEL</t>
        </is>
      </c>
      <c r="I227" t="inlineStr">
        <is>
          <t>是</t>
        </is>
      </c>
      <c r="J227" t="inlineStr">
        <is>
          <t>纳入</t>
        </is>
      </c>
      <c r="K227" t="n">
        <v>799.5037807183365</v>
      </c>
      <c r="L227">
        <f>导管母表_1781!G227</f>
        <v/>
      </c>
      <c r="M227" t="inlineStr">
        <is>
          <t>视野内部</t>
        </is>
      </c>
      <c r="N227" t="inlineStr">
        <is>
          <t>纳入A/D/Dh；若有Pair_ID则纳入CWR</t>
        </is>
      </c>
      <c r="O227" t="inlineStr">
        <is>
          <t>自动管线检出的合格导管腔。</t>
        </is>
      </c>
      <c r="P227" t="inlineStr">
        <is>
          <t>auto_pipeline;review_png_green</t>
        </is>
      </c>
      <c r="Q227" t="inlineStr">
        <is>
          <t>5(3)-P01</t>
        </is>
      </c>
      <c r="R227" t="inlineStr">
        <is>
          <t>样品5</t>
        </is>
      </c>
    </row>
    <row r="228">
      <c r="A228" t="inlineStr">
        <is>
          <t>5(3)-V04</t>
        </is>
      </c>
      <c r="B228" t="inlineStr">
        <is>
          <t>5 (3).tif</t>
        </is>
      </c>
      <c r="C228" t="n">
        <v>432</v>
      </c>
      <c r="D228" t="n">
        <v>305</v>
      </c>
      <c r="E228" t="inlineStr">
        <is>
          <t>364,231,501,380</t>
        </is>
      </c>
      <c r="F228" t="n">
        <v>231</v>
      </c>
      <c r="G228" t="inlineStr">
        <is>
          <t>primary</t>
        </is>
      </c>
      <c r="H228" t="inlineStr">
        <is>
          <t>AUTO_VESSEL</t>
        </is>
      </c>
      <c r="I228" t="inlineStr">
        <is>
          <t>是</t>
        </is>
      </c>
      <c r="J228" t="inlineStr">
        <is>
          <t>纳入</t>
        </is>
      </c>
      <c r="K228" t="n">
        <v>747.140831758034</v>
      </c>
      <c r="L228">
        <f>导管母表_1781!G228</f>
        <v/>
      </c>
      <c r="M228" t="inlineStr">
        <is>
          <t>视野内部</t>
        </is>
      </c>
      <c r="N228" t="inlineStr">
        <is>
          <t>纳入A/D/Dh；若有Pair_ID则纳入CWR</t>
        </is>
      </c>
      <c r="O228" t="inlineStr">
        <is>
          <t>自动管线检出的合格导管腔。</t>
        </is>
      </c>
      <c r="P228" t="inlineStr">
        <is>
          <t>auto_pipeline;review_png_green</t>
        </is>
      </c>
      <c r="Q228" t="inlineStr">
        <is>
          <t>5(3)-P01</t>
        </is>
      </c>
      <c r="R228" t="inlineStr">
        <is>
          <t>样品5</t>
        </is>
      </c>
    </row>
    <row r="229">
      <c r="A229" t="inlineStr">
        <is>
          <t>5(3)-V05</t>
        </is>
      </c>
      <c r="B229" t="inlineStr">
        <is>
          <t>5 (3).tif</t>
        </is>
      </c>
      <c r="C229" t="n">
        <v>546</v>
      </c>
      <c r="D229" t="n">
        <v>172</v>
      </c>
      <c r="E229" t="inlineStr">
        <is>
          <t>512,138,581,207</t>
        </is>
      </c>
      <c r="F229" t="n">
        <v>138</v>
      </c>
      <c r="G229" t="inlineStr">
        <is>
          <t>primary</t>
        </is>
      </c>
      <c r="H229" t="inlineStr">
        <is>
          <t>AUTO_VESSEL</t>
        </is>
      </c>
      <c r="I229" t="inlineStr">
        <is>
          <t>是</t>
        </is>
      </c>
      <c r="J229" t="inlineStr">
        <is>
          <t>纳入</t>
        </is>
      </c>
      <c r="K229" t="n">
        <v>146.9045368620038</v>
      </c>
      <c r="L229">
        <f>导管母表_1781!G229</f>
        <v/>
      </c>
      <c r="M229" t="inlineStr">
        <is>
          <t>视野内部</t>
        </is>
      </c>
      <c r="N229" t="inlineStr">
        <is>
          <t>纳入A/D/Dh；若有Pair_ID则纳入CWR</t>
        </is>
      </c>
      <c r="O229" t="inlineStr">
        <is>
          <t>自动管线检出的合格导管腔。</t>
        </is>
      </c>
      <c r="P229" t="inlineStr">
        <is>
          <t>auto_pipeline;review_png_green</t>
        </is>
      </c>
      <c r="R229" t="inlineStr">
        <is>
          <t>样品5</t>
        </is>
      </c>
    </row>
    <row r="230">
      <c r="A230" t="inlineStr">
        <is>
          <t>5(3)-V06</t>
        </is>
      </c>
      <c r="B230" t="inlineStr">
        <is>
          <t>5 (3).tif</t>
        </is>
      </c>
      <c r="C230" t="n">
        <v>940</v>
      </c>
      <c r="D230" t="n">
        <v>400</v>
      </c>
      <c r="E230" t="inlineStr">
        <is>
          <t>907,347,974,454</t>
        </is>
      </c>
      <c r="F230" t="n">
        <v>50</v>
      </c>
      <c r="G230" t="inlineStr">
        <is>
          <t>primary</t>
        </is>
      </c>
      <c r="H230" t="inlineStr">
        <is>
          <t>AUTO_VESSEL</t>
        </is>
      </c>
      <c r="I230" t="inlineStr">
        <is>
          <t>是</t>
        </is>
      </c>
      <c r="J230" t="inlineStr">
        <is>
          <t>纳入</t>
        </is>
      </c>
      <c r="K230" t="n">
        <v>127.0321361058601</v>
      </c>
      <c r="L230">
        <f>导管母表_1781!G230</f>
        <v/>
      </c>
      <c r="M230" t="inlineStr">
        <is>
          <t>视野内部</t>
        </is>
      </c>
      <c r="N230" t="inlineStr">
        <is>
          <t>纳入A/D/Dh；若有Pair_ID则纳入CWR</t>
        </is>
      </c>
      <c r="O230" t="inlineStr">
        <is>
          <t>自动管线检出的合格导管腔。</t>
        </is>
      </c>
      <c r="P230" t="inlineStr">
        <is>
          <t>auto_pipeline;review_png_green</t>
        </is>
      </c>
      <c r="R230" t="inlineStr">
        <is>
          <t>样品5</t>
        </is>
      </c>
    </row>
    <row r="231">
      <c r="A231" t="inlineStr">
        <is>
          <t>5(3)-V07</t>
        </is>
      </c>
      <c r="B231" t="inlineStr">
        <is>
          <t>5 (3).tif</t>
        </is>
      </c>
      <c r="C231" t="n">
        <v>216</v>
      </c>
      <c r="D231" t="n">
        <v>154</v>
      </c>
      <c r="E231" t="inlineStr">
        <is>
          <t>186,125,247,184</t>
        </is>
      </c>
      <c r="F231" t="n">
        <v>125</v>
      </c>
      <c r="G231" t="inlineStr">
        <is>
          <t>primary</t>
        </is>
      </c>
      <c r="H231" t="inlineStr">
        <is>
          <t>AUTO_VESSEL</t>
        </is>
      </c>
      <c r="I231" t="inlineStr">
        <is>
          <t>是</t>
        </is>
      </c>
      <c r="J231" t="inlineStr">
        <is>
          <t>纳入</t>
        </is>
      </c>
      <c r="K231" t="n">
        <v>110.2315689981096</v>
      </c>
      <c r="L231">
        <f>导管母表_1781!G231</f>
        <v/>
      </c>
      <c r="M231" t="inlineStr">
        <is>
          <t>视野内部</t>
        </is>
      </c>
      <c r="N231" t="inlineStr">
        <is>
          <t>纳入A/D/Dh；若有Pair_ID则纳入CWR</t>
        </is>
      </c>
      <c r="O231" t="inlineStr">
        <is>
          <t>自动管线检出的合格导管腔。</t>
        </is>
      </c>
      <c r="P231" t="inlineStr">
        <is>
          <t>auto_pipeline;review_png_green</t>
        </is>
      </c>
      <c r="R231" t="inlineStr">
        <is>
          <t>样品5</t>
        </is>
      </c>
    </row>
    <row r="232">
      <c r="A232" t="inlineStr">
        <is>
          <t>5(4)-V01</t>
        </is>
      </c>
      <c r="B232" t="inlineStr">
        <is>
          <t>5 (4).tif</t>
        </is>
      </c>
      <c r="C232" t="n">
        <v>860</v>
      </c>
      <c r="D232" t="n">
        <v>254</v>
      </c>
      <c r="E232" t="inlineStr">
        <is>
          <t>771,139,950,370</t>
        </is>
      </c>
      <c r="F232" t="n">
        <v>74</v>
      </c>
      <c r="G232" t="inlineStr">
        <is>
          <t>primary</t>
        </is>
      </c>
      <c r="H232" t="inlineStr">
        <is>
          <t>AUTO_VESSEL</t>
        </is>
      </c>
      <c r="I232" t="inlineStr">
        <is>
          <t>是</t>
        </is>
      </c>
      <c r="J232" t="inlineStr">
        <is>
          <t>纳入</t>
        </is>
      </c>
      <c r="K232" t="n">
        <v>1509.475425330813</v>
      </c>
      <c r="L232">
        <f>导管母表_1781!G232</f>
        <v/>
      </c>
      <c r="M232" t="inlineStr">
        <is>
          <t>视野内部</t>
        </is>
      </c>
      <c r="N232" t="inlineStr">
        <is>
          <t>纳入A/D/Dh；若有Pair_ID则纳入CWR</t>
        </is>
      </c>
      <c r="O232" t="inlineStr">
        <is>
          <t>自动管线检出的合格导管腔。</t>
        </is>
      </c>
      <c r="P232" t="inlineStr">
        <is>
          <t>auto_pipeline;review_png_green</t>
        </is>
      </c>
      <c r="R232" t="inlineStr">
        <is>
          <t>样品5</t>
        </is>
      </c>
    </row>
    <row r="233">
      <c r="A233" t="inlineStr">
        <is>
          <t>5(4)-V02</t>
        </is>
      </c>
      <c r="B233" t="inlineStr">
        <is>
          <t>5 (4).tif</t>
        </is>
      </c>
      <c r="C233" t="n">
        <v>503</v>
      </c>
      <c r="D233" t="n">
        <v>475</v>
      </c>
      <c r="E233" t="inlineStr">
        <is>
          <t>408,377,600,575</t>
        </is>
      </c>
      <c r="F233" t="n">
        <v>193</v>
      </c>
      <c r="G233" t="inlineStr">
        <is>
          <t>primary</t>
        </is>
      </c>
      <c r="H233" t="inlineStr">
        <is>
          <t>AUTO_VESSEL</t>
        </is>
      </c>
      <c r="I233" t="inlineStr">
        <is>
          <t>是</t>
        </is>
      </c>
      <c r="J233" t="inlineStr">
        <is>
          <t>纳入</t>
        </is>
      </c>
      <c r="K233" t="n">
        <v>1392.840264650284</v>
      </c>
      <c r="L233">
        <f>导管母表_1781!G233</f>
        <v/>
      </c>
      <c r="M233" t="inlineStr">
        <is>
          <t>视野内部</t>
        </is>
      </c>
      <c r="N233" t="inlineStr">
        <is>
          <t>纳入A/D/Dh；若有Pair_ID则纳入CWR</t>
        </is>
      </c>
      <c r="O233" t="inlineStr">
        <is>
          <t>自动管线检出的合格导管腔。</t>
        </is>
      </c>
      <c r="P233" t="inlineStr">
        <is>
          <t>auto_pipeline;review_png_green</t>
        </is>
      </c>
      <c r="R233" t="inlineStr">
        <is>
          <t>样品5</t>
        </is>
      </c>
    </row>
    <row r="234">
      <c r="A234" t="inlineStr">
        <is>
          <t>5(4)-V03</t>
        </is>
      </c>
      <c r="B234" t="inlineStr">
        <is>
          <t>5 (4).tif</t>
        </is>
      </c>
      <c r="C234" t="n">
        <v>92</v>
      </c>
      <c r="D234" t="n">
        <v>359</v>
      </c>
      <c r="E234" t="inlineStr">
        <is>
          <t>69,323,116,396</t>
        </is>
      </c>
      <c r="F234" t="n">
        <v>69</v>
      </c>
      <c r="G234" t="inlineStr">
        <is>
          <t>primary</t>
        </is>
      </c>
      <c r="H234" t="inlineStr">
        <is>
          <t>AUTO_VESSEL</t>
        </is>
      </c>
      <c r="I234" t="inlineStr">
        <is>
          <t>是</t>
        </is>
      </c>
      <c r="J234" t="inlineStr">
        <is>
          <t>纳入</t>
        </is>
      </c>
      <c r="K234" t="n">
        <v>121.0538752362949</v>
      </c>
      <c r="L234">
        <f>导管母表_1781!G234</f>
        <v/>
      </c>
      <c r="M234" t="inlineStr">
        <is>
          <t>视野内部</t>
        </is>
      </c>
      <c r="N234" t="inlineStr">
        <is>
          <t>纳入A/D/Dh；若有Pair_ID则纳入CWR</t>
        </is>
      </c>
      <c r="O234" t="inlineStr">
        <is>
          <t>自动管线检出的合格导管腔。</t>
        </is>
      </c>
      <c r="P234" t="inlineStr">
        <is>
          <t>auto_pipeline;review_png_green</t>
        </is>
      </c>
      <c r="R234" t="inlineStr">
        <is>
          <t>样品5</t>
        </is>
      </c>
    </row>
    <row r="235">
      <c r="A235" t="inlineStr">
        <is>
          <t>5(4)-V04</t>
        </is>
      </c>
      <c r="B235" t="inlineStr">
        <is>
          <t>5 (4).tif</t>
        </is>
      </c>
      <c r="C235" t="n">
        <v>344</v>
      </c>
      <c r="D235" t="n">
        <v>94</v>
      </c>
      <c r="E235" t="inlineStr">
        <is>
          <t>321,47,368,142</t>
        </is>
      </c>
      <c r="F235" t="n">
        <v>47</v>
      </c>
      <c r="G235" t="inlineStr">
        <is>
          <t>primary</t>
        </is>
      </c>
      <c r="H235" t="inlineStr">
        <is>
          <t>AUTO_VESSEL</t>
        </is>
      </c>
      <c r="I235" t="inlineStr">
        <is>
          <t>是</t>
        </is>
      </c>
      <c r="J235" t="inlineStr">
        <is>
          <t>纳入</t>
        </is>
      </c>
      <c r="K235" t="n">
        <v>111.3657844990548</v>
      </c>
      <c r="L235">
        <f>导管母表_1781!G235</f>
        <v/>
      </c>
      <c r="M235" t="inlineStr">
        <is>
          <t>视野内部</t>
        </is>
      </c>
      <c r="N235" t="inlineStr">
        <is>
          <t>纳入A/D/Dh；若有Pair_ID则纳入CWR</t>
        </is>
      </c>
      <c r="O235" t="inlineStr">
        <is>
          <t>自动管线检出的合格导管腔。</t>
        </is>
      </c>
      <c r="P235" t="inlineStr">
        <is>
          <t>auto_pipeline;review_png_green</t>
        </is>
      </c>
      <c r="R235" t="inlineStr">
        <is>
          <t>样品5</t>
        </is>
      </c>
    </row>
    <row r="236">
      <c r="A236" t="inlineStr">
        <is>
          <t>5(4)-V05</t>
        </is>
      </c>
      <c r="B236" t="inlineStr">
        <is>
          <t>5 (4).tif</t>
        </is>
      </c>
      <c r="C236" t="n">
        <v>299</v>
      </c>
      <c r="D236" t="n">
        <v>185</v>
      </c>
      <c r="E236" t="inlineStr">
        <is>
          <t>266,152,333,219</t>
        </is>
      </c>
      <c r="F236" t="n">
        <v>152</v>
      </c>
      <c r="G236" t="inlineStr">
        <is>
          <t>primary</t>
        </is>
      </c>
      <c r="H236" t="inlineStr">
        <is>
          <t>AUTO_VESSEL</t>
        </is>
      </c>
      <c r="I236" t="inlineStr">
        <is>
          <t>是</t>
        </is>
      </c>
      <c r="J236" t="inlineStr">
        <is>
          <t>纳入</t>
        </is>
      </c>
      <c r="K236" t="n">
        <v>108.7429111531191</v>
      </c>
      <c r="L236">
        <f>导管母表_1781!G236</f>
        <v/>
      </c>
      <c r="M236" t="inlineStr">
        <is>
          <t>视野内部</t>
        </is>
      </c>
      <c r="N236" t="inlineStr">
        <is>
          <t>纳入A/D/Dh；若有Pair_ID则纳入CWR</t>
        </is>
      </c>
      <c r="O236" t="inlineStr">
        <is>
          <t>自动管线检出的合格导管腔。</t>
        </is>
      </c>
      <c r="P236" t="inlineStr">
        <is>
          <t>auto_pipeline;review_png_green</t>
        </is>
      </c>
      <c r="R236" t="inlineStr">
        <is>
          <t>样品5</t>
        </is>
      </c>
    </row>
    <row r="237">
      <c r="A237" t="inlineStr">
        <is>
          <t>5(5)-V01</t>
        </is>
      </c>
      <c r="B237" t="inlineStr">
        <is>
          <t>5 (5).tif</t>
        </is>
      </c>
      <c r="C237" t="n">
        <v>443</v>
      </c>
      <c r="D237" t="n">
        <v>406</v>
      </c>
      <c r="E237" t="inlineStr">
        <is>
          <t>385,343,502,470</t>
        </is>
      </c>
      <c r="F237" t="n">
        <v>298</v>
      </c>
      <c r="G237" t="inlineStr">
        <is>
          <t>primary</t>
        </is>
      </c>
      <c r="H237" t="inlineStr">
        <is>
          <t>AUTO_VESSEL</t>
        </is>
      </c>
      <c r="I237" t="inlineStr">
        <is>
          <t>是</t>
        </is>
      </c>
      <c r="J237" t="inlineStr">
        <is>
          <t>纳入</t>
        </is>
      </c>
      <c r="K237" t="n">
        <v>540.3355387523629</v>
      </c>
      <c r="L237">
        <f>导管母表_1781!G237</f>
        <v/>
      </c>
      <c r="M237" t="inlineStr">
        <is>
          <t>视野内部</t>
        </is>
      </c>
      <c r="N237" t="inlineStr">
        <is>
          <t>纳入A/D/Dh；若有Pair_ID则纳入CWR</t>
        </is>
      </c>
      <c r="O237" t="inlineStr">
        <is>
          <t>自动管线检出的合格导管腔。</t>
        </is>
      </c>
      <c r="P237" t="inlineStr">
        <is>
          <t>auto_pipeline;review_png_green</t>
        </is>
      </c>
      <c r="R237" t="inlineStr">
        <is>
          <t>样品5</t>
        </is>
      </c>
    </row>
    <row r="238">
      <c r="A238" t="inlineStr">
        <is>
          <t>5(5)-V02</t>
        </is>
      </c>
      <c r="B238" t="inlineStr">
        <is>
          <t>5 (5).tif</t>
        </is>
      </c>
      <c r="C238" t="n">
        <v>925</v>
      </c>
      <c r="D238" t="n">
        <v>408</v>
      </c>
      <c r="E238" t="inlineStr">
        <is>
          <t>883,368,968,449</t>
        </is>
      </c>
      <c r="F238" t="n">
        <v>56</v>
      </c>
      <c r="G238" t="inlineStr">
        <is>
          <t>primary</t>
        </is>
      </c>
      <c r="H238" t="inlineStr">
        <is>
          <t>AUTO_VESSEL</t>
        </is>
      </c>
      <c r="I238" t="inlineStr">
        <is>
          <t>是</t>
        </is>
      </c>
      <c r="J238" t="inlineStr">
        <is>
          <t>纳入</t>
        </is>
      </c>
      <c r="K238" t="n">
        <v>124.2674858223062</v>
      </c>
      <c r="L238">
        <f>导管母表_1781!G238</f>
        <v/>
      </c>
      <c r="M238" t="inlineStr">
        <is>
          <t>视野内部</t>
        </is>
      </c>
      <c r="N238" t="inlineStr">
        <is>
          <t>纳入A/D/Dh；若有Pair_ID则纳入CWR</t>
        </is>
      </c>
      <c r="O238" t="inlineStr">
        <is>
          <t>自动管线检出的合格导管腔。</t>
        </is>
      </c>
      <c r="P238" t="inlineStr">
        <is>
          <t>auto_pipeline;review_png_green</t>
        </is>
      </c>
      <c r="R238" t="inlineStr">
        <is>
          <t>样品5</t>
        </is>
      </c>
    </row>
    <row r="239">
      <c r="A239" t="inlineStr">
        <is>
          <t>5(5)-V03</t>
        </is>
      </c>
      <c r="B239" t="inlineStr">
        <is>
          <t>5 (5).tif</t>
        </is>
      </c>
      <c r="C239" t="n">
        <v>823</v>
      </c>
      <c r="D239" t="n">
        <v>527</v>
      </c>
      <c r="E239" t="inlineStr">
        <is>
          <t>784,493,863,562</t>
        </is>
      </c>
      <c r="F239" t="n">
        <v>161</v>
      </c>
      <c r="G239" t="inlineStr">
        <is>
          <t>primary</t>
        </is>
      </c>
      <c r="H239" t="inlineStr">
        <is>
          <t>AUTO_VESSEL</t>
        </is>
      </c>
      <c r="I239" t="inlineStr">
        <is>
          <t>是</t>
        </is>
      </c>
      <c r="J239" t="inlineStr">
        <is>
          <t>纳入</t>
        </is>
      </c>
      <c r="K239" t="n">
        <v>109.2863894139887</v>
      </c>
      <c r="L239">
        <f>导管母表_1781!G239</f>
        <v/>
      </c>
      <c r="M239" t="inlineStr">
        <is>
          <t>视野内部</t>
        </is>
      </c>
      <c r="N239" t="inlineStr">
        <is>
          <t>纳入A/D/Dh；若有Pair_ID则纳入CWR</t>
        </is>
      </c>
      <c r="O239" t="inlineStr">
        <is>
          <t>自动管线检出的合格导管腔。</t>
        </is>
      </c>
      <c r="P239" t="inlineStr">
        <is>
          <t>auto_pipeline;review_png_green</t>
        </is>
      </c>
      <c r="R239" t="inlineStr">
        <is>
          <t>样品5</t>
        </is>
      </c>
    </row>
    <row r="240">
      <c r="A240" t="inlineStr">
        <is>
          <t>5(6)-V01</t>
        </is>
      </c>
      <c r="B240" t="inlineStr">
        <is>
          <t>5 (6).tif</t>
        </is>
      </c>
      <c r="C240" t="n">
        <v>480</v>
      </c>
      <c r="D240" t="n">
        <v>381</v>
      </c>
      <c r="E240" t="inlineStr">
        <is>
          <t>419,311,542,452</t>
        </is>
      </c>
      <c r="F240" t="n">
        <v>311</v>
      </c>
      <c r="G240" t="inlineStr">
        <is>
          <t>primary</t>
        </is>
      </c>
      <c r="H240" t="inlineStr">
        <is>
          <t>AUTO_VESSEL</t>
        </is>
      </c>
      <c r="I240" t="inlineStr">
        <is>
          <t>是</t>
        </is>
      </c>
      <c r="J240" t="inlineStr">
        <is>
          <t>纳入</t>
        </is>
      </c>
      <c r="K240" t="n">
        <v>632.7268431001891</v>
      </c>
      <c r="L240">
        <f>导管母表_1781!G240</f>
        <v/>
      </c>
      <c r="M240" t="inlineStr">
        <is>
          <t>视野内部</t>
        </is>
      </c>
      <c r="N240" t="inlineStr">
        <is>
          <t>纳入A/D/Dh；若有Pair_ID则纳入CWR</t>
        </is>
      </c>
      <c r="O240" t="inlineStr">
        <is>
          <t>自动管线检出的合格导管腔。</t>
        </is>
      </c>
      <c r="P240" t="inlineStr">
        <is>
          <t>auto_pipeline;review_png_green</t>
        </is>
      </c>
      <c r="R240" t="inlineStr">
        <is>
          <t>样品5</t>
        </is>
      </c>
    </row>
    <row r="241">
      <c r="A241" t="inlineStr">
        <is>
          <t>5(6)-V02</t>
        </is>
      </c>
      <c r="B241" t="inlineStr">
        <is>
          <t>5 (6).tif</t>
        </is>
      </c>
      <c r="C241" t="n">
        <v>647</v>
      </c>
      <c r="D241" t="n">
        <v>372</v>
      </c>
      <c r="E241" t="inlineStr">
        <is>
          <t>580,314,715,431</t>
        </is>
      </c>
      <c r="F241" t="n">
        <v>309</v>
      </c>
      <c r="G241" t="inlineStr">
        <is>
          <t>primary</t>
        </is>
      </c>
      <c r="H241" t="inlineStr">
        <is>
          <t>AUTO_VESSEL</t>
        </is>
      </c>
      <c r="I241" t="inlineStr">
        <is>
          <t>是</t>
        </is>
      </c>
      <c r="J241" t="inlineStr">
        <is>
          <t>纳入</t>
        </is>
      </c>
      <c r="K241" t="n">
        <v>576.7249527410208</v>
      </c>
      <c r="L241">
        <f>导管母表_1781!G241</f>
        <v/>
      </c>
      <c r="M241" t="inlineStr">
        <is>
          <t>视野内部</t>
        </is>
      </c>
      <c r="N241" t="inlineStr">
        <is>
          <t>纳入A/D/Dh；若有Pair_ID则纳入CWR</t>
        </is>
      </c>
      <c r="O241" t="inlineStr">
        <is>
          <t>自动管线检出的合格导管腔。</t>
        </is>
      </c>
      <c r="P241" t="inlineStr">
        <is>
          <t>auto_pipeline;review_png_green</t>
        </is>
      </c>
      <c r="R241" t="inlineStr">
        <is>
          <t>样品5</t>
        </is>
      </c>
    </row>
    <row r="242">
      <c r="A242" t="inlineStr">
        <is>
          <t>5(7)-V01</t>
        </is>
      </c>
      <c r="B242" t="inlineStr">
        <is>
          <t>5 (7).tif</t>
        </is>
      </c>
      <c r="C242" t="n">
        <v>526</v>
      </c>
      <c r="D242" t="n">
        <v>456</v>
      </c>
      <c r="E242" t="inlineStr">
        <is>
          <t>423,373,630,540</t>
        </is>
      </c>
      <c r="F242" t="n">
        <v>228</v>
      </c>
      <c r="G242" t="inlineStr">
        <is>
          <t>primary</t>
        </is>
      </c>
      <c r="H242" t="inlineStr">
        <is>
          <t>AUTO_VESSEL</t>
        </is>
      </c>
      <c r="I242" t="inlineStr">
        <is>
          <t>是</t>
        </is>
      </c>
      <c r="J242" t="inlineStr">
        <is>
          <t>纳入</t>
        </is>
      </c>
      <c r="K242" t="n">
        <v>1268.525519848771</v>
      </c>
      <c r="L242">
        <f>导管母表_1781!G242</f>
        <v/>
      </c>
      <c r="M242" t="inlineStr">
        <is>
          <t>视野内部</t>
        </is>
      </c>
      <c r="N242" t="inlineStr">
        <is>
          <t>纳入A/D/Dh；若有Pair_ID则纳入CWR</t>
        </is>
      </c>
      <c r="O242" t="inlineStr">
        <is>
          <t>自动管线检出的合格导管腔。</t>
        </is>
      </c>
      <c r="P242" t="inlineStr">
        <is>
          <t>auto_pipeline;review_png_green</t>
        </is>
      </c>
      <c r="R242" t="inlineStr">
        <is>
          <t>样品5</t>
        </is>
      </c>
    </row>
    <row r="243">
      <c r="A243" t="inlineStr">
        <is>
          <t>5(7)-V02</t>
        </is>
      </c>
      <c r="B243" t="inlineStr">
        <is>
          <t>5 (7).tif</t>
        </is>
      </c>
      <c r="C243" t="n">
        <v>129</v>
      </c>
      <c r="D243" t="n">
        <v>435</v>
      </c>
      <c r="E243" t="inlineStr">
        <is>
          <t>95,407,164,464</t>
        </is>
      </c>
      <c r="F243" t="n">
        <v>95</v>
      </c>
      <c r="G243" t="inlineStr">
        <is>
          <t>primary</t>
        </is>
      </c>
      <c r="H243" t="inlineStr">
        <is>
          <t>AUTO_VESSEL</t>
        </is>
      </c>
      <c r="I243" t="inlineStr">
        <is>
          <t>是</t>
        </is>
      </c>
      <c r="J243" t="inlineStr">
        <is>
          <t>纳入</t>
        </is>
      </c>
      <c r="K243" t="n">
        <v>112.7835538752363</v>
      </c>
      <c r="L243">
        <f>导管母表_1781!G243</f>
        <v/>
      </c>
      <c r="M243" t="inlineStr">
        <is>
          <t>视野内部</t>
        </is>
      </c>
      <c r="N243" t="inlineStr">
        <is>
          <t>纳入A/D/Dh；若有Pair_ID则纳入CWR</t>
        </is>
      </c>
      <c r="O243" t="inlineStr">
        <is>
          <t>自动管线检出的合格导管腔。</t>
        </is>
      </c>
      <c r="P243" t="inlineStr">
        <is>
          <t>auto_pipeline;review_png_green</t>
        </is>
      </c>
      <c r="R243" t="inlineStr">
        <is>
          <t>样品5</t>
        </is>
      </c>
    </row>
    <row r="244">
      <c r="A244" t="inlineStr">
        <is>
          <t>5(8)-V01</t>
        </is>
      </c>
      <c r="B244" t="inlineStr">
        <is>
          <t>5 (8).tif</t>
        </is>
      </c>
      <c r="C244" t="n">
        <v>466</v>
      </c>
      <c r="D244" t="n">
        <v>314</v>
      </c>
      <c r="E244" t="inlineStr">
        <is>
          <t>395,226,538,403</t>
        </is>
      </c>
      <c r="F244" t="n">
        <v>226</v>
      </c>
      <c r="G244" t="inlineStr">
        <is>
          <t>primary</t>
        </is>
      </c>
      <c r="H244" t="inlineStr">
        <is>
          <t>AUTO_VESSEL</t>
        </is>
      </c>
      <c r="I244" t="inlineStr">
        <is>
          <t>是</t>
        </is>
      </c>
      <c r="J244" t="inlineStr">
        <is>
          <t>纳入</t>
        </is>
      </c>
      <c r="K244" t="n">
        <v>926.4650283553875</v>
      </c>
      <c r="L244">
        <f>导管母表_1781!G244</f>
        <v/>
      </c>
      <c r="M244" t="inlineStr">
        <is>
          <t>视野内部</t>
        </is>
      </c>
      <c r="N244" t="inlineStr">
        <is>
          <t>纳入A/D/Dh；若有Pair_ID则纳入CWR</t>
        </is>
      </c>
      <c r="O244" t="inlineStr">
        <is>
          <t>自动管线检出的合格导管腔。</t>
        </is>
      </c>
      <c r="P244" t="inlineStr">
        <is>
          <t>auto_pipeline;review_png_green</t>
        </is>
      </c>
      <c r="R244" t="inlineStr">
        <is>
          <t>样品5</t>
        </is>
      </c>
    </row>
    <row r="245">
      <c r="A245" t="inlineStr">
        <is>
          <t>5(8)-V02</t>
        </is>
      </c>
      <c r="B245" t="inlineStr">
        <is>
          <t>5 (8).tif</t>
        </is>
      </c>
      <c r="C245" t="n">
        <v>879</v>
      </c>
      <c r="D245" t="n">
        <v>182</v>
      </c>
      <c r="E245" t="inlineStr">
        <is>
          <t>850,152,909,213</t>
        </is>
      </c>
      <c r="F245" t="n">
        <v>115</v>
      </c>
      <c r="G245" t="inlineStr">
        <is>
          <t>primary</t>
        </is>
      </c>
      <c r="H245" t="inlineStr">
        <is>
          <t>AUTO_VESSEL</t>
        </is>
      </c>
      <c r="I245" t="inlineStr">
        <is>
          <t>是</t>
        </is>
      </c>
      <c r="J245" t="inlineStr">
        <is>
          <t>纳入</t>
        </is>
      </c>
      <c r="K245" t="n">
        <v>114.6030245746692</v>
      </c>
      <c r="L245">
        <f>导管母表_1781!G245</f>
        <v/>
      </c>
      <c r="M245" t="inlineStr">
        <is>
          <t>视野内部</t>
        </is>
      </c>
      <c r="N245" t="inlineStr">
        <is>
          <t>纳入A/D/Dh；若有Pair_ID则纳入CWR</t>
        </is>
      </c>
      <c r="O245" t="inlineStr">
        <is>
          <t>自动管线检出的合格导管腔。</t>
        </is>
      </c>
      <c r="P245" t="inlineStr">
        <is>
          <t>auto_pipeline;review_png_green</t>
        </is>
      </c>
      <c r="R245" t="inlineStr">
        <is>
          <t>样品5</t>
        </is>
      </c>
    </row>
    <row r="246">
      <c r="A246" t="inlineStr">
        <is>
          <t>6(1)-V01</t>
        </is>
      </c>
      <c r="B246" t="inlineStr">
        <is>
          <t>6 (1).tif</t>
        </is>
      </c>
      <c r="C246" t="n">
        <v>908</v>
      </c>
      <c r="D246" t="n">
        <v>114</v>
      </c>
      <c r="E246" t="inlineStr">
        <is>
          <t>812,45,1005,184</t>
        </is>
      </c>
      <c r="F246" t="n">
        <v>19</v>
      </c>
      <c r="G246" t="inlineStr">
        <is>
          <t>primary</t>
        </is>
      </c>
      <c r="H246" t="inlineStr">
        <is>
          <t>AUTO_VESSEL</t>
        </is>
      </c>
      <c r="I246" t="inlineStr">
        <is>
          <t>是</t>
        </is>
      </c>
      <c r="J246" t="inlineStr">
        <is>
          <t>纳入</t>
        </is>
      </c>
      <c r="K246" t="n">
        <v>983.1049149338374</v>
      </c>
      <c r="L246">
        <f>导管母表_1781!G246</f>
        <v/>
      </c>
      <c r="M246" t="inlineStr">
        <is>
          <t>近边缘（&lt;25 px）</t>
        </is>
      </c>
      <c r="N246" t="inlineStr">
        <is>
          <t>纳入A/D/Dh；若有Pair_ID则纳入CWR</t>
        </is>
      </c>
      <c r="O246" t="inlineStr">
        <is>
          <t>自动管线检出的合格导管腔。</t>
        </is>
      </c>
      <c r="P246" t="inlineStr">
        <is>
          <t>auto_pipeline;review_png_green</t>
        </is>
      </c>
      <c r="R246" t="inlineStr">
        <is>
          <t>样品6</t>
        </is>
      </c>
    </row>
    <row r="247">
      <c r="A247" t="inlineStr">
        <is>
          <t>6(1)-V02</t>
        </is>
      </c>
      <c r="B247" t="inlineStr">
        <is>
          <t>6 (1).tif</t>
        </is>
      </c>
      <c r="C247" t="n">
        <v>446</v>
      </c>
      <c r="D247" t="n">
        <v>499</v>
      </c>
      <c r="E247" t="inlineStr">
        <is>
          <t>381,431,512,568</t>
        </is>
      </c>
      <c r="F247" t="n">
        <v>200</v>
      </c>
      <c r="G247" t="inlineStr">
        <is>
          <t>primary</t>
        </is>
      </c>
      <c r="H247" t="inlineStr">
        <is>
          <t>AUTO_VESSEL</t>
        </is>
      </c>
      <c r="I247" t="inlineStr">
        <is>
          <t>是</t>
        </is>
      </c>
      <c r="J247" t="inlineStr">
        <is>
          <t>纳入</t>
        </is>
      </c>
      <c r="K247" t="n">
        <v>651.8431001890359</v>
      </c>
      <c r="L247">
        <f>导管母表_1781!G247</f>
        <v/>
      </c>
      <c r="M247" t="inlineStr">
        <is>
          <t>视野内部</t>
        </is>
      </c>
      <c r="N247" t="inlineStr">
        <is>
          <t>纳入A/D/Dh；若有Pair_ID则纳入CWR</t>
        </is>
      </c>
      <c r="O247" t="inlineStr">
        <is>
          <t>自动管线检出的合格导管腔。</t>
        </is>
      </c>
      <c r="P247" t="inlineStr">
        <is>
          <t>auto_pipeline;review_png_green</t>
        </is>
      </c>
      <c r="Q247" t="inlineStr">
        <is>
          <t>6(1)-P01</t>
        </is>
      </c>
      <c r="R247" t="inlineStr">
        <is>
          <t>样品6</t>
        </is>
      </c>
    </row>
    <row r="248">
      <c r="A248" t="inlineStr">
        <is>
          <t>6(1)-V03</t>
        </is>
      </c>
      <c r="B248" t="inlineStr">
        <is>
          <t>6 (1).tif</t>
        </is>
      </c>
      <c r="C248" t="n">
        <v>308</v>
      </c>
      <c r="D248" t="n">
        <v>522</v>
      </c>
      <c r="E248" t="inlineStr">
        <is>
          <t>244,459,373,586</t>
        </is>
      </c>
      <c r="F248" t="n">
        <v>182</v>
      </c>
      <c r="G248" t="inlineStr">
        <is>
          <t>primary</t>
        </is>
      </c>
      <c r="H248" t="inlineStr">
        <is>
          <t>AUTO_VESSEL</t>
        </is>
      </c>
      <c r="I248" t="inlineStr">
        <is>
          <t>是</t>
        </is>
      </c>
      <c r="J248" t="inlineStr">
        <is>
          <t>纳入</t>
        </is>
      </c>
      <c r="K248" t="n">
        <v>597.9206049149338</v>
      </c>
      <c r="L248">
        <f>导管母表_1781!G248</f>
        <v/>
      </c>
      <c r="M248" t="inlineStr">
        <is>
          <t>视野内部</t>
        </is>
      </c>
      <c r="N248" t="inlineStr">
        <is>
          <t>纳入A/D/Dh；若有Pair_ID则纳入CWR</t>
        </is>
      </c>
      <c r="O248" t="inlineStr">
        <is>
          <t>自动管线检出的合格导管腔。</t>
        </is>
      </c>
      <c r="P248" t="inlineStr">
        <is>
          <t>auto_pipeline;review_png_green</t>
        </is>
      </c>
      <c r="Q248" t="inlineStr">
        <is>
          <t>6(1)-P01</t>
        </is>
      </c>
      <c r="R248" t="inlineStr">
        <is>
          <t>样品6</t>
        </is>
      </c>
    </row>
    <row r="249">
      <c r="A249" t="inlineStr">
        <is>
          <t>6(1)-V04</t>
        </is>
      </c>
      <c r="B249" t="inlineStr">
        <is>
          <t>6 (1).tif</t>
        </is>
      </c>
      <c r="C249" t="n">
        <v>480</v>
      </c>
      <c r="D249" t="n">
        <v>202</v>
      </c>
      <c r="E249" t="inlineStr">
        <is>
          <t>418,142,543,263</t>
        </is>
      </c>
      <c r="F249" t="n">
        <v>142</v>
      </c>
      <c r="G249" t="inlineStr">
        <is>
          <t>primary</t>
        </is>
      </c>
      <c r="H249" t="inlineStr">
        <is>
          <t>AUTO_VESSEL</t>
        </is>
      </c>
      <c r="I249" t="inlineStr">
        <is>
          <t>是</t>
        </is>
      </c>
      <c r="J249" t="inlineStr">
        <is>
          <t>纳入</t>
        </is>
      </c>
      <c r="K249" t="n">
        <v>534.2863894139887</v>
      </c>
      <c r="L249">
        <f>导管母表_1781!G249</f>
        <v/>
      </c>
      <c r="M249" t="inlineStr">
        <is>
          <t>视野内部</t>
        </is>
      </c>
      <c r="N249" t="inlineStr">
        <is>
          <t>纳入A/D/Dh；若有Pair_ID则纳入CWR</t>
        </is>
      </c>
      <c r="O249" t="inlineStr">
        <is>
          <t>自动管线检出的合格导管腔。</t>
        </is>
      </c>
      <c r="P249" t="inlineStr">
        <is>
          <t>auto_pipeline;review_png_green</t>
        </is>
      </c>
      <c r="R249" t="inlineStr">
        <is>
          <t>样品6</t>
        </is>
      </c>
    </row>
    <row r="250">
      <c r="A250" t="inlineStr">
        <is>
          <t>6(1)-V05</t>
        </is>
      </c>
      <c r="B250" t="inlineStr">
        <is>
          <t>6 (1).tif</t>
        </is>
      </c>
      <c r="C250" t="n">
        <v>600</v>
      </c>
      <c r="D250" t="n">
        <v>166</v>
      </c>
      <c r="E250" t="inlineStr">
        <is>
          <t>550,112,651,221</t>
        </is>
      </c>
      <c r="F250" t="n">
        <v>112</v>
      </c>
      <c r="G250" t="inlineStr">
        <is>
          <t>primary</t>
        </is>
      </c>
      <c r="H250" t="inlineStr">
        <is>
          <t>AUTO_VESSEL</t>
        </is>
      </c>
      <c r="I250" t="inlineStr">
        <is>
          <t>是</t>
        </is>
      </c>
      <c r="J250" t="inlineStr">
        <is>
          <t>纳入</t>
        </is>
      </c>
      <c r="K250" t="n">
        <v>400.6852551984877</v>
      </c>
      <c r="L250">
        <f>导管母表_1781!G250</f>
        <v/>
      </c>
      <c r="M250" t="inlineStr">
        <is>
          <t>视野内部</t>
        </is>
      </c>
      <c r="N250" t="inlineStr">
        <is>
          <t>纳入A/D/Dh；若有Pair_ID则纳入CWR</t>
        </is>
      </c>
      <c r="O250" t="inlineStr">
        <is>
          <t>自动管线检出的合格导管腔。</t>
        </is>
      </c>
      <c r="P250" t="inlineStr">
        <is>
          <t>auto_pipeline;review_png_green</t>
        </is>
      </c>
      <c r="R250" t="inlineStr">
        <is>
          <t>样品6</t>
        </is>
      </c>
    </row>
    <row r="251">
      <c r="A251" t="inlineStr">
        <is>
          <t>6(1)-V06</t>
        </is>
      </c>
      <c r="B251" t="inlineStr">
        <is>
          <t>6 (1).tif</t>
        </is>
      </c>
      <c r="C251" t="n">
        <v>169</v>
      </c>
      <c r="D251" t="n">
        <v>220</v>
      </c>
      <c r="E251" t="inlineStr">
        <is>
          <t>112,173,227,268</t>
        </is>
      </c>
      <c r="F251" t="n">
        <v>112</v>
      </c>
      <c r="G251" t="inlineStr">
        <is>
          <t>primary</t>
        </is>
      </c>
      <c r="H251" t="inlineStr">
        <is>
          <t>AUTO_VESSEL</t>
        </is>
      </c>
      <c r="I251" t="inlineStr">
        <is>
          <t>是</t>
        </is>
      </c>
      <c r="J251" t="inlineStr">
        <is>
          <t>纳入</t>
        </is>
      </c>
      <c r="K251" t="n">
        <v>397.8024574669187</v>
      </c>
      <c r="L251">
        <f>导管母表_1781!G251</f>
        <v/>
      </c>
      <c r="M251" t="inlineStr">
        <is>
          <t>视野内部</t>
        </is>
      </c>
      <c r="N251" t="inlineStr">
        <is>
          <t>纳入A/D/Dh；若有Pair_ID则纳入CWR</t>
        </is>
      </c>
      <c r="O251" t="inlineStr">
        <is>
          <t>自动管线检出的合格导管腔。</t>
        </is>
      </c>
      <c r="P251" t="inlineStr">
        <is>
          <t>auto_pipeline;review_png_green</t>
        </is>
      </c>
      <c r="R251" t="inlineStr">
        <is>
          <t>样品6</t>
        </is>
      </c>
    </row>
    <row r="252">
      <c r="A252" t="inlineStr">
        <is>
          <t>6(2)-V01</t>
        </is>
      </c>
      <c r="B252" t="inlineStr">
        <is>
          <t>6 (2).tif</t>
        </is>
      </c>
      <c r="C252" t="n">
        <v>466</v>
      </c>
      <c r="D252" t="n">
        <v>280</v>
      </c>
      <c r="E252" t="inlineStr">
        <is>
          <t>382,187,551,374</t>
        </is>
      </c>
      <c r="F252" t="n">
        <v>187</v>
      </c>
      <c r="G252" t="inlineStr">
        <is>
          <t>primary</t>
        </is>
      </c>
      <c r="H252" t="inlineStr">
        <is>
          <t>AUTO_VESSEL</t>
        </is>
      </c>
      <c r="I252" t="inlineStr">
        <is>
          <t>是</t>
        </is>
      </c>
      <c r="J252" t="inlineStr">
        <is>
          <t>纳入</t>
        </is>
      </c>
      <c r="K252" t="n">
        <v>1156.474480151229</v>
      </c>
      <c r="L252">
        <f>导管母表_1781!G252</f>
        <v/>
      </c>
      <c r="M252" t="inlineStr">
        <is>
          <t>视野内部</t>
        </is>
      </c>
      <c r="N252" t="inlineStr">
        <is>
          <t>纳入A/D/Dh；若有Pair_ID则纳入CWR</t>
        </is>
      </c>
      <c r="O252" t="inlineStr">
        <is>
          <t>自动管线检出的合格导管腔。</t>
        </is>
      </c>
      <c r="P252" t="inlineStr">
        <is>
          <t>auto_pipeline;review_png_green</t>
        </is>
      </c>
      <c r="R252" t="inlineStr">
        <is>
          <t>样品6</t>
        </is>
      </c>
    </row>
    <row r="253">
      <c r="A253" t="inlineStr">
        <is>
          <t>6(2)-V02</t>
        </is>
      </c>
      <c r="B253" t="inlineStr">
        <is>
          <t>6 (2).tif</t>
        </is>
      </c>
      <c r="C253" t="n">
        <v>461</v>
      </c>
      <c r="D253" t="n">
        <v>448</v>
      </c>
      <c r="E253" t="inlineStr">
        <is>
          <t>379,383,544,514</t>
        </is>
      </c>
      <c r="F253" t="n">
        <v>254</v>
      </c>
      <c r="G253" t="inlineStr">
        <is>
          <t>primary</t>
        </is>
      </c>
      <c r="H253" t="inlineStr">
        <is>
          <t>AUTO_VESSEL</t>
        </is>
      </c>
      <c r="I253" t="inlineStr">
        <is>
          <t>是</t>
        </is>
      </c>
      <c r="J253" t="inlineStr">
        <is>
          <t>纳入</t>
        </is>
      </c>
      <c r="K253" t="n">
        <v>790.8790170132326</v>
      </c>
      <c r="L253">
        <f>导管母表_1781!G253</f>
        <v/>
      </c>
      <c r="M253" t="inlineStr">
        <is>
          <t>视野内部</t>
        </is>
      </c>
      <c r="N253" t="inlineStr">
        <is>
          <t>纳入A/D/Dh；若有Pair_ID则纳入CWR</t>
        </is>
      </c>
      <c r="O253" t="inlineStr">
        <is>
          <t>自动管线检出的合格导管腔。</t>
        </is>
      </c>
      <c r="P253" t="inlineStr">
        <is>
          <t>auto_pipeline;review_png_green</t>
        </is>
      </c>
      <c r="R253" t="inlineStr">
        <is>
          <t>样品6</t>
        </is>
      </c>
    </row>
    <row r="254">
      <c r="A254" t="inlineStr">
        <is>
          <t>6(2)-V03</t>
        </is>
      </c>
      <c r="B254" t="inlineStr">
        <is>
          <t>6 (2).tif</t>
        </is>
      </c>
      <c r="C254" t="n">
        <v>707</v>
      </c>
      <c r="D254" t="n">
        <v>601</v>
      </c>
      <c r="E254" t="inlineStr">
        <is>
          <t>641,524,774,679</t>
        </is>
      </c>
      <c r="F254" t="n">
        <v>89</v>
      </c>
      <c r="G254" t="inlineStr">
        <is>
          <t>primary</t>
        </is>
      </c>
      <c r="H254" t="inlineStr">
        <is>
          <t>AUTO_VESSEL</t>
        </is>
      </c>
      <c r="I254" t="inlineStr">
        <is>
          <t>是</t>
        </is>
      </c>
      <c r="J254" t="inlineStr">
        <is>
          <t>纳入</t>
        </is>
      </c>
      <c r="K254" t="n">
        <v>752.0557655954632</v>
      </c>
      <c r="L254">
        <f>导管母表_1781!G254</f>
        <v/>
      </c>
      <c r="M254" t="inlineStr">
        <is>
          <t>视野内部</t>
        </is>
      </c>
      <c r="N254" t="inlineStr">
        <is>
          <t>纳入A/D/Dh；若有Pair_ID则纳入CWR</t>
        </is>
      </c>
      <c r="O254" t="inlineStr">
        <is>
          <t>自动管线检出的合格导管腔。</t>
        </is>
      </c>
      <c r="P254" t="inlineStr">
        <is>
          <t>auto_pipeline;review_png_green</t>
        </is>
      </c>
      <c r="R254" t="inlineStr">
        <is>
          <t>样品6</t>
        </is>
      </c>
    </row>
    <row r="255">
      <c r="A255" t="inlineStr">
        <is>
          <t>6(2)-V04</t>
        </is>
      </c>
      <c r="B255" t="inlineStr">
        <is>
          <t>6 (2).tif</t>
        </is>
      </c>
      <c r="C255" t="n">
        <v>719</v>
      </c>
      <c r="D255" t="n">
        <v>76</v>
      </c>
      <c r="E255" t="inlineStr">
        <is>
          <t>667,7,772,146</t>
        </is>
      </c>
      <c r="F255" t="n">
        <v>7</v>
      </c>
      <c r="G255" t="inlineStr">
        <is>
          <t>primary</t>
        </is>
      </c>
      <c r="H255" t="inlineStr">
        <is>
          <t>AUTO_VESSEL</t>
        </is>
      </c>
      <c r="I255" t="inlineStr">
        <is>
          <t>是</t>
        </is>
      </c>
      <c r="J255" t="inlineStr">
        <is>
          <t>纳入</t>
        </is>
      </c>
      <c r="K255" t="n">
        <v>526.3941398865785</v>
      </c>
      <c r="L255">
        <f>导管母表_1781!G255</f>
        <v/>
      </c>
      <c r="M255" t="inlineStr">
        <is>
          <t>近边缘（&lt;25 px）</t>
        </is>
      </c>
      <c r="N255" t="inlineStr">
        <is>
          <t>纳入A/D/Dh；若有Pair_ID则纳入CWR</t>
        </is>
      </c>
      <c r="O255" t="inlineStr">
        <is>
          <t>自动管线检出的合格导管腔。</t>
        </is>
      </c>
      <c r="P255" t="inlineStr">
        <is>
          <t>auto_pipeline;review_png_green</t>
        </is>
      </c>
      <c r="R255" t="inlineStr">
        <is>
          <t>样品6</t>
        </is>
      </c>
    </row>
    <row r="256">
      <c r="A256" t="inlineStr">
        <is>
          <t>6(2)-V05</t>
        </is>
      </c>
      <c r="B256" t="inlineStr">
        <is>
          <t>6 (2).tif</t>
        </is>
      </c>
      <c r="C256" t="n">
        <v>86</v>
      </c>
      <c r="D256" t="n">
        <v>69</v>
      </c>
      <c r="E256" t="inlineStr">
        <is>
          <t>36,9,137,130</t>
        </is>
      </c>
      <c r="F256" t="n">
        <v>9</v>
      </c>
      <c r="G256" t="inlineStr">
        <is>
          <t>primary</t>
        </is>
      </c>
      <c r="H256" t="inlineStr">
        <is>
          <t>AUTO_VESSEL</t>
        </is>
      </c>
      <c r="I256" t="inlineStr">
        <is>
          <t>是</t>
        </is>
      </c>
      <c r="J256" t="inlineStr">
        <is>
          <t>纳入</t>
        </is>
      </c>
      <c r="K256" t="n">
        <v>429.7495274102079</v>
      </c>
      <c r="L256">
        <f>导管母表_1781!G256</f>
        <v/>
      </c>
      <c r="M256" t="inlineStr">
        <is>
          <t>近边缘（&lt;25 px）</t>
        </is>
      </c>
      <c r="N256" t="inlineStr">
        <is>
          <t>纳入A/D/Dh；若有Pair_ID则纳入CWR</t>
        </is>
      </c>
      <c r="O256" t="inlineStr">
        <is>
          <t>自动管线检出的合格导管腔。</t>
        </is>
      </c>
      <c r="P256" t="inlineStr">
        <is>
          <t>auto_pipeline;review_png_green</t>
        </is>
      </c>
      <c r="R256" t="inlineStr">
        <is>
          <t>样品6</t>
        </is>
      </c>
    </row>
    <row r="257">
      <c r="A257" t="inlineStr">
        <is>
          <t>6(2)-V06</t>
        </is>
      </c>
      <c r="B257" t="inlineStr">
        <is>
          <t>6 (2).tif</t>
        </is>
      </c>
      <c r="C257" t="n">
        <v>41</v>
      </c>
      <c r="D257" t="n">
        <v>186</v>
      </c>
      <c r="E257" t="inlineStr">
        <is>
          <t>2,148,81,225</t>
        </is>
      </c>
      <c r="F257" t="n">
        <v>2</v>
      </c>
      <c r="G257" t="inlineStr">
        <is>
          <t>primary</t>
        </is>
      </c>
      <c r="H257" t="inlineStr">
        <is>
          <t>AUTO_VESSEL</t>
        </is>
      </c>
      <c r="I257" t="inlineStr">
        <is>
          <t>是</t>
        </is>
      </c>
      <c r="J257" t="inlineStr">
        <is>
          <t>纳入</t>
        </is>
      </c>
      <c r="K257" t="n">
        <v>219.7306238185255</v>
      </c>
      <c r="L257">
        <f>导管母表_1781!G257</f>
        <v/>
      </c>
      <c r="M257" t="inlineStr">
        <is>
          <t>近边缘（&lt;25 px）</t>
        </is>
      </c>
      <c r="N257" t="inlineStr">
        <is>
          <t>纳入A/D/Dh；若有Pair_ID则纳入CWR</t>
        </is>
      </c>
      <c r="O257" t="inlineStr">
        <is>
          <t>自动管线检出的合格导管腔。</t>
        </is>
      </c>
      <c r="P257" t="inlineStr">
        <is>
          <t>auto_pipeline;review_png_green</t>
        </is>
      </c>
      <c r="R257" t="inlineStr">
        <is>
          <t>样品6</t>
        </is>
      </c>
    </row>
    <row r="258">
      <c r="A258" t="inlineStr">
        <is>
          <t>6(3)-V01</t>
        </is>
      </c>
      <c r="B258" t="inlineStr">
        <is>
          <t>6 (3).tif</t>
        </is>
      </c>
      <c r="C258" t="n">
        <v>364</v>
      </c>
      <c r="D258" t="n">
        <v>316</v>
      </c>
      <c r="E258" t="inlineStr">
        <is>
          <t>265,209,464,424</t>
        </is>
      </c>
      <c r="F258" t="n">
        <v>209</v>
      </c>
      <c r="G258" t="inlineStr">
        <is>
          <t>primary</t>
        </is>
      </c>
      <c r="H258" t="inlineStr">
        <is>
          <t>AUTO_VESSEL</t>
        </is>
      </c>
      <c r="I258" t="inlineStr">
        <is>
          <t>是</t>
        </is>
      </c>
      <c r="J258" t="inlineStr">
        <is>
          <t>纳入</t>
        </is>
      </c>
      <c r="K258" t="n">
        <v>1565.028355387524</v>
      </c>
      <c r="L258">
        <f>导管母表_1781!G258</f>
        <v/>
      </c>
      <c r="M258" t="inlineStr">
        <is>
          <t>视野内部</t>
        </is>
      </c>
      <c r="N258" t="inlineStr">
        <is>
          <t>纳入A/D/Dh；若有Pair_ID则纳入CWR</t>
        </is>
      </c>
      <c r="O258" t="inlineStr">
        <is>
          <t>自动管线检出的合格导管腔。</t>
        </is>
      </c>
      <c r="P258" t="inlineStr">
        <is>
          <t>auto_pipeline;review_png_green</t>
        </is>
      </c>
      <c r="Q258" t="inlineStr">
        <is>
          <t>6(3)-P01</t>
        </is>
      </c>
      <c r="R258" t="inlineStr">
        <is>
          <t>样品6</t>
        </is>
      </c>
    </row>
    <row r="259">
      <c r="A259" t="inlineStr">
        <is>
          <t>6(3)-V02</t>
        </is>
      </c>
      <c r="B259" t="inlineStr">
        <is>
          <t>6 (3).tif</t>
        </is>
      </c>
      <c r="C259" t="n">
        <v>415</v>
      </c>
      <c r="D259" t="n">
        <v>114</v>
      </c>
      <c r="E259" t="inlineStr">
        <is>
          <t>331,40,500,189</t>
        </is>
      </c>
      <c r="F259" t="n">
        <v>40</v>
      </c>
      <c r="G259" t="inlineStr">
        <is>
          <t>primary</t>
        </is>
      </c>
      <c r="H259" t="inlineStr">
        <is>
          <t>AUTO_VESSEL</t>
        </is>
      </c>
      <c r="I259" t="inlineStr">
        <is>
          <t>是</t>
        </is>
      </c>
      <c r="J259" t="inlineStr">
        <is>
          <t>纳入</t>
        </is>
      </c>
      <c r="K259" t="n">
        <v>921.3137996219282</v>
      </c>
      <c r="L259">
        <f>导管母表_1781!G259</f>
        <v/>
      </c>
      <c r="M259" t="inlineStr">
        <is>
          <t>视野内部</t>
        </is>
      </c>
      <c r="N259" t="inlineStr">
        <is>
          <t>纳入A/D/Dh；若有Pair_ID则纳入CWR</t>
        </is>
      </c>
      <c r="O259" t="inlineStr">
        <is>
          <t>自动管线检出的合格导管腔。</t>
        </is>
      </c>
      <c r="P259" t="inlineStr">
        <is>
          <t>auto_pipeline;review_png_green</t>
        </is>
      </c>
      <c r="Q259" t="inlineStr">
        <is>
          <t>6(3)-P01</t>
        </is>
      </c>
      <c r="R259" t="inlineStr">
        <is>
          <t>样品6</t>
        </is>
      </c>
    </row>
    <row r="260">
      <c r="A260" t="inlineStr">
        <is>
          <t>6(3)-V03</t>
        </is>
      </c>
      <c r="B260" t="inlineStr">
        <is>
          <t>6 (3).tif</t>
        </is>
      </c>
      <c r="C260" t="n">
        <v>614</v>
      </c>
      <c r="D260" t="n">
        <v>474</v>
      </c>
      <c r="E260" t="inlineStr">
        <is>
          <t>545,395,684,554</t>
        </is>
      </c>
      <c r="F260" t="n">
        <v>214</v>
      </c>
      <c r="G260" t="inlineStr">
        <is>
          <t>primary</t>
        </is>
      </c>
      <c r="H260" t="inlineStr">
        <is>
          <t>AUTO_VESSEL</t>
        </is>
      </c>
      <c r="I260" t="inlineStr">
        <is>
          <t>是</t>
        </is>
      </c>
      <c r="J260" t="inlineStr">
        <is>
          <t>纳入</t>
        </is>
      </c>
      <c r="K260" t="n">
        <v>807.4432892249528</v>
      </c>
      <c r="L260">
        <f>导管母表_1781!G260</f>
        <v/>
      </c>
      <c r="M260" t="inlineStr">
        <is>
          <t>视野内部</t>
        </is>
      </c>
      <c r="N260" t="inlineStr">
        <is>
          <t>纳入A/D/Dh；若有Pair_ID则纳入CWR</t>
        </is>
      </c>
      <c r="O260" t="inlineStr">
        <is>
          <t>自动管线检出的合格导管腔。</t>
        </is>
      </c>
      <c r="P260" t="inlineStr">
        <is>
          <t>auto_pipeline;review_png_green</t>
        </is>
      </c>
      <c r="R260" t="inlineStr">
        <is>
          <t>样品6</t>
        </is>
      </c>
    </row>
    <row r="261">
      <c r="A261" t="inlineStr">
        <is>
          <t>6(3)-V04</t>
        </is>
      </c>
      <c r="B261" t="inlineStr">
        <is>
          <t>6 (3).tif</t>
        </is>
      </c>
      <c r="C261" t="n">
        <v>917</v>
      </c>
      <c r="D261" t="n">
        <v>218</v>
      </c>
      <c r="E261" t="inlineStr">
        <is>
          <t>870,144,965,293</t>
        </is>
      </c>
      <c r="F261" t="n">
        <v>59</v>
      </c>
      <c r="G261" t="inlineStr">
        <is>
          <t>primary</t>
        </is>
      </c>
      <c r="H261" t="inlineStr">
        <is>
          <t>AUTO_VESSEL</t>
        </is>
      </c>
      <c r="I261" t="inlineStr">
        <is>
          <t>是</t>
        </is>
      </c>
      <c r="J261" t="inlineStr">
        <is>
          <t>纳入</t>
        </is>
      </c>
      <c r="K261" t="n">
        <v>230.0803402646503</v>
      </c>
      <c r="L261">
        <f>导管母表_1781!G261</f>
        <v/>
      </c>
      <c r="M261" t="inlineStr">
        <is>
          <t>视野内部</t>
        </is>
      </c>
      <c r="N261" t="inlineStr">
        <is>
          <t>纳入A/D/Dh；若有Pair_ID则纳入CWR</t>
        </is>
      </c>
      <c r="O261" t="inlineStr">
        <is>
          <t>自动管线检出的合格导管腔。</t>
        </is>
      </c>
      <c r="P261" t="inlineStr">
        <is>
          <t>auto_pipeline;review_png_green</t>
        </is>
      </c>
      <c r="R261" t="inlineStr">
        <is>
          <t>样品6</t>
        </is>
      </c>
    </row>
    <row r="262">
      <c r="A262" t="inlineStr">
        <is>
          <t>6(3)-V05</t>
        </is>
      </c>
      <c r="B262" t="inlineStr">
        <is>
          <t>6 (3).tif</t>
        </is>
      </c>
      <c r="C262" t="n">
        <v>834</v>
      </c>
      <c r="D262" t="n">
        <v>418</v>
      </c>
      <c r="E262" t="inlineStr">
        <is>
          <t>802,384,867,453</t>
        </is>
      </c>
      <c r="F262" t="n">
        <v>157</v>
      </c>
      <c r="G262" t="inlineStr">
        <is>
          <t>primary</t>
        </is>
      </c>
      <c r="H262" t="inlineStr">
        <is>
          <t>AUTO_VESSEL</t>
        </is>
      </c>
      <c r="I262" t="inlineStr">
        <is>
          <t>是</t>
        </is>
      </c>
      <c r="J262" t="inlineStr">
        <is>
          <t>纳入</t>
        </is>
      </c>
      <c r="K262" t="n">
        <v>145.0850661625709</v>
      </c>
      <c r="L262">
        <f>导管母表_1781!G262</f>
        <v/>
      </c>
      <c r="M262" t="inlineStr">
        <is>
          <t>视野内部</t>
        </is>
      </c>
      <c r="N262" t="inlineStr">
        <is>
          <t>纳入A/D/Dh；若有Pair_ID则纳入CWR</t>
        </is>
      </c>
      <c r="O262" t="inlineStr">
        <is>
          <t>自动管线检出的合格导管腔。</t>
        </is>
      </c>
      <c r="P262" t="inlineStr">
        <is>
          <t>auto_pipeline;review_png_green</t>
        </is>
      </c>
      <c r="R262" t="inlineStr">
        <is>
          <t>样品6</t>
        </is>
      </c>
    </row>
    <row r="263">
      <c r="A263" t="inlineStr">
        <is>
          <t>6(4)-V01</t>
        </is>
      </c>
      <c r="B263" t="inlineStr">
        <is>
          <t>6 (4).tif</t>
        </is>
      </c>
      <c r="C263" t="n">
        <v>532</v>
      </c>
      <c r="D263" t="n">
        <v>311</v>
      </c>
      <c r="E263" t="inlineStr">
        <is>
          <t>456,236,609,387</t>
        </is>
      </c>
      <c r="F263" t="n">
        <v>236</v>
      </c>
      <c r="G263" t="inlineStr">
        <is>
          <t>primary</t>
        </is>
      </c>
      <c r="H263" t="inlineStr">
        <is>
          <t>AUTO_VESSEL</t>
        </is>
      </c>
      <c r="I263" t="inlineStr">
        <is>
          <t>是</t>
        </is>
      </c>
      <c r="J263" t="inlineStr">
        <is>
          <t>纳入</t>
        </is>
      </c>
      <c r="K263" t="n">
        <v>844.3998109640831</v>
      </c>
      <c r="L263">
        <f>导管母表_1781!G263</f>
        <v/>
      </c>
      <c r="M263" t="inlineStr">
        <is>
          <t>视野内部</t>
        </is>
      </c>
      <c r="N263" t="inlineStr">
        <is>
          <t>纳入A/D/Dh；若有Pair_ID则纳入CWR</t>
        </is>
      </c>
      <c r="O263" t="inlineStr">
        <is>
          <t>自动管线检出的合格导管腔。</t>
        </is>
      </c>
      <c r="P263" t="inlineStr">
        <is>
          <t>auto_pipeline;review_png_green</t>
        </is>
      </c>
      <c r="Q263" t="inlineStr">
        <is>
          <t>6(4)-P01</t>
        </is>
      </c>
      <c r="R263" t="inlineStr">
        <is>
          <t>样品6</t>
        </is>
      </c>
    </row>
    <row r="264">
      <c r="A264" t="inlineStr">
        <is>
          <t>6(4)-V02</t>
        </is>
      </c>
      <c r="B264" t="inlineStr">
        <is>
          <t>6 (4).tif</t>
        </is>
      </c>
      <c r="C264" t="n">
        <v>415</v>
      </c>
      <c r="D264" t="n">
        <v>451</v>
      </c>
      <c r="E264" t="inlineStr">
        <is>
          <t>345,381,486,522</t>
        </is>
      </c>
      <c r="F264" t="n">
        <v>246</v>
      </c>
      <c r="G264" t="inlineStr">
        <is>
          <t>primary</t>
        </is>
      </c>
      <c r="H264" t="inlineStr">
        <is>
          <t>AUTO_VESSEL</t>
        </is>
      </c>
      <c r="I264" t="inlineStr">
        <is>
          <t>是</t>
        </is>
      </c>
      <c r="J264" t="inlineStr">
        <is>
          <t>纳入</t>
        </is>
      </c>
      <c r="K264" t="n">
        <v>726.0869565217391</v>
      </c>
      <c r="L264">
        <f>导管母表_1781!G264</f>
        <v/>
      </c>
      <c r="M264" t="inlineStr">
        <is>
          <t>视野内部</t>
        </is>
      </c>
      <c r="N264" t="inlineStr">
        <is>
          <t>纳入A/D/Dh；若有Pair_ID则纳入CWR</t>
        </is>
      </c>
      <c r="O264" t="inlineStr">
        <is>
          <t>自动管线检出的合格导管腔。</t>
        </is>
      </c>
      <c r="P264" t="inlineStr">
        <is>
          <t>auto_pipeline;review_png_green</t>
        </is>
      </c>
      <c r="Q264" t="inlineStr">
        <is>
          <t>6(4)-P01</t>
        </is>
      </c>
      <c r="R264" t="inlineStr">
        <is>
          <t>样品6</t>
        </is>
      </c>
    </row>
    <row r="265">
      <c r="A265" t="inlineStr">
        <is>
          <t>6(4)-V03</t>
        </is>
      </c>
      <c r="B265" t="inlineStr">
        <is>
          <t>6 (4).tif</t>
        </is>
      </c>
      <c r="C265" t="n">
        <v>814</v>
      </c>
      <c r="D265" t="n">
        <v>576</v>
      </c>
      <c r="E265" t="inlineStr">
        <is>
          <t>745,515,884,638</t>
        </is>
      </c>
      <c r="F265" t="n">
        <v>130</v>
      </c>
      <c r="G265" t="inlineStr">
        <is>
          <t>primary</t>
        </is>
      </c>
      <c r="H265" t="inlineStr">
        <is>
          <t>AUTO_VESSEL</t>
        </is>
      </c>
      <c r="I265" t="inlineStr">
        <is>
          <t>是</t>
        </is>
      </c>
      <c r="J265" t="inlineStr">
        <is>
          <t>纳入</t>
        </is>
      </c>
      <c r="K265" t="n">
        <v>590.8317580340265</v>
      </c>
      <c r="L265">
        <f>导管母表_1781!G265</f>
        <v/>
      </c>
      <c r="M265" t="inlineStr">
        <is>
          <t>视野内部</t>
        </is>
      </c>
      <c r="N265" t="inlineStr">
        <is>
          <t>纳入A/D/Dh；若有Pair_ID则纳入CWR</t>
        </is>
      </c>
      <c r="O265" t="inlineStr">
        <is>
          <t>自动管线检出的合格导管腔。</t>
        </is>
      </c>
      <c r="P265" t="inlineStr">
        <is>
          <t>auto_pipeline;review_png_green</t>
        </is>
      </c>
      <c r="R265" t="inlineStr">
        <is>
          <t>样品6</t>
        </is>
      </c>
    </row>
    <row r="266">
      <c r="A266" t="inlineStr">
        <is>
          <t>6(4)-V04</t>
        </is>
      </c>
      <c r="B266" t="inlineStr">
        <is>
          <t>6 (4).tif</t>
        </is>
      </c>
      <c r="C266" t="n">
        <v>898</v>
      </c>
      <c r="D266" t="n">
        <v>118</v>
      </c>
      <c r="E266" t="inlineStr">
        <is>
          <t>842,64,955,173</t>
        </is>
      </c>
      <c r="F266" t="n">
        <v>64</v>
      </c>
      <c r="G266" t="inlineStr">
        <is>
          <t>primary</t>
        </is>
      </c>
      <c r="H266" t="inlineStr">
        <is>
          <t>AUTO_VESSEL</t>
        </is>
      </c>
      <c r="I266" t="inlineStr">
        <is>
          <t>是</t>
        </is>
      </c>
      <c r="J266" t="inlineStr">
        <is>
          <t>纳入</t>
        </is>
      </c>
      <c r="K266" t="n">
        <v>445.0850661625709</v>
      </c>
      <c r="L266">
        <f>导管母表_1781!G266</f>
        <v/>
      </c>
      <c r="M266" t="inlineStr">
        <is>
          <t>视野内部</t>
        </is>
      </c>
      <c r="N266" t="inlineStr">
        <is>
          <t>纳入A/D/Dh；若有Pair_ID则纳入CWR</t>
        </is>
      </c>
      <c r="O266" t="inlineStr">
        <is>
          <t>自动管线检出的合格导管腔。</t>
        </is>
      </c>
      <c r="P266" t="inlineStr">
        <is>
          <t>auto_pipeline;review_png_green</t>
        </is>
      </c>
      <c r="R266" t="inlineStr">
        <is>
          <t>样品6</t>
        </is>
      </c>
    </row>
    <row r="267">
      <c r="A267" t="inlineStr">
        <is>
          <t>6(4)-V05</t>
        </is>
      </c>
      <c r="B267" t="inlineStr">
        <is>
          <t>6 (4).tif</t>
        </is>
      </c>
      <c r="C267" t="n">
        <v>496</v>
      </c>
      <c r="D267" t="n">
        <v>621</v>
      </c>
      <c r="E267" t="inlineStr">
        <is>
          <t>460,586,533,657</t>
        </is>
      </c>
      <c r="F267" t="n">
        <v>111</v>
      </c>
      <c r="G267" t="inlineStr">
        <is>
          <t>primary</t>
        </is>
      </c>
      <c r="H267" t="inlineStr">
        <is>
          <t>AUTO_VESSEL</t>
        </is>
      </c>
      <c r="I267" t="inlineStr">
        <is>
          <t>是</t>
        </is>
      </c>
      <c r="J267" t="inlineStr">
        <is>
          <t>纳入</t>
        </is>
      </c>
      <c r="K267" t="n">
        <v>142.8638941398866</v>
      </c>
      <c r="L267">
        <f>导管母表_1781!G267</f>
        <v/>
      </c>
      <c r="M267" t="inlineStr">
        <is>
          <t>视野内部</t>
        </is>
      </c>
      <c r="N267" t="inlineStr">
        <is>
          <t>纳入A/D/Dh；若有Pair_ID则纳入CWR</t>
        </is>
      </c>
      <c r="O267" t="inlineStr">
        <is>
          <t>自动管线检出的合格导管腔。</t>
        </is>
      </c>
      <c r="P267" t="inlineStr">
        <is>
          <t>auto_pipeline;review_png_green</t>
        </is>
      </c>
      <c r="R267" t="inlineStr">
        <is>
          <t>样品6</t>
        </is>
      </c>
    </row>
    <row r="268">
      <c r="A268" t="inlineStr">
        <is>
          <t>6(4)-V06</t>
        </is>
      </c>
      <c r="B268" t="inlineStr">
        <is>
          <t>6 (4).tif</t>
        </is>
      </c>
      <c r="C268" t="n">
        <v>599</v>
      </c>
      <c r="D268" t="n">
        <v>497</v>
      </c>
      <c r="E268" t="inlineStr">
        <is>
          <t>561,459,638,536</t>
        </is>
      </c>
      <c r="F268" t="n">
        <v>232</v>
      </c>
      <c r="G268" t="inlineStr">
        <is>
          <t>primary</t>
        </is>
      </c>
      <c r="H268" t="inlineStr">
        <is>
          <t>AUTO_VESSEL</t>
        </is>
      </c>
      <c r="I268" t="inlineStr">
        <is>
          <t>是</t>
        </is>
      </c>
      <c r="J268" t="inlineStr">
        <is>
          <t>纳入</t>
        </is>
      </c>
      <c r="K268" t="n">
        <v>141.0916824196597</v>
      </c>
      <c r="L268">
        <f>导管母表_1781!G268</f>
        <v/>
      </c>
      <c r="M268" t="inlineStr">
        <is>
          <t>视野内部</t>
        </is>
      </c>
      <c r="N268" t="inlineStr">
        <is>
          <t>纳入A/D/Dh；若有Pair_ID则纳入CWR</t>
        </is>
      </c>
      <c r="O268" t="inlineStr">
        <is>
          <t>自动管线检出的合格导管腔。</t>
        </is>
      </c>
      <c r="P268" t="inlineStr">
        <is>
          <t>auto_pipeline;review_png_green</t>
        </is>
      </c>
      <c r="R268" t="inlineStr">
        <is>
          <t>样品6</t>
        </is>
      </c>
    </row>
    <row r="269">
      <c r="A269" t="inlineStr">
        <is>
          <t>6(4)-V07</t>
        </is>
      </c>
      <c r="B269" t="inlineStr">
        <is>
          <t>6 (4).tif</t>
        </is>
      </c>
      <c r="C269" t="n">
        <v>61</v>
      </c>
      <c r="D269" t="n">
        <v>544</v>
      </c>
      <c r="E269" t="inlineStr">
        <is>
          <t>38,508,85,581</t>
        </is>
      </c>
      <c r="F269" t="n">
        <v>38</v>
      </c>
      <c r="G269" t="inlineStr">
        <is>
          <t>primary</t>
        </is>
      </c>
      <c r="H269" t="inlineStr">
        <is>
          <t>AUTO_VESSEL</t>
        </is>
      </c>
      <c r="I269" t="inlineStr">
        <is>
          <t>是</t>
        </is>
      </c>
      <c r="J269" t="inlineStr">
        <is>
          <t>纳入</t>
        </is>
      </c>
      <c r="K269" t="n">
        <v>123.038752362949</v>
      </c>
      <c r="L269">
        <f>导管母表_1781!G269</f>
        <v/>
      </c>
      <c r="M269" t="inlineStr">
        <is>
          <t>视野内部</t>
        </is>
      </c>
      <c r="N269" t="inlineStr">
        <is>
          <t>纳入A/D/Dh；若有Pair_ID则纳入CWR</t>
        </is>
      </c>
      <c r="O269" t="inlineStr">
        <is>
          <t>自动管线检出的合格导管腔。</t>
        </is>
      </c>
      <c r="P269" t="inlineStr">
        <is>
          <t>auto_pipeline;review_png_green</t>
        </is>
      </c>
      <c r="R269" t="inlineStr">
        <is>
          <t>样品6</t>
        </is>
      </c>
    </row>
    <row r="270">
      <c r="A270" t="inlineStr">
        <is>
          <t>6(5)-V01</t>
        </is>
      </c>
      <c r="B270" t="inlineStr">
        <is>
          <t>6 (5).tif</t>
        </is>
      </c>
      <c r="C270" t="n">
        <v>287</v>
      </c>
      <c r="D270" t="n">
        <v>199</v>
      </c>
      <c r="E270" t="inlineStr">
        <is>
          <t>204,107,371,292</t>
        </is>
      </c>
      <c r="F270" t="n">
        <v>107</v>
      </c>
      <c r="G270" t="inlineStr">
        <is>
          <t>primary</t>
        </is>
      </c>
      <c r="H270" t="inlineStr">
        <is>
          <t>AUTO_VESSEL</t>
        </is>
      </c>
      <c r="I270" t="inlineStr">
        <is>
          <t>是</t>
        </is>
      </c>
      <c r="J270" t="inlineStr">
        <is>
          <t>纳入</t>
        </is>
      </c>
      <c r="K270" t="n">
        <v>1029.584120982987</v>
      </c>
      <c r="L270">
        <f>导管母表_1781!G270</f>
        <v/>
      </c>
      <c r="M270" t="inlineStr">
        <is>
          <t>视野内部</t>
        </is>
      </c>
      <c r="N270" t="inlineStr">
        <is>
          <t>纳入A/D/Dh；若有Pair_ID则纳入CWR</t>
        </is>
      </c>
      <c r="O270" t="inlineStr">
        <is>
          <t>自动管线检出的合格导管腔。</t>
        </is>
      </c>
      <c r="P270" t="inlineStr">
        <is>
          <t>auto_pipeline;review_png_green</t>
        </is>
      </c>
      <c r="R270" t="inlineStr">
        <is>
          <t>样品6</t>
        </is>
      </c>
    </row>
    <row r="271">
      <c r="A271" t="inlineStr">
        <is>
          <t>6(5)-V02</t>
        </is>
      </c>
      <c r="B271" t="inlineStr">
        <is>
          <t>6 (5).tif</t>
        </is>
      </c>
      <c r="C271" t="n">
        <v>408</v>
      </c>
      <c r="D271" t="n">
        <v>452</v>
      </c>
      <c r="E271" t="inlineStr">
        <is>
          <t>331,378,486,527</t>
        </is>
      </c>
      <c r="F271" t="n">
        <v>241</v>
      </c>
      <c r="G271" t="inlineStr">
        <is>
          <t>primary</t>
        </is>
      </c>
      <c r="H271" t="inlineStr">
        <is>
          <t>AUTO_VESSEL</t>
        </is>
      </c>
      <c r="I271" t="inlineStr">
        <is>
          <t>是</t>
        </is>
      </c>
      <c r="J271" t="inlineStr">
        <is>
          <t>纳入</t>
        </is>
      </c>
      <c r="K271" t="n">
        <v>823.086011342155</v>
      </c>
      <c r="L271">
        <f>导管母表_1781!G271</f>
        <v/>
      </c>
      <c r="M271" t="inlineStr">
        <is>
          <t>视野内部</t>
        </is>
      </c>
      <c r="N271" t="inlineStr">
        <is>
          <t>纳入A/D/Dh；若有Pair_ID则纳入CWR</t>
        </is>
      </c>
      <c r="O271" t="inlineStr">
        <is>
          <t>自动管线检出的合格导管腔。</t>
        </is>
      </c>
      <c r="P271" t="inlineStr">
        <is>
          <t>auto_pipeline;review_png_green</t>
        </is>
      </c>
      <c r="R271" t="inlineStr">
        <is>
          <t>样品6</t>
        </is>
      </c>
    </row>
    <row r="272">
      <c r="A272" t="inlineStr">
        <is>
          <t>6(5)-V03</t>
        </is>
      </c>
      <c r="B272" t="inlineStr">
        <is>
          <t>6 (5).tif</t>
        </is>
      </c>
      <c r="C272" t="n">
        <v>518</v>
      </c>
      <c r="D272" t="n">
        <v>293</v>
      </c>
      <c r="E272" t="inlineStr">
        <is>
          <t>452,233,585,354</t>
        </is>
      </c>
      <c r="F272" t="n">
        <v>233</v>
      </c>
      <c r="G272" t="inlineStr">
        <is>
          <t>primary</t>
        </is>
      </c>
      <c r="H272" t="inlineStr">
        <is>
          <t>AUTO_VESSEL</t>
        </is>
      </c>
      <c r="I272" t="inlineStr">
        <is>
          <t>是</t>
        </is>
      </c>
      <c r="J272" t="inlineStr">
        <is>
          <t>纳入</t>
        </is>
      </c>
      <c r="K272" t="n">
        <v>575.4962192816636</v>
      </c>
      <c r="L272">
        <f>导管母表_1781!G272</f>
        <v/>
      </c>
      <c r="M272" t="inlineStr">
        <is>
          <t>视野内部</t>
        </is>
      </c>
      <c r="N272" t="inlineStr">
        <is>
          <t>纳入A/D/Dh；若有Pair_ID则纳入CWR</t>
        </is>
      </c>
      <c r="O272" t="inlineStr">
        <is>
          <t>自动管线检出的合格导管腔。</t>
        </is>
      </c>
      <c r="P272" t="inlineStr">
        <is>
          <t>auto_pipeline;review_png_green</t>
        </is>
      </c>
      <c r="R272" t="inlineStr">
        <is>
          <t>样品6</t>
        </is>
      </c>
    </row>
    <row r="273">
      <c r="A273" t="inlineStr">
        <is>
          <t>6(5)-V04</t>
        </is>
      </c>
      <c r="B273" t="inlineStr">
        <is>
          <t>6 (5).tif</t>
        </is>
      </c>
      <c r="C273" t="n">
        <v>760</v>
      </c>
      <c r="D273" t="n">
        <v>100</v>
      </c>
      <c r="E273" t="inlineStr">
        <is>
          <t>726,66,795,135</t>
        </is>
      </c>
      <c r="F273" t="n">
        <v>66</v>
      </c>
      <c r="G273" t="inlineStr">
        <is>
          <t>primary</t>
        </is>
      </c>
      <c r="H273" t="inlineStr">
        <is>
          <t>AUTO_VESSEL</t>
        </is>
      </c>
      <c r="I273" t="inlineStr">
        <is>
          <t>是</t>
        </is>
      </c>
      <c r="J273" t="inlineStr">
        <is>
          <t>纳入</t>
        </is>
      </c>
      <c r="K273" t="n">
        <v>131.0491493383743</v>
      </c>
      <c r="L273">
        <f>导管母表_1781!G273</f>
        <v/>
      </c>
      <c r="M273" t="inlineStr">
        <is>
          <t>视野内部</t>
        </is>
      </c>
      <c r="N273" t="inlineStr">
        <is>
          <t>纳入A/D/Dh；若有Pair_ID则纳入CWR</t>
        </is>
      </c>
      <c r="O273" t="inlineStr">
        <is>
          <t>自动管线检出的合格导管腔。</t>
        </is>
      </c>
      <c r="P273" t="inlineStr">
        <is>
          <t>auto_pipeline;review_png_green</t>
        </is>
      </c>
      <c r="R273" t="inlineStr">
        <is>
          <t>样品6</t>
        </is>
      </c>
    </row>
    <row r="274">
      <c r="A274" t="inlineStr">
        <is>
          <t>6(5)-V05</t>
        </is>
      </c>
      <c r="B274" t="inlineStr">
        <is>
          <t>6 (5).tif</t>
        </is>
      </c>
      <c r="C274" t="n">
        <v>746</v>
      </c>
      <c r="D274" t="n">
        <v>509</v>
      </c>
      <c r="E274" t="inlineStr">
        <is>
          <t>714,477,779,542</t>
        </is>
      </c>
      <c r="F274" t="n">
        <v>226</v>
      </c>
      <c r="G274" t="inlineStr">
        <is>
          <t>primary</t>
        </is>
      </c>
      <c r="H274" t="inlineStr">
        <is>
          <t>AUTO_VESSEL</t>
        </is>
      </c>
      <c r="I274" t="inlineStr">
        <is>
          <t>是</t>
        </is>
      </c>
      <c r="J274" t="inlineStr">
        <is>
          <t>纳入</t>
        </is>
      </c>
      <c r="K274" t="n">
        <v>115.9735349716446</v>
      </c>
      <c r="L274">
        <f>导管母表_1781!G274</f>
        <v/>
      </c>
      <c r="M274" t="inlineStr">
        <is>
          <t>视野内部</t>
        </is>
      </c>
      <c r="N274" t="inlineStr">
        <is>
          <t>纳入A/D/Dh；若有Pair_ID则纳入CWR</t>
        </is>
      </c>
      <c r="O274" t="inlineStr">
        <is>
          <t>自动管线检出的合格导管腔。</t>
        </is>
      </c>
      <c r="P274" t="inlineStr">
        <is>
          <t>auto_pipeline;review_png_green</t>
        </is>
      </c>
      <c r="R274" t="inlineStr">
        <is>
          <t>样品6</t>
        </is>
      </c>
    </row>
    <row r="275">
      <c r="A275" t="inlineStr">
        <is>
          <t>6(5)-V06</t>
        </is>
      </c>
      <c r="B275" t="inlineStr">
        <is>
          <t>6 (5).tif</t>
        </is>
      </c>
      <c r="C275" t="n">
        <v>158</v>
      </c>
      <c r="D275" t="n">
        <v>289</v>
      </c>
      <c r="E275" t="inlineStr">
        <is>
          <t>130,259,187,320</t>
        </is>
      </c>
      <c r="F275" t="n">
        <v>130</v>
      </c>
      <c r="G275" t="inlineStr">
        <is>
          <t>primary</t>
        </is>
      </c>
      <c r="H275" t="inlineStr">
        <is>
          <t>AUTO_VESSEL</t>
        </is>
      </c>
      <c r="I275" t="inlineStr">
        <is>
          <t>是</t>
        </is>
      </c>
      <c r="J275" t="inlineStr">
        <is>
          <t>纳入</t>
        </is>
      </c>
      <c r="K275" t="n">
        <v>114.1776937618148</v>
      </c>
      <c r="L275">
        <f>导管母表_1781!G275</f>
        <v/>
      </c>
      <c r="M275" t="inlineStr">
        <is>
          <t>视野内部</t>
        </is>
      </c>
      <c r="N275" t="inlineStr">
        <is>
          <t>纳入A/D/Dh；若有Pair_ID则纳入CWR</t>
        </is>
      </c>
      <c r="O275" t="inlineStr">
        <is>
          <t>自动管线检出的合格导管腔。</t>
        </is>
      </c>
      <c r="P275" t="inlineStr">
        <is>
          <t>auto_pipeline;review_png_green</t>
        </is>
      </c>
      <c r="R275" t="inlineStr">
        <is>
          <t>样品6</t>
        </is>
      </c>
    </row>
    <row r="276">
      <c r="A276" t="inlineStr">
        <is>
          <t>6(6)-V01</t>
        </is>
      </c>
      <c r="B276" t="inlineStr">
        <is>
          <t>6 (6).tif</t>
        </is>
      </c>
      <c r="C276" t="n">
        <v>243</v>
      </c>
      <c r="D276" t="n">
        <v>590</v>
      </c>
      <c r="E276" t="inlineStr">
        <is>
          <t>173,524,314,657</t>
        </is>
      </c>
      <c r="F276" t="n">
        <v>111</v>
      </c>
      <c r="G276" t="inlineStr">
        <is>
          <t>primary</t>
        </is>
      </c>
      <c r="H276" t="inlineStr">
        <is>
          <t>AUTO_VESSEL</t>
        </is>
      </c>
      <c r="I276" t="inlineStr">
        <is>
          <t>是</t>
        </is>
      </c>
      <c r="J276" t="inlineStr">
        <is>
          <t>纳入</t>
        </is>
      </c>
      <c r="K276" t="n">
        <v>683.8374291115312</v>
      </c>
      <c r="L276">
        <f>导管母表_1781!G276</f>
        <v/>
      </c>
      <c r="M276" t="inlineStr">
        <is>
          <t>视野内部</t>
        </is>
      </c>
      <c r="N276" t="inlineStr">
        <is>
          <t>纳入A/D/Dh；若有Pair_ID则纳入CWR</t>
        </is>
      </c>
      <c r="O276" t="inlineStr">
        <is>
          <t>自动管线检出的合格导管腔。</t>
        </is>
      </c>
      <c r="P276" t="inlineStr">
        <is>
          <t>auto_pipeline;review_png_green</t>
        </is>
      </c>
      <c r="R276" t="inlineStr">
        <is>
          <t>样品6</t>
        </is>
      </c>
    </row>
    <row r="277">
      <c r="A277" t="inlineStr">
        <is>
          <t>6(6)-V02</t>
        </is>
      </c>
      <c r="B277" t="inlineStr">
        <is>
          <t>6 (6).tif</t>
        </is>
      </c>
      <c r="C277" t="n">
        <v>570</v>
      </c>
      <c r="D277" t="n">
        <v>350</v>
      </c>
      <c r="E277" t="inlineStr">
        <is>
          <t>500,285,641,416</t>
        </is>
      </c>
      <c r="F277" t="n">
        <v>285</v>
      </c>
      <c r="G277" t="inlineStr">
        <is>
          <t>primary</t>
        </is>
      </c>
      <c r="H277" t="inlineStr">
        <is>
          <t>AUTO_VESSEL</t>
        </is>
      </c>
      <c r="I277" t="inlineStr">
        <is>
          <t>是</t>
        </is>
      </c>
      <c r="J277" t="inlineStr">
        <is>
          <t>纳入</t>
        </is>
      </c>
      <c r="K277" t="n">
        <v>674.8818525519849</v>
      </c>
      <c r="L277">
        <f>导管母表_1781!G277</f>
        <v/>
      </c>
      <c r="M277" t="inlineStr">
        <is>
          <t>视野内部</t>
        </is>
      </c>
      <c r="N277" t="inlineStr">
        <is>
          <t>纳入A/D/Dh；若有Pair_ID则纳入CWR</t>
        </is>
      </c>
      <c r="O277" t="inlineStr">
        <is>
          <t>自动管线检出的合格导管腔。</t>
        </is>
      </c>
      <c r="P277" t="inlineStr">
        <is>
          <t>auto_pipeline;review_png_green</t>
        </is>
      </c>
      <c r="R277" t="inlineStr">
        <is>
          <t>样品6</t>
        </is>
      </c>
    </row>
    <row r="278">
      <c r="A278" t="inlineStr">
        <is>
          <t>6(6)-V03</t>
        </is>
      </c>
      <c r="B278" t="inlineStr">
        <is>
          <t>6 (6).tif</t>
        </is>
      </c>
      <c r="C278" t="n">
        <v>838</v>
      </c>
      <c r="D278" t="n">
        <v>308</v>
      </c>
      <c r="E278" t="inlineStr">
        <is>
          <t>791,282,886,335</t>
        </is>
      </c>
      <c r="F278" t="n">
        <v>138</v>
      </c>
      <c r="G278" t="inlineStr">
        <is>
          <t>primary</t>
        </is>
      </c>
      <c r="H278" t="inlineStr">
        <is>
          <t>AUTO_VESSEL</t>
        </is>
      </c>
      <c r="I278" t="inlineStr">
        <is>
          <t>是</t>
        </is>
      </c>
      <c r="J278" t="inlineStr">
        <is>
          <t>纳入</t>
        </is>
      </c>
      <c r="K278" t="n">
        <v>175.023629489603</v>
      </c>
      <c r="L278">
        <f>导管母表_1781!G278</f>
        <v/>
      </c>
      <c r="M278" t="inlineStr">
        <is>
          <t>视野内部</t>
        </is>
      </c>
      <c r="N278" t="inlineStr">
        <is>
          <t>纳入A/D/Dh；若有Pair_ID则纳入CWR</t>
        </is>
      </c>
      <c r="O278" t="inlineStr">
        <is>
          <t>自动管线检出的合格导管腔。</t>
        </is>
      </c>
      <c r="P278" t="inlineStr">
        <is>
          <t>auto_pipeline;review_png_green</t>
        </is>
      </c>
      <c r="R278" t="inlineStr">
        <is>
          <t>样品6</t>
        </is>
      </c>
    </row>
    <row r="279">
      <c r="A279" t="inlineStr">
        <is>
          <t>6(6)-V04</t>
        </is>
      </c>
      <c r="B279" t="inlineStr">
        <is>
          <t>6 (6).tif</t>
        </is>
      </c>
      <c r="C279" t="n">
        <v>103</v>
      </c>
      <c r="D279" t="n">
        <v>281</v>
      </c>
      <c r="E279" t="inlineStr">
        <is>
          <t>59,259,148,304</t>
        </is>
      </c>
      <c r="F279" t="n">
        <v>59</v>
      </c>
      <c r="G279" t="inlineStr">
        <is>
          <t>primary</t>
        </is>
      </c>
      <c r="H279" t="inlineStr">
        <is>
          <t>AUTO_VESSEL</t>
        </is>
      </c>
      <c r="I279" t="inlineStr">
        <is>
          <t>是</t>
        </is>
      </c>
      <c r="J279" t="inlineStr">
        <is>
          <t>纳入</t>
        </is>
      </c>
      <c r="K279" t="n">
        <v>136.8383742911153</v>
      </c>
      <c r="L279">
        <f>导管母表_1781!G279</f>
        <v/>
      </c>
      <c r="M279" t="inlineStr">
        <is>
          <t>视野内部</t>
        </is>
      </c>
      <c r="N279" t="inlineStr">
        <is>
          <t>纳入A/D/Dh；若有Pair_ID则纳入CWR</t>
        </is>
      </c>
      <c r="O279" t="inlineStr">
        <is>
          <t>自动管线检出的合格导管腔。</t>
        </is>
      </c>
      <c r="P279" t="inlineStr">
        <is>
          <t>auto_pipeline;review_png_green</t>
        </is>
      </c>
      <c r="R279" t="inlineStr">
        <is>
          <t>样品6</t>
        </is>
      </c>
    </row>
    <row r="280">
      <c r="A280" t="inlineStr">
        <is>
          <t>6(6)-V05</t>
        </is>
      </c>
      <c r="B280" t="inlineStr">
        <is>
          <t>6 (6).tif</t>
        </is>
      </c>
      <c r="C280" t="n">
        <v>418</v>
      </c>
      <c r="D280" t="n">
        <v>80</v>
      </c>
      <c r="E280" t="inlineStr">
        <is>
          <t>365,63,472,98</t>
        </is>
      </c>
      <c r="F280" t="n">
        <v>63</v>
      </c>
      <c r="G280" t="inlineStr">
        <is>
          <t>primary</t>
        </is>
      </c>
      <c r="H280" t="inlineStr">
        <is>
          <t>AUTO_VESSEL</t>
        </is>
      </c>
      <c r="I280" t="inlineStr">
        <is>
          <t>是</t>
        </is>
      </c>
      <c r="J280" t="inlineStr">
        <is>
          <t>纳入</t>
        </is>
      </c>
      <c r="K280" t="n">
        <v>133.7901701323251</v>
      </c>
      <c r="L280">
        <f>导管母表_1781!G280</f>
        <v/>
      </c>
      <c r="M280" t="inlineStr">
        <is>
          <t>视野内部</t>
        </is>
      </c>
      <c r="N280" t="inlineStr">
        <is>
          <t>纳入A/D/Dh；若有Pair_ID则纳入CWR</t>
        </is>
      </c>
      <c r="O280" t="inlineStr">
        <is>
          <t>自动管线检出的合格导管腔。</t>
        </is>
      </c>
      <c r="P280" t="inlineStr">
        <is>
          <t>auto_pipeline;review_png_green</t>
        </is>
      </c>
      <c r="R280" t="inlineStr">
        <is>
          <t>样品6</t>
        </is>
      </c>
    </row>
    <row r="281">
      <c r="A281" t="inlineStr">
        <is>
          <t>6(6)-V06</t>
        </is>
      </c>
      <c r="B281" t="inlineStr">
        <is>
          <t>6 (6).tif</t>
        </is>
      </c>
      <c r="C281" t="n">
        <v>919</v>
      </c>
      <c r="D281" t="n">
        <v>143</v>
      </c>
      <c r="E281" t="inlineStr">
        <is>
          <t>879,124,960,163</t>
        </is>
      </c>
      <c r="F281" t="n">
        <v>64</v>
      </c>
      <c r="G281" t="inlineStr">
        <is>
          <t>primary</t>
        </is>
      </c>
      <c r="H281" t="inlineStr">
        <is>
          <t>AUTO_VESSEL</t>
        </is>
      </c>
      <c r="I281" t="inlineStr">
        <is>
          <t>是</t>
        </is>
      </c>
      <c r="J281" t="inlineStr">
        <is>
          <t>纳入</t>
        </is>
      </c>
      <c r="K281" t="n">
        <v>112.6654064272212</v>
      </c>
      <c r="L281">
        <f>导管母表_1781!G281</f>
        <v/>
      </c>
      <c r="M281" t="inlineStr">
        <is>
          <t>视野内部</t>
        </is>
      </c>
      <c r="N281" t="inlineStr">
        <is>
          <t>纳入A/D/Dh；若有Pair_ID则纳入CWR</t>
        </is>
      </c>
      <c r="O281" t="inlineStr">
        <is>
          <t>自动管线检出的合格导管腔。</t>
        </is>
      </c>
      <c r="P281" t="inlineStr">
        <is>
          <t>auto_pipeline;review_png_green</t>
        </is>
      </c>
      <c r="R281" t="inlineStr">
        <is>
          <t>样品6</t>
        </is>
      </c>
    </row>
    <row r="282">
      <c r="A282" t="inlineStr">
        <is>
          <t>6(7)-V01</t>
        </is>
      </c>
      <c r="B282" t="inlineStr">
        <is>
          <t>6 (7).tif</t>
        </is>
      </c>
      <c r="C282" t="n">
        <v>931</v>
      </c>
      <c r="D282" t="n">
        <v>604</v>
      </c>
      <c r="E282" t="inlineStr">
        <is>
          <t>864,542,999,667</t>
        </is>
      </c>
      <c r="F282" t="n">
        <v>25</v>
      </c>
      <c r="G282" t="inlineStr">
        <is>
          <t>primary</t>
        </is>
      </c>
      <c r="H282" t="inlineStr">
        <is>
          <t>AUTO_VESSEL</t>
        </is>
      </c>
      <c r="I282" t="inlineStr">
        <is>
          <t>是</t>
        </is>
      </c>
      <c r="J282" t="inlineStr">
        <is>
          <t>纳入</t>
        </is>
      </c>
      <c r="K282" t="n">
        <v>615.7844990548205</v>
      </c>
      <c r="L282">
        <f>导管母表_1781!G282</f>
        <v/>
      </c>
      <c r="M282" t="inlineStr">
        <is>
          <t>视野内部</t>
        </is>
      </c>
      <c r="N282" t="inlineStr">
        <is>
          <t>纳入A/D/Dh；若有Pair_ID则纳入CWR</t>
        </is>
      </c>
      <c r="O282" t="inlineStr">
        <is>
          <t>自动管线检出的合格导管腔。</t>
        </is>
      </c>
      <c r="P282" t="inlineStr">
        <is>
          <t>auto_pipeline;review_png_green</t>
        </is>
      </c>
      <c r="R282" t="inlineStr">
        <is>
          <t>样品6</t>
        </is>
      </c>
    </row>
    <row r="283">
      <c r="A283" t="inlineStr">
        <is>
          <t>6(7)-V02</t>
        </is>
      </c>
      <c r="B283" t="inlineStr">
        <is>
          <t>6 (7).tif</t>
        </is>
      </c>
      <c r="C283" t="n">
        <v>295</v>
      </c>
      <c r="D283" t="n">
        <v>180</v>
      </c>
      <c r="E283" t="inlineStr">
        <is>
          <t>223,125,368,236</t>
        </is>
      </c>
      <c r="F283" t="n">
        <v>125</v>
      </c>
      <c r="G283" t="inlineStr">
        <is>
          <t>primary</t>
        </is>
      </c>
      <c r="H283" t="inlineStr">
        <is>
          <t>AUTO_VESSEL</t>
        </is>
      </c>
      <c r="I283" t="inlineStr">
        <is>
          <t>是</t>
        </is>
      </c>
      <c r="J283" t="inlineStr">
        <is>
          <t>纳入</t>
        </is>
      </c>
      <c r="K283" t="n">
        <v>587.8780718336484</v>
      </c>
      <c r="L283">
        <f>导管母表_1781!G283</f>
        <v/>
      </c>
      <c r="M283" t="inlineStr">
        <is>
          <t>视野内部</t>
        </is>
      </c>
      <c r="N283" t="inlineStr">
        <is>
          <t>纳入A/D/Dh；若有Pair_ID则纳入CWR</t>
        </is>
      </c>
      <c r="O283" t="inlineStr">
        <is>
          <t>自动管线检出的合格导管腔。</t>
        </is>
      </c>
      <c r="P283" t="inlineStr">
        <is>
          <t>auto_pipeline;review_png_green</t>
        </is>
      </c>
      <c r="R283" t="inlineStr">
        <is>
          <t>样品6</t>
        </is>
      </c>
    </row>
    <row r="284">
      <c r="A284" t="inlineStr">
        <is>
          <t>6(7)-V03</t>
        </is>
      </c>
      <c r="B284" t="inlineStr">
        <is>
          <t>6 (7).tif</t>
        </is>
      </c>
      <c r="C284" t="n">
        <v>437</v>
      </c>
      <c r="D284" t="n">
        <v>377</v>
      </c>
      <c r="E284" t="inlineStr">
        <is>
          <t>377,325,498,430</t>
        </is>
      </c>
      <c r="F284" t="n">
        <v>325</v>
      </c>
      <c r="G284" t="inlineStr">
        <is>
          <t>primary</t>
        </is>
      </c>
      <c r="H284" t="inlineStr">
        <is>
          <t>AUTO_VESSEL</t>
        </is>
      </c>
      <c r="I284" t="inlineStr">
        <is>
          <t>是</t>
        </is>
      </c>
      <c r="J284" t="inlineStr">
        <is>
          <t>纳入</t>
        </is>
      </c>
      <c r="K284" t="n">
        <v>463.3270321361059</v>
      </c>
      <c r="L284">
        <f>导管母表_1781!G284</f>
        <v/>
      </c>
      <c r="M284" t="inlineStr">
        <is>
          <t>视野内部</t>
        </is>
      </c>
      <c r="N284" t="inlineStr">
        <is>
          <t>纳入A/D/Dh；若有Pair_ID则纳入CWR</t>
        </is>
      </c>
      <c r="O284" t="inlineStr">
        <is>
          <t>自动管线检出的合格导管腔。</t>
        </is>
      </c>
      <c r="P284" t="inlineStr">
        <is>
          <t>auto_pipeline;review_png_green</t>
        </is>
      </c>
      <c r="Q284" t="inlineStr">
        <is>
          <t>6(7)-P01</t>
        </is>
      </c>
      <c r="R284" t="inlineStr">
        <is>
          <t>样品6</t>
        </is>
      </c>
    </row>
    <row r="285">
      <c r="A285" t="inlineStr">
        <is>
          <t>6(7)-V04</t>
        </is>
      </c>
      <c r="B285" t="inlineStr">
        <is>
          <t>6 (7).tif</t>
        </is>
      </c>
      <c r="C285" t="n">
        <v>646</v>
      </c>
      <c r="D285" t="n">
        <v>573</v>
      </c>
      <c r="E285" t="inlineStr">
        <is>
          <t>592,519,701,628</t>
        </is>
      </c>
      <c r="F285" t="n">
        <v>140</v>
      </c>
      <c r="G285" t="inlineStr">
        <is>
          <t>primary</t>
        </is>
      </c>
      <c r="H285" t="inlineStr">
        <is>
          <t>AUTO_VESSEL</t>
        </is>
      </c>
      <c r="I285" t="inlineStr">
        <is>
          <t>是</t>
        </is>
      </c>
      <c r="J285" t="inlineStr">
        <is>
          <t>纳入</t>
        </is>
      </c>
      <c r="K285" t="n">
        <v>419.187145557656</v>
      </c>
      <c r="L285">
        <f>导管母表_1781!G285</f>
        <v/>
      </c>
      <c r="M285" t="inlineStr">
        <is>
          <t>视野内部</t>
        </is>
      </c>
      <c r="N285" t="inlineStr">
        <is>
          <t>纳入A/D/Dh；若有Pair_ID则纳入CWR</t>
        </is>
      </c>
      <c r="O285" t="inlineStr">
        <is>
          <t>自动管线检出的合格导管腔。</t>
        </is>
      </c>
      <c r="P285" t="inlineStr">
        <is>
          <t>auto_pipeline;review_png_green</t>
        </is>
      </c>
      <c r="R285" t="inlineStr">
        <is>
          <t>样品6</t>
        </is>
      </c>
    </row>
    <row r="286">
      <c r="A286" t="inlineStr">
        <is>
          <t>6(7)-V05</t>
        </is>
      </c>
      <c r="B286" t="inlineStr">
        <is>
          <t>6 (7).tif</t>
        </is>
      </c>
      <c r="C286" t="n">
        <v>562</v>
      </c>
      <c r="D286" t="n">
        <v>358</v>
      </c>
      <c r="E286" t="inlineStr">
        <is>
          <t>508,307,617,410</t>
        </is>
      </c>
      <c r="F286" t="n">
        <v>307</v>
      </c>
      <c r="G286" t="inlineStr">
        <is>
          <t>primary</t>
        </is>
      </c>
      <c r="H286" t="inlineStr">
        <is>
          <t>AUTO_VESSEL</t>
        </is>
      </c>
      <c r="I286" t="inlineStr">
        <is>
          <t>是</t>
        </is>
      </c>
      <c r="J286" t="inlineStr">
        <is>
          <t>纳入</t>
        </is>
      </c>
      <c r="K286" t="n">
        <v>408.1285444234405</v>
      </c>
      <c r="L286">
        <f>导管母表_1781!G286</f>
        <v/>
      </c>
      <c r="M286" t="inlineStr">
        <is>
          <t>视野内部</t>
        </is>
      </c>
      <c r="N286" t="inlineStr">
        <is>
          <t>纳入A/D/Dh；若有Pair_ID则纳入CWR</t>
        </is>
      </c>
      <c r="O286" t="inlineStr">
        <is>
          <t>自动管线检出的合格导管腔。</t>
        </is>
      </c>
      <c r="P286" t="inlineStr">
        <is>
          <t>auto_pipeline;review_png_green</t>
        </is>
      </c>
      <c r="Q286" t="inlineStr">
        <is>
          <t>6(7)-P01</t>
        </is>
      </c>
      <c r="R286" t="inlineStr">
        <is>
          <t>样品6</t>
        </is>
      </c>
    </row>
    <row r="287">
      <c r="A287" t="inlineStr">
        <is>
          <t>6(7)-V06</t>
        </is>
      </c>
      <c r="B287" t="inlineStr">
        <is>
          <t>6 (7).tif</t>
        </is>
      </c>
      <c r="C287" t="n">
        <v>784</v>
      </c>
      <c r="D287" t="n">
        <v>291</v>
      </c>
      <c r="E287" t="inlineStr">
        <is>
          <t>739,271,830,312</t>
        </is>
      </c>
      <c r="F287" t="n">
        <v>194</v>
      </c>
      <c r="G287" t="inlineStr">
        <is>
          <t>primary</t>
        </is>
      </c>
      <c r="H287" t="inlineStr">
        <is>
          <t>AUTO_VESSEL</t>
        </is>
      </c>
      <c r="I287" t="inlineStr">
        <is>
          <t>是</t>
        </is>
      </c>
      <c r="J287" t="inlineStr">
        <is>
          <t>纳入</t>
        </is>
      </c>
      <c r="K287" t="n">
        <v>133.5066162570888</v>
      </c>
      <c r="L287">
        <f>导管母表_1781!G287</f>
        <v/>
      </c>
      <c r="M287" t="inlineStr">
        <is>
          <t>视野内部</t>
        </is>
      </c>
      <c r="N287" t="inlineStr">
        <is>
          <t>纳入A/D/Dh；若有Pair_ID则纳入CWR</t>
        </is>
      </c>
      <c r="O287" t="inlineStr">
        <is>
          <t>自动管线检出的合格导管腔。</t>
        </is>
      </c>
      <c r="P287" t="inlineStr">
        <is>
          <t>auto_pipeline;review_png_green</t>
        </is>
      </c>
      <c r="R287" t="inlineStr">
        <is>
          <t>样品6</t>
        </is>
      </c>
    </row>
    <row r="288">
      <c r="A288" t="inlineStr">
        <is>
          <t>6(7)-V07</t>
        </is>
      </c>
      <c r="B288" t="inlineStr">
        <is>
          <t>6 (7).tif</t>
        </is>
      </c>
      <c r="C288" t="n">
        <v>237</v>
      </c>
      <c r="D288" t="n">
        <v>335</v>
      </c>
      <c r="E288" t="inlineStr">
        <is>
          <t>181,319,294,352</t>
        </is>
      </c>
      <c r="F288" t="n">
        <v>181</v>
      </c>
      <c r="G288" t="inlineStr">
        <is>
          <t>primary</t>
        </is>
      </c>
      <c r="H288" t="inlineStr">
        <is>
          <t>AUTO_VESSEL</t>
        </is>
      </c>
      <c r="I288" t="inlineStr">
        <is>
          <t>是</t>
        </is>
      </c>
      <c r="J288" t="inlineStr">
        <is>
          <t>纳入</t>
        </is>
      </c>
      <c r="K288" t="n">
        <v>125.1890359168242</v>
      </c>
      <c r="L288">
        <f>导管母表_1781!G288</f>
        <v/>
      </c>
      <c r="M288" t="inlineStr">
        <is>
          <t>视野内部</t>
        </is>
      </c>
      <c r="N288" t="inlineStr">
        <is>
          <t>纳入A/D/Dh；若有Pair_ID则纳入CWR</t>
        </is>
      </c>
      <c r="O288" t="inlineStr">
        <is>
          <t>自动管线检出的合格导管腔。</t>
        </is>
      </c>
      <c r="P288" t="inlineStr">
        <is>
          <t>auto_pipeline;review_png_green</t>
        </is>
      </c>
      <c r="R288" t="inlineStr">
        <is>
          <t>样品6</t>
        </is>
      </c>
    </row>
    <row r="289">
      <c r="A289" t="inlineStr">
        <is>
          <t>6(7)-V08</t>
        </is>
      </c>
      <c r="B289" t="inlineStr">
        <is>
          <t>6 (7).tif</t>
        </is>
      </c>
      <c r="C289" t="n">
        <v>432</v>
      </c>
      <c r="D289" t="n">
        <v>98</v>
      </c>
      <c r="E289" t="inlineStr">
        <is>
          <t>397,75,468,122</t>
        </is>
      </c>
      <c r="F289" t="n">
        <v>75</v>
      </c>
      <c r="G289" t="inlineStr">
        <is>
          <t>primary</t>
        </is>
      </c>
      <c r="H289" t="inlineStr">
        <is>
          <t>AUTO_VESSEL</t>
        </is>
      </c>
      <c r="I289" t="inlineStr">
        <is>
          <t>是</t>
        </is>
      </c>
      <c r="J289" t="inlineStr">
        <is>
          <t>纳入</t>
        </is>
      </c>
      <c r="K289" t="n">
        <v>119.7069943289225</v>
      </c>
      <c r="L289">
        <f>导管母表_1781!G289</f>
        <v/>
      </c>
      <c r="M289" t="inlineStr">
        <is>
          <t>视野内部</t>
        </is>
      </c>
      <c r="N289" t="inlineStr">
        <is>
          <t>纳入A/D/Dh；若有Pair_ID则纳入CWR</t>
        </is>
      </c>
      <c r="O289" t="inlineStr">
        <is>
          <t>自动管线检出的合格导管腔。</t>
        </is>
      </c>
      <c r="P289" t="inlineStr">
        <is>
          <t>auto_pipeline;review_png_green</t>
        </is>
      </c>
      <c r="R289" t="inlineStr">
        <is>
          <t>样品6</t>
        </is>
      </c>
    </row>
    <row r="290">
      <c r="A290" t="inlineStr">
        <is>
          <t>6(8)-V01</t>
        </is>
      </c>
      <c r="B290" t="inlineStr">
        <is>
          <t>6 (8).tif</t>
        </is>
      </c>
      <c r="C290" t="n">
        <v>406</v>
      </c>
      <c r="D290" t="n">
        <v>391</v>
      </c>
      <c r="E290" t="inlineStr">
        <is>
          <t>311,283,502,500</t>
        </is>
      </c>
      <c r="F290" t="n">
        <v>268</v>
      </c>
      <c r="G290" t="inlineStr">
        <is>
          <t>primary</t>
        </is>
      </c>
      <c r="H290" t="inlineStr">
        <is>
          <t>AUTO_VESSEL</t>
        </is>
      </c>
      <c r="I290" t="inlineStr">
        <is>
          <t>是</t>
        </is>
      </c>
      <c r="J290" t="inlineStr">
        <is>
          <t>纳入</t>
        </is>
      </c>
      <c r="K290" t="n">
        <v>1520.415879017013</v>
      </c>
      <c r="L290">
        <f>导管母表_1781!G290</f>
        <v/>
      </c>
      <c r="M290" t="inlineStr">
        <is>
          <t>视野内部</t>
        </is>
      </c>
      <c r="N290" t="inlineStr">
        <is>
          <t>纳入A/D/Dh；若有Pair_ID则纳入CWR</t>
        </is>
      </c>
      <c r="O290" t="inlineStr">
        <is>
          <t>自动管线检出的合格导管腔。</t>
        </is>
      </c>
      <c r="P290" t="inlineStr">
        <is>
          <t>auto_pipeline;review_png_green</t>
        </is>
      </c>
      <c r="R290" t="inlineStr">
        <is>
          <t>样品6</t>
        </is>
      </c>
    </row>
    <row r="291">
      <c r="A291" t="inlineStr">
        <is>
          <t>6(8)-V02</t>
        </is>
      </c>
      <c r="B291" t="inlineStr">
        <is>
          <t>6 (8).tif</t>
        </is>
      </c>
      <c r="C291" t="n">
        <v>603</v>
      </c>
      <c r="D291" t="n">
        <v>402</v>
      </c>
      <c r="E291" t="inlineStr">
        <is>
          <t>526,317,681,488</t>
        </is>
      </c>
      <c r="F291" t="n">
        <v>280</v>
      </c>
      <c r="G291" t="inlineStr">
        <is>
          <t>primary</t>
        </is>
      </c>
      <c r="H291" t="inlineStr">
        <is>
          <t>AUTO_VESSEL</t>
        </is>
      </c>
      <c r="I291" t="inlineStr">
        <is>
          <t>是</t>
        </is>
      </c>
      <c r="J291" t="inlineStr">
        <is>
          <t>纳入</t>
        </is>
      </c>
      <c r="K291" t="n">
        <v>971.6682419659735</v>
      </c>
      <c r="L291">
        <f>导管母表_1781!G291</f>
        <v/>
      </c>
      <c r="M291" t="inlineStr">
        <is>
          <t>视野内部</t>
        </is>
      </c>
      <c r="N291" t="inlineStr">
        <is>
          <t>纳入A/D/Dh；若有Pair_ID则纳入CWR</t>
        </is>
      </c>
      <c r="O291" t="inlineStr">
        <is>
          <t>自动管线检出的合格导管腔。</t>
        </is>
      </c>
      <c r="P291" t="inlineStr">
        <is>
          <t>auto_pipeline;review_png_green</t>
        </is>
      </c>
      <c r="R291" t="inlineStr">
        <is>
          <t>样品6</t>
        </is>
      </c>
    </row>
    <row r="292">
      <c r="A292" t="inlineStr">
        <is>
          <t>6(8)-V03</t>
        </is>
      </c>
      <c r="B292" t="inlineStr">
        <is>
          <t>6 (8).tif</t>
        </is>
      </c>
      <c r="C292" t="n">
        <v>379</v>
      </c>
      <c r="D292" t="n">
        <v>172</v>
      </c>
      <c r="E292" t="inlineStr">
        <is>
          <t>319,115,440,230</t>
        </is>
      </c>
      <c r="F292" t="n">
        <v>115</v>
      </c>
      <c r="G292" t="inlineStr">
        <is>
          <t>primary</t>
        </is>
      </c>
      <c r="H292" t="inlineStr">
        <is>
          <t>AUTO_VESSEL</t>
        </is>
      </c>
      <c r="I292" t="inlineStr">
        <is>
          <t>是</t>
        </is>
      </c>
      <c r="J292" t="inlineStr">
        <is>
          <t>纳入</t>
        </is>
      </c>
      <c r="K292" t="n">
        <v>508.3175803402647</v>
      </c>
      <c r="L292">
        <f>导管母表_1781!G292</f>
        <v/>
      </c>
      <c r="M292" t="inlineStr">
        <is>
          <t>视野内部</t>
        </is>
      </c>
      <c r="N292" t="inlineStr">
        <is>
          <t>纳入A/D/Dh；若有Pair_ID则纳入CWR</t>
        </is>
      </c>
      <c r="O292" t="inlineStr">
        <is>
          <t>自动管线检出的合格导管腔。</t>
        </is>
      </c>
      <c r="P292" t="inlineStr">
        <is>
          <t>auto_pipeline;review_png_green</t>
        </is>
      </c>
      <c r="R292" t="inlineStr">
        <is>
          <t>样品6</t>
        </is>
      </c>
    </row>
    <row r="293">
      <c r="A293" t="inlineStr">
        <is>
          <t>6(8)-V04</t>
        </is>
      </c>
      <c r="B293" t="inlineStr">
        <is>
          <t>6 (8).tif</t>
        </is>
      </c>
      <c r="C293" t="n">
        <v>253</v>
      </c>
      <c r="D293" t="n">
        <v>210</v>
      </c>
      <c r="E293" t="inlineStr">
        <is>
          <t>215,174,292,247</t>
        </is>
      </c>
      <c r="F293" t="n">
        <v>174</v>
      </c>
      <c r="G293" t="inlineStr">
        <is>
          <t>primary</t>
        </is>
      </c>
      <c r="H293" t="inlineStr">
        <is>
          <t>AUTO_VESSEL</t>
        </is>
      </c>
      <c r="I293" t="inlineStr">
        <is>
          <t>是</t>
        </is>
      </c>
      <c r="J293" t="inlineStr">
        <is>
          <t>纳入</t>
        </is>
      </c>
      <c r="K293" t="n">
        <v>160.0661625708885</v>
      </c>
      <c r="L293">
        <f>导管母表_1781!G293</f>
        <v/>
      </c>
      <c r="M293" t="inlineStr">
        <is>
          <t>视野内部</t>
        </is>
      </c>
      <c r="N293" t="inlineStr">
        <is>
          <t>纳入A/D/Dh；若有Pair_ID则纳入CWR</t>
        </is>
      </c>
      <c r="O293" t="inlineStr">
        <is>
          <t>自动管线检出的合格导管腔。</t>
        </is>
      </c>
      <c r="P293" t="inlineStr">
        <is>
          <t>auto_pipeline;review_png_green</t>
        </is>
      </c>
      <c r="R293" t="inlineStr">
        <is>
          <t>样品6</t>
        </is>
      </c>
    </row>
    <row r="294">
      <c r="A294" t="inlineStr">
        <is>
          <t>6(9)-V01</t>
        </is>
      </c>
      <c r="B294" t="inlineStr">
        <is>
          <t>6 (9).tif</t>
        </is>
      </c>
      <c r="C294" t="n">
        <v>450</v>
      </c>
      <c r="D294" t="n">
        <v>304</v>
      </c>
      <c r="E294" t="inlineStr">
        <is>
          <t>367,230,534,379</t>
        </is>
      </c>
      <c r="F294" t="n">
        <v>230</v>
      </c>
      <c r="G294" t="inlineStr">
        <is>
          <t>primary</t>
        </is>
      </c>
      <c r="H294" t="inlineStr">
        <is>
          <t>AUTO_VESSEL</t>
        </is>
      </c>
      <c r="I294" t="inlineStr">
        <is>
          <t>是</t>
        </is>
      </c>
      <c r="J294" t="inlineStr">
        <is>
          <t>纳入</t>
        </is>
      </c>
      <c r="K294" t="n">
        <v>909.8062381852552</v>
      </c>
      <c r="L294">
        <f>导管母表_1781!G294</f>
        <v/>
      </c>
      <c r="M294" t="inlineStr">
        <is>
          <t>视野内部</t>
        </is>
      </c>
      <c r="N294" t="inlineStr">
        <is>
          <t>纳入A/D/Dh；若有Pair_ID则纳入CWR</t>
        </is>
      </c>
      <c r="O294" t="inlineStr">
        <is>
          <t>自动管线检出的合格导管腔。</t>
        </is>
      </c>
      <c r="P294" t="inlineStr">
        <is>
          <t>auto_pipeline;review_png_green</t>
        </is>
      </c>
      <c r="R294" t="inlineStr">
        <is>
          <t>样品6</t>
        </is>
      </c>
    </row>
    <row r="295">
      <c r="A295" t="inlineStr">
        <is>
          <t>6(9)-V02</t>
        </is>
      </c>
      <c r="B295" t="inlineStr">
        <is>
          <t>6 (9).tif</t>
        </is>
      </c>
      <c r="C295" t="n">
        <v>497</v>
      </c>
      <c r="D295" t="n">
        <v>473</v>
      </c>
      <c r="E295" t="inlineStr">
        <is>
          <t>432,407,563,540</t>
        </is>
      </c>
      <c r="F295" t="n">
        <v>228</v>
      </c>
      <c r="G295" t="inlineStr">
        <is>
          <t>primary</t>
        </is>
      </c>
      <c r="H295" t="inlineStr">
        <is>
          <t>AUTO_VESSEL</t>
        </is>
      </c>
      <c r="I295" t="inlineStr">
        <is>
          <t>是</t>
        </is>
      </c>
      <c r="J295" t="inlineStr">
        <is>
          <t>纳入</t>
        </is>
      </c>
      <c r="K295" t="n">
        <v>637.429111531191</v>
      </c>
      <c r="L295">
        <f>导管母表_1781!G295</f>
        <v/>
      </c>
      <c r="M295" t="inlineStr">
        <is>
          <t>视野内部</t>
        </is>
      </c>
      <c r="N295" t="inlineStr">
        <is>
          <t>纳入A/D/Dh；若有Pair_ID则纳入CWR</t>
        </is>
      </c>
      <c r="O295" t="inlineStr">
        <is>
          <t>自动管线检出的合格导管腔。</t>
        </is>
      </c>
      <c r="P295" t="inlineStr">
        <is>
          <t>auto_pipeline;review_png_green</t>
        </is>
      </c>
      <c r="R295" t="inlineStr">
        <is>
          <t>样品6</t>
        </is>
      </c>
    </row>
    <row r="296">
      <c r="A296" t="inlineStr">
        <is>
          <t>6(9)-V03</t>
        </is>
      </c>
      <c r="B296" t="inlineStr">
        <is>
          <t>6 (9).tif</t>
        </is>
      </c>
      <c r="C296" t="n">
        <v>866</v>
      </c>
      <c r="D296" t="n">
        <v>214</v>
      </c>
      <c r="E296" t="inlineStr">
        <is>
          <t>800,152,933,277</t>
        </is>
      </c>
      <c r="F296" t="n">
        <v>91</v>
      </c>
      <c r="G296" t="inlineStr">
        <is>
          <t>primary</t>
        </is>
      </c>
      <c r="H296" t="inlineStr">
        <is>
          <t>AUTO_VESSEL</t>
        </is>
      </c>
      <c r="I296" t="inlineStr">
        <is>
          <t>是</t>
        </is>
      </c>
      <c r="J296" t="inlineStr">
        <is>
          <t>纳入</t>
        </is>
      </c>
      <c r="K296" t="n">
        <v>606.9234404536862</v>
      </c>
      <c r="L296">
        <f>导管母表_1781!G296</f>
        <v/>
      </c>
      <c r="M296" t="inlineStr">
        <is>
          <t>视野内部</t>
        </is>
      </c>
      <c r="N296" t="inlineStr">
        <is>
          <t>纳入A/D/Dh；若有Pair_ID则纳入CWR</t>
        </is>
      </c>
      <c r="O296" t="inlineStr">
        <is>
          <t>自动管线检出的合格导管腔。</t>
        </is>
      </c>
      <c r="P296" t="inlineStr">
        <is>
          <t>auto_pipeline;review_png_green</t>
        </is>
      </c>
      <c r="Q296" t="inlineStr">
        <is>
          <t>6(9)-P01</t>
        </is>
      </c>
      <c r="R296" t="inlineStr">
        <is>
          <t>样品6</t>
        </is>
      </c>
    </row>
    <row r="297">
      <c r="A297" t="inlineStr">
        <is>
          <t>6(9)-V04</t>
        </is>
      </c>
      <c r="B297" t="inlineStr">
        <is>
          <t>6 (9).tif</t>
        </is>
      </c>
      <c r="C297" t="n">
        <v>236</v>
      </c>
      <c r="D297" t="n">
        <v>391</v>
      </c>
      <c r="E297" t="inlineStr">
        <is>
          <t>183,322,290,461</t>
        </is>
      </c>
      <c r="F297" t="n">
        <v>183</v>
      </c>
      <c r="G297" t="inlineStr">
        <is>
          <t>primary</t>
        </is>
      </c>
      <c r="H297" t="inlineStr">
        <is>
          <t>AUTO_VESSEL</t>
        </is>
      </c>
      <c r="I297" t="inlineStr">
        <is>
          <t>是</t>
        </is>
      </c>
      <c r="J297" t="inlineStr">
        <is>
          <t>纳入</t>
        </is>
      </c>
      <c r="K297" t="n">
        <v>540.0283553875237</v>
      </c>
      <c r="L297">
        <f>导管母表_1781!G297</f>
        <v/>
      </c>
      <c r="M297" t="inlineStr">
        <is>
          <t>视野内部</t>
        </is>
      </c>
      <c r="N297" t="inlineStr">
        <is>
          <t>纳入A/D/Dh；若有Pair_ID则纳入CWR</t>
        </is>
      </c>
      <c r="O297" t="inlineStr">
        <is>
          <t>自动管线检出的合格导管腔。</t>
        </is>
      </c>
      <c r="P297" t="inlineStr">
        <is>
          <t>auto_pipeline;review_png_green</t>
        </is>
      </c>
      <c r="R297" t="inlineStr">
        <is>
          <t>样品6</t>
        </is>
      </c>
    </row>
    <row r="298">
      <c r="A298" t="inlineStr">
        <is>
          <t>6(9)-V05</t>
        </is>
      </c>
      <c r="B298" t="inlineStr">
        <is>
          <t>6 (9).tif</t>
        </is>
      </c>
      <c r="C298" t="n">
        <v>735</v>
      </c>
      <c r="D298" t="n">
        <v>145</v>
      </c>
      <c r="E298" t="inlineStr">
        <is>
          <t>680,79,791,212</t>
        </is>
      </c>
      <c r="F298" t="n">
        <v>79</v>
      </c>
      <c r="G298" t="inlineStr">
        <is>
          <t>primary</t>
        </is>
      </c>
      <c r="H298" t="inlineStr">
        <is>
          <t>AUTO_VESSEL</t>
        </is>
      </c>
      <c r="I298" t="inlineStr">
        <is>
          <t>是</t>
        </is>
      </c>
      <c r="J298" t="inlineStr">
        <is>
          <t>纳入</t>
        </is>
      </c>
      <c r="K298" t="n">
        <v>539.2249527410208</v>
      </c>
      <c r="L298">
        <f>导管母表_1781!G298</f>
        <v/>
      </c>
      <c r="M298" t="inlineStr">
        <is>
          <t>视野内部</t>
        </is>
      </c>
      <c r="N298" t="inlineStr">
        <is>
          <t>纳入A/D/Dh；若有Pair_ID则纳入CWR</t>
        </is>
      </c>
      <c r="O298" t="inlineStr">
        <is>
          <t>自动管线检出的合格导管腔。</t>
        </is>
      </c>
      <c r="P298" t="inlineStr">
        <is>
          <t>auto_pipeline;review_png_green</t>
        </is>
      </c>
      <c r="Q298" t="inlineStr">
        <is>
          <t>6(9)-P01</t>
        </is>
      </c>
      <c r="R298" t="inlineStr">
        <is>
          <t>样品6</t>
        </is>
      </c>
    </row>
    <row r="299">
      <c r="A299" t="inlineStr">
        <is>
          <t>6(9)-V06</t>
        </is>
      </c>
      <c r="B299" t="inlineStr">
        <is>
          <t>6 (9).tif</t>
        </is>
      </c>
      <c r="C299" t="n">
        <v>874</v>
      </c>
      <c r="D299" t="n">
        <v>373</v>
      </c>
      <c r="E299" t="inlineStr">
        <is>
          <t>820,309,929,438</t>
        </is>
      </c>
      <c r="F299" t="n">
        <v>95</v>
      </c>
      <c r="G299" t="inlineStr">
        <is>
          <t>primary</t>
        </is>
      </c>
      <c r="H299" t="inlineStr">
        <is>
          <t>AUTO_VESSEL</t>
        </is>
      </c>
      <c r="I299" t="inlineStr">
        <is>
          <t>是</t>
        </is>
      </c>
      <c r="J299" t="inlineStr">
        <is>
          <t>纳入</t>
        </is>
      </c>
      <c r="K299" t="n">
        <v>511.2712665406427</v>
      </c>
      <c r="L299">
        <f>导管母表_1781!G299</f>
        <v/>
      </c>
      <c r="M299" t="inlineStr">
        <is>
          <t>视野内部</t>
        </is>
      </c>
      <c r="N299" t="inlineStr">
        <is>
          <t>纳入A/D/Dh；若有Pair_ID则纳入CWR</t>
        </is>
      </c>
      <c r="O299" t="inlineStr">
        <is>
          <t>自动管线检出的合格导管腔。</t>
        </is>
      </c>
      <c r="P299" t="inlineStr">
        <is>
          <t>auto_pipeline;review_png_green</t>
        </is>
      </c>
      <c r="R299" t="inlineStr">
        <is>
          <t>样品6</t>
        </is>
      </c>
    </row>
    <row r="300">
      <c r="A300" t="inlineStr">
        <is>
          <t>6(9)-V07</t>
        </is>
      </c>
      <c r="B300" t="inlineStr">
        <is>
          <t>6 (9).tif</t>
        </is>
      </c>
      <c r="C300" t="n">
        <v>170</v>
      </c>
      <c r="D300" t="n">
        <v>111</v>
      </c>
      <c r="E300" t="inlineStr">
        <is>
          <t>116,75,225,148</t>
        </is>
      </c>
      <c r="F300" t="n">
        <v>75</v>
      </c>
      <c r="G300" t="inlineStr">
        <is>
          <t>primary</t>
        </is>
      </c>
      <c r="H300" t="inlineStr">
        <is>
          <t>AUTO_VESSEL</t>
        </is>
      </c>
      <c r="I300" t="inlineStr">
        <is>
          <t>是</t>
        </is>
      </c>
      <c r="J300" t="inlineStr">
        <is>
          <t>纳入</t>
        </is>
      </c>
      <c r="K300" t="n">
        <v>277.4102079395085</v>
      </c>
      <c r="L300">
        <f>导管母表_1781!G300</f>
        <v/>
      </c>
      <c r="M300" t="inlineStr">
        <is>
          <t>视野内部</t>
        </is>
      </c>
      <c r="N300" t="inlineStr">
        <is>
          <t>纳入A/D/Dh；若有Pair_ID则纳入CWR</t>
        </is>
      </c>
      <c r="O300" t="inlineStr">
        <is>
          <t>自动管线检出的合格导管腔。</t>
        </is>
      </c>
      <c r="P300" t="inlineStr">
        <is>
          <t>auto_pipeline;review_png_green</t>
        </is>
      </c>
      <c r="R300" t="inlineStr">
        <is>
          <t>样品6</t>
        </is>
      </c>
    </row>
    <row r="301">
      <c r="A301" t="inlineStr">
        <is>
          <t>6(9)-V08</t>
        </is>
      </c>
      <c r="B301" t="inlineStr">
        <is>
          <t>6 (9).tif</t>
        </is>
      </c>
      <c r="C301" t="n">
        <v>130</v>
      </c>
      <c r="D301" t="n">
        <v>190</v>
      </c>
      <c r="E301" t="inlineStr">
        <is>
          <t>92,151,169,230</t>
        </is>
      </c>
      <c r="F301" t="n">
        <v>92</v>
      </c>
      <c r="G301" t="inlineStr">
        <is>
          <t>primary</t>
        </is>
      </c>
      <c r="H301" t="inlineStr">
        <is>
          <t>AUTO_VESSEL</t>
        </is>
      </c>
      <c r="I301" t="inlineStr">
        <is>
          <t>是</t>
        </is>
      </c>
      <c r="J301" t="inlineStr">
        <is>
          <t>纳入</t>
        </is>
      </c>
      <c r="K301" t="n">
        <v>185.7277882797732</v>
      </c>
      <c r="L301">
        <f>导管母表_1781!G301</f>
        <v/>
      </c>
      <c r="M301" t="inlineStr">
        <is>
          <t>视野内部</t>
        </is>
      </c>
      <c r="N301" t="inlineStr">
        <is>
          <t>纳入A/D/Dh；若有Pair_ID则纳入CWR</t>
        </is>
      </c>
      <c r="O301" t="inlineStr">
        <is>
          <t>自动管线检出的合格导管腔。</t>
        </is>
      </c>
      <c r="P301" t="inlineStr">
        <is>
          <t>auto_pipeline;review_png_green</t>
        </is>
      </c>
      <c r="R301" t="inlineStr">
        <is>
          <t>样品6</t>
        </is>
      </c>
    </row>
    <row r="302">
      <c r="A302" t="inlineStr">
        <is>
          <t>6(10)-V01</t>
        </is>
      </c>
      <c r="B302" t="inlineStr">
        <is>
          <t>6 (10).tif</t>
        </is>
      </c>
      <c r="C302" t="n">
        <v>617</v>
      </c>
      <c r="D302" t="n">
        <v>353</v>
      </c>
      <c r="E302" t="inlineStr">
        <is>
          <t>516,268,719,439</t>
        </is>
      </c>
      <c r="F302" t="n">
        <v>268</v>
      </c>
      <c r="G302" t="inlineStr">
        <is>
          <t>primary</t>
        </is>
      </c>
      <c r="H302" t="inlineStr">
        <is>
          <t>AUTO_VESSEL</t>
        </is>
      </c>
      <c r="I302" t="inlineStr">
        <is>
          <t>是</t>
        </is>
      </c>
      <c r="J302" t="inlineStr">
        <is>
          <t>纳入</t>
        </is>
      </c>
      <c r="K302" t="n">
        <v>1218.667296786389</v>
      </c>
      <c r="L302">
        <f>导管母表_1781!G302</f>
        <v/>
      </c>
      <c r="M302" t="inlineStr">
        <is>
          <t>视野内部</t>
        </is>
      </c>
      <c r="N302" t="inlineStr">
        <is>
          <t>纳入A/D/Dh；若有Pair_ID则纳入CWR</t>
        </is>
      </c>
      <c r="O302" t="inlineStr">
        <is>
          <t>自动管线检出的合格导管腔。</t>
        </is>
      </c>
      <c r="P302" t="inlineStr">
        <is>
          <t>auto_pipeline;review_png_green</t>
        </is>
      </c>
      <c r="Q302" t="inlineStr">
        <is>
          <t>6(10)-P01</t>
        </is>
      </c>
      <c r="R302" t="inlineStr">
        <is>
          <t>样品6</t>
        </is>
      </c>
    </row>
    <row r="303">
      <c r="A303" t="inlineStr">
        <is>
          <t>6(10)-V02</t>
        </is>
      </c>
      <c r="B303" t="inlineStr">
        <is>
          <t>6 (10).tif</t>
        </is>
      </c>
      <c r="C303" t="n">
        <v>427</v>
      </c>
      <c r="D303" t="n">
        <v>377</v>
      </c>
      <c r="E303" t="inlineStr">
        <is>
          <t>353,304,502,451</t>
        </is>
      </c>
      <c r="F303" t="n">
        <v>304</v>
      </c>
      <c r="G303" t="inlineStr">
        <is>
          <t>primary</t>
        </is>
      </c>
      <c r="H303" t="inlineStr">
        <is>
          <t>AUTO_VESSEL</t>
        </is>
      </c>
      <c r="I303" t="inlineStr">
        <is>
          <t>是</t>
        </is>
      </c>
      <c r="J303" t="inlineStr">
        <is>
          <t>纳入</t>
        </is>
      </c>
      <c r="K303" t="n">
        <v>760.2788279773157</v>
      </c>
      <c r="L303">
        <f>导管母表_1781!G303</f>
        <v/>
      </c>
      <c r="M303" t="inlineStr">
        <is>
          <t>视野内部</t>
        </is>
      </c>
      <c r="N303" t="inlineStr">
        <is>
          <t>纳入A/D/Dh；若有Pair_ID则纳入CWR</t>
        </is>
      </c>
      <c r="O303" t="inlineStr">
        <is>
          <t>自动管线检出的合格导管腔。</t>
        </is>
      </c>
      <c r="P303" t="inlineStr">
        <is>
          <t>auto_pipeline;review_png_green</t>
        </is>
      </c>
      <c r="Q303" t="inlineStr">
        <is>
          <t>6(10)-P01</t>
        </is>
      </c>
      <c r="R303" t="inlineStr">
        <is>
          <t>样品6</t>
        </is>
      </c>
    </row>
    <row r="304">
      <c r="A304" t="inlineStr">
        <is>
          <t>6(10)-V03</t>
        </is>
      </c>
      <c r="B304" t="inlineStr">
        <is>
          <t>6 (10).tif</t>
        </is>
      </c>
      <c r="C304" t="n">
        <v>946</v>
      </c>
      <c r="D304" t="n">
        <v>452</v>
      </c>
      <c r="E304" t="inlineStr">
        <is>
          <t>875,387,1018,518</t>
        </is>
      </c>
      <c r="F304" t="n">
        <v>6</v>
      </c>
      <c r="G304" t="inlineStr">
        <is>
          <t>primary</t>
        </is>
      </c>
      <c r="H304" t="inlineStr">
        <is>
          <t>AUTO_VESSEL</t>
        </is>
      </c>
      <c r="I304" t="inlineStr">
        <is>
          <t>是</t>
        </is>
      </c>
      <c r="J304" t="inlineStr">
        <is>
          <t>纳入</t>
        </is>
      </c>
      <c r="K304" t="n">
        <v>685.7986767485822</v>
      </c>
      <c r="L304">
        <f>导管母表_1781!G304</f>
        <v/>
      </c>
      <c r="M304" t="inlineStr">
        <is>
          <t>近边缘（&lt;25 px）</t>
        </is>
      </c>
      <c r="N304" t="inlineStr">
        <is>
          <t>纳入A/D/Dh；若有Pair_ID则纳入CWR</t>
        </is>
      </c>
      <c r="O304" t="inlineStr">
        <is>
          <t>自动管线检出的合格导管腔。</t>
        </is>
      </c>
      <c r="P304" t="inlineStr">
        <is>
          <t>auto_pipeline;review_png_green</t>
        </is>
      </c>
      <c r="R304" t="inlineStr">
        <is>
          <t>样品6</t>
        </is>
      </c>
    </row>
    <row r="305">
      <c r="A305" t="inlineStr">
        <is>
          <t>6(10)-V04</t>
        </is>
      </c>
      <c r="B305" t="inlineStr">
        <is>
          <t>6 (10).tif</t>
        </is>
      </c>
      <c r="C305" t="n">
        <v>869</v>
      </c>
      <c r="D305" t="n">
        <v>293</v>
      </c>
      <c r="E305" t="inlineStr">
        <is>
          <t>790,246,949,341</t>
        </is>
      </c>
      <c r="F305" t="n">
        <v>75</v>
      </c>
      <c r="G305" t="inlineStr">
        <is>
          <t>primary</t>
        </is>
      </c>
      <c r="H305" t="inlineStr">
        <is>
          <t>AUTO_VESSEL</t>
        </is>
      </c>
      <c r="I305" t="inlineStr">
        <is>
          <t>是</t>
        </is>
      </c>
      <c r="J305" t="inlineStr">
        <is>
          <t>纳入</t>
        </is>
      </c>
      <c r="K305" t="n">
        <v>550.8506616257089</v>
      </c>
      <c r="L305">
        <f>导管母表_1781!G305</f>
        <v/>
      </c>
      <c r="M305" t="inlineStr">
        <is>
          <t>视野内部</t>
        </is>
      </c>
      <c r="N305" t="inlineStr">
        <is>
          <t>纳入A/D/Dh；若有Pair_ID则纳入CWR</t>
        </is>
      </c>
      <c r="O305" t="inlineStr">
        <is>
          <t>自动管线检出的合格导管腔。</t>
        </is>
      </c>
      <c r="P305" t="inlineStr">
        <is>
          <t>auto_pipeline;review_png_green</t>
        </is>
      </c>
      <c r="R305" t="inlineStr">
        <is>
          <t>样品6</t>
        </is>
      </c>
    </row>
    <row r="306">
      <c r="A306" t="inlineStr">
        <is>
          <t>6(10)-V05</t>
        </is>
      </c>
      <c r="B306" t="inlineStr">
        <is>
          <t>6 (10).tif</t>
        </is>
      </c>
      <c r="C306" t="n">
        <v>502</v>
      </c>
      <c r="D306" t="n">
        <v>230</v>
      </c>
      <c r="E306" t="inlineStr">
        <is>
          <t>458,210,547,251</t>
        </is>
      </c>
      <c r="F306" t="n">
        <v>210</v>
      </c>
      <c r="G306" t="inlineStr">
        <is>
          <t>primary</t>
        </is>
      </c>
      <c r="H306" t="inlineStr">
        <is>
          <t>AUTO_VESSEL</t>
        </is>
      </c>
      <c r="I306" t="inlineStr">
        <is>
          <t>是</t>
        </is>
      </c>
      <c r="J306" t="inlineStr">
        <is>
          <t>纳入</t>
        </is>
      </c>
      <c r="K306" t="n">
        <v>130.5293005671078</v>
      </c>
      <c r="L306">
        <f>导管母表_1781!G306</f>
        <v/>
      </c>
      <c r="M306" t="inlineStr">
        <is>
          <t>视野内部</t>
        </is>
      </c>
      <c r="N306" t="inlineStr">
        <is>
          <t>纳入A/D/Dh；若有Pair_ID则纳入CWR</t>
        </is>
      </c>
      <c r="O306" t="inlineStr">
        <is>
          <t>自动管线检出的合格导管腔。</t>
        </is>
      </c>
      <c r="P306" t="inlineStr">
        <is>
          <t>auto_pipeline;review_png_green</t>
        </is>
      </c>
      <c r="R306" t="inlineStr">
        <is>
          <t>样品6</t>
        </is>
      </c>
    </row>
    <row r="307">
      <c r="A307" t="inlineStr">
        <is>
          <t>6(10)-V06</t>
        </is>
      </c>
      <c r="B307" t="inlineStr">
        <is>
          <t>6 (10).tif</t>
        </is>
      </c>
      <c r="C307" t="n">
        <v>632</v>
      </c>
      <c r="D307" t="n">
        <v>119</v>
      </c>
      <c r="E307" t="inlineStr">
        <is>
          <t>592,96,673,143</t>
        </is>
      </c>
      <c r="F307" t="n">
        <v>96</v>
      </c>
      <c r="G307" t="inlineStr">
        <is>
          <t>primary</t>
        </is>
      </c>
      <c r="H307" t="inlineStr">
        <is>
          <t>AUTO_VESSEL</t>
        </is>
      </c>
      <c r="I307" t="inlineStr">
        <is>
          <t>是</t>
        </is>
      </c>
      <c r="J307" t="inlineStr">
        <is>
          <t>纳入</t>
        </is>
      </c>
      <c r="K307" t="n">
        <v>128.2372400756144</v>
      </c>
      <c r="L307">
        <f>导管母表_1781!G307</f>
        <v/>
      </c>
      <c r="M307" t="inlineStr">
        <is>
          <t>视野内部</t>
        </is>
      </c>
      <c r="N307" t="inlineStr">
        <is>
          <t>纳入A/D/Dh；若有Pair_ID则纳入CWR</t>
        </is>
      </c>
      <c r="O307" t="inlineStr">
        <is>
          <t>自动管线检出的合格导管腔。</t>
        </is>
      </c>
      <c r="P307" t="inlineStr">
        <is>
          <t>auto_pipeline;review_png_green</t>
        </is>
      </c>
      <c r="R307" t="inlineStr">
        <is>
          <t>样品6</t>
        </is>
      </c>
    </row>
    <row r="308">
      <c r="A308" t="inlineStr">
        <is>
          <t>6(11)-V01</t>
        </is>
      </c>
      <c r="B308" t="inlineStr">
        <is>
          <t>6 (11).tif</t>
        </is>
      </c>
      <c r="C308" t="n">
        <v>594</v>
      </c>
      <c r="D308" t="n">
        <v>388</v>
      </c>
      <c r="E308" t="inlineStr">
        <is>
          <t>512,315,677,462</t>
        </is>
      </c>
      <c r="F308" t="n">
        <v>306</v>
      </c>
      <c r="G308" t="inlineStr">
        <is>
          <t>primary</t>
        </is>
      </c>
      <c r="H308" t="inlineStr">
        <is>
          <t>AUTO_VESSEL</t>
        </is>
      </c>
      <c r="I308" t="inlineStr">
        <is>
          <t>是</t>
        </is>
      </c>
      <c r="J308" t="inlineStr">
        <is>
          <t>纳入</t>
        </is>
      </c>
      <c r="K308" t="n">
        <v>886.7911153119093</v>
      </c>
      <c r="L308">
        <f>导管母表_1781!G308</f>
        <v/>
      </c>
      <c r="M308" t="inlineStr">
        <is>
          <t>视野内部</t>
        </is>
      </c>
      <c r="N308" t="inlineStr">
        <is>
          <t>纳入A/D/Dh；若有Pair_ID则纳入CWR</t>
        </is>
      </c>
      <c r="O308" t="inlineStr">
        <is>
          <t>自动管线检出的合格导管腔。</t>
        </is>
      </c>
      <c r="P308" t="inlineStr">
        <is>
          <t>auto_pipeline;review_png_green</t>
        </is>
      </c>
      <c r="Q308" t="inlineStr">
        <is>
          <t>6(11)-P01</t>
        </is>
      </c>
      <c r="R308" t="inlineStr">
        <is>
          <t>样品6</t>
        </is>
      </c>
    </row>
    <row r="309">
      <c r="A309" t="inlineStr">
        <is>
          <t>6(11)-V02</t>
        </is>
      </c>
      <c r="B309" t="inlineStr">
        <is>
          <t>6 (11).tif</t>
        </is>
      </c>
      <c r="C309" t="n">
        <v>188</v>
      </c>
      <c r="D309" t="n">
        <v>346</v>
      </c>
      <c r="E309" t="inlineStr">
        <is>
          <t>109,284,268,409</t>
        </is>
      </c>
      <c r="F309" t="n">
        <v>109</v>
      </c>
      <c r="G309" t="inlineStr">
        <is>
          <t>primary</t>
        </is>
      </c>
      <c r="H309" t="inlineStr">
        <is>
          <t>AUTO_VESSEL</t>
        </is>
      </c>
      <c r="I309" t="inlineStr">
        <is>
          <t>是</t>
        </is>
      </c>
      <c r="J309" t="inlineStr">
        <is>
          <t>纳入</t>
        </is>
      </c>
      <c r="K309" t="n">
        <v>727.6937618147448</v>
      </c>
      <c r="L309">
        <f>导管母表_1781!G309</f>
        <v/>
      </c>
      <c r="M309" t="inlineStr">
        <is>
          <t>视野内部</t>
        </is>
      </c>
      <c r="N309" t="inlineStr">
        <is>
          <t>纳入A/D/Dh；若有Pair_ID则纳入CWR</t>
        </is>
      </c>
      <c r="O309" t="inlineStr">
        <is>
          <t>自动管线检出的合格导管腔。</t>
        </is>
      </c>
      <c r="P309" t="inlineStr">
        <is>
          <t>auto_pipeline;review_png_green</t>
        </is>
      </c>
      <c r="R309" t="inlineStr">
        <is>
          <t>样品6</t>
        </is>
      </c>
    </row>
    <row r="310">
      <c r="A310" t="inlineStr">
        <is>
          <t>6(11)-V03</t>
        </is>
      </c>
      <c r="B310" t="inlineStr">
        <is>
          <t>6 (11).tif</t>
        </is>
      </c>
      <c r="C310" t="n">
        <v>435</v>
      </c>
      <c r="D310" t="n">
        <v>363</v>
      </c>
      <c r="E310" t="inlineStr">
        <is>
          <t>376,304,495,423</t>
        </is>
      </c>
      <c r="F310" t="n">
        <v>304</v>
      </c>
      <c r="G310" t="inlineStr">
        <is>
          <t>primary</t>
        </is>
      </c>
      <c r="H310" t="inlineStr">
        <is>
          <t>AUTO_VESSEL</t>
        </is>
      </c>
      <c r="I310" t="inlineStr">
        <is>
          <t>是</t>
        </is>
      </c>
      <c r="J310" t="inlineStr">
        <is>
          <t>纳入</t>
        </is>
      </c>
      <c r="K310" t="n">
        <v>501.5595463137996</v>
      </c>
      <c r="L310">
        <f>导管母表_1781!G310</f>
        <v/>
      </c>
      <c r="M310" t="inlineStr">
        <is>
          <t>视野内部</t>
        </is>
      </c>
      <c r="N310" t="inlineStr">
        <is>
          <t>纳入A/D/Dh；若有Pair_ID则纳入CWR</t>
        </is>
      </c>
      <c r="O310" t="inlineStr">
        <is>
          <t>自动管线检出的合格导管腔。</t>
        </is>
      </c>
      <c r="P310" t="inlineStr">
        <is>
          <t>auto_pipeline;review_png_green</t>
        </is>
      </c>
      <c r="Q310" t="inlineStr">
        <is>
          <t>6(11)-P01</t>
        </is>
      </c>
      <c r="R310" t="inlineStr">
        <is>
          <t>样品6</t>
        </is>
      </c>
    </row>
    <row r="311">
      <c r="A311" t="inlineStr">
        <is>
          <t>6(11)-V04</t>
        </is>
      </c>
      <c r="B311" t="inlineStr">
        <is>
          <t>6 (11).tif</t>
        </is>
      </c>
      <c r="C311" t="n">
        <v>936</v>
      </c>
      <c r="D311" t="n">
        <v>350</v>
      </c>
      <c r="E311" t="inlineStr">
        <is>
          <t>882,299,991,402</t>
        </is>
      </c>
      <c r="F311" t="n">
        <v>33</v>
      </c>
      <c r="G311" t="inlineStr">
        <is>
          <t>primary</t>
        </is>
      </c>
      <c r="H311" t="inlineStr">
        <is>
          <t>AUTO_VESSEL</t>
        </is>
      </c>
      <c r="I311" t="inlineStr">
        <is>
          <t>是</t>
        </is>
      </c>
      <c r="J311" t="inlineStr">
        <is>
          <t>纳入</t>
        </is>
      </c>
      <c r="K311" t="n">
        <v>397.9206049149338</v>
      </c>
      <c r="L311">
        <f>导管母表_1781!G311</f>
        <v/>
      </c>
      <c r="M311" t="inlineStr">
        <is>
          <t>视野内部</t>
        </is>
      </c>
      <c r="N311" t="inlineStr">
        <is>
          <t>纳入A/D/Dh；若有Pair_ID则纳入CWR</t>
        </is>
      </c>
      <c r="O311" t="inlineStr">
        <is>
          <t>自动管线检出的合格导管腔。</t>
        </is>
      </c>
      <c r="P311" t="inlineStr">
        <is>
          <t>auto_pipeline;review_png_green</t>
        </is>
      </c>
      <c r="R311" t="inlineStr">
        <is>
          <t>样品6</t>
        </is>
      </c>
    </row>
    <row r="312">
      <c r="A312" t="inlineStr">
        <is>
          <t>6(11)-V05</t>
        </is>
      </c>
      <c r="B312" t="inlineStr">
        <is>
          <t>6 (11).tif</t>
        </is>
      </c>
      <c r="C312" t="n">
        <v>134</v>
      </c>
      <c r="D312" t="n">
        <v>563</v>
      </c>
      <c r="E312" t="inlineStr">
        <is>
          <t>98,539,171,588</t>
        </is>
      </c>
      <c r="F312" t="n">
        <v>98</v>
      </c>
      <c r="G312" t="inlineStr">
        <is>
          <t>primary</t>
        </is>
      </c>
      <c r="H312" t="inlineStr">
        <is>
          <t>AUTO_VESSEL</t>
        </is>
      </c>
      <c r="I312" t="inlineStr">
        <is>
          <t>是</t>
        </is>
      </c>
      <c r="J312" t="inlineStr">
        <is>
          <t>纳入</t>
        </is>
      </c>
      <c r="K312" t="n">
        <v>127.9773156899811</v>
      </c>
      <c r="L312">
        <f>导管母表_1781!G312</f>
        <v/>
      </c>
      <c r="M312" t="inlineStr">
        <is>
          <t>视野内部</t>
        </is>
      </c>
      <c r="N312" t="inlineStr">
        <is>
          <t>纳入A/D/Dh；若有Pair_ID则纳入CWR</t>
        </is>
      </c>
      <c r="O312" t="inlineStr">
        <is>
          <t>自动管线检出的合格导管腔。</t>
        </is>
      </c>
      <c r="P312" t="inlineStr">
        <is>
          <t>auto_pipeline;review_png_green</t>
        </is>
      </c>
      <c r="R312" t="inlineStr">
        <is>
          <t>样品6</t>
        </is>
      </c>
    </row>
    <row r="313">
      <c r="A313" t="inlineStr">
        <is>
          <t>6(11)-V06</t>
        </is>
      </c>
      <c r="B313" t="inlineStr">
        <is>
          <t>6 (11).tif</t>
        </is>
      </c>
      <c r="C313" t="n">
        <v>443</v>
      </c>
      <c r="D313" t="n">
        <v>112</v>
      </c>
      <c r="E313" t="inlineStr">
        <is>
          <t>409,87,478,138</t>
        </is>
      </c>
      <c r="F313" t="n">
        <v>87</v>
      </c>
      <c r="G313" t="inlineStr">
        <is>
          <t>primary</t>
        </is>
      </c>
      <c r="H313" t="inlineStr">
        <is>
          <t>AUTO_VESSEL</t>
        </is>
      </c>
      <c r="I313" t="inlineStr">
        <is>
          <t>是</t>
        </is>
      </c>
      <c r="J313" t="inlineStr">
        <is>
          <t>纳入</t>
        </is>
      </c>
      <c r="K313" t="n">
        <v>125.4253308128544</v>
      </c>
      <c r="L313">
        <f>导管母表_1781!G313</f>
        <v/>
      </c>
      <c r="M313" t="inlineStr">
        <is>
          <t>视野内部</t>
        </is>
      </c>
      <c r="N313" t="inlineStr">
        <is>
          <t>纳入A/D/Dh；若有Pair_ID则纳入CWR</t>
        </is>
      </c>
      <c r="O313" t="inlineStr">
        <is>
          <t>自动管线检出的合格导管腔。</t>
        </is>
      </c>
      <c r="P313" t="inlineStr">
        <is>
          <t>auto_pipeline;review_png_green</t>
        </is>
      </c>
      <c r="R313" t="inlineStr">
        <is>
          <t>样品6</t>
        </is>
      </c>
    </row>
    <row r="314">
      <c r="A314" t="inlineStr">
        <is>
          <t>6(11)-V07</t>
        </is>
      </c>
      <c r="B314" t="inlineStr">
        <is>
          <t>6 (11).tif</t>
        </is>
      </c>
      <c r="C314" t="n">
        <v>239</v>
      </c>
      <c r="D314" t="n">
        <v>482</v>
      </c>
      <c r="E314" t="inlineStr">
        <is>
          <t>206,455,273,510</t>
        </is>
      </c>
      <c r="F314" t="n">
        <v>206</v>
      </c>
      <c r="G314" t="inlineStr">
        <is>
          <t>primary</t>
        </is>
      </c>
      <c r="H314" t="inlineStr">
        <is>
          <t>AUTO_VESSEL</t>
        </is>
      </c>
      <c r="I314" t="inlineStr">
        <is>
          <t>是</t>
        </is>
      </c>
      <c r="J314" t="inlineStr">
        <is>
          <t>纳入</t>
        </is>
      </c>
      <c r="K314" t="n">
        <v>123.062381852552</v>
      </c>
      <c r="L314">
        <f>导管母表_1781!G314</f>
        <v/>
      </c>
      <c r="M314" t="inlineStr">
        <is>
          <t>视野内部</t>
        </is>
      </c>
      <c r="N314" t="inlineStr">
        <is>
          <t>纳入A/D/Dh；若有Pair_ID则纳入CWR</t>
        </is>
      </c>
      <c r="O314" t="inlineStr">
        <is>
          <t>自动管线检出的合格导管腔。</t>
        </is>
      </c>
      <c r="P314" t="inlineStr">
        <is>
          <t>auto_pipeline;review_png_green</t>
        </is>
      </c>
      <c r="R314" t="inlineStr">
        <is>
          <t>样品6</t>
        </is>
      </c>
    </row>
    <row r="315">
      <c r="A315" t="inlineStr">
        <is>
          <t>6(12)-V01</t>
        </is>
      </c>
      <c r="B315" t="inlineStr">
        <is>
          <t>6 (12).tif</t>
        </is>
      </c>
      <c r="C315" t="n">
        <v>458</v>
      </c>
      <c r="D315" t="n">
        <v>420</v>
      </c>
      <c r="E315" t="inlineStr">
        <is>
          <t>395,339,522,502</t>
        </is>
      </c>
      <c r="F315" t="n">
        <v>266</v>
      </c>
      <c r="G315" t="inlineStr">
        <is>
          <t>primary</t>
        </is>
      </c>
      <c r="H315" t="inlineStr">
        <is>
          <t>AUTO_VESSEL</t>
        </is>
      </c>
      <c r="I315" t="inlineStr">
        <is>
          <t>是</t>
        </is>
      </c>
      <c r="J315" t="inlineStr">
        <is>
          <t>纳入</t>
        </is>
      </c>
      <c r="K315" t="n">
        <v>758.0812854442344</v>
      </c>
      <c r="L315">
        <f>导管母表_1781!G315</f>
        <v/>
      </c>
      <c r="M315" t="inlineStr">
        <is>
          <t>视野内部</t>
        </is>
      </c>
      <c r="N315" t="inlineStr">
        <is>
          <t>纳入A/D/Dh；若有Pair_ID则纳入CWR</t>
        </is>
      </c>
      <c r="O315" t="inlineStr">
        <is>
          <t>自动管线检出的合格导管腔。</t>
        </is>
      </c>
      <c r="P315" t="inlineStr">
        <is>
          <t>auto_pipeline;review_png_green</t>
        </is>
      </c>
      <c r="Q315" t="inlineStr">
        <is>
          <t>6(12)-P01</t>
        </is>
      </c>
      <c r="R315" t="inlineStr">
        <is>
          <t>样品6</t>
        </is>
      </c>
    </row>
    <row r="316">
      <c r="A316" t="inlineStr">
        <is>
          <t>6(12)-V02</t>
        </is>
      </c>
      <c r="B316" t="inlineStr">
        <is>
          <t>6 (12).tif</t>
        </is>
      </c>
      <c r="C316" t="n">
        <v>204</v>
      </c>
      <c r="D316" t="n">
        <v>149</v>
      </c>
      <c r="E316" t="inlineStr">
        <is>
          <t>132,77,277,222</t>
        </is>
      </c>
      <c r="F316" t="n">
        <v>77</v>
      </c>
      <c r="G316" t="inlineStr">
        <is>
          <t>primary</t>
        </is>
      </c>
      <c r="H316" t="inlineStr">
        <is>
          <t>AUTO_VESSEL</t>
        </is>
      </c>
      <c r="I316" t="inlineStr">
        <is>
          <t>是</t>
        </is>
      </c>
      <c r="J316" t="inlineStr">
        <is>
          <t>纳入</t>
        </is>
      </c>
      <c r="K316" t="n">
        <v>754.6786389413988</v>
      </c>
      <c r="L316">
        <f>导管母表_1781!G316</f>
        <v/>
      </c>
      <c r="M316" t="inlineStr">
        <is>
          <t>视野内部</t>
        </is>
      </c>
      <c r="N316" t="inlineStr">
        <is>
          <t>纳入A/D/Dh；若有Pair_ID则纳入CWR</t>
        </is>
      </c>
      <c r="O316" t="inlineStr">
        <is>
          <t>自动管线检出的合格导管腔。</t>
        </is>
      </c>
      <c r="P316" t="inlineStr">
        <is>
          <t>auto_pipeline;review_png_green</t>
        </is>
      </c>
      <c r="R316" t="inlineStr">
        <is>
          <t>样品6</t>
        </is>
      </c>
    </row>
    <row r="317">
      <c r="A317" t="inlineStr">
        <is>
          <t>6(12)-V03</t>
        </is>
      </c>
      <c r="B317" t="inlineStr">
        <is>
          <t>6 (12).tif</t>
        </is>
      </c>
      <c r="C317" t="n">
        <v>589</v>
      </c>
      <c r="D317" t="n">
        <v>352</v>
      </c>
      <c r="E317" t="inlineStr">
        <is>
          <t>530,298,649,407</t>
        </is>
      </c>
      <c r="F317" t="n">
        <v>298</v>
      </c>
      <c r="G317" t="inlineStr">
        <is>
          <t>primary</t>
        </is>
      </c>
      <c r="H317" t="inlineStr">
        <is>
          <t>AUTO_VESSEL</t>
        </is>
      </c>
      <c r="I317" t="inlineStr">
        <is>
          <t>是</t>
        </is>
      </c>
      <c r="J317" t="inlineStr">
        <is>
          <t>纳入</t>
        </is>
      </c>
      <c r="K317" t="n">
        <v>472.8733459357278</v>
      </c>
      <c r="L317">
        <f>导管母表_1781!G317</f>
        <v/>
      </c>
      <c r="M317" t="inlineStr">
        <is>
          <t>视野内部</t>
        </is>
      </c>
      <c r="N317" t="inlineStr">
        <is>
          <t>纳入A/D/Dh；若有Pair_ID则纳入CWR</t>
        </is>
      </c>
      <c r="O317" t="inlineStr">
        <is>
          <t>自动管线检出的合格导管腔。</t>
        </is>
      </c>
      <c r="P317" t="inlineStr">
        <is>
          <t>auto_pipeline;review_png_green</t>
        </is>
      </c>
      <c r="Q317" t="inlineStr">
        <is>
          <t>6(12)-P01</t>
        </is>
      </c>
      <c r="R317" t="inlineStr">
        <is>
          <t>样品6</t>
        </is>
      </c>
    </row>
    <row r="318">
      <c r="A318" t="inlineStr">
        <is>
          <t>6(12)-V04</t>
        </is>
      </c>
      <c r="B318" t="inlineStr">
        <is>
          <t>6 (12).tif</t>
        </is>
      </c>
      <c r="C318" t="n">
        <v>213</v>
      </c>
      <c r="D318" t="n">
        <v>365</v>
      </c>
      <c r="E318" t="inlineStr">
        <is>
          <t>156,301,271,430</t>
        </is>
      </c>
      <c r="F318" t="n">
        <v>156</v>
      </c>
      <c r="G318" t="inlineStr">
        <is>
          <t>primary</t>
        </is>
      </c>
      <c r="H318" t="inlineStr">
        <is>
          <t>AUTO_VESSEL</t>
        </is>
      </c>
      <c r="I318" t="inlineStr">
        <is>
          <t>是</t>
        </is>
      </c>
      <c r="J318" t="inlineStr">
        <is>
          <t>纳入</t>
        </is>
      </c>
      <c r="K318" t="n">
        <v>463.3034026465028</v>
      </c>
      <c r="L318">
        <f>导管母表_1781!G318</f>
        <v/>
      </c>
      <c r="M318" t="inlineStr">
        <is>
          <t>视野内部</t>
        </is>
      </c>
      <c r="N318" t="inlineStr">
        <is>
          <t>纳入A/D/Dh；若有Pair_ID则纳入CWR</t>
        </is>
      </c>
      <c r="O318" t="inlineStr">
        <is>
          <t>自动管线检出的合格导管腔。</t>
        </is>
      </c>
      <c r="P318" t="inlineStr">
        <is>
          <t>auto_pipeline;review_png_green</t>
        </is>
      </c>
      <c r="R318" t="inlineStr">
        <is>
          <t>样品6</t>
        </is>
      </c>
    </row>
    <row r="319">
      <c r="A319" t="inlineStr">
        <is>
          <t>6(12)-V05</t>
        </is>
      </c>
      <c r="B319" t="inlineStr">
        <is>
          <t>6 (12).tif</t>
        </is>
      </c>
      <c r="C319" t="n">
        <v>130</v>
      </c>
      <c r="D319" t="n">
        <v>571</v>
      </c>
      <c r="E319" t="inlineStr">
        <is>
          <t>78,509,183,634</t>
        </is>
      </c>
      <c r="F319" t="n">
        <v>78</v>
      </c>
      <c r="G319" t="inlineStr">
        <is>
          <t>primary</t>
        </is>
      </c>
      <c r="H319" t="inlineStr">
        <is>
          <t>AUTO_VESSEL</t>
        </is>
      </c>
      <c r="I319" t="inlineStr">
        <is>
          <t>是</t>
        </is>
      </c>
      <c r="J319" t="inlineStr">
        <is>
          <t>纳入</t>
        </is>
      </c>
      <c r="K319" t="n">
        <v>362.9962192816635</v>
      </c>
      <c r="L319">
        <f>导管母表_1781!G319</f>
        <v/>
      </c>
      <c r="M319" t="inlineStr">
        <is>
          <t>视野内部</t>
        </is>
      </c>
      <c r="N319" t="inlineStr">
        <is>
          <t>纳入A/D/Dh；若有Pair_ID则纳入CWR</t>
        </is>
      </c>
      <c r="O319" t="inlineStr">
        <is>
          <t>自动管线检出的合格导管腔。</t>
        </is>
      </c>
      <c r="P319" t="inlineStr">
        <is>
          <t>auto_pipeline;review_png_green</t>
        </is>
      </c>
      <c r="R319" t="inlineStr">
        <is>
          <t>样品6</t>
        </is>
      </c>
    </row>
    <row r="320">
      <c r="A320" t="inlineStr">
        <is>
          <t>6(12)-V06</t>
        </is>
      </c>
      <c r="B320" t="inlineStr">
        <is>
          <t>6 (12).tif</t>
        </is>
      </c>
      <c r="C320" t="n">
        <v>111</v>
      </c>
      <c r="D320" t="n">
        <v>300</v>
      </c>
      <c r="E320" t="inlineStr">
        <is>
          <t>66,252,157,349</t>
        </is>
      </c>
      <c r="F320" t="n">
        <v>66</v>
      </c>
      <c r="G320" t="inlineStr">
        <is>
          <t>primary</t>
        </is>
      </c>
      <c r="H320" t="inlineStr">
        <is>
          <t>AUTO_VESSEL</t>
        </is>
      </c>
      <c r="I320" t="inlineStr">
        <is>
          <t>是</t>
        </is>
      </c>
      <c r="J320" t="inlineStr">
        <is>
          <t>纳入</t>
        </is>
      </c>
      <c r="K320" t="n">
        <v>321.124763705104</v>
      </c>
      <c r="L320">
        <f>导管母表_1781!G320</f>
        <v/>
      </c>
      <c r="M320" t="inlineStr">
        <is>
          <t>视野内部</t>
        </is>
      </c>
      <c r="N320" t="inlineStr">
        <is>
          <t>纳入A/D/Dh；若有Pair_ID则纳入CWR</t>
        </is>
      </c>
      <c r="O320" t="inlineStr">
        <is>
          <t>自动管线检出的合格导管腔。</t>
        </is>
      </c>
      <c r="P320" t="inlineStr">
        <is>
          <t>auto_pipeline;review_png_green</t>
        </is>
      </c>
      <c r="R320" t="inlineStr">
        <is>
          <t>样品6</t>
        </is>
      </c>
    </row>
    <row r="321">
      <c r="A321" t="inlineStr">
        <is>
          <t>6(12)-V07</t>
        </is>
      </c>
      <c r="B321" t="inlineStr">
        <is>
          <t>6 (12).tif</t>
        </is>
      </c>
      <c r="C321" t="n">
        <v>667</v>
      </c>
      <c r="D321" t="n">
        <v>263</v>
      </c>
      <c r="E321" t="inlineStr">
        <is>
          <t>620,224,715,303</t>
        </is>
      </c>
      <c r="F321" t="n">
        <v>224</v>
      </c>
      <c r="G321" t="inlineStr">
        <is>
          <t>primary</t>
        </is>
      </c>
      <c r="H321" t="inlineStr">
        <is>
          <t>AUTO_VESSEL</t>
        </is>
      </c>
      <c r="I321" t="inlineStr">
        <is>
          <t>是</t>
        </is>
      </c>
      <c r="J321" t="inlineStr">
        <is>
          <t>纳入</t>
        </is>
      </c>
      <c r="K321" t="n">
        <v>208.1049149338374</v>
      </c>
      <c r="L321">
        <f>导管母表_1781!G321</f>
        <v/>
      </c>
      <c r="M321" t="inlineStr">
        <is>
          <t>视野内部</t>
        </is>
      </c>
      <c r="N321" t="inlineStr">
        <is>
          <t>纳入A/D/Dh；若有Pair_ID则纳入CWR</t>
        </is>
      </c>
      <c r="O321" t="inlineStr">
        <is>
          <t>自动管线检出的合格导管腔。</t>
        </is>
      </c>
      <c r="P321" t="inlineStr">
        <is>
          <t>auto_pipeline;review_png_green</t>
        </is>
      </c>
      <c r="R321" t="inlineStr">
        <is>
          <t>样品6</t>
        </is>
      </c>
    </row>
    <row r="322">
      <c r="A322" t="inlineStr">
        <is>
          <t>6(12)-V08</t>
        </is>
      </c>
      <c r="B322" t="inlineStr">
        <is>
          <t>6 (12).tif</t>
        </is>
      </c>
      <c r="C322" t="n">
        <v>878</v>
      </c>
      <c r="D322" t="n">
        <v>318</v>
      </c>
      <c r="E322" t="inlineStr">
        <is>
          <t>851,285,906,352</t>
        </is>
      </c>
      <c r="F322" t="n">
        <v>118</v>
      </c>
      <c r="G322" t="inlineStr">
        <is>
          <t>primary</t>
        </is>
      </c>
      <c r="H322" t="inlineStr">
        <is>
          <t>AUTO_VESSEL</t>
        </is>
      </c>
      <c r="I322" t="inlineStr">
        <is>
          <t>是</t>
        </is>
      </c>
      <c r="J322" t="inlineStr">
        <is>
          <t>纳入</t>
        </is>
      </c>
      <c r="K322" t="n">
        <v>132.1833648393195</v>
      </c>
      <c r="L322">
        <f>导管母表_1781!G322</f>
        <v/>
      </c>
      <c r="M322" t="inlineStr">
        <is>
          <t>视野内部</t>
        </is>
      </c>
      <c r="N322" t="inlineStr">
        <is>
          <t>纳入A/D/Dh；若有Pair_ID则纳入CWR</t>
        </is>
      </c>
      <c r="O322" t="inlineStr">
        <is>
          <t>自动管线检出的合格导管腔。</t>
        </is>
      </c>
      <c r="P322" t="inlineStr">
        <is>
          <t>auto_pipeline;review_png_green</t>
        </is>
      </c>
      <c r="R322" t="inlineStr">
        <is>
          <t>样品6</t>
        </is>
      </c>
    </row>
    <row r="323">
      <c r="A323" t="inlineStr">
        <is>
          <t>6(13)-V01</t>
        </is>
      </c>
      <c r="B323" t="inlineStr">
        <is>
          <t>6 (13).tif</t>
        </is>
      </c>
      <c r="C323" t="n">
        <v>441</v>
      </c>
      <c r="D323" t="n">
        <v>394</v>
      </c>
      <c r="E323" t="inlineStr">
        <is>
          <t>354,310,529,479</t>
        </is>
      </c>
      <c r="F323" t="n">
        <v>289</v>
      </c>
      <c r="G323" t="inlineStr">
        <is>
          <t>primary</t>
        </is>
      </c>
      <c r="H323" t="inlineStr">
        <is>
          <t>AUTO_VESSEL</t>
        </is>
      </c>
      <c r="I323" t="inlineStr">
        <is>
          <t>是</t>
        </is>
      </c>
      <c r="J323" t="inlineStr">
        <is>
          <t>纳入</t>
        </is>
      </c>
      <c r="K323" t="n">
        <v>1068.383742911153</v>
      </c>
      <c r="L323">
        <f>导管母表_1781!G323</f>
        <v/>
      </c>
      <c r="M323" t="inlineStr">
        <is>
          <t>视野内部</t>
        </is>
      </c>
      <c r="N323" t="inlineStr">
        <is>
          <t>纳入A/D/Dh；若有Pair_ID则纳入CWR</t>
        </is>
      </c>
      <c r="O323" t="inlineStr">
        <is>
          <t>自动管线检出的合格导管腔。</t>
        </is>
      </c>
      <c r="P323" t="inlineStr">
        <is>
          <t>auto_pipeline;review_png_green</t>
        </is>
      </c>
      <c r="R323" t="inlineStr">
        <is>
          <t>样品6</t>
        </is>
      </c>
    </row>
    <row r="324">
      <c r="A324" t="inlineStr">
        <is>
          <t>6(13)-V02</t>
        </is>
      </c>
      <c r="B324" t="inlineStr">
        <is>
          <t>6 (13).tif</t>
        </is>
      </c>
      <c r="C324" t="n">
        <v>951</v>
      </c>
      <c r="D324" t="n">
        <v>352</v>
      </c>
      <c r="E324" t="inlineStr">
        <is>
          <t>909,309,994,396</t>
        </is>
      </c>
      <c r="F324" t="n">
        <v>30</v>
      </c>
      <c r="G324" t="inlineStr">
        <is>
          <t>primary</t>
        </is>
      </c>
      <c r="H324" t="inlineStr">
        <is>
          <t>AUTO_VESSEL</t>
        </is>
      </c>
      <c r="I324" t="inlineStr">
        <is>
          <t>是</t>
        </is>
      </c>
      <c r="J324" t="inlineStr">
        <is>
          <t>纳入</t>
        </is>
      </c>
      <c r="K324" t="n">
        <v>242.4149338374291</v>
      </c>
      <c r="L324">
        <f>导管母表_1781!G324</f>
        <v/>
      </c>
      <c r="M324" t="inlineStr">
        <is>
          <t>视野内部</t>
        </is>
      </c>
      <c r="N324" t="inlineStr">
        <is>
          <t>纳入A/D/Dh；若有Pair_ID则纳入CWR</t>
        </is>
      </c>
      <c r="O324" t="inlineStr">
        <is>
          <t>自动管线检出的合格导管腔。</t>
        </is>
      </c>
      <c r="P324" t="inlineStr">
        <is>
          <t>auto_pipeline;review_png_green</t>
        </is>
      </c>
      <c r="R324" t="inlineStr">
        <is>
          <t>样品6</t>
        </is>
      </c>
    </row>
    <row r="325">
      <c r="A325" t="inlineStr">
        <is>
          <t>6(13)-V03</t>
        </is>
      </c>
      <c r="B325" t="inlineStr">
        <is>
          <t>6 (13).tif</t>
        </is>
      </c>
      <c r="C325" t="n">
        <v>762</v>
      </c>
      <c r="D325" t="n">
        <v>498</v>
      </c>
      <c r="E325" t="inlineStr">
        <is>
          <t>710,468,815,529</t>
        </is>
      </c>
      <c r="F325" t="n">
        <v>209</v>
      </c>
      <c r="G325" t="inlineStr">
        <is>
          <t>primary</t>
        </is>
      </c>
      <c r="H325" t="inlineStr">
        <is>
          <t>AUTO_VESSEL</t>
        </is>
      </c>
      <c r="I325" t="inlineStr">
        <is>
          <t>是</t>
        </is>
      </c>
      <c r="J325" t="inlineStr">
        <is>
          <t>纳入</t>
        </is>
      </c>
      <c r="K325" t="n">
        <v>174.4801512287335</v>
      </c>
      <c r="L325">
        <f>导管母表_1781!G325</f>
        <v/>
      </c>
      <c r="M325" t="inlineStr">
        <is>
          <t>视野内部</t>
        </is>
      </c>
      <c r="N325" t="inlineStr">
        <is>
          <t>纳入A/D/Dh；若有Pair_ID则纳入CWR</t>
        </is>
      </c>
      <c r="O325" t="inlineStr">
        <is>
          <t>自动管线检出的合格导管腔。</t>
        </is>
      </c>
      <c r="P325" t="inlineStr">
        <is>
          <t>auto_pipeline;review_png_green</t>
        </is>
      </c>
      <c r="R325" t="inlineStr">
        <is>
          <t>样品6</t>
        </is>
      </c>
    </row>
    <row r="326">
      <c r="A326" t="inlineStr">
        <is>
          <t>6(13)-V04</t>
        </is>
      </c>
      <c r="B326" t="inlineStr">
        <is>
          <t>6 (13).tif</t>
        </is>
      </c>
      <c r="C326" t="n">
        <v>545</v>
      </c>
      <c r="D326" t="n">
        <v>295</v>
      </c>
      <c r="E326" t="inlineStr">
        <is>
          <t>512,261,579,330</t>
        </is>
      </c>
      <c r="F326" t="n">
        <v>261</v>
      </c>
      <c r="G326" t="inlineStr">
        <is>
          <t>primary</t>
        </is>
      </c>
      <c r="H326" t="inlineStr">
        <is>
          <t>AUTO_VESSEL</t>
        </is>
      </c>
      <c r="I326" t="inlineStr">
        <is>
          <t>是</t>
        </is>
      </c>
      <c r="J326" t="inlineStr">
        <is>
          <t>纳入</t>
        </is>
      </c>
      <c r="K326" t="n">
        <v>150.8034026465028</v>
      </c>
      <c r="L326">
        <f>导管母表_1781!G326</f>
        <v/>
      </c>
      <c r="M326" t="inlineStr">
        <is>
          <t>视野内部</t>
        </is>
      </c>
      <c r="N326" t="inlineStr">
        <is>
          <t>纳入A/D/Dh；若有Pair_ID则纳入CWR</t>
        </is>
      </c>
      <c r="O326" t="inlineStr">
        <is>
          <t>自动管线检出的合格导管腔。</t>
        </is>
      </c>
      <c r="P326" t="inlineStr">
        <is>
          <t>auto_pipeline;review_png_green</t>
        </is>
      </c>
      <c r="R326" t="inlineStr">
        <is>
          <t>样品6</t>
        </is>
      </c>
    </row>
    <row r="327">
      <c r="A327" t="inlineStr">
        <is>
          <t>6(13)-V05</t>
        </is>
      </c>
      <c r="B327" t="inlineStr">
        <is>
          <t>6 (13).tif</t>
        </is>
      </c>
      <c r="C327" t="n">
        <v>903</v>
      </c>
      <c r="D327" t="n">
        <v>636</v>
      </c>
      <c r="E327" t="inlineStr">
        <is>
          <t>870,606,937,667</t>
        </is>
      </c>
      <c r="F327" t="n">
        <v>87</v>
      </c>
      <c r="G327" t="inlineStr">
        <is>
          <t>primary</t>
        </is>
      </c>
      <c r="H327" t="inlineStr">
        <is>
          <t>AUTO_VESSEL</t>
        </is>
      </c>
      <c r="I327" t="inlineStr">
        <is>
          <t>是</t>
        </is>
      </c>
      <c r="J327" t="inlineStr">
        <is>
          <t>纳入</t>
        </is>
      </c>
      <c r="K327" t="n">
        <v>135.538752362949</v>
      </c>
      <c r="L327">
        <f>导管母表_1781!G327</f>
        <v/>
      </c>
      <c r="M327" t="inlineStr">
        <is>
          <t>视野内部</t>
        </is>
      </c>
      <c r="N327" t="inlineStr">
        <is>
          <t>纳入A/D/Dh；若有Pair_ID则纳入CWR</t>
        </is>
      </c>
      <c r="O327" t="inlineStr">
        <is>
          <t>自动管线检出的合格导管腔。</t>
        </is>
      </c>
      <c r="P327" t="inlineStr">
        <is>
          <t>auto_pipeline;review_png_green</t>
        </is>
      </c>
      <c r="R327" t="inlineStr">
        <is>
          <t>样品6</t>
        </is>
      </c>
    </row>
    <row r="328">
      <c r="A328" t="inlineStr">
        <is>
          <t>6(14)-V01</t>
        </is>
      </c>
      <c r="B328" t="inlineStr">
        <is>
          <t>6 (14).tif</t>
        </is>
      </c>
      <c r="C328" t="n">
        <v>600</v>
      </c>
      <c r="D328" t="n">
        <v>435</v>
      </c>
      <c r="E328" t="inlineStr">
        <is>
          <t>517,358,684,513</t>
        </is>
      </c>
      <c r="F328" t="n">
        <v>255</v>
      </c>
      <c r="G328" t="inlineStr">
        <is>
          <t>primary</t>
        </is>
      </c>
      <c r="H328" t="inlineStr">
        <is>
          <t>AUTO_VESSEL</t>
        </is>
      </c>
      <c r="I328" t="inlineStr">
        <is>
          <t>是</t>
        </is>
      </c>
      <c r="J328" t="inlineStr">
        <is>
          <t>纳入</t>
        </is>
      </c>
      <c r="K328" t="n">
        <v>944.8251417769376</v>
      </c>
      <c r="L328">
        <f>导管母表_1781!G328</f>
        <v/>
      </c>
      <c r="M328" t="inlineStr">
        <is>
          <t>视野内部</t>
        </is>
      </c>
      <c r="N328" t="inlineStr">
        <is>
          <t>纳入A/D/Dh；若有Pair_ID则纳入CWR</t>
        </is>
      </c>
      <c r="O328" t="inlineStr">
        <is>
          <t>自动管线检出的合格导管腔。</t>
        </is>
      </c>
      <c r="P328" t="inlineStr">
        <is>
          <t>auto_pipeline;review_png_green</t>
        </is>
      </c>
      <c r="R328" t="inlineStr">
        <is>
          <t>样品6</t>
        </is>
      </c>
    </row>
    <row r="329">
      <c r="A329" t="inlineStr">
        <is>
          <t>6(14)-V02</t>
        </is>
      </c>
      <c r="B329" t="inlineStr">
        <is>
          <t>6 (14).tif</t>
        </is>
      </c>
      <c r="C329" t="n">
        <v>751</v>
      </c>
      <c r="D329" t="n">
        <v>107</v>
      </c>
      <c r="E329" t="inlineStr">
        <is>
          <t>701,31,802,184</t>
        </is>
      </c>
      <c r="F329" t="n">
        <v>31</v>
      </c>
      <c r="G329" t="inlineStr">
        <is>
          <t>primary</t>
        </is>
      </c>
      <c r="H329" t="inlineStr">
        <is>
          <t>AUTO_VESSEL</t>
        </is>
      </c>
      <c r="I329" t="inlineStr">
        <is>
          <t>是</t>
        </is>
      </c>
      <c r="J329" t="inlineStr">
        <is>
          <t>纳入</t>
        </is>
      </c>
      <c r="K329" t="n">
        <v>564.3431001890359</v>
      </c>
      <c r="L329">
        <f>导管母表_1781!G329</f>
        <v/>
      </c>
      <c r="M329" t="inlineStr">
        <is>
          <t>视野内部</t>
        </is>
      </c>
      <c r="N329" t="inlineStr">
        <is>
          <t>纳入A/D/Dh；若有Pair_ID则纳入CWR</t>
        </is>
      </c>
      <c r="O329" t="inlineStr">
        <is>
          <t>自动管线检出的合格导管腔。</t>
        </is>
      </c>
      <c r="P329" t="inlineStr">
        <is>
          <t>auto_pipeline;review_png_green</t>
        </is>
      </c>
      <c r="R329" t="inlineStr">
        <is>
          <t>样品6</t>
        </is>
      </c>
    </row>
    <row r="330">
      <c r="A330" t="inlineStr">
        <is>
          <t>6(14)-V03</t>
        </is>
      </c>
      <c r="B330" t="inlineStr">
        <is>
          <t>6 (14).tif</t>
        </is>
      </c>
      <c r="C330" t="n">
        <v>260</v>
      </c>
      <c r="D330" t="n">
        <v>647</v>
      </c>
      <c r="E330" t="inlineStr">
        <is>
          <t>219,616,302,679</t>
        </is>
      </c>
      <c r="F330" t="n">
        <v>89</v>
      </c>
      <c r="G330" t="inlineStr">
        <is>
          <t>primary</t>
        </is>
      </c>
      <c r="H330" t="inlineStr">
        <is>
          <t>AUTO_VESSEL</t>
        </is>
      </c>
      <c r="I330" t="inlineStr">
        <is>
          <t>是</t>
        </is>
      </c>
      <c r="J330" t="inlineStr">
        <is>
          <t>纳入</t>
        </is>
      </c>
      <c r="K330" t="n">
        <v>160.8695652173913</v>
      </c>
      <c r="L330">
        <f>导管母表_1781!G330</f>
        <v/>
      </c>
      <c r="M330" t="inlineStr">
        <is>
          <t>视野内部</t>
        </is>
      </c>
      <c r="N330" t="inlineStr">
        <is>
          <t>纳入A/D/Dh；若有Pair_ID则纳入CWR</t>
        </is>
      </c>
      <c r="O330" t="inlineStr">
        <is>
          <t>自动管线检出的合格导管腔。</t>
        </is>
      </c>
      <c r="P330" t="inlineStr">
        <is>
          <t>auto_pipeline;review_png_green</t>
        </is>
      </c>
      <c r="R330" t="inlineStr">
        <is>
          <t>样品6</t>
        </is>
      </c>
    </row>
    <row r="331">
      <c r="A331" t="inlineStr">
        <is>
          <t>6(14)-V04</t>
        </is>
      </c>
      <c r="B331" t="inlineStr">
        <is>
          <t>6 (14).tif</t>
        </is>
      </c>
      <c r="C331" t="n">
        <v>739</v>
      </c>
      <c r="D331" t="n">
        <v>651</v>
      </c>
      <c r="E331" t="inlineStr">
        <is>
          <t>704,627,775,676</t>
        </is>
      </c>
      <c r="F331" t="n">
        <v>92</v>
      </c>
      <c r="G331" t="inlineStr">
        <is>
          <t>primary</t>
        </is>
      </c>
      <c r="H331" t="inlineStr">
        <is>
          <t>AUTO_VESSEL</t>
        </is>
      </c>
      <c r="I331" t="inlineStr">
        <is>
          <t>是</t>
        </is>
      </c>
      <c r="J331" t="inlineStr">
        <is>
          <t>纳入</t>
        </is>
      </c>
      <c r="K331" t="n">
        <v>124.7400756143667</v>
      </c>
      <c r="L331">
        <f>导管母表_1781!G331</f>
        <v/>
      </c>
      <c r="M331" t="inlineStr">
        <is>
          <t>视野内部</t>
        </is>
      </c>
      <c r="N331" t="inlineStr">
        <is>
          <t>纳入A/D/Dh；若有Pair_ID则纳入CWR</t>
        </is>
      </c>
      <c r="O331" t="inlineStr">
        <is>
          <t>自动管线检出的合格导管腔。</t>
        </is>
      </c>
      <c r="P331" t="inlineStr">
        <is>
          <t>auto_pipeline;review_png_green</t>
        </is>
      </c>
      <c r="R331" t="inlineStr">
        <is>
          <t>样品6</t>
        </is>
      </c>
    </row>
    <row r="332">
      <c r="A332" t="inlineStr">
        <is>
          <t>6(14)-V05</t>
        </is>
      </c>
      <c r="B332" t="inlineStr">
        <is>
          <t>6 (14).tif</t>
        </is>
      </c>
      <c r="C332" t="n">
        <v>370</v>
      </c>
      <c r="D332" t="n">
        <v>203</v>
      </c>
      <c r="E332" t="inlineStr">
        <is>
          <t>327,183,414,224</t>
        </is>
      </c>
      <c r="F332" t="n">
        <v>183</v>
      </c>
      <c r="G332" t="inlineStr">
        <is>
          <t>primary</t>
        </is>
      </c>
      <c r="H332" t="inlineStr">
        <is>
          <t>AUTO_VESSEL</t>
        </is>
      </c>
      <c r="I332" t="inlineStr">
        <is>
          <t>是</t>
        </is>
      </c>
      <c r="J332" t="inlineStr">
        <is>
          <t>纳入</t>
        </is>
      </c>
      <c r="K332" t="n">
        <v>117.4858223062382</v>
      </c>
      <c r="L332">
        <f>导管母表_1781!G332</f>
        <v/>
      </c>
      <c r="M332" t="inlineStr">
        <is>
          <t>视野内部</t>
        </is>
      </c>
      <c r="N332" t="inlineStr">
        <is>
          <t>纳入A/D/Dh；若有Pair_ID则纳入CWR</t>
        </is>
      </c>
      <c r="O332" t="inlineStr">
        <is>
          <t>自动管线检出的合格导管腔。</t>
        </is>
      </c>
      <c r="P332" t="inlineStr">
        <is>
          <t>auto_pipeline;review_png_green</t>
        </is>
      </c>
      <c r="R332" t="inlineStr">
        <is>
          <t>样品6</t>
        </is>
      </c>
    </row>
    <row r="333">
      <c r="A333" t="inlineStr">
        <is>
          <t>7(1)-V01</t>
        </is>
      </c>
      <c r="B333" t="inlineStr">
        <is>
          <t>7 (1).tif</t>
        </is>
      </c>
      <c r="C333" t="n">
        <v>400</v>
      </c>
      <c r="D333" t="n">
        <v>318</v>
      </c>
      <c r="E333" t="inlineStr">
        <is>
          <t>308,219,493,418</t>
        </is>
      </c>
      <c r="F333" t="n">
        <v>219</v>
      </c>
      <c r="G333" t="inlineStr">
        <is>
          <t>primary</t>
        </is>
      </c>
      <c r="H333" t="inlineStr">
        <is>
          <t>AUTO_VESSEL</t>
        </is>
      </c>
      <c r="I333" t="inlineStr">
        <is>
          <t>是</t>
        </is>
      </c>
      <c r="J333" t="inlineStr">
        <is>
          <t>纳入</t>
        </is>
      </c>
      <c r="K333" t="n">
        <v>1349.905482041588</v>
      </c>
      <c r="L333">
        <f>导管母表_1781!G333</f>
        <v/>
      </c>
      <c r="M333" t="inlineStr">
        <is>
          <t>视野内部</t>
        </is>
      </c>
      <c r="N333" t="inlineStr">
        <is>
          <t>纳入A/D/Dh；若有Pair_ID则纳入CWR</t>
        </is>
      </c>
      <c r="O333" t="inlineStr">
        <is>
          <t>自动管线检出的合格导管腔。</t>
        </is>
      </c>
      <c r="P333" t="inlineStr">
        <is>
          <t>auto_pipeline;review_png_green</t>
        </is>
      </c>
      <c r="Q333" t="inlineStr">
        <is>
          <t>7(1)-P01</t>
        </is>
      </c>
      <c r="R333" t="inlineStr">
        <is>
          <t>样品7</t>
        </is>
      </c>
    </row>
    <row r="334">
      <c r="A334" t="inlineStr">
        <is>
          <t>7(1)-V02</t>
        </is>
      </c>
      <c r="B334" t="inlineStr">
        <is>
          <t>7 (1).tif</t>
        </is>
      </c>
      <c r="C334" t="n">
        <v>594</v>
      </c>
      <c r="D334" t="n">
        <v>310</v>
      </c>
      <c r="E334" t="inlineStr">
        <is>
          <t>509,221,680,400</t>
        </is>
      </c>
      <c r="F334" t="n">
        <v>221</v>
      </c>
      <c r="G334" t="inlineStr">
        <is>
          <t>primary</t>
        </is>
      </c>
      <c r="H334" t="inlineStr">
        <is>
          <t>AUTO_VESSEL</t>
        </is>
      </c>
      <c r="I334" t="inlineStr">
        <is>
          <t>是</t>
        </is>
      </c>
      <c r="J334" t="inlineStr">
        <is>
          <t>纳入</t>
        </is>
      </c>
      <c r="K334" t="n">
        <v>1117.958412098299</v>
      </c>
      <c r="L334">
        <f>导管母表_1781!G334</f>
        <v/>
      </c>
      <c r="M334" t="inlineStr">
        <is>
          <t>视野内部</t>
        </is>
      </c>
      <c r="N334" t="inlineStr">
        <is>
          <t>纳入A/D/Dh；若有Pair_ID则纳入CWR</t>
        </is>
      </c>
      <c r="O334" t="inlineStr">
        <is>
          <t>自动管线检出的合格导管腔。</t>
        </is>
      </c>
      <c r="P334" t="inlineStr">
        <is>
          <t>auto_pipeline;review_png_green</t>
        </is>
      </c>
      <c r="Q334" t="inlineStr">
        <is>
          <t>7(1)-P01</t>
        </is>
      </c>
      <c r="R334" t="inlineStr">
        <is>
          <t>样品7</t>
        </is>
      </c>
    </row>
    <row r="335">
      <c r="A335" t="inlineStr">
        <is>
          <t>7(1)-V03</t>
        </is>
      </c>
      <c r="B335" t="inlineStr">
        <is>
          <t>7 (1).tif</t>
        </is>
      </c>
      <c r="C335" t="n">
        <v>580</v>
      </c>
      <c r="D335" t="n">
        <v>629</v>
      </c>
      <c r="E335" t="inlineStr">
        <is>
          <t>486,585,675,674</t>
        </is>
      </c>
      <c r="F335" t="n">
        <v>94</v>
      </c>
      <c r="G335" t="inlineStr">
        <is>
          <t>primary</t>
        </is>
      </c>
      <c r="H335" t="inlineStr">
        <is>
          <t>AUTO_VESSEL</t>
        </is>
      </c>
      <c r="I335" t="inlineStr">
        <is>
          <t>是</t>
        </is>
      </c>
      <c r="J335" t="inlineStr">
        <is>
          <t>纳入</t>
        </is>
      </c>
      <c r="K335" t="n">
        <v>591.8478260869565</v>
      </c>
      <c r="L335">
        <f>导管母表_1781!G335</f>
        <v/>
      </c>
      <c r="M335" t="inlineStr">
        <is>
          <t>视野内部</t>
        </is>
      </c>
      <c r="N335" t="inlineStr">
        <is>
          <t>纳入A/D/Dh；若有Pair_ID则纳入CWR</t>
        </is>
      </c>
      <c r="O335" t="inlineStr">
        <is>
          <t>自动管线检出的合格导管腔。</t>
        </is>
      </c>
      <c r="P335" t="inlineStr">
        <is>
          <t>auto_pipeline;review_png_green</t>
        </is>
      </c>
      <c r="R335" t="inlineStr">
        <is>
          <t>样品7</t>
        </is>
      </c>
    </row>
    <row r="336">
      <c r="A336" t="inlineStr">
        <is>
          <t>7(1)-V04</t>
        </is>
      </c>
      <c r="B336" t="inlineStr">
        <is>
          <t>7 (1).tif</t>
        </is>
      </c>
      <c r="C336" t="n">
        <v>99</v>
      </c>
      <c r="D336" t="n">
        <v>180</v>
      </c>
      <c r="E336" t="inlineStr">
        <is>
          <t>43,121,156,240</t>
        </is>
      </c>
      <c r="F336" t="n">
        <v>43</v>
      </c>
      <c r="G336" t="inlineStr">
        <is>
          <t>primary</t>
        </is>
      </c>
      <c r="H336" t="inlineStr">
        <is>
          <t>AUTO_VESSEL</t>
        </is>
      </c>
      <c r="I336" t="inlineStr">
        <is>
          <t>是</t>
        </is>
      </c>
      <c r="J336" t="inlineStr">
        <is>
          <t>纳入</t>
        </is>
      </c>
      <c r="K336" t="n">
        <v>488.492438563327</v>
      </c>
      <c r="L336">
        <f>导管母表_1781!G336</f>
        <v/>
      </c>
      <c r="M336" t="inlineStr">
        <is>
          <t>视野内部</t>
        </is>
      </c>
      <c r="N336" t="inlineStr">
        <is>
          <t>纳入A/D/Dh；若有Pair_ID则纳入CWR</t>
        </is>
      </c>
      <c r="O336" t="inlineStr">
        <is>
          <t>自动管线检出的合格导管腔。</t>
        </is>
      </c>
      <c r="P336" t="inlineStr">
        <is>
          <t>auto_pipeline;review_png_green</t>
        </is>
      </c>
      <c r="R336" t="inlineStr">
        <is>
          <t>样品7</t>
        </is>
      </c>
    </row>
    <row r="337">
      <c r="A337" t="inlineStr">
        <is>
          <t>7(1)-V05</t>
        </is>
      </c>
      <c r="B337" t="inlineStr">
        <is>
          <t>7 (1).tif</t>
        </is>
      </c>
      <c r="C337" t="n">
        <v>817</v>
      </c>
      <c r="D337" t="n">
        <v>459</v>
      </c>
      <c r="E337" t="inlineStr">
        <is>
          <t>763,442,872,477</t>
        </is>
      </c>
      <c r="F337" t="n">
        <v>152</v>
      </c>
      <c r="G337" t="inlineStr">
        <is>
          <t>primary</t>
        </is>
      </c>
      <c r="H337" t="inlineStr">
        <is>
          <t>AUTO_VESSEL</t>
        </is>
      </c>
      <c r="I337" t="inlineStr">
        <is>
          <t>是</t>
        </is>
      </c>
      <c r="J337" t="inlineStr">
        <is>
          <t>纳入</t>
        </is>
      </c>
      <c r="K337" t="n">
        <v>136.3421550094518</v>
      </c>
      <c r="L337">
        <f>导管母表_1781!G337</f>
        <v/>
      </c>
      <c r="M337" t="inlineStr">
        <is>
          <t>视野内部</t>
        </is>
      </c>
      <c r="N337" t="inlineStr">
        <is>
          <t>纳入A/D/Dh；若有Pair_ID则纳入CWR</t>
        </is>
      </c>
      <c r="O337" t="inlineStr">
        <is>
          <t>自动管线检出的合格导管腔。</t>
        </is>
      </c>
      <c r="P337" t="inlineStr">
        <is>
          <t>auto_pipeline;review_png_green</t>
        </is>
      </c>
      <c r="R337" t="inlineStr">
        <is>
          <t>样品7</t>
        </is>
      </c>
    </row>
    <row r="338">
      <c r="A338" t="inlineStr">
        <is>
          <t>7(1)-V06</t>
        </is>
      </c>
      <c r="B338" t="inlineStr">
        <is>
          <t>7 (1).tif</t>
        </is>
      </c>
      <c r="C338" t="n">
        <v>931</v>
      </c>
      <c r="D338" t="n">
        <v>64</v>
      </c>
      <c r="E338" t="inlineStr">
        <is>
          <t>898,40,965,89</t>
        </is>
      </c>
      <c r="F338" t="n">
        <v>40</v>
      </c>
      <c r="G338" t="inlineStr">
        <is>
          <t>primary</t>
        </is>
      </c>
      <c r="H338" t="inlineStr">
        <is>
          <t>AUTO_VESSEL</t>
        </is>
      </c>
      <c r="I338" t="inlineStr">
        <is>
          <t>是</t>
        </is>
      </c>
      <c r="J338" t="inlineStr">
        <is>
          <t>纳入</t>
        </is>
      </c>
      <c r="K338" t="n">
        <v>106.734404536862</v>
      </c>
      <c r="L338">
        <f>导管母表_1781!G338</f>
        <v/>
      </c>
      <c r="M338" t="inlineStr">
        <is>
          <t>视野内部</t>
        </is>
      </c>
      <c r="N338" t="inlineStr">
        <is>
          <t>纳入A/D/Dh；若有Pair_ID则纳入CWR</t>
        </is>
      </c>
      <c r="O338" t="inlineStr">
        <is>
          <t>自动管线检出的合格导管腔。</t>
        </is>
      </c>
      <c r="P338" t="inlineStr">
        <is>
          <t>auto_pipeline;review_png_green</t>
        </is>
      </c>
      <c r="R338" t="inlineStr">
        <is>
          <t>样品7</t>
        </is>
      </c>
    </row>
    <row r="339">
      <c r="A339" t="inlineStr">
        <is>
          <t>7(2)-V01</t>
        </is>
      </c>
      <c r="B339" t="inlineStr">
        <is>
          <t>7 (2).tif</t>
        </is>
      </c>
      <c r="C339" t="n">
        <v>411</v>
      </c>
      <c r="D339" t="n">
        <v>314</v>
      </c>
      <c r="E339" t="inlineStr">
        <is>
          <t>309,230,514,399</t>
        </is>
      </c>
      <c r="F339" t="n">
        <v>230</v>
      </c>
      <c r="G339" t="inlineStr">
        <is>
          <t>primary</t>
        </is>
      </c>
      <c r="H339" t="inlineStr">
        <is>
          <t>AUTO_VESSEL</t>
        </is>
      </c>
      <c r="I339" t="inlineStr">
        <is>
          <t>是</t>
        </is>
      </c>
      <c r="J339" t="inlineStr">
        <is>
          <t>纳入</t>
        </is>
      </c>
      <c r="K339" t="n">
        <v>1271.880907372401</v>
      </c>
      <c r="L339">
        <f>导管母表_1781!G339</f>
        <v/>
      </c>
      <c r="M339" t="inlineStr">
        <is>
          <t>视野内部</t>
        </is>
      </c>
      <c r="N339" t="inlineStr">
        <is>
          <t>纳入A/D/Dh；若有Pair_ID则纳入CWR</t>
        </is>
      </c>
      <c r="O339" t="inlineStr">
        <is>
          <t>自动管线检出的合格导管腔。</t>
        </is>
      </c>
      <c r="P339" t="inlineStr">
        <is>
          <t>auto_pipeline;review_png_green</t>
        </is>
      </c>
      <c r="R339" t="inlineStr">
        <is>
          <t>样品7</t>
        </is>
      </c>
    </row>
    <row r="340">
      <c r="A340" t="inlineStr">
        <is>
          <t>7(2)-V02</t>
        </is>
      </c>
      <c r="B340" t="inlineStr">
        <is>
          <t>7 (2).tif</t>
        </is>
      </c>
      <c r="C340" t="n">
        <v>201</v>
      </c>
      <c r="D340" t="n">
        <v>538</v>
      </c>
      <c r="E340" t="inlineStr">
        <is>
          <t>105,464,298,613</t>
        </is>
      </c>
      <c r="F340" t="n">
        <v>105</v>
      </c>
      <c r="G340" t="inlineStr">
        <is>
          <t>primary</t>
        </is>
      </c>
      <c r="H340" t="inlineStr">
        <is>
          <t>AUTO_VESSEL</t>
        </is>
      </c>
      <c r="I340" t="inlineStr">
        <is>
          <t>是</t>
        </is>
      </c>
      <c r="J340" t="inlineStr">
        <is>
          <t>纳入</t>
        </is>
      </c>
      <c r="K340" t="n">
        <v>1053.638941398866</v>
      </c>
      <c r="L340">
        <f>导管母表_1781!G340</f>
        <v/>
      </c>
      <c r="M340" t="inlineStr">
        <is>
          <t>视野内部</t>
        </is>
      </c>
      <c r="N340" t="inlineStr">
        <is>
          <t>纳入A/D/Dh；若有Pair_ID则纳入CWR</t>
        </is>
      </c>
      <c r="O340" t="inlineStr">
        <is>
          <t>自动管线检出的合格导管腔。</t>
        </is>
      </c>
      <c r="P340" t="inlineStr">
        <is>
          <t>auto_pipeline;review_png_green</t>
        </is>
      </c>
      <c r="R340" t="inlineStr">
        <is>
          <t>样品7</t>
        </is>
      </c>
    </row>
    <row r="341">
      <c r="A341" t="inlineStr">
        <is>
          <t>7(2)-V03</t>
        </is>
      </c>
      <c r="B341" t="inlineStr">
        <is>
          <t>7 (2).tif</t>
        </is>
      </c>
      <c r="C341" t="n">
        <v>640</v>
      </c>
      <c r="D341" t="n">
        <v>428</v>
      </c>
      <c r="E341" t="inlineStr">
        <is>
          <t>560,342,721,515</t>
        </is>
      </c>
      <c r="F341" t="n">
        <v>253</v>
      </c>
      <c r="G341" t="inlineStr">
        <is>
          <t>primary</t>
        </is>
      </c>
      <c r="H341" t="inlineStr">
        <is>
          <t>AUTO_VESSEL</t>
        </is>
      </c>
      <c r="I341" t="inlineStr">
        <is>
          <t>是</t>
        </is>
      </c>
      <c r="J341" t="inlineStr">
        <is>
          <t>纳入</t>
        </is>
      </c>
      <c r="K341" t="n">
        <v>1019.801512287335</v>
      </c>
      <c r="L341">
        <f>导管母表_1781!G341</f>
        <v/>
      </c>
      <c r="M341" t="inlineStr">
        <is>
          <t>视野内部</t>
        </is>
      </c>
      <c r="N341" t="inlineStr">
        <is>
          <t>纳入A/D/Dh；若有Pair_ID则纳入CWR</t>
        </is>
      </c>
      <c r="O341" t="inlineStr">
        <is>
          <t>自动管线检出的合格导管腔。</t>
        </is>
      </c>
      <c r="P341" t="inlineStr">
        <is>
          <t>auto_pipeline;review_png_green</t>
        </is>
      </c>
      <c r="R341" t="inlineStr">
        <is>
          <t>样品7</t>
        </is>
      </c>
    </row>
    <row r="342">
      <c r="A342" t="inlineStr">
        <is>
          <t>7(2)-V04</t>
        </is>
      </c>
      <c r="B342" t="inlineStr">
        <is>
          <t>7 (2).tif</t>
        </is>
      </c>
      <c r="C342" t="n">
        <v>881</v>
      </c>
      <c r="D342" t="n">
        <v>156</v>
      </c>
      <c r="E342" t="inlineStr">
        <is>
          <t>802,101,961,212</t>
        </is>
      </c>
      <c r="F342" t="n">
        <v>63</v>
      </c>
      <c r="G342" t="inlineStr">
        <is>
          <t>primary</t>
        </is>
      </c>
      <c r="H342" t="inlineStr">
        <is>
          <t>AUTO_VESSEL</t>
        </is>
      </c>
      <c r="I342" t="inlineStr">
        <is>
          <t>是</t>
        </is>
      </c>
      <c r="J342" t="inlineStr">
        <is>
          <t>纳入</t>
        </is>
      </c>
      <c r="K342" t="n">
        <v>629.6313799621928</v>
      </c>
      <c r="L342">
        <f>导管母表_1781!G342</f>
        <v/>
      </c>
      <c r="M342" t="inlineStr">
        <is>
          <t>视野内部</t>
        </is>
      </c>
      <c r="N342" t="inlineStr">
        <is>
          <t>纳入A/D/Dh；若有Pair_ID则纳入CWR</t>
        </is>
      </c>
      <c r="O342" t="inlineStr">
        <is>
          <t>自动管线检出的合格导管腔。</t>
        </is>
      </c>
      <c r="P342" t="inlineStr">
        <is>
          <t>auto_pipeline;review_png_green</t>
        </is>
      </c>
      <c r="R342" t="inlineStr">
        <is>
          <t>样品7</t>
        </is>
      </c>
    </row>
    <row r="343">
      <c r="A343" t="inlineStr">
        <is>
          <t>7(2)-V05</t>
        </is>
      </c>
      <c r="B343" t="inlineStr">
        <is>
          <t>7 (2).tif</t>
        </is>
      </c>
      <c r="C343" t="n">
        <v>693</v>
      </c>
      <c r="D343" t="n">
        <v>92</v>
      </c>
      <c r="E343" t="inlineStr">
        <is>
          <t>652,43,735,142</t>
        </is>
      </c>
      <c r="F343" t="n">
        <v>43</v>
      </c>
      <c r="G343" t="inlineStr">
        <is>
          <t>primary</t>
        </is>
      </c>
      <c r="H343" t="inlineStr">
        <is>
          <t>AUTO_VESSEL</t>
        </is>
      </c>
      <c r="I343" t="inlineStr">
        <is>
          <t>是</t>
        </is>
      </c>
      <c r="J343" t="inlineStr">
        <is>
          <t>纳入</t>
        </is>
      </c>
      <c r="K343" t="n">
        <v>298.7240075614367</v>
      </c>
      <c r="L343">
        <f>导管母表_1781!G343</f>
        <v/>
      </c>
      <c r="M343" t="inlineStr">
        <is>
          <t>视野内部</t>
        </is>
      </c>
      <c r="N343" t="inlineStr">
        <is>
          <t>纳入A/D/Dh；若有Pair_ID则纳入CWR</t>
        </is>
      </c>
      <c r="O343" t="inlineStr">
        <is>
          <t>自动管线检出的合格导管腔。</t>
        </is>
      </c>
      <c r="P343" t="inlineStr">
        <is>
          <t>auto_pipeline;review_png_green</t>
        </is>
      </c>
      <c r="R343" t="inlineStr">
        <is>
          <t>样品7</t>
        </is>
      </c>
    </row>
    <row r="344">
      <c r="A344" t="inlineStr">
        <is>
          <t>7(3)-V01</t>
        </is>
      </c>
      <c r="B344" t="inlineStr">
        <is>
          <t>7 (3).tif</t>
        </is>
      </c>
      <c r="C344" t="n">
        <v>614</v>
      </c>
      <c r="D344" t="n">
        <v>321</v>
      </c>
      <c r="E344" t="inlineStr">
        <is>
          <t>508,232,721,411</t>
        </is>
      </c>
      <c r="F344" t="n">
        <v>232</v>
      </c>
      <c r="G344" t="inlineStr">
        <is>
          <t>primary</t>
        </is>
      </c>
      <c r="H344" t="inlineStr">
        <is>
          <t>AUTO_VESSEL</t>
        </is>
      </c>
      <c r="I344" t="inlineStr">
        <is>
          <t>是</t>
        </is>
      </c>
      <c r="J344" t="inlineStr">
        <is>
          <t>纳入</t>
        </is>
      </c>
      <c r="K344" t="n">
        <v>1390.359168241966</v>
      </c>
      <c r="L344">
        <f>导管母表_1781!G344</f>
        <v/>
      </c>
      <c r="M344" t="inlineStr">
        <is>
          <t>视野内部</t>
        </is>
      </c>
      <c r="N344" t="inlineStr">
        <is>
          <t>纳入A/D/Dh；若有Pair_ID则纳入CWR</t>
        </is>
      </c>
      <c r="O344" t="inlineStr">
        <is>
          <t>自动管线检出的合格导管腔。</t>
        </is>
      </c>
      <c r="P344" t="inlineStr">
        <is>
          <t>auto_pipeline;review_png_green</t>
        </is>
      </c>
      <c r="R344" t="inlineStr">
        <is>
          <t>样品7</t>
        </is>
      </c>
    </row>
    <row r="345">
      <c r="A345" t="inlineStr">
        <is>
          <t>7(3)-V02</t>
        </is>
      </c>
      <c r="B345" t="inlineStr">
        <is>
          <t>7 (3).tif</t>
        </is>
      </c>
      <c r="C345" t="n">
        <v>500</v>
      </c>
      <c r="D345" t="n">
        <v>112</v>
      </c>
      <c r="E345" t="inlineStr">
        <is>
          <t>464,83,537,142</t>
        </is>
      </c>
      <c r="F345" t="n">
        <v>83</v>
      </c>
      <c r="G345" t="inlineStr">
        <is>
          <t>primary</t>
        </is>
      </c>
      <c r="H345" t="inlineStr">
        <is>
          <t>AUTO_VESSEL</t>
        </is>
      </c>
      <c r="I345" t="inlineStr">
        <is>
          <t>是</t>
        </is>
      </c>
      <c r="J345" t="inlineStr">
        <is>
          <t>纳入</t>
        </is>
      </c>
      <c r="K345" t="n">
        <v>147.3062381852552</v>
      </c>
      <c r="L345">
        <f>导管母表_1781!G345</f>
        <v/>
      </c>
      <c r="M345" t="inlineStr">
        <is>
          <t>视野内部</t>
        </is>
      </c>
      <c r="N345" t="inlineStr">
        <is>
          <t>纳入A/D/Dh；若有Pair_ID则纳入CWR</t>
        </is>
      </c>
      <c r="O345" t="inlineStr">
        <is>
          <t>自动管线检出的合格导管腔。</t>
        </is>
      </c>
      <c r="P345" t="inlineStr">
        <is>
          <t>auto_pipeline;review_png_green</t>
        </is>
      </c>
      <c r="R345" t="inlineStr">
        <is>
          <t>样品7</t>
        </is>
      </c>
    </row>
    <row r="346">
      <c r="A346" t="inlineStr">
        <is>
          <t>7(3)-V03</t>
        </is>
      </c>
      <c r="B346" t="inlineStr">
        <is>
          <t>7 (3).tif</t>
        </is>
      </c>
      <c r="C346" t="n">
        <v>841</v>
      </c>
      <c r="D346" t="n">
        <v>366</v>
      </c>
      <c r="E346" t="inlineStr">
        <is>
          <t>811,332,872,401</t>
        </is>
      </c>
      <c r="F346" t="n">
        <v>152</v>
      </c>
      <c r="G346" t="inlineStr">
        <is>
          <t>primary</t>
        </is>
      </c>
      <c r="H346" t="inlineStr">
        <is>
          <t>AUTO_VESSEL</t>
        </is>
      </c>
      <c r="I346" t="inlineStr">
        <is>
          <t>是</t>
        </is>
      </c>
      <c r="J346" t="inlineStr">
        <is>
          <t>纳入</t>
        </is>
      </c>
      <c r="K346" t="n">
        <v>140.9499054820416</v>
      </c>
      <c r="L346">
        <f>导管母表_1781!G346</f>
        <v/>
      </c>
      <c r="M346" t="inlineStr">
        <is>
          <t>视野内部</t>
        </is>
      </c>
      <c r="N346" t="inlineStr">
        <is>
          <t>纳入A/D/Dh；若有Pair_ID则纳入CWR</t>
        </is>
      </c>
      <c r="O346" t="inlineStr">
        <is>
          <t>自动管线检出的合格导管腔。</t>
        </is>
      </c>
      <c r="P346" t="inlineStr">
        <is>
          <t>auto_pipeline;review_png_green</t>
        </is>
      </c>
      <c r="R346" t="inlineStr">
        <is>
          <t>样品7</t>
        </is>
      </c>
    </row>
    <row r="347">
      <c r="A347" t="inlineStr">
        <is>
          <t>7(4)-V01</t>
        </is>
      </c>
      <c r="B347" t="inlineStr">
        <is>
          <t>7 (4).tif</t>
        </is>
      </c>
      <c r="C347" t="n">
        <v>609</v>
      </c>
      <c r="D347" t="n">
        <v>384</v>
      </c>
      <c r="E347" t="inlineStr">
        <is>
          <t>506,295,713,474</t>
        </is>
      </c>
      <c r="F347" t="n">
        <v>294</v>
      </c>
      <c r="G347" t="inlineStr">
        <is>
          <t>primary</t>
        </is>
      </c>
      <c r="H347" t="inlineStr">
        <is>
          <t>AUTO_VESSEL</t>
        </is>
      </c>
      <c r="I347" t="inlineStr">
        <is>
          <t>是</t>
        </is>
      </c>
      <c r="J347" t="inlineStr">
        <is>
          <t>纳入</t>
        </is>
      </c>
      <c r="K347" t="n">
        <v>1360.46786389414</v>
      </c>
      <c r="L347">
        <f>导管母表_1781!G347</f>
        <v/>
      </c>
      <c r="M347" t="inlineStr">
        <is>
          <t>视野内部</t>
        </is>
      </c>
      <c r="N347" t="inlineStr">
        <is>
          <t>纳入A/D/Dh；若有Pair_ID则纳入CWR</t>
        </is>
      </c>
      <c r="O347" t="inlineStr">
        <is>
          <t>自动管线检出的合格导管腔。</t>
        </is>
      </c>
      <c r="P347" t="inlineStr">
        <is>
          <t>auto_pipeline;review_png_green</t>
        </is>
      </c>
      <c r="Q347" t="inlineStr">
        <is>
          <t>7(4)-P01</t>
        </is>
      </c>
      <c r="R347" t="inlineStr">
        <is>
          <t>样品7</t>
        </is>
      </c>
    </row>
    <row r="348">
      <c r="A348" t="inlineStr">
        <is>
          <t>7(4)-V02</t>
        </is>
      </c>
      <c r="B348" t="inlineStr">
        <is>
          <t>7 (4).tif</t>
        </is>
      </c>
      <c r="C348" t="n">
        <v>440</v>
      </c>
      <c r="D348" t="n">
        <v>244</v>
      </c>
      <c r="E348" t="inlineStr">
        <is>
          <t>354,159,527,330</t>
        </is>
      </c>
      <c r="F348" t="n">
        <v>159</v>
      </c>
      <c r="G348" t="inlineStr">
        <is>
          <t>primary</t>
        </is>
      </c>
      <c r="H348" t="inlineStr">
        <is>
          <t>AUTO_VESSEL</t>
        </is>
      </c>
      <c r="I348" t="inlineStr">
        <is>
          <t>是</t>
        </is>
      </c>
      <c r="J348" t="inlineStr">
        <is>
          <t>纳入</t>
        </is>
      </c>
      <c r="K348" t="n">
        <v>1083.790170132325</v>
      </c>
      <c r="L348">
        <f>导管母表_1781!G348</f>
        <v/>
      </c>
      <c r="M348" t="inlineStr">
        <is>
          <t>视野内部</t>
        </is>
      </c>
      <c r="N348" t="inlineStr">
        <is>
          <t>纳入A/D/Dh；若有Pair_ID则纳入CWR</t>
        </is>
      </c>
      <c r="O348" t="inlineStr">
        <is>
          <t>自动管线检出的合格导管腔。</t>
        </is>
      </c>
      <c r="P348" t="inlineStr">
        <is>
          <t>auto_pipeline;review_png_green</t>
        </is>
      </c>
      <c r="Q348" t="inlineStr">
        <is>
          <t>7(4)-P01</t>
        </is>
      </c>
      <c r="R348" t="inlineStr">
        <is>
          <t>样品7</t>
        </is>
      </c>
    </row>
    <row r="349">
      <c r="A349" t="inlineStr">
        <is>
          <t>7(4)-V03</t>
        </is>
      </c>
      <c r="B349" t="inlineStr">
        <is>
          <t>7 (4).tif</t>
        </is>
      </c>
      <c r="C349" t="n">
        <v>138</v>
      </c>
      <c r="D349" t="n">
        <v>141</v>
      </c>
      <c r="E349" t="inlineStr">
        <is>
          <t>108,107,169,176</t>
        </is>
      </c>
      <c r="F349" t="n">
        <v>107</v>
      </c>
      <c r="G349" t="inlineStr">
        <is>
          <t>primary</t>
        </is>
      </c>
      <c r="H349" t="inlineStr">
        <is>
          <t>AUTO_VESSEL</t>
        </is>
      </c>
      <c r="I349" t="inlineStr">
        <is>
          <t>是</t>
        </is>
      </c>
      <c r="J349" t="inlineStr">
        <is>
          <t>纳入</t>
        </is>
      </c>
      <c r="K349" t="n">
        <v>140.9735349716446</v>
      </c>
      <c r="L349">
        <f>导管母表_1781!G349</f>
        <v/>
      </c>
      <c r="M349" t="inlineStr">
        <is>
          <t>视野内部</t>
        </is>
      </c>
      <c r="N349" t="inlineStr">
        <is>
          <t>纳入A/D/Dh；若有Pair_ID则纳入CWR</t>
        </is>
      </c>
      <c r="O349" t="inlineStr">
        <is>
          <t>自动管线检出的合格导管腔。</t>
        </is>
      </c>
      <c r="P349" t="inlineStr">
        <is>
          <t>auto_pipeline;review_png_green</t>
        </is>
      </c>
      <c r="R349" t="inlineStr">
        <is>
          <t>样品7</t>
        </is>
      </c>
    </row>
    <row r="350">
      <c r="A350" t="inlineStr">
        <is>
          <t>7(5)-V01</t>
        </is>
      </c>
      <c r="B350" t="inlineStr">
        <is>
          <t>7 (5).tif</t>
        </is>
      </c>
      <c r="C350" t="n">
        <v>443</v>
      </c>
      <c r="D350" t="n">
        <v>504</v>
      </c>
      <c r="E350" t="inlineStr">
        <is>
          <t>345,404,542,605</t>
        </is>
      </c>
      <c r="F350" t="n">
        <v>163</v>
      </c>
      <c r="G350" t="inlineStr">
        <is>
          <t>primary</t>
        </is>
      </c>
      <c r="H350" t="inlineStr">
        <is>
          <t>AUTO_VESSEL</t>
        </is>
      </c>
      <c r="I350" t="inlineStr">
        <is>
          <t>是</t>
        </is>
      </c>
      <c r="J350" t="inlineStr">
        <is>
          <t>纳入</t>
        </is>
      </c>
      <c r="K350" t="n">
        <v>1451.654064272212</v>
      </c>
      <c r="L350">
        <f>导管母表_1781!G350</f>
        <v/>
      </c>
      <c r="M350" t="inlineStr">
        <is>
          <t>视野内部</t>
        </is>
      </c>
      <c r="N350" t="inlineStr">
        <is>
          <t>纳入A/D/Dh；若有Pair_ID则纳入CWR</t>
        </is>
      </c>
      <c r="O350" t="inlineStr">
        <is>
          <t>自动管线检出的合格导管腔。</t>
        </is>
      </c>
      <c r="P350" t="inlineStr">
        <is>
          <t>auto_pipeline;review_png_green</t>
        </is>
      </c>
      <c r="R350" t="inlineStr">
        <is>
          <t>样品7</t>
        </is>
      </c>
    </row>
    <row r="351">
      <c r="A351" t="inlineStr">
        <is>
          <t>7(5)-V02</t>
        </is>
      </c>
      <c r="B351" t="inlineStr">
        <is>
          <t>7 (5).tif</t>
        </is>
      </c>
      <c r="C351" t="n">
        <v>524</v>
      </c>
      <c r="D351" t="n">
        <v>224</v>
      </c>
      <c r="E351" t="inlineStr">
        <is>
          <t>450,144,599,305</t>
        </is>
      </c>
      <c r="F351" t="n">
        <v>144</v>
      </c>
      <c r="G351" t="inlineStr">
        <is>
          <t>primary</t>
        </is>
      </c>
      <c r="H351" t="inlineStr">
        <is>
          <t>AUTO_VESSEL</t>
        </is>
      </c>
      <c r="I351" t="inlineStr">
        <is>
          <t>是</t>
        </is>
      </c>
      <c r="J351" t="inlineStr">
        <is>
          <t>纳入</t>
        </is>
      </c>
      <c r="K351" t="n">
        <v>878.2136105860113</v>
      </c>
      <c r="L351">
        <f>导管母表_1781!G351</f>
        <v/>
      </c>
      <c r="M351" t="inlineStr">
        <is>
          <t>视野内部</t>
        </is>
      </c>
      <c r="N351" t="inlineStr">
        <is>
          <t>纳入A/D/Dh；若有Pair_ID则纳入CWR</t>
        </is>
      </c>
      <c r="O351" t="inlineStr">
        <is>
          <t>自动管线检出的合格导管腔。</t>
        </is>
      </c>
      <c r="P351" t="inlineStr">
        <is>
          <t>auto_pipeline;review_png_green</t>
        </is>
      </c>
      <c r="R351" t="inlineStr">
        <is>
          <t>样品7</t>
        </is>
      </c>
    </row>
    <row r="352">
      <c r="A352" t="inlineStr">
        <is>
          <t>7(5)-V03</t>
        </is>
      </c>
      <c r="B352" t="inlineStr">
        <is>
          <t>7 (5).tif</t>
        </is>
      </c>
      <c r="C352" t="n">
        <v>639</v>
      </c>
      <c r="D352" t="n">
        <v>196</v>
      </c>
      <c r="E352" t="inlineStr">
        <is>
          <t>610,156,669,237</t>
        </is>
      </c>
      <c r="F352" t="n">
        <v>156</v>
      </c>
      <c r="G352" t="inlineStr">
        <is>
          <t>primary</t>
        </is>
      </c>
      <c r="H352" t="inlineStr">
        <is>
          <t>AUTO_VESSEL</t>
        </is>
      </c>
      <c r="I352" t="inlineStr">
        <is>
          <t>是</t>
        </is>
      </c>
      <c r="J352" t="inlineStr">
        <is>
          <t>纳入</t>
        </is>
      </c>
      <c r="K352" t="n">
        <v>153.6625708884688</v>
      </c>
      <c r="L352">
        <f>导管母表_1781!G352</f>
        <v/>
      </c>
      <c r="M352" t="inlineStr">
        <is>
          <t>视野内部</t>
        </is>
      </c>
      <c r="N352" t="inlineStr">
        <is>
          <t>纳入A/D/Dh；若有Pair_ID则纳入CWR</t>
        </is>
      </c>
      <c r="O352" t="inlineStr">
        <is>
          <t>自动管线检出的合格导管腔。</t>
        </is>
      </c>
      <c r="P352" t="inlineStr">
        <is>
          <t>auto_pipeline;review_png_green</t>
        </is>
      </c>
      <c r="R352" t="inlineStr">
        <is>
          <t>样品7</t>
        </is>
      </c>
    </row>
    <row r="353">
      <c r="A353" t="inlineStr">
        <is>
          <t>7(5)-V04</t>
        </is>
      </c>
      <c r="B353" t="inlineStr">
        <is>
          <t>7 (5).tif</t>
        </is>
      </c>
      <c r="C353" t="n">
        <v>668</v>
      </c>
      <c r="D353" t="n">
        <v>259</v>
      </c>
      <c r="E353" t="inlineStr">
        <is>
          <t>622,231,715,288</t>
        </is>
      </c>
      <c r="F353" t="n">
        <v>231</v>
      </c>
      <c r="G353" t="inlineStr">
        <is>
          <t>primary</t>
        </is>
      </c>
      <c r="H353" t="inlineStr">
        <is>
          <t>AUTO_VESSEL</t>
        </is>
      </c>
      <c r="I353" t="inlineStr">
        <is>
          <t>是</t>
        </is>
      </c>
      <c r="J353" t="inlineStr">
        <is>
          <t>纳入</t>
        </is>
      </c>
      <c r="K353" t="n">
        <v>136.3894139886579</v>
      </c>
      <c r="L353">
        <f>导管母表_1781!G353</f>
        <v/>
      </c>
      <c r="M353" t="inlineStr">
        <is>
          <t>视野内部</t>
        </is>
      </c>
      <c r="N353" t="inlineStr">
        <is>
          <t>纳入A/D/Dh；若有Pair_ID则纳入CWR</t>
        </is>
      </c>
      <c r="O353" t="inlineStr">
        <is>
          <t>自动管线检出的合格导管腔。</t>
        </is>
      </c>
      <c r="P353" t="inlineStr">
        <is>
          <t>auto_pipeline;review_png_green</t>
        </is>
      </c>
      <c r="R353" t="inlineStr">
        <is>
          <t>样品7</t>
        </is>
      </c>
    </row>
    <row r="354">
      <c r="A354" t="inlineStr">
        <is>
          <t>7(5)-V05</t>
        </is>
      </c>
      <c r="B354" t="inlineStr">
        <is>
          <t>7 (5).tif</t>
        </is>
      </c>
      <c r="C354" t="n">
        <v>268</v>
      </c>
      <c r="D354" t="n">
        <v>385</v>
      </c>
      <c r="E354" t="inlineStr">
        <is>
          <t>218,366,319,405</t>
        </is>
      </c>
      <c r="F354" t="n">
        <v>218</v>
      </c>
      <c r="G354" t="inlineStr">
        <is>
          <t>primary</t>
        </is>
      </c>
      <c r="H354" t="inlineStr">
        <is>
          <t>AUTO_VESSEL</t>
        </is>
      </c>
      <c r="I354" t="inlineStr">
        <is>
          <t>是</t>
        </is>
      </c>
      <c r="J354" t="inlineStr">
        <is>
          <t>纳入</t>
        </is>
      </c>
      <c r="K354" t="n">
        <v>128.6862003780718</v>
      </c>
      <c r="L354">
        <f>导管母表_1781!G354</f>
        <v/>
      </c>
      <c r="M354" t="inlineStr">
        <is>
          <t>视野内部</t>
        </is>
      </c>
      <c r="N354" t="inlineStr">
        <is>
          <t>纳入A/D/Dh；若有Pair_ID则纳入CWR</t>
        </is>
      </c>
      <c r="O354" t="inlineStr">
        <is>
          <t>自动管线检出的合格导管腔。</t>
        </is>
      </c>
      <c r="P354" t="inlineStr">
        <is>
          <t>auto_pipeline;review_png_green</t>
        </is>
      </c>
      <c r="R354" t="inlineStr">
        <is>
          <t>样品7</t>
        </is>
      </c>
    </row>
    <row r="355">
      <c r="A355" t="inlineStr">
        <is>
          <t>7(6)-V01</t>
        </is>
      </c>
      <c r="B355" t="inlineStr">
        <is>
          <t>7 (6).tif</t>
        </is>
      </c>
      <c r="C355" t="n">
        <v>561</v>
      </c>
      <c r="D355" t="n">
        <v>210</v>
      </c>
      <c r="E355" t="inlineStr">
        <is>
          <t>466,117,657,304</t>
        </is>
      </c>
      <c r="F355" t="n">
        <v>117</v>
      </c>
      <c r="G355" t="inlineStr">
        <is>
          <t>primary</t>
        </is>
      </c>
      <c r="H355" t="inlineStr">
        <is>
          <t>AUTO_VESSEL</t>
        </is>
      </c>
      <c r="I355" t="inlineStr">
        <is>
          <t>是</t>
        </is>
      </c>
      <c r="J355" t="inlineStr">
        <is>
          <t>纳入</t>
        </is>
      </c>
      <c r="K355" t="n">
        <v>1302.622873345936</v>
      </c>
      <c r="L355">
        <f>导管母表_1781!G355</f>
        <v/>
      </c>
      <c r="M355" t="inlineStr">
        <is>
          <t>视野内部</t>
        </is>
      </c>
      <c r="N355" t="inlineStr">
        <is>
          <t>纳入A/D/Dh；若有Pair_ID则纳入CWR</t>
        </is>
      </c>
      <c r="O355" t="inlineStr">
        <is>
          <t>自动管线检出的合格导管腔。</t>
        </is>
      </c>
      <c r="P355" t="inlineStr">
        <is>
          <t>auto_pipeline;review_png_green</t>
        </is>
      </c>
      <c r="R355" t="inlineStr">
        <is>
          <t>样品7</t>
        </is>
      </c>
    </row>
    <row r="356">
      <c r="A356" t="inlineStr">
        <is>
          <t>7(6)-V02</t>
        </is>
      </c>
      <c r="B356" t="inlineStr">
        <is>
          <t>7 (6).tif</t>
        </is>
      </c>
      <c r="C356" t="n">
        <v>468</v>
      </c>
      <c r="D356" t="n">
        <v>412</v>
      </c>
      <c r="E356" t="inlineStr">
        <is>
          <t>387,338,550,487</t>
        </is>
      </c>
      <c r="F356" t="n">
        <v>281</v>
      </c>
      <c r="G356" t="inlineStr">
        <is>
          <t>primary</t>
        </is>
      </c>
      <c r="H356" t="inlineStr">
        <is>
          <t>AUTO_VESSEL</t>
        </is>
      </c>
      <c r="I356" t="inlineStr">
        <is>
          <t>是</t>
        </is>
      </c>
      <c r="J356" t="inlineStr">
        <is>
          <t>纳入</t>
        </is>
      </c>
      <c r="K356" t="n">
        <v>887.6181474480152</v>
      </c>
      <c r="L356">
        <f>导管母表_1781!G356</f>
        <v/>
      </c>
      <c r="M356" t="inlineStr">
        <is>
          <t>视野内部</t>
        </is>
      </c>
      <c r="N356" t="inlineStr">
        <is>
          <t>纳入A/D/Dh；若有Pair_ID则纳入CWR</t>
        </is>
      </c>
      <c r="O356" t="inlineStr">
        <is>
          <t>自动管线检出的合格导管腔。</t>
        </is>
      </c>
      <c r="P356" t="inlineStr">
        <is>
          <t>auto_pipeline;review_png_green</t>
        </is>
      </c>
      <c r="R356" t="inlineStr">
        <is>
          <t>样品7</t>
        </is>
      </c>
    </row>
    <row r="357">
      <c r="A357" t="inlineStr">
        <is>
          <t>7(6)-V03</t>
        </is>
      </c>
      <c r="B357" t="inlineStr">
        <is>
          <t>7 (6).tif</t>
        </is>
      </c>
      <c r="C357" t="n">
        <v>909</v>
      </c>
      <c r="D357" t="n">
        <v>142</v>
      </c>
      <c r="E357" t="inlineStr">
        <is>
          <t>876,115,943,170</t>
        </is>
      </c>
      <c r="F357" t="n">
        <v>81</v>
      </c>
      <c r="G357" t="inlineStr">
        <is>
          <t>primary</t>
        </is>
      </c>
      <c r="H357" t="inlineStr">
        <is>
          <t>AUTO_VESSEL</t>
        </is>
      </c>
      <c r="I357" t="inlineStr">
        <is>
          <t>是</t>
        </is>
      </c>
      <c r="J357" t="inlineStr">
        <is>
          <t>纳入</t>
        </is>
      </c>
      <c r="K357" t="n">
        <v>112.547258979206</v>
      </c>
      <c r="L357">
        <f>导管母表_1781!G357</f>
        <v/>
      </c>
      <c r="M357" t="inlineStr">
        <is>
          <t>视野内部</t>
        </is>
      </c>
      <c r="N357" t="inlineStr">
        <is>
          <t>纳入A/D/Dh；若有Pair_ID则纳入CWR</t>
        </is>
      </c>
      <c r="O357" t="inlineStr">
        <is>
          <t>自动管线检出的合格导管腔。</t>
        </is>
      </c>
      <c r="P357" t="inlineStr">
        <is>
          <t>auto_pipeline;review_png_green</t>
        </is>
      </c>
      <c r="R357" t="inlineStr">
        <is>
          <t>样品7</t>
        </is>
      </c>
    </row>
    <row r="358">
      <c r="A358" t="inlineStr">
        <is>
          <t>7(7)-V01</t>
        </is>
      </c>
      <c r="B358" t="inlineStr">
        <is>
          <t>7 (7).tif</t>
        </is>
      </c>
      <c r="C358" t="n">
        <v>419</v>
      </c>
      <c r="D358" t="n">
        <v>454</v>
      </c>
      <c r="E358" t="inlineStr">
        <is>
          <t>334,371,505,538</t>
        </is>
      </c>
      <c r="F358" t="n">
        <v>230</v>
      </c>
      <c r="G358" t="inlineStr">
        <is>
          <t>primary</t>
        </is>
      </c>
      <c r="H358" t="inlineStr">
        <is>
          <t>AUTO_VESSEL</t>
        </is>
      </c>
      <c r="I358" t="inlineStr">
        <is>
          <t>是</t>
        </is>
      </c>
      <c r="J358" t="inlineStr">
        <is>
          <t>纳入</t>
        </is>
      </c>
      <c r="K358" t="n">
        <v>1047.258979206049</v>
      </c>
      <c r="L358">
        <f>导管母表_1781!G358</f>
        <v/>
      </c>
      <c r="M358" t="inlineStr">
        <is>
          <t>视野内部</t>
        </is>
      </c>
      <c r="N358" t="inlineStr">
        <is>
          <t>纳入A/D/Dh；若有Pair_ID则纳入CWR</t>
        </is>
      </c>
      <c r="O358" t="inlineStr">
        <is>
          <t>自动管线检出的合格导管腔。</t>
        </is>
      </c>
      <c r="P358" t="inlineStr">
        <is>
          <t>auto_pipeline;review_png_green</t>
        </is>
      </c>
      <c r="Q358" t="inlineStr">
        <is>
          <t>7(7)-P01</t>
        </is>
      </c>
      <c r="R358" t="inlineStr">
        <is>
          <t>样品7</t>
        </is>
      </c>
    </row>
    <row r="359">
      <c r="A359" t="inlineStr">
        <is>
          <t>7(7)-V02</t>
        </is>
      </c>
      <c r="B359" t="inlineStr">
        <is>
          <t>7 (7).tif</t>
        </is>
      </c>
      <c r="C359" t="n">
        <v>514</v>
      </c>
      <c r="D359" t="n">
        <v>284</v>
      </c>
      <c r="E359" t="inlineStr">
        <is>
          <t>432,208,597,361</t>
        </is>
      </c>
      <c r="F359" t="n">
        <v>208</v>
      </c>
      <c r="G359" t="inlineStr">
        <is>
          <t>primary</t>
        </is>
      </c>
      <c r="H359" t="inlineStr">
        <is>
          <t>AUTO_VESSEL</t>
        </is>
      </c>
      <c r="I359" t="inlineStr">
        <is>
          <t>是</t>
        </is>
      </c>
      <c r="J359" t="inlineStr">
        <is>
          <t>纳入</t>
        </is>
      </c>
      <c r="K359" t="n">
        <v>923.133270321361</v>
      </c>
      <c r="L359">
        <f>导管母表_1781!G359</f>
        <v/>
      </c>
      <c r="M359" t="inlineStr">
        <is>
          <t>视野内部</t>
        </is>
      </c>
      <c r="N359" t="inlineStr">
        <is>
          <t>纳入A/D/Dh；若有Pair_ID则纳入CWR</t>
        </is>
      </c>
      <c r="O359" t="inlineStr">
        <is>
          <t>自动管线检出的合格导管腔。</t>
        </is>
      </c>
      <c r="P359" t="inlineStr">
        <is>
          <t>auto_pipeline;review_png_green</t>
        </is>
      </c>
      <c r="Q359" t="inlineStr">
        <is>
          <t>7(7)-P01</t>
        </is>
      </c>
      <c r="R359" t="inlineStr">
        <is>
          <t>样品7</t>
        </is>
      </c>
    </row>
    <row r="360">
      <c r="A360" t="inlineStr">
        <is>
          <t>7(7)-V03</t>
        </is>
      </c>
      <c r="B360" t="inlineStr">
        <is>
          <t>7 (7).tif</t>
        </is>
      </c>
      <c r="C360" t="n">
        <v>267</v>
      </c>
      <c r="D360" t="n">
        <v>454</v>
      </c>
      <c r="E360" t="inlineStr">
        <is>
          <t>239,420,296,489</t>
        </is>
      </c>
      <c r="F360" t="n">
        <v>239</v>
      </c>
      <c r="G360" t="inlineStr">
        <is>
          <t>primary</t>
        </is>
      </c>
      <c r="H360" t="inlineStr">
        <is>
          <t>AUTO_VESSEL</t>
        </is>
      </c>
      <c r="I360" t="inlineStr">
        <is>
          <t>是</t>
        </is>
      </c>
      <c r="J360" t="inlineStr">
        <is>
          <t>纳入</t>
        </is>
      </c>
      <c r="K360" t="n">
        <v>121.4319470699433</v>
      </c>
      <c r="L360">
        <f>导管母表_1781!G360</f>
        <v/>
      </c>
      <c r="M360" t="inlineStr">
        <is>
          <t>视野内部</t>
        </is>
      </c>
      <c r="N360" t="inlineStr">
        <is>
          <t>纳入A/D/Dh；若有Pair_ID则纳入CWR</t>
        </is>
      </c>
      <c r="O360" t="inlineStr">
        <is>
          <t>自动管线检出的合格导管腔。</t>
        </is>
      </c>
      <c r="P360" t="inlineStr">
        <is>
          <t>auto_pipeline;review_png_green</t>
        </is>
      </c>
      <c r="R360" t="inlineStr">
        <is>
          <t>样品7</t>
        </is>
      </c>
    </row>
    <row r="361">
      <c r="A361" t="inlineStr">
        <is>
          <t>7(8)-V01</t>
        </is>
      </c>
      <c r="B361" t="inlineStr">
        <is>
          <t>7 (8).tif</t>
        </is>
      </c>
      <c r="C361" t="n">
        <v>449</v>
      </c>
      <c r="D361" t="n">
        <v>406</v>
      </c>
      <c r="E361" t="inlineStr">
        <is>
          <t>381,343,518,470</t>
        </is>
      </c>
      <c r="F361" t="n">
        <v>298</v>
      </c>
      <c r="G361" t="inlineStr">
        <is>
          <t>primary</t>
        </is>
      </c>
      <c r="H361" t="inlineStr">
        <is>
          <t>AUTO_VESSEL</t>
        </is>
      </c>
      <c r="I361" t="inlineStr">
        <is>
          <t>是</t>
        </is>
      </c>
      <c r="J361" t="inlineStr">
        <is>
          <t>纳入</t>
        </is>
      </c>
      <c r="K361" t="n">
        <v>627.6937618147448</v>
      </c>
      <c r="L361">
        <f>导管母表_1781!G361</f>
        <v/>
      </c>
      <c r="M361" t="inlineStr">
        <is>
          <t>视野内部</t>
        </is>
      </c>
      <c r="N361" t="inlineStr">
        <is>
          <t>纳入A/D/Dh；若有Pair_ID则纳入CWR</t>
        </is>
      </c>
      <c r="O361" t="inlineStr">
        <is>
          <t>自动管线检出的合格导管腔。</t>
        </is>
      </c>
      <c r="P361" t="inlineStr">
        <is>
          <t>auto_pipeline;review_png_green</t>
        </is>
      </c>
      <c r="R361" t="inlineStr">
        <is>
          <t>样品7</t>
        </is>
      </c>
    </row>
    <row r="362">
      <c r="A362" t="inlineStr">
        <is>
          <t>8(1)-V01</t>
        </is>
      </c>
      <c r="B362" t="inlineStr">
        <is>
          <t>8 (1).tif</t>
        </is>
      </c>
      <c r="C362" t="n">
        <v>569</v>
      </c>
      <c r="D362" t="n">
        <v>319</v>
      </c>
      <c r="E362" t="inlineStr">
        <is>
          <t>485,247,654,392</t>
        </is>
      </c>
      <c r="F362" t="n">
        <v>247</v>
      </c>
      <c r="G362" t="inlineStr">
        <is>
          <t>primary</t>
        </is>
      </c>
      <c r="H362" t="inlineStr">
        <is>
          <t>AUTO_VESSEL</t>
        </is>
      </c>
      <c r="I362" t="inlineStr">
        <is>
          <t>是</t>
        </is>
      </c>
      <c r="J362" t="inlineStr">
        <is>
          <t>纳入</t>
        </is>
      </c>
      <c r="K362" t="n">
        <v>895.0141776937618</v>
      </c>
      <c r="L362">
        <f>导管母表_1781!G362</f>
        <v/>
      </c>
      <c r="M362" t="inlineStr">
        <is>
          <t>视野内部</t>
        </is>
      </c>
      <c r="N362" t="inlineStr">
        <is>
          <t>纳入A/D/Dh；若有Pair_ID则纳入CWR</t>
        </is>
      </c>
      <c r="O362" t="inlineStr">
        <is>
          <t>自动管线检出的合格导管腔。</t>
        </is>
      </c>
      <c r="P362" t="inlineStr">
        <is>
          <t>auto_pipeline;review_png_green</t>
        </is>
      </c>
      <c r="R362" t="inlineStr">
        <is>
          <t>样品8</t>
        </is>
      </c>
    </row>
    <row r="363">
      <c r="A363" t="inlineStr">
        <is>
          <t>8(1)-V02</t>
        </is>
      </c>
      <c r="B363" t="inlineStr">
        <is>
          <t>8 (1).tif</t>
        </is>
      </c>
      <c r="C363" t="n">
        <v>402</v>
      </c>
      <c r="D363" t="n">
        <v>376</v>
      </c>
      <c r="E363" t="inlineStr">
        <is>
          <t>321,306,484,447</t>
        </is>
      </c>
      <c r="F363" t="n">
        <v>306</v>
      </c>
      <c r="G363" t="inlineStr">
        <is>
          <t>primary</t>
        </is>
      </c>
      <c r="H363" t="inlineStr">
        <is>
          <t>AUTO_VESSEL</t>
        </is>
      </c>
      <c r="I363" t="inlineStr">
        <is>
          <t>是</t>
        </is>
      </c>
      <c r="J363" t="inlineStr">
        <is>
          <t>纳入</t>
        </is>
      </c>
      <c r="K363" t="n">
        <v>837.476370510397</v>
      </c>
      <c r="L363">
        <f>导管母表_1781!G363</f>
        <v/>
      </c>
      <c r="M363" t="inlineStr">
        <is>
          <t>视野内部</t>
        </is>
      </c>
      <c r="N363" t="inlineStr">
        <is>
          <t>纳入A/D/Dh；若有Pair_ID则纳入CWR</t>
        </is>
      </c>
      <c r="O363" t="inlineStr">
        <is>
          <t>自动管线检出的合格导管腔。</t>
        </is>
      </c>
      <c r="P363" t="inlineStr">
        <is>
          <t>auto_pipeline;review_png_green</t>
        </is>
      </c>
      <c r="R363" t="inlineStr">
        <is>
          <t>样品8</t>
        </is>
      </c>
    </row>
    <row r="364">
      <c r="A364" t="inlineStr">
        <is>
          <t>8(1)-V03</t>
        </is>
      </c>
      <c r="B364" t="inlineStr">
        <is>
          <t>8 (1).tif</t>
        </is>
      </c>
      <c r="C364" t="n">
        <v>166</v>
      </c>
      <c r="D364" t="n">
        <v>249</v>
      </c>
      <c r="E364" t="inlineStr">
        <is>
          <t>128,217,205,282</t>
        </is>
      </c>
      <c r="F364" t="n">
        <v>128</v>
      </c>
      <c r="G364" t="inlineStr">
        <is>
          <t>primary</t>
        </is>
      </c>
      <c r="H364" t="inlineStr">
        <is>
          <t>AUTO_VESSEL</t>
        </is>
      </c>
      <c r="I364" t="inlineStr">
        <is>
          <t>是</t>
        </is>
      </c>
      <c r="J364" t="inlineStr">
        <is>
          <t>纳入</t>
        </is>
      </c>
      <c r="K364" t="n">
        <v>174.2202268431002</v>
      </c>
      <c r="L364">
        <f>导管母表_1781!G364</f>
        <v/>
      </c>
      <c r="M364" t="inlineStr">
        <is>
          <t>视野内部</t>
        </is>
      </c>
      <c r="N364" t="inlineStr">
        <is>
          <t>纳入A/D/Dh；若有Pair_ID则纳入CWR</t>
        </is>
      </c>
      <c r="O364" t="inlineStr">
        <is>
          <t>自动管线检出的合格导管腔。</t>
        </is>
      </c>
      <c r="P364" t="inlineStr">
        <is>
          <t>auto_pipeline;review_png_green</t>
        </is>
      </c>
      <c r="R364" t="inlineStr">
        <is>
          <t>样品8</t>
        </is>
      </c>
    </row>
    <row r="365">
      <c r="A365" t="inlineStr">
        <is>
          <t>8(1)-V04</t>
        </is>
      </c>
      <c r="B365" t="inlineStr">
        <is>
          <t>8 (1).tif</t>
        </is>
      </c>
      <c r="C365" t="n">
        <v>256</v>
      </c>
      <c r="D365" t="n">
        <v>238</v>
      </c>
      <c r="E365" t="inlineStr">
        <is>
          <t>222,212,291,265</t>
        </is>
      </c>
      <c r="F365" t="n">
        <v>212</v>
      </c>
      <c r="G365" t="inlineStr">
        <is>
          <t>primary</t>
        </is>
      </c>
      <c r="H365" t="inlineStr">
        <is>
          <t>AUTO_VESSEL</t>
        </is>
      </c>
      <c r="I365" t="inlineStr">
        <is>
          <t>是</t>
        </is>
      </c>
      <c r="J365" t="inlineStr">
        <is>
          <t>纳入</t>
        </is>
      </c>
      <c r="K365" t="n">
        <v>131.2854442344045</v>
      </c>
      <c r="L365">
        <f>导管母表_1781!G365</f>
        <v/>
      </c>
      <c r="M365" t="inlineStr">
        <is>
          <t>视野内部</t>
        </is>
      </c>
      <c r="N365" t="inlineStr">
        <is>
          <t>纳入A/D/Dh；若有Pair_ID则纳入CWR</t>
        </is>
      </c>
      <c r="O365" t="inlineStr">
        <is>
          <t>自动管线检出的合格导管腔。</t>
        </is>
      </c>
      <c r="P365" t="inlineStr">
        <is>
          <t>auto_pipeline;review_png_green</t>
        </is>
      </c>
      <c r="R365" t="inlineStr">
        <is>
          <t>样品8</t>
        </is>
      </c>
    </row>
    <row r="366">
      <c r="A366" t="inlineStr">
        <is>
          <t>8(1)-V05</t>
        </is>
      </c>
      <c r="B366" t="inlineStr">
        <is>
          <t>8 (1).tif</t>
        </is>
      </c>
      <c r="C366" t="n">
        <v>819</v>
      </c>
      <c r="D366" t="n">
        <v>429</v>
      </c>
      <c r="E366" t="inlineStr">
        <is>
          <t>789,400,850,459</t>
        </is>
      </c>
      <c r="F366" t="n">
        <v>174</v>
      </c>
      <c r="G366" t="inlineStr">
        <is>
          <t>primary</t>
        </is>
      </c>
      <c r="H366" t="inlineStr">
        <is>
          <t>AUTO_VESSEL</t>
        </is>
      </c>
      <c r="I366" t="inlineStr">
        <is>
          <t>是</t>
        </is>
      </c>
      <c r="J366" t="inlineStr">
        <is>
          <t>纳入</t>
        </is>
      </c>
      <c r="K366" t="n">
        <v>114.4848771266541</v>
      </c>
      <c r="L366">
        <f>导管母表_1781!G366</f>
        <v/>
      </c>
      <c r="M366" t="inlineStr">
        <is>
          <t>视野内部</t>
        </is>
      </c>
      <c r="N366" t="inlineStr">
        <is>
          <t>纳入A/D/Dh；若有Pair_ID则纳入CWR</t>
        </is>
      </c>
      <c r="O366" t="inlineStr">
        <is>
          <t>自动管线检出的合格导管腔。</t>
        </is>
      </c>
      <c r="P366" t="inlineStr">
        <is>
          <t>auto_pipeline;review_png_green</t>
        </is>
      </c>
      <c r="R366" t="inlineStr">
        <is>
          <t>样品8</t>
        </is>
      </c>
    </row>
    <row r="367">
      <c r="A367" t="inlineStr">
        <is>
          <t>8(1)-V06</t>
        </is>
      </c>
      <c r="B367" t="inlineStr">
        <is>
          <t>8 (1).tif</t>
        </is>
      </c>
      <c r="C367" t="n">
        <v>688</v>
      </c>
      <c r="D367" t="n">
        <v>514</v>
      </c>
      <c r="E367" t="inlineStr">
        <is>
          <t>662,484,715,545</t>
        </is>
      </c>
      <c r="F367" t="n">
        <v>223</v>
      </c>
      <c r="G367" t="inlineStr">
        <is>
          <t>primary</t>
        </is>
      </c>
      <c r="H367" t="inlineStr">
        <is>
          <t>AUTO_VESSEL</t>
        </is>
      </c>
      <c r="I367" t="inlineStr">
        <is>
          <t>是</t>
        </is>
      </c>
      <c r="J367" t="inlineStr">
        <is>
          <t>纳入</t>
        </is>
      </c>
      <c r="K367" t="n">
        <v>109.664461247637</v>
      </c>
      <c r="L367">
        <f>导管母表_1781!G367</f>
        <v/>
      </c>
      <c r="M367" t="inlineStr">
        <is>
          <t>视野内部</t>
        </is>
      </c>
      <c r="N367" t="inlineStr">
        <is>
          <t>纳入A/D/Dh；若有Pair_ID则纳入CWR</t>
        </is>
      </c>
      <c r="O367" t="inlineStr">
        <is>
          <t>自动管线检出的合格导管腔。</t>
        </is>
      </c>
      <c r="P367" t="inlineStr">
        <is>
          <t>auto_pipeline;review_png_green</t>
        </is>
      </c>
      <c r="R367" t="inlineStr">
        <is>
          <t>样品8</t>
        </is>
      </c>
    </row>
    <row r="368">
      <c r="A368" t="inlineStr">
        <is>
          <t>8(2)-V01</t>
        </is>
      </c>
      <c r="B368" t="inlineStr">
        <is>
          <t>8 (2).tif</t>
        </is>
      </c>
      <c r="C368" t="n">
        <v>614</v>
      </c>
      <c r="D368" t="n">
        <v>339</v>
      </c>
      <c r="E368" t="inlineStr">
        <is>
          <t>507,264,722,415</t>
        </is>
      </c>
      <c r="F368" t="n">
        <v>264</v>
      </c>
      <c r="G368" t="inlineStr">
        <is>
          <t>primary</t>
        </is>
      </c>
      <c r="H368" t="inlineStr">
        <is>
          <t>AUTO_VESSEL</t>
        </is>
      </c>
      <c r="I368" t="inlineStr">
        <is>
          <t>是</t>
        </is>
      </c>
      <c r="J368" t="inlineStr">
        <is>
          <t>纳入</t>
        </is>
      </c>
      <c r="K368" t="n">
        <v>1164.224952741021</v>
      </c>
      <c r="L368">
        <f>导管母表_1781!G368</f>
        <v/>
      </c>
      <c r="M368" t="inlineStr">
        <is>
          <t>视野内部</t>
        </is>
      </c>
      <c r="N368" t="inlineStr">
        <is>
          <t>纳入A/D/Dh；若有Pair_ID则纳入CWR</t>
        </is>
      </c>
      <c r="O368" t="inlineStr">
        <is>
          <t>自动管线检出的合格导管腔。</t>
        </is>
      </c>
      <c r="P368" t="inlineStr">
        <is>
          <t>auto_pipeline;review_png_green</t>
        </is>
      </c>
      <c r="R368" t="inlineStr">
        <is>
          <t>样品8</t>
        </is>
      </c>
    </row>
    <row r="369">
      <c r="A369" t="inlineStr">
        <is>
          <t>8(2)-V02</t>
        </is>
      </c>
      <c r="B369" t="inlineStr">
        <is>
          <t>8 (2).tif</t>
        </is>
      </c>
      <c r="C369" t="n">
        <v>367</v>
      </c>
      <c r="D369" t="n">
        <v>338</v>
      </c>
      <c r="E369" t="inlineStr">
        <is>
          <t>279,255,456,422</t>
        </is>
      </c>
      <c r="F369" t="n">
        <v>255</v>
      </c>
      <c r="G369" t="inlineStr">
        <is>
          <t>primary</t>
        </is>
      </c>
      <c r="H369" t="inlineStr">
        <is>
          <t>AUTO_VESSEL</t>
        </is>
      </c>
      <c r="I369" t="inlineStr">
        <is>
          <t>是</t>
        </is>
      </c>
      <c r="J369" t="inlineStr">
        <is>
          <t>纳入</t>
        </is>
      </c>
      <c r="K369" t="n">
        <v>1084.073724007561</v>
      </c>
      <c r="L369">
        <f>导管母表_1781!G369</f>
        <v/>
      </c>
      <c r="M369" t="inlineStr">
        <is>
          <t>视野内部</t>
        </is>
      </c>
      <c r="N369" t="inlineStr">
        <is>
          <t>纳入A/D/Dh；若有Pair_ID则纳入CWR</t>
        </is>
      </c>
      <c r="O369" t="inlineStr">
        <is>
          <t>自动管线检出的合格导管腔。</t>
        </is>
      </c>
      <c r="P369" t="inlineStr">
        <is>
          <t>auto_pipeline;review_png_green</t>
        </is>
      </c>
      <c r="R369" t="inlineStr">
        <is>
          <t>样品8</t>
        </is>
      </c>
    </row>
    <row r="370">
      <c r="A370" t="inlineStr">
        <is>
          <t>8(2)-V03</t>
        </is>
      </c>
      <c r="B370" t="inlineStr">
        <is>
          <t>8 (2).tif</t>
        </is>
      </c>
      <c r="C370" t="n">
        <v>761</v>
      </c>
      <c r="D370" t="n">
        <v>128</v>
      </c>
      <c r="E370" t="inlineStr">
        <is>
          <t>684,75,839,182</t>
        </is>
      </c>
      <c r="F370" t="n">
        <v>75</v>
      </c>
      <c r="G370" t="inlineStr">
        <is>
          <t>primary</t>
        </is>
      </c>
      <c r="H370" t="inlineStr">
        <is>
          <t>AUTO_VESSEL</t>
        </is>
      </c>
      <c r="I370" t="inlineStr">
        <is>
          <t>是</t>
        </is>
      </c>
      <c r="J370" t="inlineStr">
        <is>
          <t>纳入</t>
        </is>
      </c>
      <c r="K370" t="n">
        <v>606.6635160680529</v>
      </c>
      <c r="L370">
        <f>导管母表_1781!G370</f>
        <v/>
      </c>
      <c r="M370" t="inlineStr">
        <is>
          <t>视野内部</t>
        </is>
      </c>
      <c r="N370" t="inlineStr">
        <is>
          <t>纳入A/D/Dh；若有Pair_ID则纳入CWR</t>
        </is>
      </c>
      <c r="O370" t="inlineStr">
        <is>
          <t>自动管线检出的合格导管腔。</t>
        </is>
      </c>
      <c r="P370" t="inlineStr">
        <is>
          <t>auto_pipeline;review_png_green</t>
        </is>
      </c>
      <c r="R370" t="inlineStr">
        <is>
          <t>样品8</t>
        </is>
      </c>
    </row>
    <row r="371">
      <c r="A371" t="inlineStr">
        <is>
          <t>8(2)-V04</t>
        </is>
      </c>
      <c r="B371" t="inlineStr">
        <is>
          <t>8 (2).tif</t>
        </is>
      </c>
      <c r="C371" t="n">
        <v>663</v>
      </c>
      <c r="D371" t="n">
        <v>485</v>
      </c>
      <c r="E371" t="inlineStr">
        <is>
          <t>617,456,710,515</t>
        </is>
      </c>
      <c r="F371" t="n">
        <v>253</v>
      </c>
      <c r="G371" t="inlineStr">
        <is>
          <t>primary</t>
        </is>
      </c>
      <c r="H371" t="inlineStr">
        <is>
          <t>AUTO_VESSEL</t>
        </is>
      </c>
      <c r="I371" t="inlineStr">
        <is>
          <t>是</t>
        </is>
      </c>
      <c r="J371" t="inlineStr">
        <is>
          <t>纳入</t>
        </is>
      </c>
      <c r="K371" t="n">
        <v>151.6068052930057</v>
      </c>
      <c r="L371">
        <f>导管母表_1781!G371</f>
        <v/>
      </c>
      <c r="M371" t="inlineStr">
        <is>
          <t>视野内部</t>
        </is>
      </c>
      <c r="N371" t="inlineStr">
        <is>
          <t>纳入A/D/Dh；若有Pair_ID则纳入CWR</t>
        </is>
      </c>
      <c r="O371" t="inlineStr">
        <is>
          <t>自动管线检出的合格导管腔。</t>
        </is>
      </c>
      <c r="P371" t="inlineStr">
        <is>
          <t>auto_pipeline;review_png_green</t>
        </is>
      </c>
      <c r="R371" t="inlineStr">
        <is>
          <t>样品8</t>
        </is>
      </c>
    </row>
    <row r="372">
      <c r="A372" t="inlineStr">
        <is>
          <t>8(2)-V05</t>
        </is>
      </c>
      <c r="B372" t="inlineStr">
        <is>
          <t>8 (2).tif</t>
        </is>
      </c>
      <c r="C372" t="n">
        <v>860</v>
      </c>
      <c r="D372" t="n">
        <v>177</v>
      </c>
      <c r="E372" t="inlineStr">
        <is>
          <t>821,152,900,203</t>
        </is>
      </c>
      <c r="F372" t="n">
        <v>124</v>
      </c>
      <c r="G372" t="inlineStr">
        <is>
          <t>primary</t>
        </is>
      </c>
      <c r="H372" t="inlineStr">
        <is>
          <t>AUTO_VESSEL</t>
        </is>
      </c>
      <c r="I372" t="inlineStr">
        <is>
          <t>是</t>
        </is>
      </c>
      <c r="J372" t="inlineStr">
        <is>
          <t>纳入</t>
        </is>
      </c>
      <c r="K372" t="n">
        <v>138.9886578449905</v>
      </c>
      <c r="L372">
        <f>导管母表_1781!G372</f>
        <v/>
      </c>
      <c r="M372" t="inlineStr">
        <is>
          <t>视野内部</t>
        </is>
      </c>
      <c r="N372" t="inlineStr">
        <is>
          <t>纳入A/D/Dh；若有Pair_ID则纳入CWR</t>
        </is>
      </c>
      <c r="O372" t="inlineStr">
        <is>
          <t>自动管线检出的合格导管腔。</t>
        </is>
      </c>
      <c r="P372" t="inlineStr">
        <is>
          <t>auto_pipeline;review_png_green</t>
        </is>
      </c>
      <c r="R372" t="inlineStr">
        <is>
          <t>样品8</t>
        </is>
      </c>
    </row>
    <row r="373">
      <c r="A373" t="inlineStr">
        <is>
          <t>8(3)-V01</t>
        </is>
      </c>
      <c r="B373" t="inlineStr">
        <is>
          <t>8 (3).tif</t>
        </is>
      </c>
      <c r="C373" t="n">
        <v>592</v>
      </c>
      <c r="D373" t="n">
        <v>292</v>
      </c>
      <c r="E373" t="inlineStr">
        <is>
          <t>497,209,688,376</t>
        </is>
      </c>
      <c r="F373" t="n">
        <v>209</v>
      </c>
      <c r="G373" t="inlineStr">
        <is>
          <t>primary</t>
        </is>
      </c>
      <c r="H373" t="inlineStr">
        <is>
          <t>AUTO_VESSEL</t>
        </is>
      </c>
      <c r="I373" t="inlineStr">
        <is>
          <t>是</t>
        </is>
      </c>
      <c r="J373" t="inlineStr">
        <is>
          <t>纳入</t>
        </is>
      </c>
      <c r="K373" t="n">
        <v>1168.856332703214</v>
      </c>
      <c r="L373">
        <f>导管母表_1781!G373</f>
        <v/>
      </c>
      <c r="M373" t="inlineStr">
        <is>
          <t>视野内部</t>
        </is>
      </c>
      <c r="N373" t="inlineStr">
        <is>
          <t>纳入A/D/Dh；若有Pair_ID则纳入CWR</t>
        </is>
      </c>
      <c r="O373" t="inlineStr">
        <is>
          <t>自动管线检出的合格导管腔。</t>
        </is>
      </c>
      <c r="P373" t="inlineStr">
        <is>
          <t>auto_pipeline;review_png_green</t>
        </is>
      </c>
      <c r="R373" t="inlineStr">
        <is>
          <t>样品8</t>
        </is>
      </c>
    </row>
    <row r="374">
      <c r="A374" t="inlineStr">
        <is>
          <t>8(3)-V02</t>
        </is>
      </c>
      <c r="B374" t="inlineStr">
        <is>
          <t>8 (3).tif</t>
        </is>
      </c>
      <c r="C374" t="n">
        <v>474</v>
      </c>
      <c r="D374" t="n">
        <v>60</v>
      </c>
      <c r="E374" t="inlineStr">
        <is>
          <t>391,4,558,117</t>
        </is>
      </c>
      <c r="F374" t="n">
        <v>4</v>
      </c>
      <c r="G374" t="inlineStr">
        <is>
          <t>primary</t>
        </is>
      </c>
      <c r="H374" t="inlineStr">
        <is>
          <t>AUTO_VESSEL</t>
        </is>
      </c>
      <c r="I374" t="inlineStr">
        <is>
          <t>是</t>
        </is>
      </c>
      <c r="J374" t="inlineStr">
        <is>
          <t>纳入</t>
        </is>
      </c>
      <c r="K374" t="n">
        <v>655.4820415879017</v>
      </c>
      <c r="L374">
        <f>导管母表_1781!G374</f>
        <v/>
      </c>
      <c r="M374" t="inlineStr">
        <is>
          <t>近边缘（&lt;25 px）</t>
        </is>
      </c>
      <c r="N374" t="inlineStr">
        <is>
          <t>纳入A/D/Dh；若有Pair_ID则纳入CWR</t>
        </is>
      </c>
      <c r="O374" t="inlineStr">
        <is>
          <t>自动管线检出的合格导管腔。</t>
        </is>
      </c>
      <c r="P374" t="inlineStr">
        <is>
          <t>auto_pipeline;review_png_green</t>
        </is>
      </c>
      <c r="R374" t="inlineStr">
        <is>
          <t>样品8</t>
        </is>
      </c>
    </row>
    <row r="375">
      <c r="A375" t="inlineStr">
        <is>
          <t>8(3)-V03</t>
        </is>
      </c>
      <c r="B375" t="inlineStr">
        <is>
          <t>8 (3).tif</t>
        </is>
      </c>
      <c r="C375" t="n">
        <v>204</v>
      </c>
      <c r="D375" t="n">
        <v>574</v>
      </c>
      <c r="E375" t="inlineStr">
        <is>
          <t>163,519,246,630</t>
        </is>
      </c>
      <c r="F375" t="n">
        <v>138</v>
      </c>
      <c r="G375" t="inlineStr">
        <is>
          <t>primary</t>
        </is>
      </c>
      <c r="H375" t="inlineStr">
        <is>
          <t>AUTO_VESSEL</t>
        </is>
      </c>
      <c r="I375" t="inlineStr">
        <is>
          <t>是</t>
        </is>
      </c>
      <c r="J375" t="inlineStr">
        <is>
          <t>纳入</t>
        </is>
      </c>
      <c r="K375" t="n">
        <v>271.2429111531191</v>
      </c>
      <c r="L375">
        <f>导管母表_1781!G375</f>
        <v/>
      </c>
      <c r="M375" t="inlineStr">
        <is>
          <t>视野内部</t>
        </is>
      </c>
      <c r="N375" t="inlineStr">
        <is>
          <t>纳入A/D/Dh；若有Pair_ID则纳入CWR</t>
        </is>
      </c>
      <c r="O375" t="inlineStr">
        <is>
          <t>自动管线检出的合格导管腔。</t>
        </is>
      </c>
      <c r="P375" t="inlineStr">
        <is>
          <t>auto_pipeline;review_png_green</t>
        </is>
      </c>
      <c r="R375" t="inlineStr">
        <is>
          <t>样品8</t>
        </is>
      </c>
    </row>
    <row r="376">
      <c r="A376" t="inlineStr">
        <is>
          <t>8(3)-V04</t>
        </is>
      </c>
      <c r="B376" t="inlineStr">
        <is>
          <t>8 (3).tif</t>
        </is>
      </c>
      <c r="C376" t="n">
        <v>440</v>
      </c>
      <c r="D376" t="n">
        <v>348</v>
      </c>
      <c r="E376" t="inlineStr">
        <is>
          <t>385,296,496,401</t>
        </is>
      </c>
      <c r="F376" t="n">
        <v>296</v>
      </c>
      <c r="G376" t="inlineStr">
        <is>
          <t>primary</t>
        </is>
      </c>
      <c r="H376" t="inlineStr">
        <is>
          <t>AUTO_VESSEL</t>
        </is>
      </c>
      <c r="I376" t="inlineStr">
        <is>
          <t>是</t>
        </is>
      </c>
      <c r="J376" t="inlineStr">
        <is>
          <t>纳入</t>
        </is>
      </c>
      <c r="K376" t="n">
        <v>206.9943289224953</v>
      </c>
      <c r="L376">
        <f>导管母表_1781!G376</f>
        <v/>
      </c>
      <c r="M376" t="inlineStr">
        <is>
          <t>视野内部</t>
        </is>
      </c>
      <c r="N376" t="inlineStr">
        <is>
          <t>纳入A/D/Dh；若有Pair_ID则纳入CWR</t>
        </is>
      </c>
      <c r="O376" t="inlineStr">
        <is>
          <t>自动管线检出的合格导管腔。</t>
        </is>
      </c>
      <c r="P376" t="inlineStr">
        <is>
          <t>auto_pipeline;review_png_green</t>
        </is>
      </c>
      <c r="R376" t="inlineStr">
        <is>
          <t>样品8</t>
        </is>
      </c>
    </row>
    <row r="377">
      <c r="A377" t="inlineStr">
        <is>
          <t>8(3)-V05</t>
        </is>
      </c>
      <c r="B377" t="inlineStr">
        <is>
          <t>8 (3).tif</t>
        </is>
      </c>
      <c r="C377" t="n">
        <v>618</v>
      </c>
      <c r="D377" t="n">
        <v>58</v>
      </c>
      <c r="E377" t="inlineStr">
        <is>
          <t>584,19,653,98</t>
        </is>
      </c>
      <c r="F377" t="n">
        <v>19</v>
      </c>
      <c r="G377" t="inlineStr">
        <is>
          <t>primary</t>
        </is>
      </c>
      <c r="H377" t="inlineStr">
        <is>
          <t>AUTO_VESSEL</t>
        </is>
      </c>
      <c r="I377" t="inlineStr">
        <is>
          <t>是</t>
        </is>
      </c>
      <c r="J377" t="inlineStr">
        <is>
          <t>纳入</t>
        </is>
      </c>
      <c r="K377" t="n">
        <v>194.5888468809074</v>
      </c>
      <c r="L377">
        <f>导管母表_1781!G377</f>
        <v/>
      </c>
      <c r="M377" t="inlineStr">
        <is>
          <t>近边缘（&lt;25 px）</t>
        </is>
      </c>
      <c r="N377" t="inlineStr">
        <is>
          <t>纳入A/D/Dh；若有Pair_ID则纳入CWR</t>
        </is>
      </c>
      <c r="O377" t="inlineStr">
        <is>
          <t>自动管线检出的合格导管腔。</t>
        </is>
      </c>
      <c r="P377" t="inlineStr">
        <is>
          <t>auto_pipeline;review_png_green</t>
        </is>
      </c>
      <c r="R377" t="inlineStr">
        <is>
          <t>样品8</t>
        </is>
      </c>
    </row>
    <row r="378">
      <c r="A378" t="inlineStr">
        <is>
          <t>8(3)-V06</t>
        </is>
      </c>
      <c r="B378" t="inlineStr">
        <is>
          <t>8 (3).tif</t>
        </is>
      </c>
      <c r="C378" t="n">
        <v>535</v>
      </c>
      <c r="D378" t="n">
        <v>495</v>
      </c>
      <c r="E378" t="inlineStr">
        <is>
          <t>489,472,582,519</t>
        </is>
      </c>
      <c r="F378" t="n">
        <v>249</v>
      </c>
      <c r="G378" t="inlineStr">
        <is>
          <t>primary</t>
        </is>
      </c>
      <c r="H378" t="inlineStr">
        <is>
          <t>AUTO_VESSEL</t>
        </is>
      </c>
      <c r="I378" t="inlineStr">
        <is>
          <t>是</t>
        </is>
      </c>
      <c r="J378" t="inlineStr">
        <is>
          <t>纳入</t>
        </is>
      </c>
      <c r="K378" t="n">
        <v>156.4272211720227</v>
      </c>
      <c r="L378">
        <f>导管母表_1781!G378</f>
        <v/>
      </c>
      <c r="M378" t="inlineStr">
        <is>
          <t>视野内部</t>
        </is>
      </c>
      <c r="N378" t="inlineStr">
        <is>
          <t>纳入A/D/Dh；若有Pair_ID则纳入CWR</t>
        </is>
      </c>
      <c r="O378" t="inlineStr">
        <is>
          <t>自动管线检出的合格导管腔。</t>
        </is>
      </c>
      <c r="P378" t="inlineStr">
        <is>
          <t>auto_pipeline;review_png_green</t>
        </is>
      </c>
      <c r="R378" t="inlineStr">
        <is>
          <t>样品8</t>
        </is>
      </c>
    </row>
    <row r="379">
      <c r="A379" t="inlineStr">
        <is>
          <t>8(4)-V01</t>
        </is>
      </c>
      <c r="B379" t="inlineStr">
        <is>
          <t>8 (4).tif</t>
        </is>
      </c>
      <c r="C379" t="n">
        <v>595</v>
      </c>
      <c r="D379" t="n">
        <v>252</v>
      </c>
      <c r="E379" t="inlineStr">
        <is>
          <t>511,158,680,347</t>
        </is>
      </c>
      <c r="F379" t="n">
        <v>158</v>
      </c>
      <c r="G379" t="inlineStr">
        <is>
          <t>primary</t>
        </is>
      </c>
      <c r="H379" t="inlineStr">
        <is>
          <t>AUTO_VESSEL</t>
        </is>
      </c>
      <c r="I379" t="inlineStr">
        <is>
          <t>是</t>
        </is>
      </c>
      <c r="J379" t="inlineStr">
        <is>
          <t>纳入</t>
        </is>
      </c>
      <c r="K379" t="n">
        <v>1169.447069943289</v>
      </c>
      <c r="L379">
        <f>导管母表_1781!G379</f>
        <v/>
      </c>
      <c r="M379" t="inlineStr">
        <is>
          <t>视野内部</t>
        </is>
      </c>
      <c r="N379" t="inlineStr">
        <is>
          <t>纳入A/D/Dh；若有Pair_ID则纳入CWR</t>
        </is>
      </c>
      <c r="O379" t="inlineStr">
        <is>
          <t>自动管线检出的合格导管腔。</t>
        </is>
      </c>
      <c r="P379" t="inlineStr">
        <is>
          <t>auto_pipeline;review_png_green</t>
        </is>
      </c>
      <c r="R379" t="inlineStr">
        <is>
          <t>样品8</t>
        </is>
      </c>
    </row>
    <row r="380">
      <c r="A380" t="inlineStr">
        <is>
          <t>8(4)-V02</t>
        </is>
      </c>
      <c r="B380" t="inlineStr">
        <is>
          <t>8 (4).tif</t>
        </is>
      </c>
      <c r="C380" t="n">
        <v>395</v>
      </c>
      <c r="D380" t="n">
        <v>407</v>
      </c>
      <c r="E380" t="inlineStr">
        <is>
          <t>324,324,467,491</t>
        </is>
      </c>
      <c r="F380" t="n">
        <v>277</v>
      </c>
      <c r="G380" t="inlineStr">
        <is>
          <t>primary</t>
        </is>
      </c>
      <c r="H380" t="inlineStr">
        <is>
          <t>AUTO_VESSEL</t>
        </is>
      </c>
      <c r="I380" t="inlineStr">
        <is>
          <t>是</t>
        </is>
      </c>
      <c r="J380" t="inlineStr">
        <is>
          <t>纳入</t>
        </is>
      </c>
      <c r="K380" t="n">
        <v>870.0378071833649</v>
      </c>
      <c r="L380">
        <f>导管母表_1781!G380</f>
        <v/>
      </c>
      <c r="M380" t="inlineStr">
        <is>
          <t>视野内部</t>
        </is>
      </c>
      <c r="N380" t="inlineStr">
        <is>
          <t>纳入A/D/Dh；若有Pair_ID则纳入CWR</t>
        </is>
      </c>
      <c r="O380" t="inlineStr">
        <is>
          <t>自动管线检出的合格导管腔。</t>
        </is>
      </c>
      <c r="P380" t="inlineStr">
        <is>
          <t>auto_pipeline;review_png_green</t>
        </is>
      </c>
      <c r="R380" t="inlineStr">
        <is>
          <t>样品8</t>
        </is>
      </c>
    </row>
    <row r="381">
      <c r="A381" t="inlineStr">
        <is>
          <t>8(4)-V03</t>
        </is>
      </c>
      <c r="B381" t="inlineStr">
        <is>
          <t>8 (4).tif</t>
        </is>
      </c>
      <c r="C381" t="n">
        <v>126</v>
      </c>
      <c r="D381" t="n">
        <v>392</v>
      </c>
      <c r="E381" t="inlineStr">
        <is>
          <t>80,350,173,435</t>
        </is>
      </c>
      <c r="F381" t="n">
        <v>80</v>
      </c>
      <c r="G381" t="inlineStr">
        <is>
          <t>primary</t>
        </is>
      </c>
      <c r="H381" t="inlineStr">
        <is>
          <t>AUTO_VESSEL</t>
        </is>
      </c>
      <c r="I381" t="inlineStr">
        <is>
          <t>是</t>
        </is>
      </c>
      <c r="J381" t="inlineStr">
        <is>
          <t>纳入</t>
        </is>
      </c>
      <c r="K381" t="n">
        <v>265.8317580340264</v>
      </c>
      <c r="L381">
        <f>导管母表_1781!G381</f>
        <v/>
      </c>
      <c r="M381" t="inlineStr">
        <is>
          <t>视野内部</t>
        </is>
      </c>
      <c r="N381" t="inlineStr">
        <is>
          <t>纳入A/D/Dh；若有Pair_ID则纳入CWR</t>
        </is>
      </c>
      <c r="O381" t="inlineStr">
        <is>
          <t>自动管线检出的合格导管腔。</t>
        </is>
      </c>
      <c r="P381" t="inlineStr">
        <is>
          <t>auto_pipeline;review_png_green</t>
        </is>
      </c>
      <c r="R381" t="inlineStr">
        <is>
          <t>样品8</t>
        </is>
      </c>
    </row>
    <row r="382">
      <c r="A382" t="inlineStr">
        <is>
          <t>8(4)-V04</t>
        </is>
      </c>
      <c r="B382" t="inlineStr">
        <is>
          <t>8 (4).tif</t>
        </is>
      </c>
      <c r="C382" t="n">
        <v>84</v>
      </c>
      <c r="D382" t="n">
        <v>277</v>
      </c>
      <c r="E382" t="inlineStr">
        <is>
          <t>36,249,133,306</t>
        </is>
      </c>
      <c r="F382" t="n">
        <v>36</v>
      </c>
      <c r="G382" t="inlineStr">
        <is>
          <t>primary</t>
        </is>
      </c>
      <c r="H382" t="inlineStr">
        <is>
          <t>AUTO_VESSEL</t>
        </is>
      </c>
      <c r="I382" t="inlineStr">
        <is>
          <t>是</t>
        </is>
      </c>
      <c r="J382" t="inlineStr">
        <is>
          <t>纳入</t>
        </is>
      </c>
      <c r="K382" t="n">
        <v>199.5510396975425</v>
      </c>
      <c r="L382">
        <f>导管母表_1781!G382</f>
        <v/>
      </c>
      <c r="M382" t="inlineStr">
        <is>
          <t>视野内部</t>
        </is>
      </c>
      <c r="N382" t="inlineStr">
        <is>
          <t>纳入A/D/Dh；若有Pair_ID则纳入CWR</t>
        </is>
      </c>
      <c r="O382" t="inlineStr">
        <is>
          <t>自动管线检出的合格导管腔。</t>
        </is>
      </c>
      <c r="P382" t="inlineStr">
        <is>
          <t>auto_pipeline;review_png_green</t>
        </is>
      </c>
      <c r="R382" t="inlineStr">
        <is>
          <t>样品8</t>
        </is>
      </c>
    </row>
    <row r="383">
      <c r="A383" t="inlineStr">
        <is>
          <t>8(4)-V05</t>
        </is>
      </c>
      <c r="B383" t="inlineStr">
        <is>
          <t>8 (4).tif</t>
        </is>
      </c>
      <c r="C383" t="n">
        <v>237</v>
      </c>
      <c r="D383" t="n">
        <v>395</v>
      </c>
      <c r="E383" t="inlineStr">
        <is>
          <t>202,359,273,432</t>
        </is>
      </c>
      <c r="F383" t="n">
        <v>202</v>
      </c>
      <c r="G383" t="inlineStr">
        <is>
          <t>primary</t>
        </is>
      </c>
      <c r="H383" t="inlineStr">
        <is>
          <t>AUTO_VESSEL</t>
        </is>
      </c>
      <c r="I383" t="inlineStr">
        <is>
          <t>是</t>
        </is>
      </c>
      <c r="J383" t="inlineStr">
        <is>
          <t>纳入</t>
        </is>
      </c>
      <c r="K383" t="n">
        <v>170.8175803402646</v>
      </c>
      <c r="L383">
        <f>导管母表_1781!G383</f>
        <v/>
      </c>
      <c r="M383" t="inlineStr">
        <is>
          <t>视野内部</t>
        </is>
      </c>
      <c r="N383" t="inlineStr">
        <is>
          <t>纳入A/D/Dh；若有Pair_ID则纳入CWR</t>
        </is>
      </c>
      <c r="O383" t="inlineStr">
        <is>
          <t>自动管线检出的合格导管腔。</t>
        </is>
      </c>
      <c r="P383" t="inlineStr">
        <is>
          <t>auto_pipeline;review_png_green</t>
        </is>
      </c>
      <c r="R383" t="inlineStr">
        <is>
          <t>样品8</t>
        </is>
      </c>
    </row>
    <row r="384">
      <c r="A384" t="inlineStr">
        <is>
          <t>8(5)-V01</t>
        </is>
      </c>
      <c r="B384" t="inlineStr">
        <is>
          <t>8 (5).tif</t>
        </is>
      </c>
      <c r="C384" t="n">
        <v>480</v>
      </c>
      <c r="D384" t="n">
        <v>285</v>
      </c>
      <c r="E384" t="inlineStr">
        <is>
          <t>414,207,547,364</t>
        </is>
      </c>
      <c r="F384" t="n">
        <v>207</v>
      </c>
      <c r="G384" t="inlineStr">
        <is>
          <t>primary</t>
        </is>
      </c>
      <c r="H384" t="inlineStr">
        <is>
          <t>AUTO_VESSEL</t>
        </is>
      </c>
      <c r="I384" t="inlineStr">
        <is>
          <t>是</t>
        </is>
      </c>
      <c r="J384" t="inlineStr">
        <is>
          <t>纳入</t>
        </is>
      </c>
      <c r="K384" t="n">
        <v>727.7410207939508</v>
      </c>
      <c r="L384">
        <f>导管母表_1781!G384</f>
        <v/>
      </c>
      <c r="M384" t="inlineStr">
        <is>
          <t>视野内部</t>
        </is>
      </c>
      <c r="N384" t="inlineStr">
        <is>
          <t>纳入A/D/Dh；若有Pair_ID则纳入CWR</t>
        </is>
      </c>
      <c r="O384" t="inlineStr">
        <is>
          <t>自动管线检出的合格导管腔。</t>
        </is>
      </c>
      <c r="P384" t="inlineStr">
        <is>
          <t>auto_pipeline;review_png_green</t>
        </is>
      </c>
      <c r="R384" t="inlineStr">
        <is>
          <t>样品8</t>
        </is>
      </c>
    </row>
    <row r="385">
      <c r="A385" t="inlineStr">
        <is>
          <t>8(5)-V02</t>
        </is>
      </c>
      <c r="B385" t="inlineStr">
        <is>
          <t>8 (5).tif</t>
        </is>
      </c>
      <c r="C385" t="n">
        <v>827</v>
      </c>
      <c r="D385" t="n">
        <v>466</v>
      </c>
      <c r="E385" t="inlineStr">
        <is>
          <t>756,392,899,541</t>
        </is>
      </c>
      <c r="F385" t="n">
        <v>125</v>
      </c>
      <c r="G385" t="inlineStr">
        <is>
          <t>primary</t>
        </is>
      </c>
      <c r="H385" t="inlineStr">
        <is>
          <t>AUTO_VESSEL</t>
        </is>
      </c>
      <c r="I385" t="inlineStr">
        <is>
          <t>是</t>
        </is>
      </c>
      <c r="J385" t="inlineStr">
        <is>
          <t>纳入</t>
        </is>
      </c>
      <c r="K385" t="n">
        <v>726.7485822306238</v>
      </c>
      <c r="L385">
        <f>导管母表_1781!G385</f>
        <v/>
      </c>
      <c r="M385" t="inlineStr">
        <is>
          <t>视野内部</t>
        </is>
      </c>
      <c r="N385" t="inlineStr">
        <is>
          <t>纳入A/D/Dh；若有Pair_ID则纳入CWR</t>
        </is>
      </c>
      <c r="O385" t="inlineStr">
        <is>
          <t>自动管线检出的合格导管腔。</t>
        </is>
      </c>
      <c r="P385" t="inlineStr">
        <is>
          <t>auto_pipeline;review_png_green</t>
        </is>
      </c>
      <c r="R385" t="inlineStr">
        <is>
          <t>样品8</t>
        </is>
      </c>
    </row>
    <row r="386">
      <c r="A386" t="inlineStr">
        <is>
          <t>8(5)-V03</t>
        </is>
      </c>
      <c r="B386" t="inlineStr">
        <is>
          <t>8 (5).tif</t>
        </is>
      </c>
      <c r="C386" t="n">
        <v>498</v>
      </c>
      <c r="D386" t="n">
        <v>444</v>
      </c>
      <c r="E386" t="inlineStr">
        <is>
          <t>437,380,560,509</t>
        </is>
      </c>
      <c r="F386" t="n">
        <v>259</v>
      </c>
      <c r="G386" t="inlineStr">
        <is>
          <t>primary</t>
        </is>
      </c>
      <c r="H386" t="inlineStr">
        <is>
          <t>AUTO_VESSEL</t>
        </is>
      </c>
      <c r="I386" t="inlineStr">
        <is>
          <t>是</t>
        </is>
      </c>
      <c r="J386" t="inlineStr">
        <is>
          <t>纳入</t>
        </is>
      </c>
      <c r="K386" t="n">
        <v>573.133270321361</v>
      </c>
      <c r="L386">
        <f>导管母表_1781!G386</f>
        <v/>
      </c>
      <c r="M386" t="inlineStr">
        <is>
          <t>视野内部</t>
        </is>
      </c>
      <c r="N386" t="inlineStr">
        <is>
          <t>纳入A/D/Dh；若有Pair_ID则纳入CWR</t>
        </is>
      </c>
      <c r="O386" t="inlineStr">
        <is>
          <t>自动管线检出的合格导管腔。</t>
        </is>
      </c>
      <c r="P386" t="inlineStr">
        <is>
          <t>auto_pipeline;review_png_green</t>
        </is>
      </c>
      <c r="R386" t="inlineStr">
        <is>
          <t>样品8</t>
        </is>
      </c>
    </row>
    <row r="387">
      <c r="A387" t="inlineStr">
        <is>
          <t>8(5)-V04</t>
        </is>
      </c>
      <c r="B387" t="inlineStr">
        <is>
          <t>8 (5).tif</t>
        </is>
      </c>
      <c r="C387" t="n">
        <v>884</v>
      </c>
      <c r="D387" t="n">
        <v>339</v>
      </c>
      <c r="E387" t="inlineStr">
        <is>
          <t>858,289,911,390</t>
        </is>
      </c>
      <c r="F387" t="n">
        <v>113</v>
      </c>
      <c r="G387" t="inlineStr">
        <is>
          <t>primary</t>
        </is>
      </c>
      <c r="H387" t="inlineStr">
        <is>
          <t>AUTO_VESSEL</t>
        </is>
      </c>
      <c r="I387" t="inlineStr">
        <is>
          <t>是</t>
        </is>
      </c>
      <c r="J387" t="inlineStr">
        <is>
          <t>纳入</t>
        </is>
      </c>
      <c r="K387" t="n">
        <v>136.4366729678639</v>
      </c>
      <c r="L387">
        <f>导管母表_1781!G387</f>
        <v/>
      </c>
      <c r="M387" t="inlineStr">
        <is>
          <t>视野内部</t>
        </is>
      </c>
      <c r="N387" t="inlineStr">
        <is>
          <t>纳入A/D/Dh；若有Pair_ID则纳入CWR</t>
        </is>
      </c>
      <c r="O387" t="inlineStr">
        <is>
          <t>自动管线检出的合格导管腔。</t>
        </is>
      </c>
      <c r="P387" t="inlineStr">
        <is>
          <t>auto_pipeline;review_png_green</t>
        </is>
      </c>
      <c r="R387" t="inlineStr">
        <is>
          <t>样品8</t>
        </is>
      </c>
    </row>
    <row r="388">
      <c r="A388" t="inlineStr">
        <is>
          <t>8(5)-V05</t>
        </is>
      </c>
      <c r="B388" t="inlineStr">
        <is>
          <t>8 (5).tif</t>
        </is>
      </c>
      <c r="C388" t="n">
        <v>933</v>
      </c>
      <c r="D388" t="n">
        <v>461</v>
      </c>
      <c r="E388" t="inlineStr">
        <is>
          <t>913,418,954,505</t>
        </is>
      </c>
      <c r="F388" t="n">
        <v>70</v>
      </c>
      <c r="G388" t="inlineStr">
        <is>
          <t>primary</t>
        </is>
      </c>
      <c r="H388" t="inlineStr">
        <is>
          <t>AUTO_VESSEL</t>
        </is>
      </c>
      <c r="I388" t="inlineStr">
        <is>
          <t>是</t>
        </is>
      </c>
      <c r="J388" t="inlineStr">
        <is>
          <t>纳入</t>
        </is>
      </c>
      <c r="K388" t="n">
        <v>106.8998109640832</v>
      </c>
      <c r="L388">
        <f>导管母表_1781!G388</f>
        <v/>
      </c>
      <c r="M388" t="inlineStr">
        <is>
          <t>视野内部</t>
        </is>
      </c>
      <c r="N388" t="inlineStr">
        <is>
          <t>纳入A/D/Dh；若有Pair_ID则纳入CWR</t>
        </is>
      </c>
      <c r="O388" t="inlineStr">
        <is>
          <t>自动管线检出的合格导管腔。</t>
        </is>
      </c>
      <c r="P388" t="inlineStr">
        <is>
          <t>auto_pipeline;review_png_green</t>
        </is>
      </c>
      <c r="R388" t="inlineStr">
        <is>
          <t>样品8</t>
        </is>
      </c>
    </row>
    <row r="389">
      <c r="A389" t="inlineStr">
        <is>
          <t>8(6)-V01</t>
        </is>
      </c>
      <c r="B389" t="inlineStr">
        <is>
          <t>8 (6).tif</t>
        </is>
      </c>
      <c r="C389" t="n">
        <v>547</v>
      </c>
      <c r="D389" t="n">
        <v>496</v>
      </c>
      <c r="E389" t="inlineStr">
        <is>
          <t>463,397,632,596</t>
        </is>
      </c>
      <c r="F389" t="n">
        <v>172</v>
      </c>
      <c r="G389" t="inlineStr">
        <is>
          <t>primary</t>
        </is>
      </c>
      <c r="H389" t="inlineStr">
        <is>
          <t>AUTO_VESSEL</t>
        </is>
      </c>
      <c r="I389" t="inlineStr">
        <is>
          <t>是</t>
        </is>
      </c>
      <c r="J389" t="inlineStr">
        <is>
          <t>纳入</t>
        </is>
      </c>
      <c r="K389" t="n">
        <v>1231.450850661626</v>
      </c>
      <c r="L389">
        <f>导管母表_1781!G389</f>
        <v/>
      </c>
      <c r="M389" t="inlineStr">
        <is>
          <t>视野内部</t>
        </is>
      </c>
      <c r="N389" t="inlineStr">
        <is>
          <t>纳入A/D/Dh；若有Pair_ID则纳入CWR</t>
        </is>
      </c>
      <c r="O389" t="inlineStr">
        <is>
          <t>自动管线检出的合格导管腔。</t>
        </is>
      </c>
      <c r="P389" t="inlineStr">
        <is>
          <t>auto_pipeline;review_png_green</t>
        </is>
      </c>
      <c r="R389" t="inlineStr">
        <is>
          <t>样品8</t>
        </is>
      </c>
    </row>
    <row r="390">
      <c r="A390" t="inlineStr">
        <is>
          <t>8(6)-V02</t>
        </is>
      </c>
      <c r="B390" t="inlineStr">
        <is>
          <t>8 (6).tif</t>
        </is>
      </c>
      <c r="C390" t="n">
        <v>394</v>
      </c>
      <c r="D390" t="n">
        <v>272</v>
      </c>
      <c r="E390" t="inlineStr">
        <is>
          <t>312,179,477,366</t>
        </is>
      </c>
      <c r="F390" t="n">
        <v>179</v>
      </c>
      <c r="G390" t="inlineStr">
        <is>
          <t>primary</t>
        </is>
      </c>
      <c r="H390" t="inlineStr">
        <is>
          <t>AUTO_VESSEL</t>
        </is>
      </c>
      <c r="I390" t="inlineStr">
        <is>
          <t>是</t>
        </is>
      </c>
      <c r="J390" t="inlineStr">
        <is>
          <t>纳入</t>
        </is>
      </c>
      <c r="K390" t="n">
        <v>1132.277882797732</v>
      </c>
      <c r="L390">
        <f>导管母表_1781!G390</f>
        <v/>
      </c>
      <c r="M390" t="inlineStr">
        <is>
          <t>视野内部</t>
        </is>
      </c>
      <c r="N390" t="inlineStr">
        <is>
          <t>纳入A/D/Dh；若有Pair_ID则纳入CWR</t>
        </is>
      </c>
      <c r="O390" t="inlineStr">
        <is>
          <t>自动管线检出的合格导管腔。</t>
        </is>
      </c>
      <c r="P390" t="inlineStr">
        <is>
          <t>auto_pipeline;review_png_green</t>
        </is>
      </c>
      <c r="R390" t="inlineStr">
        <is>
          <t>样品8</t>
        </is>
      </c>
    </row>
    <row r="391">
      <c r="A391" t="inlineStr">
        <is>
          <t>8(7)-V01</t>
        </is>
      </c>
      <c r="B391" t="inlineStr">
        <is>
          <t>8 (7).tif</t>
        </is>
      </c>
      <c r="C391" t="n">
        <v>426</v>
      </c>
      <c r="D391" t="n">
        <v>365</v>
      </c>
      <c r="E391" t="inlineStr">
        <is>
          <t>336,264,517,467</t>
        </is>
      </c>
      <c r="F391" t="n">
        <v>264</v>
      </c>
      <c r="G391" t="inlineStr">
        <is>
          <t>primary</t>
        </is>
      </c>
      <c r="H391" t="inlineStr">
        <is>
          <t>AUTO_VESSEL</t>
        </is>
      </c>
      <c r="I391" t="inlineStr">
        <is>
          <t>是</t>
        </is>
      </c>
      <c r="J391" t="inlineStr">
        <is>
          <t>纳入</t>
        </is>
      </c>
      <c r="K391" t="n">
        <v>1348.133270321361</v>
      </c>
      <c r="L391">
        <f>导管母表_1781!G391</f>
        <v/>
      </c>
      <c r="M391" t="inlineStr">
        <is>
          <t>视野内部</t>
        </is>
      </c>
      <c r="N391" t="inlineStr">
        <is>
          <t>纳入A/D/Dh；若有Pair_ID则纳入CWR</t>
        </is>
      </c>
      <c r="O391" t="inlineStr">
        <is>
          <t>自动管线检出的合格导管腔。</t>
        </is>
      </c>
      <c r="P391" t="inlineStr">
        <is>
          <t>auto_pipeline;review_png_green</t>
        </is>
      </c>
      <c r="Q391" t="inlineStr">
        <is>
          <t>8(7)-P01</t>
        </is>
      </c>
      <c r="R391" t="inlineStr">
        <is>
          <t>样品8</t>
        </is>
      </c>
    </row>
    <row r="392">
      <c r="A392" t="inlineStr">
        <is>
          <t>8(7)-V02</t>
        </is>
      </c>
      <c r="B392" t="inlineStr">
        <is>
          <t>8 (7).tif</t>
        </is>
      </c>
      <c r="C392" t="n">
        <v>615</v>
      </c>
      <c r="D392" t="n">
        <v>412</v>
      </c>
      <c r="E392" t="inlineStr">
        <is>
          <t>534,321,697,504</t>
        </is>
      </c>
      <c r="F392" t="n">
        <v>264</v>
      </c>
      <c r="G392" t="inlineStr">
        <is>
          <t>primary</t>
        </is>
      </c>
      <c r="H392" t="inlineStr">
        <is>
          <t>AUTO_VESSEL</t>
        </is>
      </c>
      <c r="I392" t="inlineStr">
        <is>
          <t>是</t>
        </is>
      </c>
      <c r="J392" t="inlineStr">
        <is>
          <t>纳入</t>
        </is>
      </c>
      <c r="K392" t="n">
        <v>1091.965973534972</v>
      </c>
      <c r="L392">
        <f>导管母表_1781!G392</f>
        <v/>
      </c>
      <c r="M392" t="inlineStr">
        <is>
          <t>视野内部</t>
        </is>
      </c>
      <c r="N392" t="inlineStr">
        <is>
          <t>纳入A/D/Dh；若有Pair_ID则纳入CWR</t>
        </is>
      </c>
      <c r="O392" t="inlineStr">
        <is>
          <t>自动管线检出的合格导管腔。</t>
        </is>
      </c>
      <c r="P392" t="inlineStr">
        <is>
          <t>auto_pipeline;review_png_green</t>
        </is>
      </c>
      <c r="Q392" t="inlineStr">
        <is>
          <t>8(7)-P01</t>
        </is>
      </c>
      <c r="R392" t="inlineStr">
        <is>
          <t>样品8</t>
        </is>
      </c>
    </row>
    <row r="393">
      <c r="A393" t="inlineStr">
        <is>
          <t>8(7)-V03</t>
        </is>
      </c>
      <c r="B393" t="inlineStr">
        <is>
          <t>8 (7).tif</t>
        </is>
      </c>
      <c r="C393" t="n">
        <v>183</v>
      </c>
      <c r="D393" t="n">
        <v>158</v>
      </c>
      <c r="E393" t="inlineStr">
        <is>
          <t>122,85,245,232</t>
        </is>
      </c>
      <c r="F393" t="n">
        <v>85</v>
      </c>
      <c r="G393" t="inlineStr">
        <is>
          <t>primary</t>
        </is>
      </c>
      <c r="H393" t="inlineStr">
        <is>
          <t>AUTO_VESSEL</t>
        </is>
      </c>
      <c r="I393" t="inlineStr">
        <is>
          <t>是</t>
        </is>
      </c>
      <c r="J393" t="inlineStr">
        <is>
          <t>纳入</t>
        </is>
      </c>
      <c r="K393" t="n">
        <v>646.3846880907372</v>
      </c>
      <c r="L393">
        <f>导管母表_1781!G393</f>
        <v/>
      </c>
      <c r="M393" t="inlineStr">
        <is>
          <t>视野内部</t>
        </is>
      </c>
      <c r="N393" t="inlineStr">
        <is>
          <t>纳入A/D/Dh；若有Pair_ID则纳入CWR</t>
        </is>
      </c>
      <c r="O393" t="inlineStr">
        <is>
          <t>自动管线检出的合格导管腔。</t>
        </is>
      </c>
      <c r="P393" t="inlineStr">
        <is>
          <t>auto_pipeline;review_png_green</t>
        </is>
      </c>
      <c r="R393" t="inlineStr">
        <is>
          <t>样品8</t>
        </is>
      </c>
    </row>
    <row r="394">
      <c r="A394" t="inlineStr">
        <is>
          <t>8(7)-V04</t>
        </is>
      </c>
      <c r="B394" t="inlineStr">
        <is>
          <t>8 (7).tif</t>
        </is>
      </c>
      <c r="C394" t="n">
        <v>39</v>
      </c>
      <c r="D394" t="n">
        <v>51</v>
      </c>
      <c r="E394" t="inlineStr">
        <is>
          <t>4,20,75,83</t>
        </is>
      </c>
      <c r="F394" t="n">
        <v>4</v>
      </c>
      <c r="G394" t="inlineStr">
        <is>
          <t>primary</t>
        </is>
      </c>
      <c r="H394" t="inlineStr">
        <is>
          <t>AUTO_VESSEL</t>
        </is>
      </c>
      <c r="I394" t="inlineStr">
        <is>
          <t>是</t>
        </is>
      </c>
      <c r="J394" t="inlineStr">
        <is>
          <t>纳入</t>
        </is>
      </c>
      <c r="K394" t="n">
        <v>140.359168241966</v>
      </c>
      <c r="L394">
        <f>导管母表_1781!G394</f>
        <v/>
      </c>
      <c r="M394" t="inlineStr">
        <is>
          <t>近边缘（&lt;25 px）</t>
        </is>
      </c>
      <c r="N394" t="inlineStr">
        <is>
          <t>纳入A/D/Dh；若有Pair_ID则纳入CWR</t>
        </is>
      </c>
      <c r="O394" t="inlineStr">
        <is>
          <t>自动管线检出的合格导管腔。</t>
        </is>
      </c>
      <c r="P394" t="inlineStr">
        <is>
          <t>auto_pipeline;review_png_green</t>
        </is>
      </c>
      <c r="R394" t="inlineStr">
        <is>
          <t>样品8</t>
        </is>
      </c>
    </row>
    <row r="395">
      <c r="A395" t="inlineStr">
        <is>
          <t>8(8)-V01</t>
        </is>
      </c>
      <c r="B395" t="inlineStr">
        <is>
          <t>8 (8).tif</t>
        </is>
      </c>
      <c r="C395" t="n">
        <v>538</v>
      </c>
      <c r="D395" t="n">
        <v>260</v>
      </c>
      <c r="E395" t="inlineStr">
        <is>
          <t>441,170,636,351</t>
        </is>
      </c>
      <c r="F395" t="n">
        <v>170</v>
      </c>
      <c r="G395" t="inlineStr">
        <is>
          <t>primary</t>
        </is>
      </c>
      <c r="H395" t="inlineStr">
        <is>
          <t>AUTO_VESSEL</t>
        </is>
      </c>
      <c r="I395" t="inlineStr">
        <is>
          <t>是</t>
        </is>
      </c>
      <c r="J395" t="inlineStr">
        <is>
          <t>纳入</t>
        </is>
      </c>
      <c r="K395" t="n">
        <v>1292.414933837429</v>
      </c>
      <c r="L395">
        <f>导管母表_1781!G395</f>
        <v/>
      </c>
      <c r="M395" t="inlineStr">
        <is>
          <t>视野内部</t>
        </is>
      </c>
      <c r="N395" t="inlineStr">
        <is>
          <t>纳入A/D/Dh；若有Pair_ID则纳入CWR</t>
        </is>
      </c>
      <c r="O395" t="inlineStr">
        <is>
          <t>自动管线检出的合格导管腔。</t>
        </is>
      </c>
      <c r="P395" t="inlineStr">
        <is>
          <t>auto_pipeline;review_png_green</t>
        </is>
      </c>
      <c r="R395" t="inlineStr">
        <is>
          <t>样品8</t>
        </is>
      </c>
    </row>
    <row r="396">
      <c r="A396" t="inlineStr">
        <is>
          <t>8(8)-V02</t>
        </is>
      </c>
      <c r="B396" t="inlineStr">
        <is>
          <t>8 (8).tif</t>
        </is>
      </c>
      <c r="C396" t="n">
        <v>392</v>
      </c>
      <c r="D396" t="n">
        <v>428</v>
      </c>
      <c r="E396" t="inlineStr">
        <is>
          <t>313,356,472,501</t>
        </is>
      </c>
      <c r="F396" t="n">
        <v>267</v>
      </c>
      <c r="G396" t="inlineStr">
        <is>
          <t>primary</t>
        </is>
      </c>
      <c r="H396" t="inlineStr">
        <is>
          <t>AUTO_VESSEL</t>
        </is>
      </c>
      <c r="I396" t="inlineStr">
        <is>
          <t>是</t>
        </is>
      </c>
      <c r="J396" t="inlineStr">
        <is>
          <t>纳入</t>
        </is>
      </c>
      <c r="K396" t="n">
        <v>843.7381852551985</v>
      </c>
      <c r="L396">
        <f>导管母表_1781!G396</f>
        <v/>
      </c>
      <c r="M396" t="inlineStr">
        <is>
          <t>视野内部</t>
        </is>
      </c>
      <c r="N396" t="inlineStr">
        <is>
          <t>纳入A/D/Dh；若有Pair_ID则纳入CWR</t>
        </is>
      </c>
      <c r="O396" t="inlineStr">
        <is>
          <t>自动管线检出的合格导管腔。</t>
        </is>
      </c>
      <c r="P396" t="inlineStr">
        <is>
          <t>auto_pipeline;review_png_green</t>
        </is>
      </c>
      <c r="R396" t="inlineStr">
        <is>
          <t>样品8</t>
        </is>
      </c>
    </row>
    <row r="397">
      <c r="A397" t="inlineStr">
        <is>
          <t>8(8)-V03</t>
        </is>
      </c>
      <c r="B397" t="inlineStr">
        <is>
          <t>8 (8).tif</t>
        </is>
      </c>
      <c r="C397" t="n">
        <v>633</v>
      </c>
      <c r="D397" t="n">
        <v>378</v>
      </c>
      <c r="E397" t="inlineStr">
        <is>
          <t>590,314,677,443</t>
        </is>
      </c>
      <c r="F397" t="n">
        <v>314</v>
      </c>
      <c r="G397" t="inlineStr">
        <is>
          <t>primary</t>
        </is>
      </c>
      <c r="H397" t="inlineStr">
        <is>
          <t>AUTO_VESSEL</t>
        </is>
      </c>
      <c r="I397" t="inlineStr">
        <is>
          <t>是</t>
        </is>
      </c>
      <c r="J397" t="inlineStr">
        <is>
          <t>纳入</t>
        </is>
      </c>
      <c r="K397" t="n">
        <v>409.4990548204159</v>
      </c>
      <c r="L397">
        <f>导管母表_1781!G397</f>
        <v/>
      </c>
      <c r="M397" t="inlineStr">
        <is>
          <t>视野内部</t>
        </is>
      </c>
      <c r="N397" t="inlineStr">
        <is>
          <t>纳入A/D/Dh；若有Pair_ID则纳入CWR</t>
        </is>
      </c>
      <c r="O397" t="inlineStr">
        <is>
          <t>自动管线检出的合格导管腔。</t>
        </is>
      </c>
      <c r="P397" t="inlineStr">
        <is>
          <t>auto_pipeline;review_png_green</t>
        </is>
      </c>
      <c r="R397" t="inlineStr">
        <is>
          <t>样品8</t>
        </is>
      </c>
    </row>
    <row r="398">
      <c r="A398" t="inlineStr">
        <is>
          <t>8(8)-V04</t>
        </is>
      </c>
      <c r="B398" t="inlineStr">
        <is>
          <t>8 (8).tif</t>
        </is>
      </c>
      <c r="C398" t="n">
        <v>247</v>
      </c>
      <c r="D398" t="n">
        <v>434</v>
      </c>
      <c r="E398" t="inlineStr">
        <is>
          <t>213,406,282,463</t>
        </is>
      </c>
      <c r="F398" t="n">
        <v>213</v>
      </c>
      <c r="G398" t="inlineStr">
        <is>
          <t>primary</t>
        </is>
      </c>
      <c r="H398" t="inlineStr">
        <is>
          <t>AUTO_VESSEL</t>
        </is>
      </c>
      <c r="I398" t="inlineStr">
        <is>
          <t>是</t>
        </is>
      </c>
      <c r="J398" t="inlineStr">
        <is>
          <t>纳入</t>
        </is>
      </c>
      <c r="K398" t="n">
        <v>121.4792060491493</v>
      </c>
      <c r="L398">
        <f>导管母表_1781!G398</f>
        <v/>
      </c>
      <c r="M398" t="inlineStr">
        <is>
          <t>视野内部</t>
        </is>
      </c>
      <c r="N398" t="inlineStr">
        <is>
          <t>纳入A/D/Dh；若有Pair_ID则纳入CWR</t>
        </is>
      </c>
      <c r="O398" t="inlineStr">
        <is>
          <t>自动管线检出的合格导管腔。</t>
        </is>
      </c>
      <c r="P398" t="inlineStr">
        <is>
          <t>auto_pipeline;review_png_green</t>
        </is>
      </c>
      <c r="R398" t="inlineStr">
        <is>
          <t>样品8</t>
        </is>
      </c>
    </row>
    <row r="399">
      <c r="A399" t="inlineStr">
        <is>
          <t>9(1)-V01</t>
        </is>
      </c>
      <c r="B399" t="inlineStr">
        <is>
          <t>9 (1).tif</t>
        </is>
      </c>
      <c r="C399" t="n">
        <v>556</v>
      </c>
      <c r="D399" t="n">
        <v>502</v>
      </c>
      <c r="E399" t="inlineStr">
        <is>
          <t>471,399,642,606</t>
        </is>
      </c>
      <c r="F399" t="n">
        <v>162</v>
      </c>
      <c r="G399" t="inlineStr">
        <is>
          <t>primary</t>
        </is>
      </c>
      <c r="H399" t="inlineStr">
        <is>
          <t>AUTO_VESSEL</t>
        </is>
      </c>
      <c r="I399" t="inlineStr">
        <is>
          <t>是</t>
        </is>
      </c>
      <c r="J399" t="inlineStr">
        <is>
          <t>纳入</t>
        </is>
      </c>
      <c r="K399" t="n">
        <v>1277.882797731569</v>
      </c>
      <c r="L399">
        <f>导管母表_1781!G399</f>
        <v/>
      </c>
      <c r="M399" t="inlineStr">
        <is>
          <t>视野内部</t>
        </is>
      </c>
      <c r="N399" t="inlineStr">
        <is>
          <t>纳入A/D/Dh；若有Pair_ID则纳入CWR</t>
        </is>
      </c>
      <c r="O399" t="inlineStr">
        <is>
          <t>自动管线检出的合格导管腔。</t>
        </is>
      </c>
      <c r="P399" t="inlineStr">
        <is>
          <t>auto_pipeline;review_png_green</t>
        </is>
      </c>
      <c r="R399" t="inlineStr">
        <is>
          <t>样品9</t>
        </is>
      </c>
    </row>
    <row r="400">
      <c r="A400" t="inlineStr">
        <is>
          <t>9(1)-V02</t>
        </is>
      </c>
      <c r="B400" t="inlineStr">
        <is>
          <t>9 (1).tif</t>
        </is>
      </c>
      <c r="C400" t="n">
        <v>442</v>
      </c>
      <c r="D400" t="n">
        <v>304</v>
      </c>
      <c r="E400" t="inlineStr">
        <is>
          <t>357,209,528,400</t>
        </is>
      </c>
      <c r="F400" t="n">
        <v>209</v>
      </c>
      <c r="G400" t="inlineStr">
        <is>
          <t>primary</t>
        </is>
      </c>
      <c r="H400" t="inlineStr">
        <is>
          <t>AUTO_VESSEL</t>
        </is>
      </c>
      <c r="I400" t="inlineStr">
        <is>
          <t>是</t>
        </is>
      </c>
      <c r="J400" t="inlineStr">
        <is>
          <t>纳入</t>
        </is>
      </c>
      <c r="K400" t="n">
        <v>1194.706994328923</v>
      </c>
      <c r="L400">
        <f>导管母表_1781!G400</f>
        <v/>
      </c>
      <c r="M400" t="inlineStr">
        <is>
          <t>视野内部</t>
        </is>
      </c>
      <c r="N400" t="inlineStr">
        <is>
          <t>纳入A/D/Dh；若有Pair_ID则纳入CWR</t>
        </is>
      </c>
      <c r="O400" t="inlineStr">
        <is>
          <t>自动管线检出的合格导管腔。</t>
        </is>
      </c>
      <c r="P400" t="inlineStr">
        <is>
          <t>auto_pipeline;review_png_green</t>
        </is>
      </c>
      <c r="R400" t="inlineStr">
        <is>
          <t>样品9</t>
        </is>
      </c>
    </row>
    <row r="401">
      <c r="A401" t="inlineStr">
        <is>
          <t>9(2)-V01</t>
        </is>
      </c>
      <c r="B401" t="inlineStr">
        <is>
          <t>9 (2).tif</t>
        </is>
      </c>
      <c r="C401" t="n">
        <v>573</v>
      </c>
      <c r="D401" t="n">
        <v>435</v>
      </c>
      <c r="E401" t="inlineStr">
        <is>
          <t>495,364,652,507</t>
        </is>
      </c>
      <c r="F401" t="n">
        <v>261</v>
      </c>
      <c r="G401" t="inlineStr">
        <is>
          <t>primary</t>
        </is>
      </c>
      <c r="H401" t="inlineStr">
        <is>
          <t>AUTO_VESSEL</t>
        </is>
      </c>
      <c r="I401" t="inlineStr">
        <is>
          <t>是</t>
        </is>
      </c>
      <c r="J401" t="inlineStr">
        <is>
          <t>纳入</t>
        </is>
      </c>
      <c r="K401" t="n">
        <v>820.4158790170133</v>
      </c>
      <c r="L401">
        <f>导管母表_1781!G401</f>
        <v/>
      </c>
      <c r="M401" t="inlineStr">
        <is>
          <t>视野内部</t>
        </is>
      </c>
      <c r="N401" t="inlineStr">
        <is>
          <t>纳入A/D/Dh；若有Pair_ID则纳入CWR</t>
        </is>
      </c>
      <c r="O401" t="inlineStr">
        <is>
          <t>自动管线检出的合格导管腔。</t>
        </is>
      </c>
      <c r="P401" t="inlineStr">
        <is>
          <t>auto_pipeline;review_png_green</t>
        </is>
      </c>
      <c r="R401" t="inlineStr">
        <is>
          <t>样品9</t>
        </is>
      </c>
    </row>
    <row r="402">
      <c r="A402" t="inlineStr">
        <is>
          <t>9(2)-V02</t>
        </is>
      </c>
      <c r="B402" t="inlineStr">
        <is>
          <t>9 (2).tif</t>
        </is>
      </c>
      <c r="C402" t="n">
        <v>834</v>
      </c>
      <c r="D402" t="n">
        <v>67</v>
      </c>
      <c r="E402" t="inlineStr">
        <is>
          <t>800,16,869,119</t>
        </is>
      </c>
      <c r="F402" t="n">
        <v>16</v>
      </c>
      <c r="G402" t="inlineStr">
        <is>
          <t>primary</t>
        </is>
      </c>
      <c r="H402" t="inlineStr">
        <is>
          <t>AUTO_VESSEL</t>
        </is>
      </c>
      <c r="I402" t="inlineStr">
        <is>
          <t>是</t>
        </is>
      </c>
      <c r="J402" t="inlineStr">
        <is>
          <t>纳入</t>
        </is>
      </c>
      <c r="K402" t="n">
        <v>232.2778827977316</v>
      </c>
      <c r="L402">
        <f>导管母表_1781!G402</f>
        <v/>
      </c>
      <c r="M402" t="inlineStr">
        <is>
          <t>近边缘（&lt;25 px）</t>
        </is>
      </c>
      <c r="N402" t="inlineStr">
        <is>
          <t>纳入A/D/Dh；若有Pair_ID则纳入CWR</t>
        </is>
      </c>
      <c r="O402" t="inlineStr">
        <is>
          <t>自动管线检出的合格导管腔。</t>
        </is>
      </c>
      <c r="P402" t="inlineStr">
        <is>
          <t>auto_pipeline;review_png_green</t>
        </is>
      </c>
      <c r="R402" t="inlineStr">
        <is>
          <t>样品9</t>
        </is>
      </c>
    </row>
    <row r="403">
      <c r="A403" t="inlineStr">
        <is>
          <t>9(2)-V03</t>
        </is>
      </c>
      <c r="B403" t="inlineStr">
        <is>
          <t>9 (2).tif</t>
        </is>
      </c>
      <c r="C403" t="n">
        <v>701</v>
      </c>
      <c r="D403" t="n">
        <v>437</v>
      </c>
      <c r="E403" t="inlineStr">
        <is>
          <t>665,400,738,475</t>
        </is>
      </c>
      <c r="F403" t="n">
        <v>286</v>
      </c>
      <c r="G403" t="inlineStr">
        <is>
          <t>primary</t>
        </is>
      </c>
      <c r="H403" t="inlineStr">
        <is>
          <t>AUTO_VESSEL</t>
        </is>
      </c>
      <c r="I403" t="inlineStr">
        <is>
          <t>是</t>
        </is>
      </c>
      <c r="J403" t="inlineStr">
        <is>
          <t>纳入</t>
        </is>
      </c>
      <c r="K403" t="n">
        <v>187.3345935727788</v>
      </c>
      <c r="L403">
        <f>导管母表_1781!G403</f>
        <v/>
      </c>
      <c r="M403" t="inlineStr">
        <is>
          <t>视野内部</t>
        </is>
      </c>
      <c r="N403" t="inlineStr">
        <is>
          <t>纳入A/D/Dh；若有Pair_ID则纳入CWR</t>
        </is>
      </c>
      <c r="O403" t="inlineStr">
        <is>
          <t>自动管线检出的合格导管腔。</t>
        </is>
      </c>
      <c r="P403" t="inlineStr">
        <is>
          <t>auto_pipeline;review_png_green</t>
        </is>
      </c>
      <c r="R403" t="inlineStr">
        <is>
          <t>样品9</t>
        </is>
      </c>
    </row>
    <row r="404">
      <c r="A404" t="inlineStr">
        <is>
          <t>9(2)-V04</t>
        </is>
      </c>
      <c r="B404" t="inlineStr">
        <is>
          <t>9 (2).tif</t>
        </is>
      </c>
      <c r="C404" t="n">
        <v>277</v>
      </c>
      <c r="D404" t="n">
        <v>171</v>
      </c>
      <c r="E404" t="inlineStr">
        <is>
          <t>241,141,314,202</t>
        </is>
      </c>
      <c r="F404" t="n">
        <v>141</v>
      </c>
      <c r="G404" t="inlineStr">
        <is>
          <t>primary</t>
        </is>
      </c>
      <c r="H404" t="inlineStr">
        <is>
          <t>AUTO_VESSEL</t>
        </is>
      </c>
      <c r="I404" t="inlineStr">
        <is>
          <t>是</t>
        </is>
      </c>
      <c r="J404" t="inlineStr">
        <is>
          <t>纳入</t>
        </is>
      </c>
      <c r="K404" t="n">
        <v>160.0897920604915</v>
      </c>
      <c r="L404">
        <f>导管母表_1781!G404</f>
        <v/>
      </c>
      <c r="M404" t="inlineStr">
        <is>
          <t>视野内部</t>
        </is>
      </c>
      <c r="N404" t="inlineStr">
        <is>
          <t>纳入A/D/Dh；若有Pair_ID则纳入CWR</t>
        </is>
      </c>
      <c r="O404" t="inlineStr">
        <is>
          <t>自动管线检出的合格导管腔。</t>
        </is>
      </c>
      <c r="P404" t="inlineStr">
        <is>
          <t>auto_pipeline;review_png_green</t>
        </is>
      </c>
      <c r="R404" t="inlineStr">
        <is>
          <t>样品9</t>
        </is>
      </c>
    </row>
    <row r="405">
      <c r="A405" t="inlineStr">
        <is>
          <t>9(3)-V01</t>
        </is>
      </c>
      <c r="B405" t="inlineStr">
        <is>
          <t>9 (3).tif</t>
        </is>
      </c>
      <c r="C405" t="n">
        <v>413</v>
      </c>
      <c r="D405" t="n">
        <v>319</v>
      </c>
      <c r="E405" t="inlineStr">
        <is>
          <t>327,234,500,405</t>
        </is>
      </c>
      <c r="F405" t="n">
        <v>234</v>
      </c>
      <c r="G405" t="inlineStr">
        <is>
          <t>primary</t>
        </is>
      </c>
      <c r="H405" t="inlineStr">
        <is>
          <t>AUTO_VESSEL</t>
        </is>
      </c>
      <c r="I405" t="inlineStr">
        <is>
          <t>是</t>
        </is>
      </c>
      <c r="J405" t="inlineStr">
        <is>
          <t>纳入</t>
        </is>
      </c>
      <c r="K405" t="n">
        <v>1081.049149338374</v>
      </c>
      <c r="L405">
        <f>导管母表_1781!G405</f>
        <v/>
      </c>
      <c r="M405" t="inlineStr">
        <is>
          <t>视野内部</t>
        </is>
      </c>
      <c r="N405" t="inlineStr">
        <is>
          <t>纳入A/D/Dh；若有Pair_ID则纳入CWR</t>
        </is>
      </c>
      <c r="O405" t="inlineStr">
        <is>
          <t>自动管线检出的合格导管腔。</t>
        </is>
      </c>
      <c r="P405" t="inlineStr">
        <is>
          <t>auto_pipeline;review_png_green</t>
        </is>
      </c>
      <c r="Q405" t="inlineStr">
        <is>
          <t>9(3)-P01</t>
        </is>
      </c>
      <c r="R405" t="inlineStr">
        <is>
          <t>样品9</t>
        </is>
      </c>
    </row>
    <row r="406">
      <c r="A406" t="inlineStr">
        <is>
          <t>9(3)-V02</t>
        </is>
      </c>
      <c r="B406" t="inlineStr">
        <is>
          <t>9 (3).tif</t>
        </is>
      </c>
      <c r="C406" t="n">
        <v>589</v>
      </c>
      <c r="D406" t="n">
        <v>376</v>
      </c>
      <c r="E406" t="inlineStr">
        <is>
          <t>519,309,660,444</t>
        </is>
      </c>
      <c r="F406" t="n">
        <v>309</v>
      </c>
      <c r="G406" t="inlineStr">
        <is>
          <t>primary</t>
        </is>
      </c>
      <c r="H406" t="inlineStr">
        <is>
          <t>AUTO_VESSEL</t>
        </is>
      </c>
      <c r="I406" t="inlineStr">
        <is>
          <t>是</t>
        </is>
      </c>
      <c r="J406" t="inlineStr">
        <is>
          <t>纳入</t>
        </is>
      </c>
      <c r="K406" t="n">
        <v>695.7939508506616</v>
      </c>
      <c r="L406">
        <f>导管母表_1781!G406</f>
        <v/>
      </c>
      <c r="M406" t="inlineStr">
        <is>
          <t>视野内部</t>
        </is>
      </c>
      <c r="N406" t="inlineStr">
        <is>
          <t>纳入A/D/Dh；若有Pair_ID则纳入CWR</t>
        </is>
      </c>
      <c r="O406" t="inlineStr">
        <is>
          <t>自动管线检出的合格导管腔。</t>
        </is>
      </c>
      <c r="P406" t="inlineStr">
        <is>
          <t>auto_pipeline;review_png_green</t>
        </is>
      </c>
      <c r="Q406" t="inlineStr">
        <is>
          <t>9(3)-P01</t>
        </is>
      </c>
      <c r="R406" t="inlineStr">
        <is>
          <t>样品9</t>
        </is>
      </c>
    </row>
    <row r="407">
      <c r="A407" t="inlineStr">
        <is>
          <t>9(3)-V03</t>
        </is>
      </c>
      <c r="B407" t="inlineStr">
        <is>
          <t>9 (3).tif</t>
        </is>
      </c>
      <c r="C407" t="n">
        <v>919</v>
      </c>
      <c r="D407" t="n">
        <v>258</v>
      </c>
      <c r="E407" t="inlineStr">
        <is>
          <t>853,206,986,311</t>
        </is>
      </c>
      <c r="F407" t="n">
        <v>38</v>
      </c>
      <c r="G407" t="inlineStr">
        <is>
          <t>primary</t>
        </is>
      </c>
      <c r="H407" t="inlineStr">
        <is>
          <t>AUTO_VESSEL</t>
        </is>
      </c>
      <c r="I407" t="inlineStr">
        <is>
          <t>是</t>
        </is>
      </c>
      <c r="J407" t="inlineStr">
        <is>
          <t>纳入</t>
        </is>
      </c>
      <c r="K407" t="n">
        <v>509.569943289225</v>
      </c>
      <c r="L407">
        <f>导管母表_1781!G407</f>
        <v/>
      </c>
      <c r="M407" t="inlineStr">
        <is>
          <t>视野内部</t>
        </is>
      </c>
      <c r="N407" t="inlineStr">
        <is>
          <t>纳入A/D/Dh；若有Pair_ID则纳入CWR</t>
        </is>
      </c>
      <c r="O407" t="inlineStr">
        <is>
          <t>自动管线检出的合格导管腔。</t>
        </is>
      </c>
      <c r="P407" t="inlineStr">
        <is>
          <t>auto_pipeline;review_png_green</t>
        </is>
      </c>
      <c r="R407" t="inlineStr">
        <is>
          <t>样品9</t>
        </is>
      </c>
    </row>
    <row r="408">
      <c r="A408" t="inlineStr">
        <is>
          <t>9(3)-V04</t>
        </is>
      </c>
      <c r="B408" t="inlineStr">
        <is>
          <t>9 (3).tif</t>
        </is>
      </c>
      <c r="C408" t="n">
        <v>688</v>
      </c>
      <c r="D408" t="n">
        <v>81</v>
      </c>
      <c r="E408" t="inlineStr">
        <is>
          <t>647,31,730,132</t>
        </is>
      </c>
      <c r="F408" t="n">
        <v>31</v>
      </c>
      <c r="G408" t="inlineStr">
        <is>
          <t>primary</t>
        </is>
      </c>
      <c r="H408" t="inlineStr">
        <is>
          <t>AUTO_VESSEL</t>
        </is>
      </c>
      <c r="I408" t="inlineStr">
        <is>
          <t>是</t>
        </is>
      </c>
      <c r="J408" t="inlineStr">
        <is>
          <t>纳入</t>
        </is>
      </c>
      <c r="K408" t="n">
        <v>303.4026465028355</v>
      </c>
      <c r="L408">
        <f>导管母表_1781!G408</f>
        <v/>
      </c>
      <c r="M408" t="inlineStr">
        <is>
          <t>视野内部</t>
        </is>
      </c>
      <c r="N408" t="inlineStr">
        <is>
          <t>纳入A/D/Dh；若有Pair_ID则纳入CWR</t>
        </is>
      </c>
      <c r="O408" t="inlineStr">
        <is>
          <t>自动管线检出的合格导管腔。</t>
        </is>
      </c>
      <c r="P408" t="inlineStr">
        <is>
          <t>auto_pipeline;review_png_green</t>
        </is>
      </c>
      <c r="R408" t="inlineStr">
        <is>
          <t>样品9</t>
        </is>
      </c>
    </row>
    <row r="409">
      <c r="A409" t="inlineStr">
        <is>
          <t>9(3)-V05</t>
        </is>
      </c>
      <c r="B409" t="inlineStr">
        <is>
          <t>9 (3).tif</t>
        </is>
      </c>
      <c r="C409" t="n">
        <v>115</v>
      </c>
      <c r="D409" t="n">
        <v>382</v>
      </c>
      <c r="E409" t="inlineStr">
        <is>
          <t>77,360,154,405</t>
        </is>
      </c>
      <c r="F409" t="n">
        <v>77</v>
      </c>
      <c r="G409" t="inlineStr">
        <is>
          <t>primary</t>
        </is>
      </c>
      <c r="H409" t="inlineStr">
        <is>
          <t>AUTO_VESSEL</t>
        </is>
      </c>
      <c r="I409" t="inlineStr">
        <is>
          <t>是</t>
        </is>
      </c>
      <c r="J409" t="inlineStr">
        <is>
          <t>纳入</t>
        </is>
      </c>
      <c r="K409" t="n">
        <v>124.1965973534972</v>
      </c>
      <c r="L409">
        <f>导管母表_1781!G409</f>
        <v/>
      </c>
      <c r="M409" t="inlineStr">
        <is>
          <t>视野内部</t>
        </is>
      </c>
      <c r="N409" t="inlineStr">
        <is>
          <t>纳入A/D/Dh；若有Pair_ID则纳入CWR</t>
        </is>
      </c>
      <c r="O409" t="inlineStr">
        <is>
          <t>自动管线检出的合格导管腔。</t>
        </is>
      </c>
      <c r="P409" t="inlineStr">
        <is>
          <t>auto_pipeline;review_png_green</t>
        </is>
      </c>
      <c r="R409" t="inlineStr">
        <is>
          <t>样品9</t>
        </is>
      </c>
    </row>
    <row r="410">
      <c r="A410" t="inlineStr">
        <is>
          <t>9(3)-V06</t>
        </is>
      </c>
      <c r="B410" t="inlineStr">
        <is>
          <t>9 (3).tif</t>
        </is>
      </c>
      <c r="C410" t="n">
        <v>177</v>
      </c>
      <c r="D410" t="n">
        <v>456</v>
      </c>
      <c r="E410" t="inlineStr">
        <is>
          <t>137,430,218,483</t>
        </is>
      </c>
      <c r="F410" t="n">
        <v>137</v>
      </c>
      <c r="G410" t="inlineStr">
        <is>
          <t>primary</t>
        </is>
      </c>
      <c r="H410" t="inlineStr">
        <is>
          <t>AUTO_VESSEL</t>
        </is>
      </c>
      <c r="I410" t="inlineStr">
        <is>
          <t>是</t>
        </is>
      </c>
      <c r="J410" t="inlineStr">
        <is>
          <t>纳入</t>
        </is>
      </c>
      <c r="K410" t="n">
        <v>117.6748582230624</v>
      </c>
      <c r="L410">
        <f>导管母表_1781!G410</f>
        <v/>
      </c>
      <c r="M410" t="inlineStr">
        <is>
          <t>视野内部</t>
        </is>
      </c>
      <c r="N410" t="inlineStr">
        <is>
          <t>纳入A/D/Dh；若有Pair_ID则纳入CWR</t>
        </is>
      </c>
      <c r="O410" t="inlineStr">
        <is>
          <t>自动管线检出的合格导管腔。</t>
        </is>
      </c>
      <c r="P410" t="inlineStr">
        <is>
          <t>auto_pipeline;review_png_green</t>
        </is>
      </c>
      <c r="R410" t="inlineStr">
        <is>
          <t>样品9</t>
        </is>
      </c>
    </row>
    <row r="411">
      <c r="A411" t="inlineStr">
        <is>
          <t>9(4)-V01</t>
        </is>
      </c>
      <c r="B411" t="inlineStr">
        <is>
          <t>9 (4).tif</t>
        </is>
      </c>
      <c r="C411" t="n">
        <v>612</v>
      </c>
      <c r="D411" t="n">
        <v>390</v>
      </c>
      <c r="E411" t="inlineStr">
        <is>
          <t>526,300,699,481</t>
        </is>
      </c>
      <c r="F411" t="n">
        <v>287</v>
      </c>
      <c r="G411" t="inlineStr">
        <is>
          <t>primary</t>
        </is>
      </c>
      <c r="H411" t="inlineStr">
        <is>
          <t>AUTO_VESSEL</t>
        </is>
      </c>
      <c r="I411" t="inlineStr">
        <is>
          <t>是</t>
        </is>
      </c>
      <c r="J411" t="inlineStr">
        <is>
          <t>纳入</t>
        </is>
      </c>
      <c r="K411" t="n">
        <v>1142.202268431002</v>
      </c>
      <c r="L411">
        <f>导管母表_1781!G411</f>
        <v/>
      </c>
      <c r="M411" t="inlineStr">
        <is>
          <t>视野内部</t>
        </is>
      </c>
      <c r="N411" t="inlineStr">
        <is>
          <t>纳入A/D/Dh；若有Pair_ID则纳入CWR</t>
        </is>
      </c>
      <c r="O411" t="inlineStr">
        <is>
          <t>自动管线检出的合格导管腔。</t>
        </is>
      </c>
      <c r="P411" t="inlineStr">
        <is>
          <t>auto_pipeline;review_png_green</t>
        </is>
      </c>
      <c r="R411" t="inlineStr">
        <is>
          <t>样品9</t>
        </is>
      </c>
    </row>
    <row r="412">
      <c r="A412" t="inlineStr">
        <is>
          <t>9(4)-V02</t>
        </is>
      </c>
      <c r="B412" t="inlineStr">
        <is>
          <t>9 (4).tif</t>
        </is>
      </c>
      <c r="C412" t="n">
        <v>422</v>
      </c>
      <c r="D412" t="n">
        <v>358</v>
      </c>
      <c r="E412" t="inlineStr">
        <is>
          <t>332,277,513,440</t>
        </is>
      </c>
      <c r="F412" t="n">
        <v>277</v>
      </c>
      <c r="G412" t="inlineStr">
        <is>
          <t>primary</t>
        </is>
      </c>
      <c r="H412" t="inlineStr">
        <is>
          <t>AUTO_VESSEL</t>
        </is>
      </c>
      <c r="I412" t="inlineStr">
        <is>
          <t>是</t>
        </is>
      </c>
      <c r="J412" t="inlineStr">
        <is>
          <t>纳入</t>
        </is>
      </c>
      <c r="K412" t="n">
        <v>1079.914933837429</v>
      </c>
      <c r="L412">
        <f>导管母表_1781!G412</f>
        <v/>
      </c>
      <c r="M412" t="inlineStr">
        <is>
          <t>视野内部</t>
        </is>
      </c>
      <c r="N412" t="inlineStr">
        <is>
          <t>纳入A/D/Dh；若有Pair_ID则纳入CWR</t>
        </is>
      </c>
      <c r="O412" t="inlineStr">
        <is>
          <t>自动管线检出的合格导管腔。</t>
        </is>
      </c>
      <c r="P412" t="inlineStr">
        <is>
          <t>auto_pipeline;review_png_green</t>
        </is>
      </c>
      <c r="Q412" t="inlineStr">
        <is>
          <t>9(4)-P01</t>
        </is>
      </c>
      <c r="R412" t="inlineStr">
        <is>
          <t>样品9</t>
        </is>
      </c>
    </row>
    <row r="413">
      <c r="A413" t="inlineStr">
        <is>
          <t>9(4)-V03</t>
        </is>
      </c>
      <c r="B413" t="inlineStr">
        <is>
          <t>9 (4).tif</t>
        </is>
      </c>
      <c r="C413" t="n">
        <v>877</v>
      </c>
      <c r="D413" t="n">
        <v>394</v>
      </c>
      <c r="E413" t="inlineStr">
        <is>
          <t>793,323,962,466</t>
        </is>
      </c>
      <c r="F413" t="n">
        <v>62</v>
      </c>
      <c r="G413" t="inlineStr">
        <is>
          <t>primary</t>
        </is>
      </c>
      <c r="H413" t="inlineStr">
        <is>
          <t>AUTO_VESSEL</t>
        </is>
      </c>
      <c r="I413" t="inlineStr">
        <is>
          <t>是</t>
        </is>
      </c>
      <c r="J413" t="inlineStr">
        <is>
          <t>纳入</t>
        </is>
      </c>
      <c r="K413" t="n">
        <v>861.4366729678638</v>
      </c>
      <c r="L413">
        <f>导管母表_1781!G413</f>
        <v/>
      </c>
      <c r="M413" t="inlineStr">
        <is>
          <t>视野内部</t>
        </is>
      </c>
      <c r="N413" t="inlineStr">
        <is>
          <t>纳入A/D/Dh；若有Pair_ID则纳入CWR</t>
        </is>
      </c>
      <c r="O413" t="inlineStr">
        <is>
          <t>自动管线检出的合格导管腔。</t>
        </is>
      </c>
      <c r="P413" t="inlineStr">
        <is>
          <t>auto_pipeline;review_png_green</t>
        </is>
      </c>
      <c r="R413" t="inlineStr">
        <is>
          <t>样品9</t>
        </is>
      </c>
    </row>
    <row r="414">
      <c r="A414" t="inlineStr">
        <is>
          <t>9(4)-V04</t>
        </is>
      </c>
      <c r="B414" t="inlineStr">
        <is>
          <t>9 (4).tif</t>
        </is>
      </c>
      <c r="C414" t="n">
        <v>379</v>
      </c>
      <c r="D414" t="n">
        <v>553</v>
      </c>
      <c r="E414" t="inlineStr">
        <is>
          <t>335,522,424,585</t>
        </is>
      </c>
      <c r="F414" t="n">
        <v>183</v>
      </c>
      <c r="G414" t="inlineStr">
        <is>
          <t>primary</t>
        </is>
      </c>
      <c r="H414" t="inlineStr">
        <is>
          <t>AUTO_VESSEL</t>
        </is>
      </c>
      <c r="I414" t="inlineStr">
        <is>
          <t>是</t>
        </is>
      </c>
      <c r="J414" t="inlineStr">
        <is>
          <t>纳入</t>
        </is>
      </c>
      <c r="K414" t="n">
        <v>203.0009451795841</v>
      </c>
      <c r="L414">
        <f>导管母表_1781!G414</f>
        <v/>
      </c>
      <c r="M414" t="inlineStr">
        <is>
          <t>视野内部</t>
        </is>
      </c>
      <c r="N414" t="inlineStr">
        <is>
          <t>纳入A/D/Dh；若有Pair_ID则纳入CWR</t>
        </is>
      </c>
      <c r="O414" t="inlineStr">
        <is>
          <t>自动管线检出的合格导管腔。</t>
        </is>
      </c>
      <c r="P414" t="inlineStr">
        <is>
          <t>auto_pipeline;review_png_green</t>
        </is>
      </c>
      <c r="R414" t="inlineStr">
        <is>
          <t>样品9</t>
        </is>
      </c>
    </row>
    <row r="415">
      <c r="A415" t="inlineStr">
        <is>
          <t>9(4)-V05</t>
        </is>
      </c>
      <c r="B415" t="inlineStr">
        <is>
          <t>9 (4).tif</t>
        </is>
      </c>
      <c r="C415" t="n">
        <v>283</v>
      </c>
      <c r="D415" t="n">
        <v>368</v>
      </c>
      <c r="E415" t="inlineStr">
        <is>
          <t>252,324,315,413</t>
        </is>
      </c>
      <c r="F415" t="n">
        <v>252</v>
      </c>
      <c r="G415" t="inlineStr">
        <is>
          <t>primary</t>
        </is>
      </c>
      <c r="H415" t="inlineStr">
        <is>
          <t>AUTO_VESSEL</t>
        </is>
      </c>
      <c r="I415" t="inlineStr">
        <is>
          <t>是</t>
        </is>
      </c>
      <c r="J415" t="inlineStr">
        <is>
          <t>纳入</t>
        </is>
      </c>
      <c r="K415" t="n">
        <v>202.7646502835539</v>
      </c>
      <c r="L415">
        <f>导管母表_1781!G415</f>
        <v/>
      </c>
      <c r="M415" t="inlineStr">
        <is>
          <t>视野内部</t>
        </is>
      </c>
      <c r="N415" t="inlineStr">
        <is>
          <t>纳入A/D/Dh；若有Pair_ID则纳入CWR</t>
        </is>
      </c>
      <c r="O415" t="inlineStr">
        <is>
          <t>自动管线检出的合格导管腔。</t>
        </is>
      </c>
      <c r="P415" t="inlineStr">
        <is>
          <t>auto_pipeline;review_png_green</t>
        </is>
      </c>
      <c r="Q415" t="inlineStr">
        <is>
          <t>9(4)-P01</t>
        </is>
      </c>
      <c r="R415" t="inlineStr">
        <is>
          <t>样品9</t>
        </is>
      </c>
    </row>
    <row r="416">
      <c r="A416" t="inlineStr">
        <is>
          <t>9(4)-V06</t>
        </is>
      </c>
      <c r="B416" t="inlineStr">
        <is>
          <t>9 (4).tif</t>
        </is>
      </c>
      <c r="C416" t="n">
        <v>471</v>
      </c>
      <c r="D416" t="n">
        <v>566</v>
      </c>
      <c r="E416" t="inlineStr">
        <is>
          <t>435,540,508,593</t>
        </is>
      </c>
      <c r="F416" t="n">
        <v>175</v>
      </c>
      <c r="G416" t="inlineStr">
        <is>
          <t>primary</t>
        </is>
      </c>
      <c r="H416" t="inlineStr">
        <is>
          <t>AUTO_VESSEL</t>
        </is>
      </c>
      <c r="I416" t="inlineStr">
        <is>
          <t>是</t>
        </is>
      </c>
      <c r="J416" t="inlineStr">
        <is>
          <t>纳入</t>
        </is>
      </c>
      <c r="K416" t="n">
        <v>121.7155009451796</v>
      </c>
      <c r="L416">
        <f>导管母表_1781!G416</f>
        <v/>
      </c>
      <c r="M416" t="inlineStr">
        <is>
          <t>视野内部</t>
        </is>
      </c>
      <c r="N416" t="inlineStr">
        <is>
          <t>纳入A/D/Dh；若有Pair_ID则纳入CWR</t>
        </is>
      </c>
      <c r="O416" t="inlineStr">
        <is>
          <t>自动管线检出的合格导管腔。</t>
        </is>
      </c>
      <c r="P416" t="inlineStr">
        <is>
          <t>auto_pipeline;review_png_green</t>
        </is>
      </c>
      <c r="R416" t="inlineStr">
        <is>
          <t>样品9</t>
        </is>
      </c>
    </row>
    <row r="417">
      <c r="A417" t="inlineStr">
        <is>
          <t>9(5)-V01</t>
        </is>
      </c>
      <c r="B417" t="inlineStr">
        <is>
          <t>9 (5).tif</t>
        </is>
      </c>
      <c r="C417" t="n">
        <v>397</v>
      </c>
      <c r="D417" t="n">
        <v>401</v>
      </c>
      <c r="E417" t="inlineStr">
        <is>
          <t>295,313,500,490</t>
        </is>
      </c>
      <c r="F417" t="n">
        <v>278</v>
      </c>
      <c r="G417" t="inlineStr">
        <is>
          <t>primary</t>
        </is>
      </c>
      <c r="H417" t="inlineStr">
        <is>
          <t>AUTO_VESSEL</t>
        </is>
      </c>
      <c r="I417" t="inlineStr">
        <is>
          <t>是</t>
        </is>
      </c>
      <c r="J417" t="inlineStr">
        <is>
          <t>纳入</t>
        </is>
      </c>
      <c r="K417" t="n">
        <v>1328.686200378072</v>
      </c>
      <c r="L417">
        <f>导管母表_1781!G417</f>
        <v/>
      </c>
      <c r="M417" t="inlineStr">
        <is>
          <t>视野内部</t>
        </is>
      </c>
      <c r="N417" t="inlineStr">
        <is>
          <t>纳入A/D/Dh；若有Pair_ID则纳入CWR</t>
        </is>
      </c>
      <c r="O417" t="inlineStr">
        <is>
          <t>自动管线检出的合格导管腔。</t>
        </is>
      </c>
      <c r="P417" t="inlineStr">
        <is>
          <t>auto_pipeline;review_png_green</t>
        </is>
      </c>
      <c r="Q417" t="inlineStr">
        <is>
          <t>9(5)-P01</t>
        </is>
      </c>
      <c r="R417" t="inlineStr">
        <is>
          <t>样品9</t>
        </is>
      </c>
    </row>
    <row r="418">
      <c r="A418" t="inlineStr">
        <is>
          <t>9(5)-V02</t>
        </is>
      </c>
      <c r="B418" t="inlineStr">
        <is>
          <t>9 (5).tif</t>
        </is>
      </c>
      <c r="C418" t="n">
        <v>592</v>
      </c>
      <c r="D418" t="n">
        <v>327</v>
      </c>
      <c r="E418" t="inlineStr">
        <is>
          <t>502,247,683,408</t>
        </is>
      </c>
      <c r="F418" t="n">
        <v>247</v>
      </c>
      <c r="G418" t="inlineStr">
        <is>
          <t>primary</t>
        </is>
      </c>
      <c r="H418" t="inlineStr">
        <is>
          <t>AUTO_VESSEL</t>
        </is>
      </c>
      <c r="I418" t="inlineStr">
        <is>
          <t>是</t>
        </is>
      </c>
      <c r="J418" t="inlineStr">
        <is>
          <t>纳入</t>
        </is>
      </c>
      <c r="K418" t="n">
        <v>1049.338374291115</v>
      </c>
      <c r="L418">
        <f>导管母表_1781!G418</f>
        <v/>
      </c>
      <c r="M418" t="inlineStr">
        <is>
          <t>视野内部</t>
        </is>
      </c>
      <c r="N418" t="inlineStr">
        <is>
          <t>纳入A/D/Dh；若有Pair_ID则纳入CWR</t>
        </is>
      </c>
      <c r="O418" t="inlineStr">
        <is>
          <t>自动管线检出的合格导管腔。</t>
        </is>
      </c>
      <c r="P418" t="inlineStr">
        <is>
          <t>auto_pipeline;review_png_green</t>
        </is>
      </c>
      <c r="Q418" t="inlineStr">
        <is>
          <t>9(5)-P01</t>
        </is>
      </c>
      <c r="R418" t="inlineStr">
        <is>
          <t>样品9</t>
        </is>
      </c>
    </row>
    <row r="419">
      <c r="A419" t="inlineStr">
        <is>
          <t>9(5)-V03</t>
        </is>
      </c>
      <c r="B419" t="inlineStr">
        <is>
          <t>9 (5).tif</t>
        </is>
      </c>
      <c r="C419" t="n">
        <v>841</v>
      </c>
      <c r="D419" t="n">
        <v>502</v>
      </c>
      <c r="E419" t="inlineStr">
        <is>
          <t>763,439,920,566</t>
        </is>
      </c>
      <c r="F419" t="n">
        <v>104</v>
      </c>
      <c r="G419" t="inlineStr">
        <is>
          <t>primary</t>
        </is>
      </c>
      <c r="H419" t="inlineStr">
        <is>
          <t>AUTO_VESSEL</t>
        </is>
      </c>
      <c r="I419" t="inlineStr">
        <is>
          <t>是</t>
        </is>
      </c>
      <c r="J419" t="inlineStr">
        <is>
          <t>纳入</t>
        </is>
      </c>
      <c r="K419" t="n">
        <v>650.945179584121</v>
      </c>
      <c r="L419">
        <f>导管母表_1781!G419</f>
        <v/>
      </c>
      <c r="M419" t="inlineStr">
        <is>
          <t>视野内部</t>
        </is>
      </c>
      <c r="N419" t="inlineStr">
        <is>
          <t>纳入A/D/Dh；若有Pair_ID则纳入CWR</t>
        </is>
      </c>
      <c r="O419" t="inlineStr">
        <is>
          <t>自动管线检出的合格导管腔。</t>
        </is>
      </c>
      <c r="P419" t="inlineStr">
        <is>
          <t>auto_pipeline;review_png_green</t>
        </is>
      </c>
      <c r="R419" t="inlineStr">
        <is>
          <t>样品9</t>
        </is>
      </c>
    </row>
    <row r="420">
      <c r="A420" t="inlineStr">
        <is>
          <t>9(5)-V04</t>
        </is>
      </c>
      <c r="B420" t="inlineStr">
        <is>
          <t>9 (5).tif</t>
        </is>
      </c>
      <c r="C420" t="n">
        <v>888</v>
      </c>
      <c r="D420" t="n">
        <v>217</v>
      </c>
      <c r="E420" t="inlineStr">
        <is>
          <t>811,164,966,271</t>
        </is>
      </c>
      <c r="F420" t="n">
        <v>58</v>
      </c>
      <c r="G420" t="inlineStr">
        <is>
          <t>primary</t>
        </is>
      </c>
      <c r="H420" t="inlineStr">
        <is>
          <t>AUTO_VESSEL</t>
        </is>
      </c>
      <c r="I420" t="inlineStr">
        <is>
          <t>是</t>
        </is>
      </c>
      <c r="J420" t="inlineStr">
        <is>
          <t>纳入</t>
        </is>
      </c>
      <c r="K420" t="n">
        <v>597.5661625708884</v>
      </c>
      <c r="L420">
        <f>导管母表_1781!G420</f>
        <v/>
      </c>
      <c r="M420" t="inlineStr">
        <is>
          <t>视野内部</t>
        </is>
      </c>
      <c r="N420" t="inlineStr">
        <is>
          <t>纳入A/D/Dh；若有Pair_ID则纳入CWR</t>
        </is>
      </c>
      <c r="O420" t="inlineStr">
        <is>
          <t>自动管线检出的合格导管腔。</t>
        </is>
      </c>
      <c r="P420" t="inlineStr">
        <is>
          <t>auto_pipeline;review_png_green</t>
        </is>
      </c>
      <c r="R420" t="inlineStr">
        <is>
          <t>样品9</t>
        </is>
      </c>
    </row>
    <row r="421">
      <c r="A421" t="inlineStr">
        <is>
          <t>9(5)-V05</t>
        </is>
      </c>
      <c r="B421" t="inlineStr">
        <is>
          <t>9 (5).tif</t>
        </is>
      </c>
      <c r="C421" t="n">
        <v>840</v>
      </c>
      <c r="D421" t="n">
        <v>314</v>
      </c>
      <c r="E421" t="inlineStr">
        <is>
          <t>809,283,872,346</t>
        </is>
      </c>
      <c r="F421" t="n">
        <v>152</v>
      </c>
      <c r="G421" t="inlineStr">
        <is>
          <t>primary</t>
        </is>
      </c>
      <c r="H421" t="inlineStr">
        <is>
          <t>AUTO_VESSEL</t>
        </is>
      </c>
      <c r="I421" t="inlineStr">
        <is>
          <t>是</t>
        </is>
      </c>
      <c r="J421" t="inlineStr">
        <is>
          <t>纳入</t>
        </is>
      </c>
      <c r="K421" t="n">
        <v>142.1077504725898</v>
      </c>
      <c r="L421">
        <f>导管母表_1781!G421</f>
        <v/>
      </c>
      <c r="M421" t="inlineStr">
        <is>
          <t>视野内部</t>
        </is>
      </c>
      <c r="N421" t="inlineStr">
        <is>
          <t>纳入A/D/Dh；若有Pair_ID则纳入CWR</t>
        </is>
      </c>
      <c r="O421" t="inlineStr">
        <is>
          <t>自动管线检出的合格导管腔。</t>
        </is>
      </c>
      <c r="P421" t="inlineStr">
        <is>
          <t>auto_pipeline;review_png_green</t>
        </is>
      </c>
      <c r="R421" t="inlineStr">
        <is>
          <t>样品9</t>
        </is>
      </c>
    </row>
    <row r="422">
      <c r="A422" t="inlineStr">
        <is>
          <t>9(5)-V06</t>
        </is>
      </c>
      <c r="B422" t="inlineStr">
        <is>
          <t>9 (5).tif</t>
        </is>
      </c>
      <c r="C422" t="n">
        <v>246</v>
      </c>
      <c r="D422" t="n">
        <v>315</v>
      </c>
      <c r="E422" t="inlineStr">
        <is>
          <t>200,294,293,337</t>
        </is>
      </c>
      <c r="F422" t="n">
        <v>200</v>
      </c>
      <c r="G422" t="inlineStr">
        <is>
          <t>primary</t>
        </is>
      </c>
      <c r="H422" t="inlineStr">
        <is>
          <t>AUTO_VESSEL</t>
        </is>
      </c>
      <c r="I422" t="inlineStr">
        <is>
          <t>是</t>
        </is>
      </c>
      <c r="J422" t="inlineStr">
        <is>
          <t>纳入</t>
        </is>
      </c>
      <c r="K422" t="n">
        <v>120.5103969754253</v>
      </c>
      <c r="L422">
        <f>导管母表_1781!G422</f>
        <v/>
      </c>
      <c r="M422" t="inlineStr">
        <is>
          <t>视野内部</t>
        </is>
      </c>
      <c r="N422" t="inlineStr">
        <is>
          <t>纳入A/D/Dh；若有Pair_ID则纳入CWR</t>
        </is>
      </c>
      <c r="O422" t="inlineStr">
        <is>
          <t>自动管线检出的合格导管腔。</t>
        </is>
      </c>
      <c r="P422" t="inlineStr">
        <is>
          <t>auto_pipeline;review_png_green</t>
        </is>
      </c>
      <c r="R422" t="inlineStr">
        <is>
          <t>样品9</t>
        </is>
      </c>
    </row>
    <row r="423">
      <c r="A423" t="inlineStr">
        <is>
          <t>9(6)-V01</t>
        </is>
      </c>
      <c r="B423" t="inlineStr">
        <is>
          <t>9 (6).tif</t>
        </is>
      </c>
      <c r="C423" t="n">
        <v>534</v>
      </c>
      <c r="D423" t="n">
        <v>258</v>
      </c>
      <c r="E423" t="inlineStr">
        <is>
          <t>438,159,631,358</t>
        </is>
      </c>
      <c r="F423" t="n">
        <v>159</v>
      </c>
      <c r="G423" t="inlineStr">
        <is>
          <t>primary</t>
        </is>
      </c>
      <c r="H423" t="inlineStr">
        <is>
          <t>AUTO_VESSEL</t>
        </is>
      </c>
      <c r="I423" t="inlineStr">
        <is>
          <t>是</t>
        </is>
      </c>
      <c r="J423" t="inlineStr">
        <is>
          <t>纳入</t>
        </is>
      </c>
      <c r="K423" t="n">
        <v>1408.790170132325</v>
      </c>
      <c r="L423">
        <f>导管母表_1781!G423</f>
        <v/>
      </c>
      <c r="M423" t="inlineStr">
        <is>
          <t>视野内部</t>
        </is>
      </c>
      <c r="N423" t="inlineStr">
        <is>
          <t>纳入A/D/Dh；若有Pair_ID则纳入CWR</t>
        </is>
      </c>
      <c r="O423" t="inlineStr">
        <is>
          <t>自动管线检出的合格导管腔。</t>
        </is>
      </c>
      <c r="P423" t="inlineStr">
        <is>
          <t>auto_pipeline;review_png_green</t>
        </is>
      </c>
      <c r="Q423" t="inlineStr">
        <is>
          <t>9(6)-P01</t>
        </is>
      </c>
      <c r="R423" t="inlineStr">
        <is>
          <t>样品9</t>
        </is>
      </c>
    </row>
    <row r="424">
      <c r="A424" t="inlineStr">
        <is>
          <t>9(6)-V02</t>
        </is>
      </c>
      <c r="B424" t="inlineStr">
        <is>
          <t>9 (6).tif</t>
        </is>
      </c>
      <c r="C424" t="n">
        <v>451</v>
      </c>
      <c r="D424" t="n">
        <v>462</v>
      </c>
      <c r="E424" t="inlineStr">
        <is>
          <t>366,367,537,558</t>
        </is>
      </c>
      <c r="F424" t="n">
        <v>210</v>
      </c>
      <c r="G424" t="inlineStr">
        <is>
          <t>primary</t>
        </is>
      </c>
      <c r="H424" t="inlineStr">
        <is>
          <t>AUTO_VESSEL</t>
        </is>
      </c>
      <c r="I424" t="inlineStr">
        <is>
          <t>是</t>
        </is>
      </c>
      <c r="J424" t="inlineStr">
        <is>
          <t>纳入</t>
        </is>
      </c>
      <c r="K424" t="n">
        <v>1197.73156899811</v>
      </c>
      <c r="L424">
        <f>导管母表_1781!G424</f>
        <v/>
      </c>
      <c r="M424" t="inlineStr">
        <is>
          <t>视野内部</t>
        </is>
      </c>
      <c r="N424" t="inlineStr">
        <is>
          <t>纳入A/D/Dh；若有Pair_ID则纳入CWR</t>
        </is>
      </c>
      <c r="O424" t="inlineStr">
        <is>
          <t>自动管线检出的合格导管腔。</t>
        </is>
      </c>
      <c r="P424" t="inlineStr">
        <is>
          <t>auto_pipeline;review_png_green</t>
        </is>
      </c>
      <c r="Q424" t="inlineStr">
        <is>
          <t>9(6)-P01</t>
        </is>
      </c>
      <c r="R424" t="inlineStr">
        <is>
          <t>样品9</t>
        </is>
      </c>
    </row>
    <row r="425">
      <c r="A425" t="inlineStr">
        <is>
          <t>9(6)-V03</t>
        </is>
      </c>
      <c r="B425" t="inlineStr">
        <is>
          <t>9 (6).tif</t>
        </is>
      </c>
      <c r="C425" t="n">
        <v>509</v>
      </c>
      <c r="D425" t="n">
        <v>57</v>
      </c>
      <c r="E425" t="inlineStr">
        <is>
          <t>469,11,550,104</t>
        </is>
      </c>
      <c r="F425" t="n">
        <v>11</v>
      </c>
      <c r="G425" t="inlineStr">
        <is>
          <t>primary</t>
        </is>
      </c>
      <c r="H425" t="inlineStr">
        <is>
          <t>AUTO_VESSEL</t>
        </is>
      </c>
      <c r="I425" t="inlineStr">
        <is>
          <t>是</t>
        </is>
      </c>
      <c r="J425" t="inlineStr">
        <is>
          <t>纳入</t>
        </is>
      </c>
      <c r="K425" t="n">
        <v>213.2088846880907</v>
      </c>
      <c r="L425">
        <f>导管母表_1781!G425</f>
        <v/>
      </c>
      <c r="M425" t="inlineStr">
        <is>
          <t>近边缘（&lt;25 px）</t>
        </is>
      </c>
      <c r="N425" t="inlineStr">
        <is>
          <t>纳入A/D/Dh；若有Pair_ID则纳入CWR</t>
        </is>
      </c>
      <c r="O425" t="inlineStr">
        <is>
          <t>自动管线检出的合格导管腔。</t>
        </is>
      </c>
      <c r="P425" t="inlineStr">
        <is>
          <t>auto_pipeline;review_png_green</t>
        </is>
      </c>
      <c r="R425" t="inlineStr">
        <is>
          <t>样品9</t>
        </is>
      </c>
    </row>
    <row r="426">
      <c r="A426" t="inlineStr">
        <is>
          <t>9(6)-V04</t>
        </is>
      </c>
      <c r="B426" t="inlineStr">
        <is>
          <t>9 (6).tif</t>
        </is>
      </c>
      <c r="C426" t="n">
        <v>650</v>
      </c>
      <c r="D426" t="n">
        <v>390</v>
      </c>
      <c r="E426" t="inlineStr">
        <is>
          <t>622,342,679,439</t>
        </is>
      </c>
      <c r="F426" t="n">
        <v>329</v>
      </c>
      <c r="G426" t="inlineStr">
        <is>
          <t>primary</t>
        </is>
      </c>
      <c r="H426" t="inlineStr">
        <is>
          <t>AUTO_VESSEL</t>
        </is>
      </c>
      <c r="I426" t="inlineStr">
        <is>
          <t>是</t>
        </is>
      </c>
      <c r="J426" t="inlineStr">
        <is>
          <t>纳入</t>
        </is>
      </c>
      <c r="K426" t="n">
        <v>188.7996219281663</v>
      </c>
      <c r="L426">
        <f>导管母表_1781!G426</f>
        <v/>
      </c>
      <c r="M426" t="inlineStr">
        <is>
          <t>视野内部</t>
        </is>
      </c>
      <c r="N426" t="inlineStr">
        <is>
          <t>纳入A/D/Dh；若有Pair_ID则纳入CWR</t>
        </is>
      </c>
      <c r="O426" t="inlineStr">
        <is>
          <t>自动管线检出的合格导管腔。</t>
        </is>
      </c>
      <c r="P426" t="inlineStr">
        <is>
          <t>auto_pipeline;review_png_green</t>
        </is>
      </c>
      <c r="R426" t="inlineStr">
        <is>
          <t>样品9</t>
        </is>
      </c>
    </row>
    <row r="427">
      <c r="A427" t="inlineStr">
        <is>
          <t>9(6)-V05</t>
        </is>
      </c>
      <c r="B427" t="inlineStr">
        <is>
          <t>9 (6).tif</t>
        </is>
      </c>
      <c r="C427" t="n">
        <v>311</v>
      </c>
      <c r="D427" t="n">
        <v>90</v>
      </c>
      <c r="E427" t="inlineStr">
        <is>
          <t>267,56,356,125</t>
        </is>
      </c>
      <c r="F427" t="n">
        <v>56</v>
      </c>
      <c r="G427" t="inlineStr">
        <is>
          <t>primary</t>
        </is>
      </c>
      <c r="H427" t="inlineStr">
        <is>
          <t>AUTO_VESSEL</t>
        </is>
      </c>
      <c r="I427" t="inlineStr">
        <is>
          <t>是</t>
        </is>
      </c>
      <c r="J427" t="inlineStr">
        <is>
          <t>纳入</t>
        </is>
      </c>
      <c r="K427" t="n">
        <v>185.2788279773157</v>
      </c>
      <c r="L427">
        <f>导管母表_1781!G427</f>
        <v/>
      </c>
      <c r="M427" t="inlineStr">
        <is>
          <t>视野内部</t>
        </is>
      </c>
      <c r="N427" t="inlineStr">
        <is>
          <t>纳入A/D/Dh；若有Pair_ID则纳入CWR</t>
        </is>
      </c>
      <c r="O427" t="inlineStr">
        <is>
          <t>自动管线检出的合格导管腔。</t>
        </is>
      </c>
      <c r="P427" t="inlineStr">
        <is>
          <t>auto_pipeline;review_png_green</t>
        </is>
      </c>
      <c r="R427" t="inlineStr">
        <is>
          <t>样品9</t>
        </is>
      </c>
    </row>
    <row r="428">
      <c r="A428" t="inlineStr">
        <is>
          <t>9(6)-V06</t>
        </is>
      </c>
      <c r="B428" t="inlineStr">
        <is>
          <t>9 (6).tif</t>
        </is>
      </c>
      <c r="C428" t="n">
        <v>584</v>
      </c>
      <c r="D428" t="n">
        <v>67</v>
      </c>
      <c r="E428" t="inlineStr">
        <is>
          <t>553,30,616,105</t>
        </is>
      </c>
      <c r="F428" t="n">
        <v>30</v>
      </c>
      <c r="G428" t="inlineStr">
        <is>
          <t>primary</t>
        </is>
      </c>
      <c r="H428" t="inlineStr">
        <is>
          <t>AUTO_VESSEL</t>
        </is>
      </c>
      <c r="I428" t="inlineStr">
        <is>
          <t>是</t>
        </is>
      </c>
      <c r="J428" t="inlineStr">
        <is>
          <t>纳入</t>
        </is>
      </c>
      <c r="K428" t="n">
        <v>162.4291115311909</v>
      </c>
      <c r="L428">
        <f>导管母表_1781!G428</f>
        <v/>
      </c>
      <c r="M428" t="inlineStr">
        <is>
          <t>视野内部</t>
        </is>
      </c>
      <c r="N428" t="inlineStr">
        <is>
          <t>纳入A/D/Dh；若有Pair_ID则纳入CWR</t>
        </is>
      </c>
      <c r="O428" t="inlineStr">
        <is>
          <t>自动管线检出的合格导管腔。</t>
        </is>
      </c>
      <c r="P428" t="inlineStr">
        <is>
          <t>auto_pipeline;review_png_green</t>
        </is>
      </c>
      <c r="R428" t="inlineStr">
        <is>
          <t>样品9</t>
        </is>
      </c>
    </row>
    <row r="429">
      <c r="A429" t="inlineStr">
        <is>
          <t>9(6)-V07</t>
        </is>
      </c>
      <c r="B429" t="inlineStr">
        <is>
          <t>9 (6).tif</t>
        </is>
      </c>
      <c r="C429" t="n">
        <v>205</v>
      </c>
      <c r="D429" t="n">
        <v>188</v>
      </c>
      <c r="E429" t="inlineStr">
        <is>
          <t>173,131,238,246</t>
        </is>
      </c>
      <c r="F429" t="n">
        <v>131</v>
      </c>
      <c r="G429" t="inlineStr">
        <is>
          <t>primary</t>
        </is>
      </c>
      <c r="H429" t="inlineStr">
        <is>
          <t>AUTO_VESSEL</t>
        </is>
      </c>
      <c r="I429" t="inlineStr">
        <is>
          <t>是</t>
        </is>
      </c>
      <c r="J429" t="inlineStr">
        <is>
          <t>纳入</t>
        </is>
      </c>
      <c r="K429" t="n">
        <v>149.8582230623819</v>
      </c>
      <c r="L429">
        <f>导管母表_1781!G429</f>
        <v/>
      </c>
      <c r="M429" t="inlineStr">
        <is>
          <t>视野内部</t>
        </is>
      </c>
      <c r="N429" t="inlineStr">
        <is>
          <t>纳入A/D/Dh；若有Pair_ID则纳入CWR</t>
        </is>
      </c>
      <c r="O429" t="inlineStr">
        <is>
          <t>自动管线检出的合格导管腔。</t>
        </is>
      </c>
      <c r="P429" t="inlineStr">
        <is>
          <t>auto_pipeline;review_png_green</t>
        </is>
      </c>
      <c r="R429" t="inlineStr">
        <is>
          <t>样品9</t>
        </is>
      </c>
    </row>
    <row r="430">
      <c r="A430" t="inlineStr">
        <is>
          <t>9(6)-V08</t>
        </is>
      </c>
      <c r="B430" t="inlineStr">
        <is>
          <t>9 (6).tif</t>
        </is>
      </c>
      <c r="C430" t="n">
        <v>827</v>
      </c>
      <c r="D430" t="n">
        <v>393</v>
      </c>
      <c r="E430" t="inlineStr">
        <is>
          <t>797,361,858,426</t>
        </is>
      </c>
      <c r="F430" t="n">
        <v>166</v>
      </c>
      <c r="G430" t="inlineStr">
        <is>
          <t>primary</t>
        </is>
      </c>
      <c r="H430" t="inlineStr">
        <is>
          <t>AUTO_VESSEL</t>
        </is>
      </c>
      <c r="I430" t="inlineStr">
        <is>
          <t>是</t>
        </is>
      </c>
      <c r="J430" t="inlineStr">
        <is>
          <t>纳入</t>
        </is>
      </c>
      <c r="K430" t="n">
        <v>142.3913043478261</v>
      </c>
      <c r="L430">
        <f>导管母表_1781!G430</f>
        <v/>
      </c>
      <c r="M430" t="inlineStr">
        <is>
          <t>视野内部</t>
        </is>
      </c>
      <c r="N430" t="inlineStr">
        <is>
          <t>纳入A/D/Dh；若有Pair_ID则纳入CWR</t>
        </is>
      </c>
      <c r="O430" t="inlineStr">
        <is>
          <t>自动管线检出的合格导管腔。</t>
        </is>
      </c>
      <c r="P430" t="inlineStr">
        <is>
          <t>auto_pipeline;review_png_green</t>
        </is>
      </c>
      <c r="R430" t="inlineStr">
        <is>
          <t>样品9</t>
        </is>
      </c>
    </row>
    <row r="431">
      <c r="A431" t="inlineStr">
        <is>
          <t>9(7)-V01</t>
        </is>
      </c>
      <c r="B431" t="inlineStr">
        <is>
          <t>9 (7).tif</t>
        </is>
      </c>
      <c r="C431" t="n">
        <v>416</v>
      </c>
      <c r="D431" t="n">
        <v>289</v>
      </c>
      <c r="E431" t="inlineStr">
        <is>
          <t>332,208,501,371</t>
        </is>
      </c>
      <c r="F431" t="n">
        <v>208</v>
      </c>
      <c r="G431" t="inlineStr">
        <is>
          <t>primary</t>
        </is>
      </c>
      <c r="H431" t="inlineStr">
        <is>
          <t>AUTO_VESSEL</t>
        </is>
      </c>
      <c r="I431" t="inlineStr">
        <is>
          <t>是</t>
        </is>
      </c>
      <c r="J431" t="inlineStr">
        <is>
          <t>纳入</t>
        </is>
      </c>
      <c r="K431" t="n">
        <v>1009.593572778828</v>
      </c>
      <c r="L431">
        <f>导管母表_1781!G431</f>
        <v/>
      </c>
      <c r="M431" t="inlineStr">
        <is>
          <t>视野内部</t>
        </is>
      </c>
      <c r="N431" t="inlineStr">
        <is>
          <t>纳入A/D/Dh；若有Pair_ID则纳入CWR</t>
        </is>
      </c>
      <c r="O431" t="inlineStr">
        <is>
          <t>自动管线检出的合格导管腔。</t>
        </is>
      </c>
      <c r="P431" t="inlineStr">
        <is>
          <t>auto_pipeline;review_png_green</t>
        </is>
      </c>
      <c r="R431" t="inlineStr">
        <is>
          <t>样品9</t>
        </is>
      </c>
    </row>
    <row r="432">
      <c r="A432" t="inlineStr">
        <is>
          <t>9(7)-V02</t>
        </is>
      </c>
      <c r="B432" t="inlineStr">
        <is>
          <t>9 (7).tif</t>
        </is>
      </c>
      <c r="C432" t="n">
        <v>549</v>
      </c>
      <c r="D432" t="n">
        <v>433</v>
      </c>
      <c r="E432" t="inlineStr">
        <is>
          <t>472,354,627,513</t>
        </is>
      </c>
      <c r="F432" t="n">
        <v>255</v>
      </c>
      <c r="G432" t="inlineStr">
        <is>
          <t>primary</t>
        </is>
      </c>
      <c r="H432" t="inlineStr">
        <is>
          <t>AUTO_VESSEL</t>
        </is>
      </c>
      <c r="I432" t="inlineStr">
        <is>
          <t>是</t>
        </is>
      </c>
      <c r="J432" t="inlineStr">
        <is>
          <t>纳入</t>
        </is>
      </c>
      <c r="K432" t="n">
        <v>897.2589792060492</v>
      </c>
      <c r="L432">
        <f>导管母表_1781!G432</f>
        <v/>
      </c>
      <c r="M432" t="inlineStr">
        <is>
          <t>视野内部</t>
        </is>
      </c>
      <c r="N432" t="inlineStr">
        <is>
          <t>纳入A/D/Dh；若有Pair_ID则纳入CWR</t>
        </is>
      </c>
      <c r="O432" t="inlineStr">
        <is>
          <t>自动管线检出的合格导管腔。</t>
        </is>
      </c>
      <c r="P432" t="inlineStr">
        <is>
          <t>auto_pipeline;review_png_green</t>
        </is>
      </c>
      <c r="R432" t="inlineStr">
        <is>
          <t>样品9</t>
        </is>
      </c>
    </row>
    <row r="433">
      <c r="A433" t="inlineStr">
        <is>
          <t>9(7)-V03</t>
        </is>
      </c>
      <c r="B433" t="inlineStr">
        <is>
          <t>9 (7).tif</t>
        </is>
      </c>
      <c r="C433" t="n">
        <v>715</v>
      </c>
      <c r="D433" t="n">
        <v>349</v>
      </c>
      <c r="E433" t="inlineStr">
        <is>
          <t>653,279,778,420</t>
        </is>
      </c>
      <c r="F433" t="n">
        <v>246</v>
      </c>
      <c r="G433" t="inlineStr">
        <is>
          <t>primary</t>
        </is>
      </c>
      <c r="H433" t="inlineStr">
        <is>
          <t>AUTO_VESSEL</t>
        </is>
      </c>
      <c r="I433" t="inlineStr">
        <is>
          <t>是</t>
        </is>
      </c>
      <c r="J433" t="inlineStr">
        <is>
          <t>纳入</t>
        </is>
      </c>
      <c r="K433" t="n">
        <v>642.7221172022685</v>
      </c>
      <c r="L433">
        <f>导管母表_1781!G433</f>
        <v/>
      </c>
      <c r="M433" t="inlineStr">
        <is>
          <t>视野内部</t>
        </is>
      </c>
      <c r="N433" t="inlineStr">
        <is>
          <t>纳入A/D/Dh；若有Pair_ID则纳入CWR</t>
        </is>
      </c>
      <c r="O433" t="inlineStr">
        <is>
          <t>自动管线检出的合格导管腔。</t>
        </is>
      </c>
      <c r="P433" t="inlineStr">
        <is>
          <t>auto_pipeline;review_png_green</t>
        </is>
      </c>
      <c r="R433" t="inlineStr">
        <is>
          <t>样品9</t>
        </is>
      </c>
    </row>
    <row r="434">
      <c r="A434" t="inlineStr">
        <is>
          <t>9(7)-V04</t>
        </is>
      </c>
      <c r="B434" t="inlineStr">
        <is>
          <t>9 (7).tif</t>
        </is>
      </c>
      <c r="C434" t="n">
        <v>578</v>
      </c>
      <c r="D434" t="n">
        <v>306</v>
      </c>
      <c r="E434" t="inlineStr">
        <is>
          <t>532,256,625,357</t>
        </is>
      </c>
      <c r="F434" t="n">
        <v>256</v>
      </c>
      <c r="G434" t="inlineStr">
        <is>
          <t>primary</t>
        </is>
      </c>
      <c r="H434" t="inlineStr">
        <is>
          <t>AUTO_VESSEL</t>
        </is>
      </c>
      <c r="I434" t="inlineStr">
        <is>
          <t>是</t>
        </is>
      </c>
      <c r="J434" t="inlineStr">
        <is>
          <t>纳入</t>
        </is>
      </c>
      <c r="K434" t="n">
        <v>193.241965973535</v>
      </c>
      <c r="L434">
        <f>导管母表_1781!G434</f>
        <v/>
      </c>
      <c r="M434" t="inlineStr">
        <is>
          <t>视野内部</t>
        </is>
      </c>
      <c r="N434" t="inlineStr">
        <is>
          <t>纳入A/D/Dh；若有Pair_ID则纳入CWR</t>
        </is>
      </c>
      <c r="O434" t="inlineStr">
        <is>
          <t>自动管线检出的合格导管腔。</t>
        </is>
      </c>
      <c r="P434" t="inlineStr">
        <is>
          <t>auto_pipeline;review_png_green</t>
        </is>
      </c>
      <c r="R434" t="inlineStr">
        <is>
          <t>样品9</t>
        </is>
      </c>
    </row>
    <row r="435">
      <c r="A435" t="inlineStr">
        <is>
          <t>9(7)-V05</t>
        </is>
      </c>
      <c r="B435" t="inlineStr">
        <is>
          <t>9 (7).tif</t>
        </is>
      </c>
      <c r="C435" t="n">
        <v>358</v>
      </c>
      <c r="D435" t="n">
        <v>159</v>
      </c>
      <c r="E435" t="inlineStr">
        <is>
          <t>322,124,395,195</t>
        </is>
      </c>
      <c r="F435" t="n">
        <v>124</v>
      </c>
      <c r="G435" t="inlineStr">
        <is>
          <t>primary</t>
        </is>
      </c>
      <c r="H435" t="inlineStr">
        <is>
          <t>AUTO_VESSEL</t>
        </is>
      </c>
      <c r="I435" t="inlineStr">
        <is>
          <t>是</t>
        </is>
      </c>
      <c r="J435" t="inlineStr">
        <is>
          <t>纳入</t>
        </is>
      </c>
      <c r="K435" t="n">
        <v>181.0255198487713</v>
      </c>
      <c r="L435">
        <f>导管母表_1781!G435</f>
        <v/>
      </c>
      <c r="M435" t="inlineStr">
        <is>
          <t>视野内部</t>
        </is>
      </c>
      <c r="N435" t="inlineStr">
        <is>
          <t>纳入A/D/Dh；若有Pair_ID则纳入CWR</t>
        </is>
      </c>
      <c r="O435" t="inlineStr">
        <is>
          <t>自动管线检出的合格导管腔。</t>
        </is>
      </c>
      <c r="P435" t="inlineStr">
        <is>
          <t>auto_pipeline;review_png_green</t>
        </is>
      </c>
      <c r="R435" t="inlineStr">
        <is>
          <t>样品9</t>
        </is>
      </c>
    </row>
    <row r="436">
      <c r="A436" t="inlineStr">
        <is>
          <t>9(7)-V06</t>
        </is>
      </c>
      <c r="B436" t="inlineStr">
        <is>
          <t>9 (7).tif</t>
        </is>
      </c>
      <c r="C436" t="n">
        <v>236</v>
      </c>
      <c r="D436" t="n">
        <v>97</v>
      </c>
      <c r="E436" t="inlineStr">
        <is>
          <t>199,65,274,130</t>
        </is>
      </c>
      <c r="F436" t="n">
        <v>65</v>
      </c>
      <c r="G436" t="inlineStr">
        <is>
          <t>primary</t>
        </is>
      </c>
      <c r="H436" t="inlineStr">
        <is>
          <t>AUTO_VESSEL</t>
        </is>
      </c>
      <c r="I436" t="inlineStr">
        <is>
          <t>是</t>
        </is>
      </c>
      <c r="J436" t="inlineStr">
        <is>
          <t>纳入</t>
        </is>
      </c>
      <c r="K436" t="n">
        <v>166.2570888468809</v>
      </c>
      <c r="L436">
        <f>导管母表_1781!G436</f>
        <v/>
      </c>
      <c r="M436" t="inlineStr">
        <is>
          <t>视野内部</t>
        </is>
      </c>
      <c r="N436" t="inlineStr">
        <is>
          <t>纳入A/D/Dh；若有Pair_ID则纳入CWR</t>
        </is>
      </c>
      <c r="O436" t="inlineStr">
        <is>
          <t>自动管线检出的合格导管腔。</t>
        </is>
      </c>
      <c r="P436" t="inlineStr">
        <is>
          <t>auto_pipeline;review_png_green</t>
        </is>
      </c>
      <c r="R436" t="inlineStr">
        <is>
          <t>样品9</t>
        </is>
      </c>
    </row>
    <row r="437">
      <c r="A437" t="inlineStr">
        <is>
          <t>9(8)-V01</t>
        </is>
      </c>
      <c r="B437" t="inlineStr">
        <is>
          <t>9 (8).tif</t>
        </is>
      </c>
      <c r="C437" t="n">
        <v>506</v>
      </c>
      <c r="D437" t="n">
        <v>350</v>
      </c>
      <c r="E437" t="inlineStr">
        <is>
          <t>286,254,727,447</t>
        </is>
      </c>
      <c r="F437" t="n">
        <v>254</v>
      </c>
      <c r="G437" t="inlineStr">
        <is>
          <t>primary</t>
        </is>
      </c>
      <c r="H437" t="inlineStr">
        <is>
          <t>AUTO_VESSEL</t>
        </is>
      </c>
      <c r="I437" t="inlineStr">
        <is>
          <t>是</t>
        </is>
      </c>
      <c r="J437" t="inlineStr">
        <is>
          <t>纳入</t>
        </is>
      </c>
      <c r="K437" t="n">
        <v>3081.049149338374</v>
      </c>
      <c r="L437">
        <f>导管母表_1781!G437</f>
        <v/>
      </c>
      <c r="M437" t="inlineStr">
        <is>
          <t>视野内部</t>
        </is>
      </c>
      <c r="N437" t="inlineStr">
        <is>
          <t>纳入A/D/Dh；若有Pair_ID则纳入CWR</t>
        </is>
      </c>
      <c r="O437" t="inlineStr">
        <is>
          <t>自动管线检出的合格导管腔。</t>
        </is>
      </c>
      <c r="P437" t="inlineStr">
        <is>
          <t>auto_pipeline;review_png_green</t>
        </is>
      </c>
      <c r="R437" t="inlineStr">
        <is>
          <t>样品9</t>
        </is>
      </c>
    </row>
    <row r="438">
      <c r="A438" t="inlineStr">
        <is>
          <t>9(8)-V02</t>
        </is>
      </c>
      <c r="B438" t="inlineStr">
        <is>
          <t>9 (8).tif</t>
        </is>
      </c>
      <c r="C438" t="n">
        <v>772</v>
      </c>
      <c r="D438" t="n">
        <v>279</v>
      </c>
      <c r="E438" t="inlineStr">
        <is>
          <t>701,233,844,326</t>
        </is>
      </c>
      <c r="F438" t="n">
        <v>180</v>
      </c>
      <c r="G438" t="inlineStr">
        <is>
          <t>primary</t>
        </is>
      </c>
      <c r="H438" t="inlineStr">
        <is>
          <t>AUTO_VESSEL</t>
        </is>
      </c>
      <c r="I438" t="inlineStr">
        <is>
          <t>是</t>
        </is>
      </c>
      <c r="J438" t="inlineStr">
        <is>
          <t>纳入</t>
        </is>
      </c>
      <c r="K438" t="n">
        <v>382.65595463138</v>
      </c>
      <c r="L438">
        <f>导管母表_1781!G438</f>
        <v/>
      </c>
      <c r="M438" t="inlineStr">
        <is>
          <t>视野内部</t>
        </is>
      </c>
      <c r="N438" t="inlineStr">
        <is>
          <t>纳入A/D/Dh；若有Pair_ID则纳入CWR</t>
        </is>
      </c>
      <c r="O438" t="inlineStr">
        <is>
          <t>自动管线检出的合格导管腔。</t>
        </is>
      </c>
      <c r="P438" t="inlineStr">
        <is>
          <t>auto_pipeline;review_png_green</t>
        </is>
      </c>
      <c r="R438" t="inlineStr">
        <is>
          <t>样品9</t>
        </is>
      </c>
    </row>
    <row r="439">
      <c r="A439" t="inlineStr">
        <is>
          <t>9(8)-V03</t>
        </is>
      </c>
      <c r="B439" t="inlineStr">
        <is>
          <t>9 (8).tif</t>
        </is>
      </c>
      <c r="C439" t="n">
        <v>135</v>
      </c>
      <c r="D439" t="n">
        <v>138</v>
      </c>
      <c r="E439" t="inlineStr">
        <is>
          <t>87,95,184,182</t>
        </is>
      </c>
      <c r="F439" t="n">
        <v>87</v>
      </c>
      <c r="G439" t="inlineStr">
        <is>
          <t>primary</t>
        </is>
      </c>
      <c r="H439" t="inlineStr">
        <is>
          <t>AUTO_VESSEL</t>
        </is>
      </c>
      <c r="I439" t="inlineStr">
        <is>
          <t>是</t>
        </is>
      </c>
      <c r="J439" t="inlineStr">
        <is>
          <t>纳入</t>
        </is>
      </c>
      <c r="K439" t="n">
        <v>283.7665406427221</v>
      </c>
      <c r="L439">
        <f>导管母表_1781!G439</f>
        <v/>
      </c>
      <c r="M439" t="inlineStr">
        <is>
          <t>视野内部</t>
        </is>
      </c>
      <c r="N439" t="inlineStr">
        <is>
          <t>纳入A/D/Dh；若有Pair_ID则纳入CWR</t>
        </is>
      </c>
      <c r="O439" t="inlineStr">
        <is>
          <t>自动管线检出的合格导管腔。</t>
        </is>
      </c>
      <c r="P439" t="inlineStr">
        <is>
          <t>auto_pipeline;review_png_green</t>
        </is>
      </c>
      <c r="R439" t="inlineStr">
        <is>
          <t>样品9</t>
        </is>
      </c>
    </row>
    <row r="440">
      <c r="A440" t="inlineStr">
        <is>
          <t>9(8)-V04</t>
        </is>
      </c>
      <c r="B440" t="inlineStr">
        <is>
          <t>9 (8).tif</t>
        </is>
      </c>
      <c r="C440" t="n">
        <v>837</v>
      </c>
      <c r="D440" t="n">
        <v>589</v>
      </c>
      <c r="E440" t="inlineStr">
        <is>
          <t>780,560,895,619</t>
        </is>
      </c>
      <c r="F440" t="n">
        <v>129</v>
      </c>
      <c r="G440" t="inlineStr">
        <is>
          <t>primary</t>
        </is>
      </c>
      <c r="H440" t="inlineStr">
        <is>
          <t>AUTO_VESSEL</t>
        </is>
      </c>
      <c r="I440" t="inlineStr">
        <is>
          <t>是</t>
        </is>
      </c>
      <c r="J440" t="inlineStr">
        <is>
          <t>纳入</t>
        </is>
      </c>
      <c r="K440" t="n">
        <v>204.5841209829868</v>
      </c>
      <c r="L440">
        <f>导管母表_1781!G440</f>
        <v/>
      </c>
      <c r="M440" t="inlineStr">
        <is>
          <t>视野内部</t>
        </is>
      </c>
      <c r="N440" t="inlineStr">
        <is>
          <t>纳入A/D/Dh；若有Pair_ID则纳入CWR</t>
        </is>
      </c>
      <c r="O440" t="inlineStr">
        <is>
          <t>自动管线检出的合格导管腔。</t>
        </is>
      </c>
      <c r="P440" t="inlineStr">
        <is>
          <t>auto_pipeline;review_png_green</t>
        </is>
      </c>
      <c r="R440" t="inlineStr">
        <is>
          <t>样品9</t>
        </is>
      </c>
    </row>
    <row r="441">
      <c r="A441" t="inlineStr">
        <is>
          <t>9(9)-V01</t>
        </is>
      </c>
      <c r="B441" t="inlineStr">
        <is>
          <t>9 (9).tif</t>
        </is>
      </c>
      <c r="C441" t="n">
        <v>358</v>
      </c>
      <c r="D441" t="n">
        <v>415</v>
      </c>
      <c r="E441" t="inlineStr">
        <is>
          <t>266,320,451,511</t>
        </is>
      </c>
      <c r="F441" t="n">
        <v>257</v>
      </c>
      <c r="G441" t="inlineStr">
        <is>
          <t>primary</t>
        </is>
      </c>
      <c r="H441" t="inlineStr">
        <is>
          <t>AUTO_VESSEL</t>
        </is>
      </c>
      <c r="I441" t="inlineStr">
        <is>
          <t>是</t>
        </is>
      </c>
      <c r="J441" t="inlineStr">
        <is>
          <t>纳入</t>
        </is>
      </c>
      <c r="K441" t="n">
        <v>1296.479206049149</v>
      </c>
      <c r="L441">
        <f>导管母表_1781!G441</f>
        <v/>
      </c>
      <c r="M441" t="inlineStr">
        <is>
          <t>视野内部</t>
        </is>
      </c>
      <c r="N441" t="inlineStr">
        <is>
          <t>纳入A/D/Dh；若有Pair_ID则纳入CWR</t>
        </is>
      </c>
      <c r="O441" t="inlineStr">
        <is>
          <t>自动管线检出的合格导管腔。</t>
        </is>
      </c>
      <c r="P441" t="inlineStr">
        <is>
          <t>auto_pipeline;review_png_green</t>
        </is>
      </c>
      <c r="R441" t="inlineStr">
        <is>
          <t>样品9</t>
        </is>
      </c>
    </row>
    <row r="442">
      <c r="A442" t="inlineStr">
        <is>
          <t>9(9)-V02</t>
        </is>
      </c>
      <c r="B442" t="inlineStr">
        <is>
          <t>9 (9).tif</t>
        </is>
      </c>
      <c r="C442" t="n">
        <v>591</v>
      </c>
      <c r="D442" t="n">
        <v>318</v>
      </c>
      <c r="E442" t="inlineStr">
        <is>
          <t>498,244,685,393</t>
        </is>
      </c>
      <c r="F442" t="n">
        <v>244</v>
      </c>
      <c r="G442" t="inlineStr">
        <is>
          <t>primary</t>
        </is>
      </c>
      <c r="H442" t="inlineStr">
        <is>
          <t>AUTO_VESSEL</t>
        </is>
      </c>
      <c r="I442" t="inlineStr">
        <is>
          <t>是</t>
        </is>
      </c>
      <c r="J442" t="inlineStr">
        <is>
          <t>纳入</t>
        </is>
      </c>
      <c r="K442" t="n">
        <v>1018.974480151229</v>
      </c>
      <c r="L442">
        <f>导管母表_1781!G442</f>
        <v/>
      </c>
      <c r="M442" t="inlineStr">
        <is>
          <t>视野内部</t>
        </is>
      </c>
      <c r="N442" t="inlineStr">
        <is>
          <t>纳入A/D/Dh；若有Pair_ID则纳入CWR</t>
        </is>
      </c>
      <c r="O442" t="inlineStr">
        <is>
          <t>自动管线检出的合格导管腔。</t>
        </is>
      </c>
      <c r="P442" t="inlineStr">
        <is>
          <t>auto_pipeline;review_png_green</t>
        </is>
      </c>
      <c r="R442" t="inlineStr">
        <is>
          <t>样品9</t>
        </is>
      </c>
    </row>
    <row r="443">
      <c r="A443" t="inlineStr">
        <is>
          <t>9(9)-V03</t>
        </is>
      </c>
      <c r="B443" t="inlineStr">
        <is>
          <t>9 (9).tif</t>
        </is>
      </c>
      <c r="C443" t="n">
        <v>749</v>
      </c>
      <c r="D443" t="n">
        <v>500</v>
      </c>
      <c r="E443" t="inlineStr">
        <is>
          <t>711,472,788,529</t>
        </is>
      </c>
      <c r="F443" t="n">
        <v>236</v>
      </c>
      <c r="G443" t="inlineStr">
        <is>
          <t>primary</t>
        </is>
      </c>
      <c r="H443" t="inlineStr">
        <is>
          <t>AUTO_VESSEL</t>
        </is>
      </c>
      <c r="I443" t="inlineStr">
        <is>
          <t>是</t>
        </is>
      </c>
      <c r="J443" t="inlineStr">
        <is>
          <t>纳入</t>
        </is>
      </c>
      <c r="K443" t="n">
        <v>150.6379962192817</v>
      </c>
      <c r="L443">
        <f>导管母表_1781!G443</f>
        <v/>
      </c>
      <c r="M443" t="inlineStr">
        <is>
          <t>视野内部</t>
        </is>
      </c>
      <c r="N443" t="inlineStr">
        <is>
          <t>纳入A/D/Dh；若有Pair_ID则纳入CWR</t>
        </is>
      </c>
      <c r="O443" t="inlineStr">
        <is>
          <t>自动管线检出的合格导管腔。</t>
        </is>
      </c>
      <c r="P443" t="inlineStr">
        <is>
          <t>auto_pipeline;review_png_green</t>
        </is>
      </c>
      <c r="R443" t="inlineStr">
        <is>
          <t>样品9</t>
        </is>
      </c>
    </row>
    <row r="444">
      <c r="A444" t="inlineStr">
        <is>
          <t>9(9)-V04</t>
        </is>
      </c>
      <c r="B444" t="inlineStr">
        <is>
          <t>9 (9).tif</t>
        </is>
      </c>
      <c r="C444" t="n">
        <v>160</v>
      </c>
      <c r="D444" t="n">
        <v>432</v>
      </c>
      <c r="E444" t="inlineStr">
        <is>
          <t>134,395,187,470</t>
        </is>
      </c>
      <c r="F444" t="n">
        <v>134</v>
      </c>
      <c r="G444" t="inlineStr">
        <is>
          <t>primary</t>
        </is>
      </c>
      <c r="H444" t="inlineStr">
        <is>
          <t>AUTO_VESSEL</t>
        </is>
      </c>
      <c r="I444" t="inlineStr">
        <is>
          <t>是</t>
        </is>
      </c>
      <c r="J444" t="inlineStr">
        <is>
          <t>纳入</t>
        </is>
      </c>
      <c r="K444" t="n">
        <v>137.5708884688091</v>
      </c>
      <c r="L444">
        <f>导管母表_1781!G444</f>
        <v/>
      </c>
      <c r="M444" t="inlineStr">
        <is>
          <t>视野内部</t>
        </is>
      </c>
      <c r="N444" t="inlineStr">
        <is>
          <t>纳入A/D/Dh；若有Pair_ID则纳入CWR</t>
        </is>
      </c>
      <c r="O444" t="inlineStr">
        <is>
          <t>自动管线检出的合格导管腔。</t>
        </is>
      </c>
      <c r="P444" t="inlineStr">
        <is>
          <t>auto_pipeline;review_png_green</t>
        </is>
      </c>
      <c r="R444" t="inlineStr">
        <is>
          <t>样品9</t>
        </is>
      </c>
    </row>
    <row r="445">
      <c r="A445" t="inlineStr">
        <is>
          <t>9(9)-V05</t>
        </is>
      </c>
      <c r="B445" t="inlineStr">
        <is>
          <t>9 (9).tif</t>
        </is>
      </c>
      <c r="C445" t="n">
        <v>278</v>
      </c>
      <c r="D445" t="n">
        <v>50</v>
      </c>
      <c r="E445" t="inlineStr">
        <is>
          <t>239,31,318,70</t>
        </is>
      </c>
      <c r="F445" t="n">
        <v>31</v>
      </c>
      <c r="G445" t="inlineStr">
        <is>
          <t>primary</t>
        </is>
      </c>
      <c r="H445" t="inlineStr">
        <is>
          <t>AUTO_VESSEL</t>
        </is>
      </c>
      <c r="I445" t="inlineStr">
        <is>
          <t>是</t>
        </is>
      </c>
      <c r="J445" t="inlineStr">
        <is>
          <t>纳入</t>
        </is>
      </c>
      <c r="K445" t="n">
        <v>101.0396975425331</v>
      </c>
      <c r="L445">
        <f>导管母表_1781!G445</f>
        <v/>
      </c>
      <c r="M445" t="inlineStr">
        <is>
          <t>视野内部</t>
        </is>
      </c>
      <c r="N445" t="inlineStr">
        <is>
          <t>纳入A/D/Dh；若有Pair_ID则纳入CWR</t>
        </is>
      </c>
      <c r="O445" t="inlineStr">
        <is>
          <t>自动管线检出的合格导管腔。</t>
        </is>
      </c>
      <c r="P445" t="inlineStr">
        <is>
          <t>auto_pipeline;review_png_green</t>
        </is>
      </c>
      <c r="R445" t="inlineStr">
        <is>
          <t>样品9</t>
        </is>
      </c>
    </row>
    <row r="446">
      <c r="A446" t="inlineStr">
        <is>
          <t>10(1)-V01</t>
        </is>
      </c>
      <c r="B446" t="inlineStr">
        <is>
          <t>10 (1).tif</t>
        </is>
      </c>
      <c r="C446" t="n">
        <v>436</v>
      </c>
      <c r="D446" t="n">
        <v>394</v>
      </c>
      <c r="E446" t="inlineStr">
        <is>
          <t>381,349,492,440</t>
        </is>
      </c>
      <c r="F446" t="n">
        <v>328</v>
      </c>
      <c r="G446" t="inlineStr">
        <is>
          <t>primary</t>
        </is>
      </c>
      <c r="H446" t="inlineStr">
        <is>
          <t>AUTO_VESSEL</t>
        </is>
      </c>
      <c r="I446" t="inlineStr">
        <is>
          <t>是</t>
        </is>
      </c>
      <c r="J446" t="inlineStr">
        <is>
          <t>纳入</t>
        </is>
      </c>
      <c r="K446" t="n">
        <v>365.9971644612476</v>
      </c>
      <c r="L446">
        <f>导管母表_1781!G446</f>
        <v/>
      </c>
      <c r="M446" t="inlineStr">
        <is>
          <t>视野内部</t>
        </is>
      </c>
      <c r="N446" t="inlineStr">
        <is>
          <t>纳入A/D/Dh；若有Pair_ID则纳入CWR</t>
        </is>
      </c>
      <c r="O446" t="inlineStr">
        <is>
          <t>自动管线检出的合格导管腔。</t>
        </is>
      </c>
      <c r="P446" t="inlineStr">
        <is>
          <t>auto_pipeline;review_png_green</t>
        </is>
      </c>
      <c r="R446" t="inlineStr">
        <is>
          <t>样品10</t>
        </is>
      </c>
    </row>
    <row r="447">
      <c r="A447" t="inlineStr">
        <is>
          <t>10(1)-V02</t>
        </is>
      </c>
      <c r="B447" t="inlineStr">
        <is>
          <t>10 (1).tif</t>
        </is>
      </c>
      <c r="C447" t="n">
        <v>567</v>
      </c>
      <c r="D447" t="n">
        <v>357</v>
      </c>
      <c r="E447" t="inlineStr">
        <is>
          <t>517,309,618,406</t>
        </is>
      </c>
      <c r="F447" t="n">
        <v>309</v>
      </c>
      <c r="G447" t="inlineStr">
        <is>
          <t>primary</t>
        </is>
      </c>
      <c r="H447" t="inlineStr">
        <is>
          <t>AUTO_VESSEL</t>
        </is>
      </c>
      <c r="I447" t="inlineStr">
        <is>
          <t>是</t>
        </is>
      </c>
      <c r="J447" t="inlineStr">
        <is>
          <t>纳入</t>
        </is>
      </c>
      <c r="K447" t="n">
        <v>345.2268431001891</v>
      </c>
      <c r="L447">
        <f>导管母表_1781!G447</f>
        <v/>
      </c>
      <c r="M447" t="inlineStr">
        <is>
          <t>视野内部</t>
        </is>
      </c>
      <c r="N447" t="inlineStr">
        <is>
          <t>纳入A/D/Dh；若有Pair_ID则纳入CWR</t>
        </is>
      </c>
      <c r="O447" t="inlineStr">
        <is>
          <t>自动管线检出的合格导管腔。</t>
        </is>
      </c>
      <c r="P447" t="inlineStr">
        <is>
          <t>auto_pipeline;review_png_green</t>
        </is>
      </c>
      <c r="R447" t="inlineStr">
        <is>
          <t>样品10</t>
        </is>
      </c>
    </row>
    <row r="448">
      <c r="A448" t="inlineStr">
        <is>
          <t>10(1)-V03</t>
        </is>
      </c>
      <c r="B448" t="inlineStr">
        <is>
          <t>10 (1).tif</t>
        </is>
      </c>
      <c r="C448" t="n">
        <v>882</v>
      </c>
      <c r="D448" t="n">
        <v>469</v>
      </c>
      <c r="E448" t="inlineStr">
        <is>
          <t>817,429,948,510</t>
        </is>
      </c>
      <c r="F448" t="n">
        <v>76</v>
      </c>
      <c r="G448" t="inlineStr">
        <is>
          <t>primary</t>
        </is>
      </c>
      <c r="H448" t="inlineStr">
        <is>
          <t>AUTO_VESSEL</t>
        </is>
      </c>
      <c r="I448" t="inlineStr">
        <is>
          <t>是</t>
        </is>
      </c>
      <c r="J448" t="inlineStr">
        <is>
          <t>纳入</t>
        </is>
      </c>
      <c r="K448" t="n">
        <v>208.2466918714556</v>
      </c>
      <c r="L448">
        <f>导管母表_1781!G448</f>
        <v/>
      </c>
      <c r="M448" t="inlineStr">
        <is>
          <t>视野内部</t>
        </is>
      </c>
      <c r="N448" t="inlineStr">
        <is>
          <t>纳入A/D/Dh；若有Pair_ID则纳入CWR</t>
        </is>
      </c>
      <c r="O448" t="inlineStr">
        <is>
          <t>自动管线检出的合格导管腔。</t>
        </is>
      </c>
      <c r="P448" t="inlineStr">
        <is>
          <t>auto_pipeline;review_png_green</t>
        </is>
      </c>
      <c r="R448" t="inlineStr">
        <is>
          <t>样品10</t>
        </is>
      </c>
    </row>
    <row r="449">
      <c r="A449" t="inlineStr">
        <is>
          <t>10(1)-V04</t>
        </is>
      </c>
      <c r="B449" t="inlineStr">
        <is>
          <t>10 (1).tif</t>
        </is>
      </c>
      <c r="C449" t="n">
        <v>661</v>
      </c>
      <c r="D449" t="n">
        <v>158</v>
      </c>
      <c r="E449" t="inlineStr">
        <is>
          <t>623,113,700,204</t>
        </is>
      </c>
      <c r="F449" t="n">
        <v>113</v>
      </c>
      <c r="G449" t="inlineStr">
        <is>
          <t>primary</t>
        </is>
      </c>
      <c r="H449" t="inlineStr">
        <is>
          <t>AUTO_VESSEL</t>
        </is>
      </c>
      <c r="I449" t="inlineStr">
        <is>
          <t>是</t>
        </is>
      </c>
      <c r="J449" t="inlineStr">
        <is>
          <t>纳入</t>
        </is>
      </c>
      <c r="K449" t="n">
        <v>180.0094517958412</v>
      </c>
      <c r="L449">
        <f>导管母表_1781!G449</f>
        <v/>
      </c>
      <c r="M449" t="inlineStr">
        <is>
          <t>视野内部</t>
        </is>
      </c>
      <c r="N449" t="inlineStr">
        <is>
          <t>纳入A/D/Dh；若有Pair_ID则纳入CWR</t>
        </is>
      </c>
      <c r="O449" t="inlineStr">
        <is>
          <t>自动管线检出的合格导管腔。</t>
        </is>
      </c>
      <c r="P449" t="inlineStr">
        <is>
          <t>auto_pipeline;review_png_green</t>
        </is>
      </c>
      <c r="R449" t="inlineStr">
        <is>
          <t>样品10</t>
        </is>
      </c>
    </row>
    <row r="450">
      <c r="A450" t="inlineStr">
        <is>
          <t>10(1)-V05</t>
        </is>
      </c>
      <c r="B450" t="inlineStr">
        <is>
          <t>10 (1).tif</t>
        </is>
      </c>
      <c r="C450" t="n">
        <v>101</v>
      </c>
      <c r="D450" t="n">
        <v>81</v>
      </c>
      <c r="E450" t="inlineStr">
        <is>
          <t>50,61,153,102</t>
        </is>
      </c>
      <c r="F450" t="n">
        <v>50</v>
      </c>
      <c r="G450" t="inlineStr">
        <is>
          <t>primary</t>
        </is>
      </c>
      <c r="H450" t="inlineStr">
        <is>
          <t>AUTO_VESSEL</t>
        </is>
      </c>
      <c r="I450" t="inlineStr">
        <is>
          <t>是</t>
        </is>
      </c>
      <c r="J450" t="inlineStr">
        <is>
          <t>纳入</t>
        </is>
      </c>
      <c r="K450" t="n">
        <v>145.8412098298677</v>
      </c>
      <c r="L450">
        <f>导管母表_1781!G450</f>
        <v/>
      </c>
      <c r="M450" t="inlineStr">
        <is>
          <t>视野内部</t>
        </is>
      </c>
      <c r="N450" t="inlineStr">
        <is>
          <t>纳入A/D/Dh；若有Pair_ID则纳入CWR</t>
        </is>
      </c>
      <c r="O450" t="inlineStr">
        <is>
          <t>自动管线检出的合格导管腔。</t>
        </is>
      </c>
      <c r="P450" t="inlineStr">
        <is>
          <t>auto_pipeline;review_png_green</t>
        </is>
      </c>
      <c r="R450" t="inlineStr">
        <is>
          <t>样品10</t>
        </is>
      </c>
    </row>
    <row r="451">
      <c r="A451" t="inlineStr">
        <is>
          <t>10(1)-V06</t>
        </is>
      </c>
      <c r="B451" t="inlineStr">
        <is>
          <t>10 (1).tif</t>
        </is>
      </c>
      <c r="C451" t="n">
        <v>716</v>
      </c>
      <c r="D451" t="n">
        <v>195</v>
      </c>
      <c r="E451" t="inlineStr">
        <is>
          <t>684,166,749,225</t>
        </is>
      </c>
      <c r="F451" t="n">
        <v>166</v>
      </c>
      <c r="G451" t="inlineStr">
        <is>
          <t>primary</t>
        </is>
      </c>
      <c r="H451" t="inlineStr">
        <is>
          <t>AUTO_VESSEL</t>
        </is>
      </c>
      <c r="I451" t="inlineStr">
        <is>
          <t>是</t>
        </is>
      </c>
      <c r="J451" t="inlineStr">
        <is>
          <t>纳入</t>
        </is>
      </c>
      <c r="K451" t="n">
        <v>130.0567107750473</v>
      </c>
      <c r="L451">
        <f>导管母表_1781!G451</f>
        <v/>
      </c>
      <c r="M451" t="inlineStr">
        <is>
          <t>视野内部</t>
        </is>
      </c>
      <c r="N451" t="inlineStr">
        <is>
          <t>纳入A/D/Dh；若有Pair_ID则纳入CWR</t>
        </is>
      </c>
      <c r="O451" t="inlineStr">
        <is>
          <t>自动管线检出的合格导管腔。</t>
        </is>
      </c>
      <c r="P451" t="inlineStr">
        <is>
          <t>auto_pipeline;review_png_green</t>
        </is>
      </c>
      <c r="R451" t="inlineStr">
        <is>
          <t>样品10</t>
        </is>
      </c>
    </row>
    <row r="452">
      <c r="A452" t="inlineStr">
        <is>
          <t>10(2)-V01</t>
        </is>
      </c>
      <c r="B452" t="inlineStr">
        <is>
          <t>10 (2).tif</t>
        </is>
      </c>
      <c r="C452" t="n">
        <v>529</v>
      </c>
      <c r="D452" t="n">
        <v>292</v>
      </c>
      <c r="E452" t="inlineStr">
        <is>
          <t>440,222,619,363</t>
        </is>
      </c>
      <c r="F452" t="n">
        <v>222</v>
      </c>
      <c r="G452" t="inlineStr">
        <is>
          <t>primary</t>
        </is>
      </c>
      <c r="H452" t="inlineStr">
        <is>
          <t>AUTO_VESSEL</t>
        </is>
      </c>
      <c r="I452" t="inlineStr">
        <is>
          <t>是</t>
        </is>
      </c>
      <c r="J452" t="inlineStr">
        <is>
          <t>纳入</t>
        </is>
      </c>
      <c r="K452" t="n">
        <v>925.2126654064273</v>
      </c>
      <c r="L452">
        <f>导管母表_1781!G452</f>
        <v/>
      </c>
      <c r="M452" t="inlineStr">
        <is>
          <t>视野内部</t>
        </is>
      </c>
      <c r="N452" t="inlineStr">
        <is>
          <t>纳入A/D/Dh；若有Pair_ID则纳入CWR</t>
        </is>
      </c>
      <c r="O452" t="inlineStr">
        <is>
          <t>自动管线检出的合格导管腔。</t>
        </is>
      </c>
      <c r="P452" t="inlineStr">
        <is>
          <t>auto_pipeline;review_png_green</t>
        </is>
      </c>
      <c r="R452" t="inlineStr">
        <is>
          <t>样品10</t>
        </is>
      </c>
    </row>
    <row r="453">
      <c r="A453" t="inlineStr">
        <is>
          <t>10(2)-V02</t>
        </is>
      </c>
      <c r="B453" t="inlineStr">
        <is>
          <t>10 (2).tif</t>
        </is>
      </c>
      <c r="C453" t="n">
        <v>405</v>
      </c>
      <c r="D453" t="n">
        <v>445</v>
      </c>
      <c r="E453" t="inlineStr">
        <is>
          <t>329,365,482,526</t>
        </is>
      </c>
      <c r="F453" t="n">
        <v>242</v>
      </c>
      <c r="G453" t="inlineStr">
        <is>
          <t>primary</t>
        </is>
      </c>
      <c r="H453" t="inlineStr">
        <is>
          <t>AUTO_VESSEL</t>
        </is>
      </c>
      <c r="I453" t="inlineStr">
        <is>
          <t>是</t>
        </is>
      </c>
      <c r="J453" t="inlineStr">
        <is>
          <t>纳入</t>
        </is>
      </c>
      <c r="K453" t="n">
        <v>888.2797731568999</v>
      </c>
      <c r="L453">
        <f>导管母表_1781!G453</f>
        <v/>
      </c>
      <c r="M453" t="inlineStr">
        <is>
          <t>视野内部</t>
        </is>
      </c>
      <c r="N453" t="inlineStr">
        <is>
          <t>纳入A/D/Dh；若有Pair_ID则纳入CWR</t>
        </is>
      </c>
      <c r="O453" t="inlineStr">
        <is>
          <t>自动管线检出的合格导管腔。</t>
        </is>
      </c>
      <c r="P453" t="inlineStr">
        <is>
          <t>auto_pipeline;review_png_green</t>
        </is>
      </c>
      <c r="R453" t="inlineStr">
        <is>
          <t>样品10</t>
        </is>
      </c>
    </row>
    <row r="454">
      <c r="A454" t="inlineStr">
        <is>
          <t>10(2)-V03</t>
        </is>
      </c>
      <c r="B454" t="inlineStr">
        <is>
          <t>10 (2).tif</t>
        </is>
      </c>
      <c r="C454" t="n">
        <v>379</v>
      </c>
      <c r="D454" t="n">
        <v>222</v>
      </c>
      <c r="E454" t="inlineStr">
        <is>
          <t>325,179,434,266</t>
        </is>
      </c>
      <c r="F454" t="n">
        <v>179</v>
      </c>
      <c r="G454" t="inlineStr">
        <is>
          <t>primary</t>
        </is>
      </c>
      <c r="H454" t="inlineStr">
        <is>
          <t>AUTO_VESSEL</t>
        </is>
      </c>
      <c r="I454" t="inlineStr">
        <is>
          <t>是</t>
        </is>
      </c>
      <c r="J454" t="inlineStr">
        <is>
          <t>纳入</t>
        </is>
      </c>
      <c r="K454" t="n">
        <v>314.8865784499055</v>
      </c>
      <c r="L454">
        <f>导管母表_1781!G454</f>
        <v/>
      </c>
      <c r="M454" t="inlineStr">
        <is>
          <t>视野内部</t>
        </is>
      </c>
      <c r="N454" t="inlineStr">
        <is>
          <t>纳入A/D/Dh；若有Pair_ID则纳入CWR</t>
        </is>
      </c>
      <c r="O454" t="inlineStr">
        <is>
          <t>自动管线检出的合格导管腔。</t>
        </is>
      </c>
      <c r="P454" t="inlineStr">
        <is>
          <t>auto_pipeline;review_png_green</t>
        </is>
      </c>
      <c r="R454" t="inlineStr">
        <is>
          <t>样品10</t>
        </is>
      </c>
    </row>
    <row r="455">
      <c r="A455" t="inlineStr">
        <is>
          <t>10(2)-V04</t>
        </is>
      </c>
      <c r="B455" t="inlineStr">
        <is>
          <t>10 (2).tif</t>
        </is>
      </c>
      <c r="C455" t="n">
        <v>549</v>
      </c>
      <c r="D455" t="n">
        <v>540</v>
      </c>
      <c r="E455" t="inlineStr">
        <is>
          <t>518,492,581,589</t>
        </is>
      </c>
      <c r="F455" t="n">
        <v>179</v>
      </c>
      <c r="G455" t="inlineStr">
        <is>
          <t>primary</t>
        </is>
      </c>
      <c r="H455" t="inlineStr">
        <is>
          <t>AUTO_VESSEL</t>
        </is>
      </c>
      <c r="I455" t="inlineStr">
        <is>
          <t>是</t>
        </is>
      </c>
      <c r="J455" t="inlineStr">
        <is>
          <t>纳入</t>
        </is>
      </c>
      <c r="K455" t="n">
        <v>130.6947069943289</v>
      </c>
      <c r="L455">
        <f>导管母表_1781!G455</f>
        <v/>
      </c>
      <c r="M455" t="inlineStr">
        <is>
          <t>视野内部</t>
        </is>
      </c>
      <c r="N455" t="inlineStr">
        <is>
          <t>纳入A/D/Dh；若有Pair_ID则纳入CWR</t>
        </is>
      </c>
      <c r="O455" t="inlineStr">
        <is>
          <t>自动管线检出的合格导管腔。</t>
        </is>
      </c>
      <c r="P455" t="inlineStr">
        <is>
          <t>auto_pipeline;review_png_green</t>
        </is>
      </c>
      <c r="R455" t="inlineStr">
        <is>
          <t>样品10</t>
        </is>
      </c>
    </row>
    <row r="456">
      <c r="A456" t="inlineStr">
        <is>
          <t>10(2)-V05</t>
        </is>
      </c>
      <c r="B456" t="inlineStr">
        <is>
          <t>10 (2).tif</t>
        </is>
      </c>
      <c r="C456" t="n">
        <v>555</v>
      </c>
      <c r="D456" t="n">
        <v>62</v>
      </c>
      <c r="E456" t="inlineStr">
        <is>
          <t>528,27,583,98</t>
        </is>
      </c>
      <c r="F456" t="n">
        <v>27</v>
      </c>
      <c r="G456" t="inlineStr">
        <is>
          <t>primary</t>
        </is>
      </c>
      <c r="H456" t="inlineStr">
        <is>
          <t>AUTO_VESSEL</t>
        </is>
      </c>
      <c r="I456" t="inlineStr">
        <is>
          <t>是</t>
        </is>
      </c>
      <c r="J456" t="inlineStr">
        <is>
          <t>纳入</t>
        </is>
      </c>
      <c r="K456" t="n">
        <v>124.7637051039698</v>
      </c>
      <c r="L456">
        <f>导管母表_1781!G456</f>
        <v/>
      </c>
      <c r="M456" t="inlineStr">
        <is>
          <t>视野内部</t>
        </is>
      </c>
      <c r="N456" t="inlineStr">
        <is>
          <t>纳入A/D/Dh；若有Pair_ID则纳入CWR</t>
        </is>
      </c>
      <c r="O456" t="inlineStr">
        <is>
          <t>自动管线检出的合格导管腔。</t>
        </is>
      </c>
      <c r="P456" t="inlineStr">
        <is>
          <t>auto_pipeline;review_png_green</t>
        </is>
      </c>
      <c r="R456" t="inlineStr">
        <is>
          <t>样品10</t>
        </is>
      </c>
    </row>
    <row r="457">
      <c r="A457" t="inlineStr">
        <is>
          <t>10(3)-V01</t>
        </is>
      </c>
      <c r="B457" t="inlineStr">
        <is>
          <t>10 (3).tif</t>
        </is>
      </c>
      <c r="C457" t="n">
        <v>527</v>
      </c>
      <c r="D457" t="n">
        <v>451</v>
      </c>
      <c r="E457" t="inlineStr">
        <is>
          <t>457,386,598,517</t>
        </is>
      </c>
      <c r="F457" t="n">
        <v>251</v>
      </c>
      <c r="G457" t="inlineStr">
        <is>
          <t>primary</t>
        </is>
      </c>
      <c r="H457" t="inlineStr">
        <is>
          <t>AUTO_VESSEL</t>
        </is>
      </c>
      <c r="I457" t="inlineStr">
        <is>
          <t>是</t>
        </is>
      </c>
      <c r="J457" t="inlineStr">
        <is>
          <t>纳入</t>
        </is>
      </c>
      <c r="K457" t="n">
        <v>674.8818525519849</v>
      </c>
      <c r="L457">
        <f>导管母表_1781!G457</f>
        <v/>
      </c>
      <c r="M457" t="inlineStr">
        <is>
          <t>视野内部</t>
        </is>
      </c>
      <c r="N457" t="inlineStr">
        <is>
          <t>纳入A/D/Dh；若有Pair_ID则纳入CWR</t>
        </is>
      </c>
      <c r="O457" t="inlineStr">
        <is>
          <t>自动管线检出的合格导管腔。</t>
        </is>
      </c>
      <c r="P457" t="inlineStr">
        <is>
          <t>auto_pipeline;review_png_green</t>
        </is>
      </c>
      <c r="Q457" t="inlineStr">
        <is>
          <t>10(3)-P01</t>
        </is>
      </c>
      <c r="R457" t="inlineStr">
        <is>
          <t>样品10</t>
        </is>
      </c>
    </row>
    <row r="458">
      <c r="A458" t="inlineStr">
        <is>
          <t>10(3)-V02</t>
        </is>
      </c>
      <c r="B458" t="inlineStr">
        <is>
          <t>10 (3).tif</t>
        </is>
      </c>
      <c r="C458" t="n">
        <v>740</v>
      </c>
      <c r="D458" t="n">
        <v>382</v>
      </c>
      <c r="E458" t="inlineStr">
        <is>
          <t>691,290,790,475</t>
        </is>
      </c>
      <c r="F458" t="n">
        <v>234</v>
      </c>
      <c r="G458" t="inlineStr">
        <is>
          <t>primary</t>
        </is>
      </c>
      <c r="H458" t="inlineStr">
        <is>
          <t>AUTO_VESSEL</t>
        </is>
      </c>
      <c r="I458" t="inlineStr">
        <is>
          <t>是</t>
        </is>
      </c>
      <c r="J458" t="inlineStr">
        <is>
          <t>纳入</t>
        </is>
      </c>
      <c r="K458" t="n">
        <v>649.007561436673</v>
      </c>
      <c r="L458">
        <f>导管母表_1781!G458</f>
        <v/>
      </c>
      <c r="M458" t="inlineStr">
        <is>
          <t>视野内部</t>
        </is>
      </c>
      <c r="N458" t="inlineStr">
        <is>
          <t>纳入A/D/Dh；若有Pair_ID则纳入CWR</t>
        </is>
      </c>
      <c r="O458" t="inlineStr">
        <is>
          <t>自动管线检出的合格导管腔。</t>
        </is>
      </c>
      <c r="P458" t="inlineStr">
        <is>
          <t>auto_pipeline;review_png_green</t>
        </is>
      </c>
      <c r="R458" t="inlineStr">
        <is>
          <t>样品10</t>
        </is>
      </c>
    </row>
    <row r="459">
      <c r="A459" t="inlineStr">
        <is>
          <t>10(3)-V03</t>
        </is>
      </c>
      <c r="B459" t="inlineStr">
        <is>
          <t>10 (3).tif</t>
        </is>
      </c>
      <c r="C459" t="n">
        <v>902</v>
      </c>
      <c r="D459" t="n">
        <v>514</v>
      </c>
      <c r="E459" t="inlineStr">
        <is>
          <t>845,439,960,590</t>
        </is>
      </c>
      <c r="F459" t="n">
        <v>64</v>
      </c>
      <c r="G459" t="inlineStr">
        <is>
          <t>primary</t>
        </is>
      </c>
      <c r="H459" t="inlineStr">
        <is>
          <t>AUTO_VESSEL</t>
        </is>
      </c>
      <c r="I459" t="inlineStr">
        <is>
          <t>是</t>
        </is>
      </c>
      <c r="J459" t="inlineStr">
        <is>
          <t>纳入</t>
        </is>
      </c>
      <c r="K459" t="n">
        <v>635.3024574669187</v>
      </c>
      <c r="L459">
        <f>导管母表_1781!G459</f>
        <v/>
      </c>
      <c r="M459" t="inlineStr">
        <is>
          <t>视野内部</t>
        </is>
      </c>
      <c r="N459" t="inlineStr">
        <is>
          <t>纳入A/D/Dh；若有Pair_ID则纳入CWR</t>
        </is>
      </c>
      <c r="O459" t="inlineStr">
        <is>
          <t>自动管线检出的合格导管腔。</t>
        </is>
      </c>
      <c r="P459" t="inlineStr">
        <is>
          <t>auto_pipeline;review_png_green</t>
        </is>
      </c>
      <c r="R459" t="inlineStr">
        <is>
          <t>样品10</t>
        </is>
      </c>
    </row>
    <row r="460">
      <c r="A460" t="inlineStr">
        <is>
          <t>10(3)-V04</t>
        </is>
      </c>
      <c r="B460" t="inlineStr">
        <is>
          <t>10 (3).tif</t>
        </is>
      </c>
      <c r="C460" t="n">
        <v>493</v>
      </c>
      <c r="D460" t="n">
        <v>313</v>
      </c>
      <c r="E460" t="inlineStr">
        <is>
          <t>435,252,552,375</t>
        </is>
      </c>
      <c r="F460" t="n">
        <v>252</v>
      </c>
      <c r="G460" t="inlineStr">
        <is>
          <t>primary</t>
        </is>
      </c>
      <c r="H460" t="inlineStr">
        <is>
          <t>AUTO_VESSEL</t>
        </is>
      </c>
      <c r="I460" t="inlineStr">
        <is>
          <t>是</t>
        </is>
      </c>
      <c r="J460" t="inlineStr">
        <is>
          <t>纳入</t>
        </is>
      </c>
      <c r="K460" t="n">
        <v>523.4404536862004</v>
      </c>
      <c r="L460">
        <f>导管母表_1781!G460</f>
        <v/>
      </c>
      <c r="M460" t="inlineStr">
        <is>
          <t>视野内部</t>
        </is>
      </c>
      <c r="N460" t="inlineStr">
        <is>
          <t>纳入A/D/Dh；若有Pair_ID则纳入CWR</t>
        </is>
      </c>
      <c r="O460" t="inlineStr">
        <is>
          <t>自动管线检出的合格导管腔。</t>
        </is>
      </c>
      <c r="P460" t="inlineStr">
        <is>
          <t>auto_pipeline;review_png_green</t>
        </is>
      </c>
      <c r="Q460" t="inlineStr">
        <is>
          <t>10(3)-P01</t>
        </is>
      </c>
      <c r="R460" t="inlineStr">
        <is>
          <t>样品10</t>
        </is>
      </c>
    </row>
    <row r="461">
      <c r="A461" t="inlineStr">
        <is>
          <t>10(3)-V05</t>
        </is>
      </c>
      <c r="B461" t="inlineStr">
        <is>
          <t>10 (3).tif</t>
        </is>
      </c>
      <c r="C461" t="n">
        <v>716</v>
      </c>
      <c r="D461" t="n">
        <v>87</v>
      </c>
      <c r="E461" t="inlineStr">
        <is>
          <t>678,56,755,119</t>
        </is>
      </c>
      <c r="F461" t="n">
        <v>56</v>
      </c>
      <c r="G461" t="inlineStr">
        <is>
          <t>primary</t>
        </is>
      </c>
      <c r="H461" t="inlineStr">
        <is>
          <t>AUTO_VESSEL</t>
        </is>
      </c>
      <c r="I461" t="inlineStr">
        <is>
          <t>是</t>
        </is>
      </c>
      <c r="J461" t="inlineStr">
        <is>
          <t>纳入</t>
        </is>
      </c>
      <c r="K461" t="n">
        <v>164.390359168242</v>
      </c>
      <c r="L461">
        <f>导管母表_1781!G461</f>
        <v/>
      </c>
      <c r="M461" t="inlineStr">
        <is>
          <t>视野内部</t>
        </is>
      </c>
      <c r="N461" t="inlineStr">
        <is>
          <t>纳入A/D/Dh；若有Pair_ID则纳入CWR</t>
        </is>
      </c>
      <c r="O461" t="inlineStr">
        <is>
          <t>自动管线检出的合格导管腔。</t>
        </is>
      </c>
      <c r="P461" t="inlineStr">
        <is>
          <t>auto_pipeline;review_png_green</t>
        </is>
      </c>
      <c r="R461" t="inlineStr">
        <is>
          <t>样品10</t>
        </is>
      </c>
    </row>
    <row r="462">
      <c r="A462" t="inlineStr">
        <is>
          <t>10(3)-V06</t>
        </is>
      </c>
      <c r="B462" t="inlineStr">
        <is>
          <t>10 (3).tif</t>
        </is>
      </c>
      <c r="C462" t="n">
        <v>734</v>
      </c>
      <c r="D462" t="n">
        <v>150</v>
      </c>
      <c r="E462" t="inlineStr">
        <is>
          <t>707,124,762,177</t>
        </is>
      </c>
      <c r="F462" t="n">
        <v>124</v>
      </c>
      <c r="G462" t="inlineStr">
        <is>
          <t>primary</t>
        </is>
      </c>
      <c r="H462" t="inlineStr">
        <is>
          <t>AUTO_VESSEL</t>
        </is>
      </c>
      <c r="I462" t="inlineStr">
        <is>
          <t>是</t>
        </is>
      </c>
      <c r="J462" t="inlineStr">
        <is>
          <t>纳入</t>
        </is>
      </c>
      <c r="K462" t="n">
        <v>103.82797731569</v>
      </c>
      <c r="L462">
        <f>导管母表_1781!G462</f>
        <v/>
      </c>
      <c r="M462" t="inlineStr">
        <is>
          <t>视野内部</t>
        </is>
      </c>
      <c r="N462" t="inlineStr">
        <is>
          <t>纳入A/D/Dh；若有Pair_ID则纳入CWR</t>
        </is>
      </c>
      <c r="O462" t="inlineStr">
        <is>
          <t>自动管线检出的合格导管腔。</t>
        </is>
      </c>
      <c r="P462" t="inlineStr">
        <is>
          <t>auto_pipeline;review_png_green</t>
        </is>
      </c>
      <c r="R462" t="inlineStr">
        <is>
          <t>样品10</t>
        </is>
      </c>
    </row>
    <row r="463">
      <c r="A463" t="inlineStr">
        <is>
          <t>10(3)-V07</t>
        </is>
      </c>
      <c r="B463" t="inlineStr">
        <is>
          <t>10 (3).tif</t>
        </is>
      </c>
      <c r="C463" t="n">
        <v>524</v>
      </c>
      <c r="D463" t="n">
        <v>73</v>
      </c>
      <c r="E463" t="inlineStr">
        <is>
          <t>496,48,553,99</t>
        </is>
      </c>
      <c r="F463" t="n">
        <v>48</v>
      </c>
      <c r="G463" t="inlineStr">
        <is>
          <t>primary</t>
        </is>
      </c>
      <c r="H463" t="inlineStr">
        <is>
          <t>AUTO_VESSEL</t>
        </is>
      </c>
      <c r="I463" t="inlineStr">
        <is>
          <t>是</t>
        </is>
      </c>
      <c r="J463" t="inlineStr">
        <is>
          <t>纳入</t>
        </is>
      </c>
      <c r="K463" t="n">
        <v>103.1427221172023</v>
      </c>
      <c r="L463">
        <f>导管母表_1781!G463</f>
        <v/>
      </c>
      <c r="M463" t="inlineStr">
        <is>
          <t>视野内部</t>
        </is>
      </c>
      <c r="N463" t="inlineStr">
        <is>
          <t>纳入A/D/Dh；若有Pair_ID则纳入CWR</t>
        </is>
      </c>
      <c r="O463" t="inlineStr">
        <is>
          <t>自动管线检出的合格导管腔。</t>
        </is>
      </c>
      <c r="P463" t="inlineStr">
        <is>
          <t>auto_pipeline;review_png_green</t>
        </is>
      </c>
      <c r="R463" t="inlineStr">
        <is>
          <t>样品10</t>
        </is>
      </c>
    </row>
    <row r="464">
      <c r="A464" t="inlineStr">
        <is>
          <t>10(4)-V01</t>
        </is>
      </c>
      <c r="B464" t="inlineStr">
        <is>
          <t>10 (4).tif</t>
        </is>
      </c>
      <c r="C464" t="n">
        <v>149</v>
      </c>
      <c r="D464" t="n">
        <v>581</v>
      </c>
      <c r="E464" t="inlineStr">
        <is>
          <t>73,540,226,623</t>
        </is>
      </c>
      <c r="F464" t="n">
        <v>73</v>
      </c>
      <c r="G464" t="inlineStr">
        <is>
          <t>primary</t>
        </is>
      </c>
      <c r="H464" t="inlineStr">
        <is>
          <t>AUTO_VESSEL</t>
        </is>
      </c>
      <c r="I464" t="inlineStr">
        <is>
          <t>是</t>
        </is>
      </c>
      <c r="J464" t="inlineStr">
        <is>
          <t>纳入</t>
        </is>
      </c>
      <c r="K464" t="n">
        <v>462.6417769376181</v>
      </c>
      <c r="L464">
        <f>导管母表_1781!G464</f>
        <v/>
      </c>
      <c r="M464" t="inlineStr">
        <is>
          <t>视野内部</t>
        </is>
      </c>
      <c r="N464" t="inlineStr">
        <is>
          <t>纳入A/D/Dh；若有Pair_ID则纳入CWR</t>
        </is>
      </c>
      <c r="O464" t="inlineStr">
        <is>
          <t>自动管线检出的合格导管腔。</t>
        </is>
      </c>
      <c r="P464" t="inlineStr">
        <is>
          <t>auto_pipeline;review_png_green</t>
        </is>
      </c>
      <c r="R464" t="inlineStr">
        <is>
          <t>样品10</t>
        </is>
      </c>
    </row>
    <row r="465">
      <c r="A465" t="inlineStr">
        <is>
          <t>10(4)-V02</t>
        </is>
      </c>
      <c r="B465" t="inlineStr">
        <is>
          <t>10 (4).tif</t>
        </is>
      </c>
      <c r="C465" t="n">
        <v>544</v>
      </c>
      <c r="D465" t="n">
        <v>432</v>
      </c>
      <c r="E465" t="inlineStr">
        <is>
          <t>504,372,585,493</t>
        </is>
      </c>
      <c r="F465" t="n">
        <v>275</v>
      </c>
      <c r="G465" t="inlineStr">
        <is>
          <t>primary</t>
        </is>
      </c>
      <c r="H465" t="inlineStr">
        <is>
          <t>AUTO_VESSEL</t>
        </is>
      </c>
      <c r="I465" t="inlineStr">
        <is>
          <t>是</t>
        </is>
      </c>
      <c r="J465" t="inlineStr">
        <is>
          <t>纳入</t>
        </is>
      </c>
      <c r="K465" t="n">
        <v>356.8052930056711</v>
      </c>
      <c r="L465">
        <f>导管母表_1781!G465</f>
        <v/>
      </c>
      <c r="M465" t="inlineStr">
        <is>
          <t>视野内部</t>
        </is>
      </c>
      <c r="N465" t="inlineStr">
        <is>
          <t>纳入A/D/Dh；若有Pair_ID则纳入CWR</t>
        </is>
      </c>
      <c r="O465" t="inlineStr">
        <is>
          <t>自动管线检出的合格导管腔。</t>
        </is>
      </c>
      <c r="P465" t="inlineStr">
        <is>
          <t>auto_pipeline;review_png_green</t>
        </is>
      </c>
      <c r="R465" t="inlineStr">
        <is>
          <t>样品10</t>
        </is>
      </c>
    </row>
    <row r="466">
      <c r="A466" t="inlineStr">
        <is>
          <t>10(4)-V03</t>
        </is>
      </c>
      <c r="B466" t="inlineStr">
        <is>
          <t>10 (4).tif</t>
        </is>
      </c>
      <c r="C466" t="n">
        <v>463</v>
      </c>
      <c r="D466" t="n">
        <v>159</v>
      </c>
      <c r="E466" t="inlineStr">
        <is>
          <t>418,128,509,191</t>
        </is>
      </c>
      <c r="F466" t="n">
        <v>128</v>
      </c>
      <c r="G466" t="inlineStr">
        <is>
          <t>primary</t>
        </is>
      </c>
      <c r="H466" t="inlineStr">
        <is>
          <t>AUTO_VESSEL</t>
        </is>
      </c>
      <c r="I466" t="inlineStr">
        <is>
          <t>是</t>
        </is>
      </c>
      <c r="J466" t="inlineStr">
        <is>
          <t>纳入</t>
        </is>
      </c>
      <c r="K466" t="n">
        <v>191.9659735349717</v>
      </c>
      <c r="L466">
        <f>导管母表_1781!G466</f>
        <v/>
      </c>
      <c r="M466" t="inlineStr">
        <is>
          <t>视野内部</t>
        </is>
      </c>
      <c r="N466" t="inlineStr">
        <is>
          <t>纳入A/D/Dh；若有Pair_ID则纳入CWR</t>
        </is>
      </c>
      <c r="O466" t="inlineStr">
        <is>
          <t>自动管线检出的合格导管腔。</t>
        </is>
      </c>
      <c r="P466" t="inlineStr">
        <is>
          <t>auto_pipeline;review_png_green</t>
        </is>
      </c>
      <c r="R466" t="inlineStr">
        <is>
          <t>样品10</t>
        </is>
      </c>
    </row>
    <row r="467">
      <c r="A467" t="inlineStr">
        <is>
          <t>10(4)-V04</t>
        </is>
      </c>
      <c r="B467" t="inlineStr">
        <is>
          <t>10 (4).tif</t>
        </is>
      </c>
      <c r="C467" t="n">
        <v>770</v>
      </c>
      <c r="D467" t="n">
        <v>216</v>
      </c>
      <c r="E467" t="inlineStr">
        <is>
          <t>725,194,816,239</t>
        </is>
      </c>
      <c r="F467" t="n">
        <v>194</v>
      </c>
      <c r="G467" t="inlineStr">
        <is>
          <t>primary</t>
        </is>
      </c>
      <c r="H467" t="inlineStr">
        <is>
          <t>AUTO_VESSEL</t>
        </is>
      </c>
      <c r="I467" t="inlineStr">
        <is>
          <t>是</t>
        </is>
      </c>
      <c r="J467" t="inlineStr">
        <is>
          <t>纳入</t>
        </is>
      </c>
      <c r="K467" t="n">
        <v>136.7674858223062</v>
      </c>
      <c r="L467">
        <f>导管母表_1781!G467</f>
        <v/>
      </c>
      <c r="M467" t="inlineStr">
        <is>
          <t>视野内部</t>
        </is>
      </c>
      <c r="N467" t="inlineStr">
        <is>
          <t>纳入A/D/Dh；若有Pair_ID则纳入CWR</t>
        </is>
      </c>
      <c r="O467" t="inlineStr">
        <is>
          <t>自动管线检出的合格导管腔。</t>
        </is>
      </c>
      <c r="P467" t="inlineStr">
        <is>
          <t>auto_pipeline;review_png_green</t>
        </is>
      </c>
      <c r="R467" t="inlineStr">
        <is>
          <t>样品10</t>
        </is>
      </c>
    </row>
    <row r="468">
      <c r="A468" t="inlineStr">
        <is>
          <t>10(5)-V01</t>
        </is>
      </c>
      <c r="B468" t="inlineStr">
        <is>
          <t>10 (5).tif</t>
        </is>
      </c>
      <c r="C468" t="n">
        <v>581</v>
      </c>
      <c r="D468" t="n">
        <v>395</v>
      </c>
      <c r="E468" t="inlineStr">
        <is>
          <t>530,324,633,467</t>
        </is>
      </c>
      <c r="F468" t="n">
        <v>301</v>
      </c>
      <c r="G468" t="inlineStr">
        <is>
          <t>primary</t>
        </is>
      </c>
      <c r="H468" t="inlineStr">
        <is>
          <t>AUTO_VESSEL</t>
        </is>
      </c>
      <c r="I468" t="inlineStr">
        <is>
          <t>是</t>
        </is>
      </c>
      <c r="J468" t="inlineStr">
        <is>
          <t>纳入</t>
        </is>
      </c>
      <c r="K468" t="n">
        <v>526.913988657845</v>
      </c>
      <c r="L468">
        <f>导管母表_1781!G468</f>
        <v/>
      </c>
      <c r="M468" t="inlineStr">
        <is>
          <t>视野内部</t>
        </is>
      </c>
      <c r="N468" t="inlineStr">
        <is>
          <t>纳入A/D/Dh；若有Pair_ID则纳入CWR</t>
        </is>
      </c>
      <c r="O468" t="inlineStr">
        <is>
          <t>自动管线检出的合格导管腔。</t>
        </is>
      </c>
      <c r="P468" t="inlineStr">
        <is>
          <t>auto_pipeline;review_png_green</t>
        </is>
      </c>
      <c r="R468" t="inlineStr">
        <is>
          <t>样品10</t>
        </is>
      </c>
    </row>
    <row r="469">
      <c r="A469" t="inlineStr">
        <is>
          <t>10(5)-V02</t>
        </is>
      </c>
      <c r="B469" t="inlineStr">
        <is>
          <t>10 (5).tif</t>
        </is>
      </c>
      <c r="C469" t="n">
        <v>450</v>
      </c>
      <c r="D469" t="n">
        <v>305</v>
      </c>
      <c r="E469" t="inlineStr">
        <is>
          <t>401,232,500,379</t>
        </is>
      </c>
      <c r="F469" t="n">
        <v>232</v>
      </c>
      <c r="G469" t="inlineStr">
        <is>
          <t>primary</t>
        </is>
      </c>
      <c r="H469" t="inlineStr">
        <is>
          <t>AUTO_VESSEL</t>
        </is>
      </c>
      <c r="I469" t="inlineStr">
        <is>
          <t>是</t>
        </is>
      </c>
      <c r="J469" t="inlineStr">
        <is>
          <t>纳入</t>
        </is>
      </c>
      <c r="K469" t="n">
        <v>516.8478260869565</v>
      </c>
      <c r="L469">
        <f>导管母表_1781!G469</f>
        <v/>
      </c>
      <c r="M469" t="inlineStr">
        <is>
          <t>视野内部</t>
        </is>
      </c>
      <c r="N469" t="inlineStr">
        <is>
          <t>纳入A/D/Dh；若有Pair_ID则纳入CWR</t>
        </is>
      </c>
      <c r="O469" t="inlineStr">
        <is>
          <t>自动管线检出的合格导管腔。</t>
        </is>
      </c>
      <c r="P469" t="inlineStr">
        <is>
          <t>auto_pipeline;review_png_green</t>
        </is>
      </c>
      <c r="R469" t="inlineStr">
        <is>
          <t>样品10</t>
        </is>
      </c>
    </row>
    <row r="470">
      <c r="A470" t="inlineStr">
        <is>
          <t>10(5)-V03</t>
        </is>
      </c>
      <c r="B470" t="inlineStr">
        <is>
          <t>10 (5).tif</t>
        </is>
      </c>
      <c r="C470" t="n">
        <v>891</v>
      </c>
      <c r="D470" t="n">
        <v>638</v>
      </c>
      <c r="E470" t="inlineStr">
        <is>
          <t>843,608,940,669</t>
        </is>
      </c>
      <c r="F470" t="n">
        <v>84</v>
      </c>
      <c r="G470" t="inlineStr">
        <is>
          <t>primary</t>
        </is>
      </c>
      <c r="H470" t="inlineStr">
        <is>
          <t>AUTO_VESSEL</t>
        </is>
      </c>
      <c r="I470" t="inlineStr">
        <is>
          <t>是</t>
        </is>
      </c>
      <c r="J470" t="inlineStr">
        <is>
          <t>纳入</t>
        </is>
      </c>
      <c r="K470" t="n">
        <v>210.586011342155</v>
      </c>
      <c r="L470">
        <f>导管母表_1781!G470</f>
        <v/>
      </c>
      <c r="M470" t="inlineStr">
        <is>
          <t>视野内部</t>
        </is>
      </c>
      <c r="N470" t="inlineStr">
        <is>
          <t>纳入A/D/Dh；若有Pair_ID则纳入CWR</t>
        </is>
      </c>
      <c r="O470" t="inlineStr">
        <is>
          <t>自动管线检出的合格导管腔。</t>
        </is>
      </c>
      <c r="P470" t="inlineStr">
        <is>
          <t>auto_pipeline;review_png_green</t>
        </is>
      </c>
      <c r="R470" t="inlineStr">
        <is>
          <t>样品10</t>
        </is>
      </c>
    </row>
    <row r="471">
      <c r="A471" t="inlineStr">
        <is>
          <t>10(5)-V04</t>
        </is>
      </c>
      <c r="B471" t="inlineStr">
        <is>
          <t>10 (5).tif</t>
        </is>
      </c>
      <c r="C471" t="n">
        <v>481</v>
      </c>
      <c r="D471" t="n">
        <v>124</v>
      </c>
      <c r="E471" t="inlineStr">
        <is>
          <t>446,89,517,160</t>
        </is>
      </c>
      <c r="F471" t="n">
        <v>89</v>
      </c>
      <c r="G471" t="inlineStr">
        <is>
          <t>primary</t>
        </is>
      </c>
      <c r="H471" t="inlineStr">
        <is>
          <t>AUTO_VESSEL</t>
        </is>
      </c>
      <c r="I471" t="inlineStr">
        <is>
          <t>是</t>
        </is>
      </c>
      <c r="J471" t="inlineStr">
        <is>
          <t>纳入</t>
        </is>
      </c>
      <c r="K471" t="n">
        <v>153.3790170132325</v>
      </c>
      <c r="L471">
        <f>导管母表_1781!G471</f>
        <v/>
      </c>
      <c r="M471" t="inlineStr">
        <is>
          <t>视野内部</t>
        </is>
      </c>
      <c r="N471" t="inlineStr">
        <is>
          <t>纳入A/D/Dh；若有Pair_ID则纳入CWR</t>
        </is>
      </c>
      <c r="O471" t="inlineStr">
        <is>
          <t>自动管线检出的合格导管腔。</t>
        </is>
      </c>
      <c r="P471" t="inlineStr">
        <is>
          <t>auto_pipeline;review_png_green</t>
        </is>
      </c>
      <c r="R471" t="inlineStr">
        <is>
          <t>样品10</t>
        </is>
      </c>
    </row>
    <row r="472">
      <c r="A472" t="inlineStr">
        <is>
          <t>10(5)-V05</t>
        </is>
      </c>
      <c r="B472" t="inlineStr">
        <is>
          <t>10 (5).tif</t>
        </is>
      </c>
      <c r="C472" t="n">
        <v>533</v>
      </c>
      <c r="D472" t="n">
        <v>269</v>
      </c>
      <c r="E472" t="inlineStr">
        <is>
          <t>507,232,560,307</t>
        </is>
      </c>
      <c r="F472" t="n">
        <v>232</v>
      </c>
      <c r="G472" t="inlineStr">
        <is>
          <t>primary</t>
        </is>
      </c>
      <c r="H472" t="inlineStr">
        <is>
          <t>AUTO_VESSEL</t>
        </is>
      </c>
      <c r="I472" t="inlineStr">
        <is>
          <t>是</t>
        </is>
      </c>
      <c r="J472" t="inlineStr">
        <is>
          <t>纳入</t>
        </is>
      </c>
      <c r="K472" t="n">
        <v>142.8638941398866</v>
      </c>
      <c r="L472">
        <f>导管母表_1781!G472</f>
        <v/>
      </c>
      <c r="M472" t="inlineStr">
        <is>
          <t>视野内部</t>
        </is>
      </c>
      <c r="N472" t="inlineStr">
        <is>
          <t>纳入A/D/Dh；若有Pair_ID则纳入CWR</t>
        </is>
      </c>
      <c r="O472" t="inlineStr">
        <is>
          <t>自动管线检出的合格导管腔。</t>
        </is>
      </c>
      <c r="P472" t="inlineStr">
        <is>
          <t>auto_pipeline;review_png_green</t>
        </is>
      </c>
      <c r="R472" t="inlineStr">
        <is>
          <t>样品10</t>
        </is>
      </c>
    </row>
    <row r="473">
      <c r="A473" t="inlineStr">
        <is>
          <t>10(6)-V01</t>
        </is>
      </c>
      <c r="B473" t="inlineStr">
        <is>
          <t>10 (6).tif</t>
        </is>
      </c>
      <c r="C473" t="n">
        <v>437</v>
      </c>
      <c r="D473" t="n">
        <v>351</v>
      </c>
      <c r="E473" t="inlineStr">
        <is>
          <t>391,308,484,395</t>
        </is>
      </c>
      <c r="F473" t="n">
        <v>308</v>
      </c>
      <c r="G473" t="inlineStr">
        <is>
          <t>primary</t>
        </is>
      </c>
      <c r="H473" t="inlineStr">
        <is>
          <t>AUTO_VESSEL</t>
        </is>
      </c>
      <c r="I473" t="inlineStr">
        <is>
          <t>是</t>
        </is>
      </c>
      <c r="J473" t="inlineStr">
        <is>
          <t>纳入</t>
        </is>
      </c>
      <c r="K473" t="n">
        <v>293.1947069943289</v>
      </c>
      <c r="L473">
        <f>导管母表_1781!G473</f>
        <v/>
      </c>
      <c r="M473" t="inlineStr">
        <is>
          <t>视野内部</t>
        </is>
      </c>
      <c r="N473" t="inlineStr">
        <is>
          <t>纳入A/D/Dh；若有Pair_ID则纳入CWR</t>
        </is>
      </c>
      <c r="O473" t="inlineStr">
        <is>
          <t>自动管线检出的合格导管腔。</t>
        </is>
      </c>
      <c r="P473" t="inlineStr">
        <is>
          <t>auto_pipeline;review_png_green</t>
        </is>
      </c>
      <c r="R473" t="inlineStr">
        <is>
          <t>样品10</t>
        </is>
      </c>
    </row>
    <row r="474">
      <c r="A474" t="inlineStr">
        <is>
          <t>10(6)-V02</t>
        </is>
      </c>
      <c r="B474" t="inlineStr">
        <is>
          <t>10 (6).tif</t>
        </is>
      </c>
      <c r="C474" t="n">
        <v>704</v>
      </c>
      <c r="D474" t="n">
        <v>406</v>
      </c>
      <c r="E474" t="inlineStr">
        <is>
          <t>675,370,734,443</t>
        </is>
      </c>
      <c r="F474" t="n">
        <v>290</v>
      </c>
      <c r="G474" t="inlineStr">
        <is>
          <t>primary</t>
        </is>
      </c>
      <c r="H474" t="inlineStr">
        <is>
          <t>AUTO_VESSEL</t>
        </is>
      </c>
      <c r="I474" t="inlineStr">
        <is>
          <t>是</t>
        </is>
      </c>
      <c r="J474" t="inlineStr">
        <is>
          <t>纳入</t>
        </is>
      </c>
      <c r="K474" t="n">
        <v>146.8336483931947</v>
      </c>
      <c r="L474">
        <f>导管母表_1781!G474</f>
        <v/>
      </c>
      <c r="M474" t="inlineStr">
        <is>
          <t>视野内部</t>
        </is>
      </c>
      <c r="N474" t="inlineStr">
        <is>
          <t>纳入A/D/Dh；若有Pair_ID则纳入CWR</t>
        </is>
      </c>
      <c r="O474" t="inlineStr">
        <is>
          <t>自动管线检出的合格导管腔。</t>
        </is>
      </c>
      <c r="P474" t="inlineStr">
        <is>
          <t>auto_pipeline;review_png_green</t>
        </is>
      </c>
      <c r="R474" t="inlineStr">
        <is>
          <t>样品10</t>
        </is>
      </c>
    </row>
    <row r="475">
      <c r="A475" t="inlineStr">
        <is>
          <t>10(6)-V03</t>
        </is>
      </c>
      <c r="B475" t="inlineStr">
        <is>
          <t>10 (6).tif</t>
        </is>
      </c>
      <c r="C475" t="n">
        <v>539</v>
      </c>
      <c r="D475" t="n">
        <v>298</v>
      </c>
      <c r="E475" t="inlineStr">
        <is>
          <t>487,282,592,315</t>
        </is>
      </c>
      <c r="F475" t="n">
        <v>282</v>
      </c>
      <c r="G475" t="inlineStr">
        <is>
          <t>primary</t>
        </is>
      </c>
      <c r="H475" t="inlineStr">
        <is>
          <t>AUTO_VESSEL</t>
        </is>
      </c>
      <c r="I475" t="inlineStr">
        <is>
          <t>是</t>
        </is>
      </c>
      <c r="J475" t="inlineStr">
        <is>
          <t>纳入</t>
        </is>
      </c>
      <c r="K475" t="n">
        <v>110.1606805293006</v>
      </c>
      <c r="L475">
        <f>导管母表_1781!G475</f>
        <v/>
      </c>
      <c r="M475" t="inlineStr">
        <is>
          <t>视野内部</t>
        </is>
      </c>
      <c r="N475" t="inlineStr">
        <is>
          <t>纳入A/D/Dh；若有Pair_ID则纳入CWR</t>
        </is>
      </c>
      <c r="O475" t="inlineStr">
        <is>
          <t>自动管线检出的合格导管腔。</t>
        </is>
      </c>
      <c r="P475" t="inlineStr">
        <is>
          <t>auto_pipeline;review_png_green</t>
        </is>
      </c>
      <c r="R475" t="inlineStr">
        <is>
          <t>样品10</t>
        </is>
      </c>
    </row>
    <row r="476">
      <c r="A476" t="inlineStr">
        <is>
          <t>10(7)-V01</t>
        </is>
      </c>
      <c r="B476" t="inlineStr">
        <is>
          <t>10 (7).tif</t>
        </is>
      </c>
      <c r="C476" t="n">
        <v>455</v>
      </c>
      <c r="D476" t="n">
        <v>377</v>
      </c>
      <c r="E476" t="inlineStr">
        <is>
          <t>400,325,511,430</t>
        </is>
      </c>
      <c r="F476" t="n">
        <v>325</v>
      </c>
      <c r="G476" t="inlineStr">
        <is>
          <t>primary</t>
        </is>
      </c>
      <c r="H476" t="inlineStr">
        <is>
          <t>AUTO_VESSEL</t>
        </is>
      </c>
      <c r="I476" t="inlineStr">
        <is>
          <t>是</t>
        </is>
      </c>
      <c r="J476" t="inlineStr">
        <is>
          <t>纳入</t>
        </is>
      </c>
      <c r="K476" t="n">
        <v>398.1568998109641</v>
      </c>
      <c r="L476">
        <f>导管母表_1781!G476</f>
        <v/>
      </c>
      <c r="M476" t="inlineStr">
        <is>
          <t>视野内部</t>
        </is>
      </c>
      <c r="N476" t="inlineStr">
        <is>
          <t>纳入A/D/Dh；若有Pair_ID则纳入CWR</t>
        </is>
      </c>
      <c r="O476" t="inlineStr">
        <is>
          <t>自动管线检出的合格导管腔。</t>
        </is>
      </c>
      <c r="P476" t="inlineStr">
        <is>
          <t>auto_pipeline;review_png_green</t>
        </is>
      </c>
      <c r="R476" t="inlineStr">
        <is>
          <t>样品10</t>
        </is>
      </c>
    </row>
    <row r="477">
      <c r="A477" t="inlineStr">
        <is>
          <t>10(7)-V02</t>
        </is>
      </c>
      <c r="B477" t="inlineStr">
        <is>
          <t>10 (7).tif</t>
        </is>
      </c>
      <c r="C477" t="n">
        <v>91</v>
      </c>
      <c r="D477" t="n">
        <v>506</v>
      </c>
      <c r="E477" t="inlineStr">
        <is>
          <t>66,473,117,540</t>
        </is>
      </c>
      <c r="F477" t="n">
        <v>66</v>
      </c>
      <c r="G477" t="inlineStr">
        <is>
          <t>primary</t>
        </is>
      </c>
      <c r="H477" t="inlineStr">
        <is>
          <t>AUTO_VESSEL</t>
        </is>
      </c>
      <c r="I477" t="inlineStr">
        <is>
          <t>是</t>
        </is>
      </c>
      <c r="J477" t="inlineStr">
        <is>
          <t>纳入</t>
        </is>
      </c>
      <c r="K477" t="n">
        <v>122.5897920604915</v>
      </c>
      <c r="L477">
        <f>导管母表_1781!G477</f>
        <v/>
      </c>
      <c r="M477" t="inlineStr">
        <is>
          <t>视野内部</t>
        </is>
      </c>
      <c r="N477" t="inlineStr">
        <is>
          <t>纳入A/D/Dh；若有Pair_ID则纳入CWR</t>
        </is>
      </c>
      <c r="O477" t="inlineStr">
        <is>
          <t>自动管线检出的合格导管腔。</t>
        </is>
      </c>
      <c r="P477" t="inlineStr">
        <is>
          <t>auto_pipeline;review_png_green</t>
        </is>
      </c>
      <c r="R477" t="inlineStr">
        <is>
          <t>样品10</t>
        </is>
      </c>
    </row>
    <row r="478">
      <c r="A478" t="inlineStr">
        <is>
          <t>10(7)-V03</t>
        </is>
      </c>
      <c r="B478" t="inlineStr">
        <is>
          <t>10 (7).tif</t>
        </is>
      </c>
      <c r="C478" t="n">
        <v>279</v>
      </c>
      <c r="D478" t="n">
        <v>84</v>
      </c>
      <c r="E478" t="inlineStr">
        <is>
          <t>244,60,315,109</t>
        </is>
      </c>
      <c r="F478" t="n">
        <v>60</v>
      </c>
      <c r="G478" t="inlineStr">
        <is>
          <t>primary</t>
        </is>
      </c>
      <c r="H478" t="inlineStr">
        <is>
          <t>AUTO_VESSEL</t>
        </is>
      </c>
      <c r="I478" t="inlineStr">
        <is>
          <t>是</t>
        </is>
      </c>
      <c r="J478" t="inlineStr">
        <is>
          <t>纳入</t>
        </is>
      </c>
      <c r="K478" t="n">
        <v>118.2183364839319</v>
      </c>
      <c r="L478">
        <f>导管母表_1781!G478</f>
        <v/>
      </c>
      <c r="M478" t="inlineStr">
        <is>
          <t>视野内部</t>
        </is>
      </c>
      <c r="N478" t="inlineStr">
        <is>
          <t>纳入A/D/Dh；若有Pair_ID则纳入CWR</t>
        </is>
      </c>
      <c r="O478" t="inlineStr">
        <is>
          <t>自动管线检出的合格导管腔。</t>
        </is>
      </c>
      <c r="P478" t="inlineStr">
        <is>
          <t>auto_pipeline;review_png_green</t>
        </is>
      </c>
      <c r="R478" t="inlineStr">
        <is>
          <t>样品10</t>
        </is>
      </c>
    </row>
    <row r="479">
      <c r="A479" t="inlineStr">
        <is>
          <t>10(7)-V04</t>
        </is>
      </c>
      <c r="B479" t="inlineStr">
        <is>
          <t>10 (7).tif</t>
        </is>
      </c>
      <c r="C479" t="n">
        <v>512</v>
      </c>
      <c r="D479" t="n">
        <v>647</v>
      </c>
      <c r="E479" t="inlineStr">
        <is>
          <t>478,620,547,675</t>
        </is>
      </c>
      <c r="F479" t="n">
        <v>93</v>
      </c>
      <c r="G479" t="inlineStr">
        <is>
          <t>primary</t>
        </is>
      </c>
      <c r="H479" t="inlineStr">
        <is>
          <t>AUTO_VESSEL</t>
        </is>
      </c>
      <c r="I479" t="inlineStr">
        <is>
          <t>是</t>
        </is>
      </c>
      <c r="J479" t="inlineStr">
        <is>
          <t>纳入</t>
        </is>
      </c>
      <c r="K479" t="n">
        <v>118.1238185255199</v>
      </c>
      <c r="L479">
        <f>导管母表_1781!G479</f>
        <v/>
      </c>
      <c r="M479" t="inlineStr">
        <is>
          <t>视野内部</t>
        </is>
      </c>
      <c r="N479" t="inlineStr">
        <is>
          <t>纳入A/D/Dh；若有Pair_ID则纳入CWR</t>
        </is>
      </c>
      <c r="O479" t="inlineStr">
        <is>
          <t>自动管线检出的合格导管腔。</t>
        </is>
      </c>
      <c r="P479" t="inlineStr">
        <is>
          <t>auto_pipeline;review_png_green</t>
        </is>
      </c>
      <c r="R479" t="inlineStr">
        <is>
          <t>样品10</t>
        </is>
      </c>
    </row>
    <row r="480">
      <c r="A480" t="inlineStr">
        <is>
          <t>10(7)-V05</t>
        </is>
      </c>
      <c r="B480" t="inlineStr">
        <is>
          <t>10 (7).tif</t>
        </is>
      </c>
      <c r="C480" t="n">
        <v>715</v>
      </c>
      <c r="D480" t="n">
        <v>435</v>
      </c>
      <c r="E480" t="inlineStr">
        <is>
          <t>679,413,752,458</t>
        </is>
      </c>
      <c r="F480" t="n">
        <v>272</v>
      </c>
      <c r="G480" t="inlineStr">
        <is>
          <t>primary</t>
        </is>
      </c>
      <c r="H480" t="inlineStr">
        <is>
          <t>AUTO_VESSEL</t>
        </is>
      </c>
      <c r="I480" t="inlineStr">
        <is>
          <t>是</t>
        </is>
      </c>
      <c r="J480" t="inlineStr">
        <is>
          <t>纳入</t>
        </is>
      </c>
      <c r="K480" t="n">
        <v>112.476370510397</v>
      </c>
      <c r="L480">
        <f>导管母表_1781!G480</f>
        <v/>
      </c>
      <c r="M480" t="inlineStr">
        <is>
          <t>视野内部</t>
        </is>
      </c>
      <c r="N480" t="inlineStr">
        <is>
          <t>纳入A/D/Dh；若有Pair_ID则纳入CWR</t>
        </is>
      </c>
      <c r="O480" t="inlineStr">
        <is>
          <t>自动管线检出的合格导管腔。</t>
        </is>
      </c>
      <c r="P480" t="inlineStr">
        <is>
          <t>auto_pipeline;review_png_green</t>
        </is>
      </c>
      <c r="R480" t="inlineStr">
        <is>
          <t>样品10</t>
        </is>
      </c>
    </row>
    <row r="481">
      <c r="A481" t="inlineStr">
        <is>
          <t>11(1)-V01</t>
        </is>
      </c>
      <c r="B481" t="inlineStr">
        <is>
          <t>11 (1).tif</t>
        </is>
      </c>
      <c r="C481" t="n">
        <v>433</v>
      </c>
      <c r="D481" t="n">
        <v>480</v>
      </c>
      <c r="E481" t="inlineStr">
        <is>
          <t>365,415,502,546</t>
        </is>
      </c>
      <c r="F481" t="n">
        <v>222</v>
      </c>
      <c r="G481" t="inlineStr">
        <is>
          <t>primary</t>
        </is>
      </c>
      <c r="H481" t="inlineStr">
        <is>
          <t>AUTO_VESSEL</t>
        </is>
      </c>
      <c r="I481" t="inlineStr">
        <is>
          <t>是</t>
        </is>
      </c>
      <c r="J481" t="inlineStr">
        <is>
          <t>纳入</t>
        </is>
      </c>
      <c r="K481" t="n">
        <v>617.0132325141777</v>
      </c>
      <c r="L481">
        <f>导管母表_1781!G481</f>
        <v/>
      </c>
      <c r="M481" t="inlineStr">
        <is>
          <t>视野内部</t>
        </is>
      </c>
      <c r="N481" t="inlineStr">
        <is>
          <t>纳入A/D/Dh；若有Pair_ID则纳入CWR</t>
        </is>
      </c>
      <c r="O481" t="inlineStr">
        <is>
          <t>自动管线检出的合格导管腔。</t>
        </is>
      </c>
      <c r="P481" t="inlineStr">
        <is>
          <t>auto_pipeline;review_png_green</t>
        </is>
      </c>
      <c r="R481" t="inlineStr">
        <is>
          <t>样品11</t>
        </is>
      </c>
    </row>
    <row r="482">
      <c r="A482" t="inlineStr">
        <is>
          <t>11(1)-V02</t>
        </is>
      </c>
      <c r="B482" t="inlineStr">
        <is>
          <t>11 (1).tif</t>
        </is>
      </c>
      <c r="C482" t="n">
        <v>273</v>
      </c>
      <c r="D482" t="n">
        <v>140</v>
      </c>
      <c r="E482" t="inlineStr">
        <is>
          <t>222,98,325,183</t>
        </is>
      </c>
      <c r="F482" t="n">
        <v>98</v>
      </c>
      <c r="G482" t="inlineStr">
        <is>
          <t>primary</t>
        </is>
      </c>
      <c r="H482" t="inlineStr">
        <is>
          <t>AUTO_VESSEL</t>
        </is>
      </c>
      <c r="I482" t="inlineStr">
        <is>
          <t>是</t>
        </is>
      </c>
      <c r="J482" t="inlineStr">
        <is>
          <t>纳入</t>
        </is>
      </c>
      <c r="K482" t="n">
        <v>279.2296786389414</v>
      </c>
      <c r="L482">
        <f>导管母表_1781!G482</f>
        <v/>
      </c>
      <c r="M482" t="inlineStr">
        <is>
          <t>视野内部</t>
        </is>
      </c>
      <c r="N482" t="inlineStr">
        <is>
          <t>纳入A/D/Dh；若有Pair_ID则纳入CWR</t>
        </is>
      </c>
      <c r="O482" t="inlineStr">
        <is>
          <t>自动管线检出的合格导管腔。</t>
        </is>
      </c>
      <c r="P482" t="inlineStr">
        <is>
          <t>auto_pipeline;review_png_green</t>
        </is>
      </c>
      <c r="R482" t="inlineStr">
        <is>
          <t>样品11</t>
        </is>
      </c>
    </row>
    <row r="483">
      <c r="A483" t="inlineStr">
        <is>
          <t>11(1)-V03</t>
        </is>
      </c>
      <c r="B483" t="inlineStr">
        <is>
          <t>11 (1).tif</t>
        </is>
      </c>
      <c r="C483" t="n">
        <v>383</v>
      </c>
      <c r="D483" t="n">
        <v>329</v>
      </c>
      <c r="E483" t="inlineStr">
        <is>
          <t>349,295,418,364</t>
        </is>
      </c>
      <c r="F483" t="n">
        <v>295</v>
      </c>
      <c r="G483" t="inlineStr">
        <is>
          <t>primary</t>
        </is>
      </c>
      <c r="H483" t="inlineStr">
        <is>
          <t>AUTO_VESSEL</t>
        </is>
      </c>
      <c r="I483" t="inlineStr">
        <is>
          <t>是</t>
        </is>
      </c>
      <c r="J483" t="inlineStr">
        <is>
          <t>纳入</t>
        </is>
      </c>
      <c r="K483" t="n">
        <v>171.4792060491493</v>
      </c>
      <c r="L483">
        <f>导管母表_1781!G483</f>
        <v/>
      </c>
      <c r="M483" t="inlineStr">
        <is>
          <t>视野内部</t>
        </is>
      </c>
      <c r="N483" t="inlineStr">
        <is>
          <t>纳入A/D/Dh；若有Pair_ID则纳入CWR</t>
        </is>
      </c>
      <c r="O483" t="inlineStr">
        <is>
          <t>自动管线检出的合格导管腔。</t>
        </is>
      </c>
      <c r="P483" t="inlineStr">
        <is>
          <t>auto_pipeline;review_png_green</t>
        </is>
      </c>
      <c r="R483" t="inlineStr">
        <is>
          <t>样品11</t>
        </is>
      </c>
    </row>
    <row r="484">
      <c r="A484" t="inlineStr">
        <is>
          <t>11(2)-V01</t>
        </is>
      </c>
      <c r="B484" t="inlineStr">
        <is>
          <t>11 (2).tif</t>
        </is>
      </c>
      <c r="C484" t="n">
        <v>559</v>
      </c>
      <c r="D484" t="n">
        <v>331</v>
      </c>
      <c r="E484" t="inlineStr">
        <is>
          <t>479,247,640,416</t>
        </is>
      </c>
      <c r="F484" t="n">
        <v>247</v>
      </c>
      <c r="G484" t="inlineStr">
        <is>
          <t>primary</t>
        </is>
      </c>
      <c r="H484" t="inlineStr">
        <is>
          <t>AUTO_VESSEL</t>
        </is>
      </c>
      <c r="I484" t="inlineStr">
        <is>
          <t>是</t>
        </is>
      </c>
      <c r="J484" t="inlineStr">
        <is>
          <t>纳入</t>
        </is>
      </c>
      <c r="K484" t="n">
        <v>975.1890359168242</v>
      </c>
      <c r="L484">
        <f>导管母表_1781!G484</f>
        <v/>
      </c>
      <c r="M484" t="inlineStr">
        <is>
          <t>视野内部</t>
        </is>
      </c>
      <c r="N484" t="inlineStr">
        <is>
          <t>纳入A/D/Dh；若有Pair_ID则纳入CWR</t>
        </is>
      </c>
      <c r="O484" t="inlineStr">
        <is>
          <t>自动管线检出的合格导管腔。</t>
        </is>
      </c>
      <c r="P484" t="inlineStr">
        <is>
          <t>auto_pipeline;review_png_green</t>
        </is>
      </c>
      <c r="Q484" t="inlineStr">
        <is>
          <t>11(2)-P01</t>
        </is>
      </c>
      <c r="R484" t="inlineStr">
        <is>
          <t>样品11</t>
        </is>
      </c>
    </row>
    <row r="485">
      <c r="A485" t="inlineStr">
        <is>
          <t>11(2)-V02</t>
        </is>
      </c>
      <c r="B485" t="inlineStr">
        <is>
          <t>11 (2).tif</t>
        </is>
      </c>
      <c r="C485" t="n">
        <v>381</v>
      </c>
      <c r="D485" t="n">
        <v>354</v>
      </c>
      <c r="E485" t="inlineStr">
        <is>
          <t>306,284,457,425</t>
        </is>
      </c>
      <c r="F485" t="n">
        <v>284</v>
      </c>
      <c r="G485" t="inlineStr">
        <is>
          <t>primary</t>
        </is>
      </c>
      <c r="H485" t="inlineStr">
        <is>
          <t>AUTO_VESSEL</t>
        </is>
      </c>
      <c r="I485" t="inlineStr">
        <is>
          <t>是</t>
        </is>
      </c>
      <c r="J485" t="inlineStr">
        <is>
          <t>纳入</t>
        </is>
      </c>
      <c r="K485" t="n">
        <v>776.3941398865785</v>
      </c>
      <c r="L485">
        <f>导管母表_1781!G485</f>
        <v/>
      </c>
      <c r="M485" t="inlineStr">
        <is>
          <t>视野内部</t>
        </is>
      </c>
      <c r="N485" t="inlineStr">
        <is>
          <t>纳入A/D/Dh；若有Pair_ID则纳入CWR</t>
        </is>
      </c>
      <c r="O485" t="inlineStr">
        <is>
          <t>自动管线检出的合格导管腔。</t>
        </is>
      </c>
      <c r="P485" t="inlineStr">
        <is>
          <t>auto_pipeline;review_png_green</t>
        </is>
      </c>
      <c r="Q485" t="inlineStr">
        <is>
          <t>11(2)-P01</t>
        </is>
      </c>
      <c r="R485" t="inlineStr">
        <is>
          <t>样品11</t>
        </is>
      </c>
    </row>
    <row r="486">
      <c r="A486" t="inlineStr">
        <is>
          <t>11(2)-V03</t>
        </is>
      </c>
      <c r="B486" t="inlineStr">
        <is>
          <t>11 (2).tif</t>
        </is>
      </c>
      <c r="C486" t="n">
        <v>217</v>
      </c>
      <c r="D486" t="n">
        <v>73</v>
      </c>
      <c r="E486" t="inlineStr">
        <is>
          <t>164,21,271,126</t>
        </is>
      </c>
      <c r="F486" t="n">
        <v>21</v>
      </c>
      <c r="G486" t="inlineStr">
        <is>
          <t>primary</t>
        </is>
      </c>
      <c r="H486" t="inlineStr">
        <is>
          <t>AUTO_VESSEL</t>
        </is>
      </c>
      <c r="I486" t="inlineStr">
        <is>
          <t>是</t>
        </is>
      </c>
      <c r="J486" t="inlineStr">
        <is>
          <t>纳入</t>
        </is>
      </c>
      <c r="K486" t="n">
        <v>409.0737240075615</v>
      </c>
      <c r="L486">
        <f>导管母表_1781!G486</f>
        <v/>
      </c>
      <c r="M486" t="inlineStr">
        <is>
          <t>近边缘（&lt;25 px）</t>
        </is>
      </c>
      <c r="N486" t="inlineStr">
        <is>
          <t>纳入A/D/Dh；若有Pair_ID则纳入CWR</t>
        </is>
      </c>
      <c r="O486" t="inlineStr">
        <is>
          <t>自动管线检出的合格导管腔。</t>
        </is>
      </c>
      <c r="P486" t="inlineStr">
        <is>
          <t>auto_pipeline;review_png_green</t>
        </is>
      </c>
      <c r="R486" t="inlineStr">
        <is>
          <t>样品11</t>
        </is>
      </c>
    </row>
    <row r="487">
      <c r="A487" t="inlineStr">
        <is>
          <t>11(2)-V04</t>
        </is>
      </c>
      <c r="B487" t="inlineStr">
        <is>
          <t>11 (2).tif</t>
        </is>
      </c>
      <c r="C487" t="n">
        <v>877</v>
      </c>
      <c r="D487" t="n">
        <v>196</v>
      </c>
      <c r="E487" t="inlineStr">
        <is>
          <t>827,157,928,236</t>
        </is>
      </c>
      <c r="F487" t="n">
        <v>96</v>
      </c>
      <c r="G487" t="inlineStr">
        <is>
          <t>primary</t>
        </is>
      </c>
      <c r="H487" t="inlineStr">
        <is>
          <t>AUTO_VESSEL</t>
        </is>
      </c>
      <c r="I487" t="inlineStr">
        <is>
          <t>是</t>
        </is>
      </c>
      <c r="J487" t="inlineStr">
        <is>
          <t>纳入</t>
        </is>
      </c>
      <c r="K487" t="n">
        <v>289.2249527410208</v>
      </c>
      <c r="L487">
        <f>导管母表_1781!G487</f>
        <v/>
      </c>
      <c r="M487" t="inlineStr">
        <is>
          <t>视野内部</t>
        </is>
      </c>
      <c r="N487" t="inlineStr">
        <is>
          <t>纳入A/D/Dh；若有Pair_ID则纳入CWR</t>
        </is>
      </c>
      <c r="O487" t="inlineStr">
        <is>
          <t>自动管线检出的合格导管腔。</t>
        </is>
      </c>
      <c r="P487" t="inlineStr">
        <is>
          <t>auto_pipeline;review_png_green</t>
        </is>
      </c>
      <c r="R487" t="inlineStr">
        <is>
          <t>样品11</t>
        </is>
      </c>
    </row>
    <row r="488">
      <c r="A488" t="inlineStr">
        <is>
          <t>11(2)-V05</t>
        </is>
      </c>
      <c r="B488" t="inlineStr">
        <is>
          <t>11 (2).tif</t>
        </is>
      </c>
      <c r="C488" t="n">
        <v>729</v>
      </c>
      <c r="D488" t="n">
        <v>627</v>
      </c>
      <c r="E488" t="inlineStr">
        <is>
          <t>698,589,761,666</t>
        </is>
      </c>
      <c r="F488" t="n">
        <v>102</v>
      </c>
      <c r="G488" t="inlineStr">
        <is>
          <t>primary</t>
        </is>
      </c>
      <c r="H488" t="inlineStr">
        <is>
          <t>AUTO_VESSEL</t>
        </is>
      </c>
      <c r="I488" t="inlineStr">
        <is>
          <t>是</t>
        </is>
      </c>
      <c r="J488" t="inlineStr">
        <is>
          <t>纳入</t>
        </is>
      </c>
      <c r="K488" t="n">
        <v>174.8582230623819</v>
      </c>
      <c r="L488">
        <f>导管母表_1781!G488</f>
        <v/>
      </c>
      <c r="M488" t="inlineStr">
        <is>
          <t>视野内部</t>
        </is>
      </c>
      <c r="N488" t="inlineStr">
        <is>
          <t>纳入A/D/Dh；若有Pair_ID则纳入CWR</t>
        </is>
      </c>
      <c r="O488" t="inlineStr">
        <is>
          <t>自动管线检出的合格导管腔。</t>
        </is>
      </c>
      <c r="P488" t="inlineStr">
        <is>
          <t>auto_pipeline;review_png_green</t>
        </is>
      </c>
      <c r="R488" t="inlineStr">
        <is>
          <t>样品11</t>
        </is>
      </c>
    </row>
    <row r="489">
      <c r="A489" t="inlineStr">
        <is>
          <t>11(2)-V06</t>
        </is>
      </c>
      <c r="B489" t="inlineStr">
        <is>
          <t>11 (2).tif</t>
        </is>
      </c>
      <c r="C489" t="n">
        <v>909</v>
      </c>
      <c r="D489" t="n">
        <v>439</v>
      </c>
      <c r="E489" t="inlineStr">
        <is>
          <t>862,416,957,463</t>
        </is>
      </c>
      <c r="F489" t="n">
        <v>67</v>
      </c>
      <c r="G489" t="inlineStr">
        <is>
          <t>primary</t>
        </is>
      </c>
      <c r="H489" t="inlineStr">
        <is>
          <t>AUTO_VESSEL</t>
        </is>
      </c>
      <c r="I489" t="inlineStr">
        <is>
          <t>是</t>
        </is>
      </c>
      <c r="J489" t="inlineStr">
        <is>
          <t>纳入</t>
        </is>
      </c>
      <c r="K489" t="n">
        <v>153.82797731569</v>
      </c>
      <c r="L489">
        <f>导管母表_1781!G489</f>
        <v/>
      </c>
      <c r="M489" t="inlineStr">
        <is>
          <t>视野内部</t>
        </is>
      </c>
      <c r="N489" t="inlineStr">
        <is>
          <t>纳入A/D/Dh；若有Pair_ID则纳入CWR</t>
        </is>
      </c>
      <c r="O489" t="inlineStr">
        <is>
          <t>自动管线检出的合格导管腔。</t>
        </is>
      </c>
      <c r="P489" t="inlineStr">
        <is>
          <t>auto_pipeline;review_png_green</t>
        </is>
      </c>
      <c r="R489" t="inlineStr">
        <is>
          <t>样品11</t>
        </is>
      </c>
    </row>
    <row r="490">
      <c r="A490" t="inlineStr">
        <is>
          <t>11(2)-V07</t>
        </is>
      </c>
      <c r="B490" t="inlineStr">
        <is>
          <t>11 (2).tif</t>
        </is>
      </c>
      <c r="C490" t="n">
        <v>629</v>
      </c>
      <c r="D490" t="n">
        <v>525</v>
      </c>
      <c r="E490" t="inlineStr">
        <is>
          <t>588,503,671,548</t>
        </is>
      </c>
      <c r="F490" t="n">
        <v>220</v>
      </c>
      <c r="G490" t="inlineStr">
        <is>
          <t>primary</t>
        </is>
      </c>
      <c r="H490" t="inlineStr">
        <is>
          <t>AUTO_VESSEL</t>
        </is>
      </c>
      <c r="I490" t="inlineStr">
        <is>
          <t>是</t>
        </is>
      </c>
      <c r="J490" t="inlineStr">
        <is>
          <t>纳入</t>
        </is>
      </c>
      <c r="K490" t="n">
        <v>124.5982986767486</v>
      </c>
      <c r="L490">
        <f>导管母表_1781!G490</f>
        <v/>
      </c>
      <c r="M490" t="inlineStr">
        <is>
          <t>视野内部</t>
        </is>
      </c>
      <c r="N490" t="inlineStr">
        <is>
          <t>纳入A/D/Dh；若有Pair_ID则纳入CWR</t>
        </is>
      </c>
      <c r="O490" t="inlineStr">
        <is>
          <t>自动管线检出的合格导管腔。</t>
        </is>
      </c>
      <c r="P490" t="inlineStr">
        <is>
          <t>auto_pipeline;review_png_green</t>
        </is>
      </c>
      <c r="R490" t="inlineStr">
        <is>
          <t>样品11</t>
        </is>
      </c>
    </row>
    <row r="491">
      <c r="A491" t="inlineStr">
        <is>
          <t>11(2)-V08</t>
        </is>
      </c>
      <c r="B491" t="inlineStr">
        <is>
          <t>11 (2).tif</t>
        </is>
      </c>
      <c r="C491" t="n">
        <v>731</v>
      </c>
      <c r="D491" t="n">
        <v>498</v>
      </c>
      <c r="E491" t="inlineStr">
        <is>
          <t>690,473,773,524</t>
        </is>
      </c>
      <c r="F491" t="n">
        <v>244</v>
      </c>
      <c r="G491" t="inlineStr">
        <is>
          <t>primary</t>
        </is>
      </c>
      <c r="H491" t="inlineStr">
        <is>
          <t>AUTO_VESSEL</t>
        </is>
      </c>
      <c r="I491" t="inlineStr">
        <is>
          <t>是</t>
        </is>
      </c>
      <c r="J491" t="inlineStr">
        <is>
          <t>纳入</t>
        </is>
      </c>
      <c r="K491" t="n">
        <v>124.2674858223062</v>
      </c>
      <c r="L491">
        <f>导管母表_1781!G491</f>
        <v/>
      </c>
      <c r="M491" t="inlineStr">
        <is>
          <t>视野内部</t>
        </is>
      </c>
      <c r="N491" t="inlineStr">
        <is>
          <t>纳入A/D/Dh；若有Pair_ID则纳入CWR</t>
        </is>
      </c>
      <c r="O491" t="inlineStr">
        <is>
          <t>自动管线检出的合格导管腔。</t>
        </is>
      </c>
      <c r="P491" t="inlineStr">
        <is>
          <t>auto_pipeline;review_png_green</t>
        </is>
      </c>
      <c r="R491" t="inlineStr">
        <is>
          <t>样品11</t>
        </is>
      </c>
    </row>
    <row r="492">
      <c r="A492" t="inlineStr">
        <is>
          <t>11(3)-V01</t>
        </is>
      </c>
      <c r="B492" t="inlineStr">
        <is>
          <t>11 (3).tif</t>
        </is>
      </c>
      <c r="C492" t="n">
        <v>423</v>
      </c>
      <c r="D492" t="n">
        <v>314</v>
      </c>
      <c r="E492" t="inlineStr">
        <is>
          <t>358,235,489,394</t>
        </is>
      </c>
      <c r="F492" t="n">
        <v>235</v>
      </c>
      <c r="G492" t="inlineStr">
        <is>
          <t>primary</t>
        </is>
      </c>
      <c r="H492" t="inlineStr">
        <is>
          <t>AUTO_VESSEL</t>
        </is>
      </c>
      <c r="I492" t="inlineStr">
        <is>
          <t>是</t>
        </is>
      </c>
      <c r="J492" t="inlineStr">
        <is>
          <t>纳入</t>
        </is>
      </c>
      <c r="K492" t="n">
        <v>761.9092627599244</v>
      </c>
      <c r="L492">
        <f>导管母表_1781!G492</f>
        <v/>
      </c>
      <c r="M492" t="inlineStr">
        <is>
          <t>视野内部</t>
        </is>
      </c>
      <c r="N492" t="inlineStr">
        <is>
          <t>纳入A/D/Dh；若有Pair_ID则纳入CWR</t>
        </is>
      </c>
      <c r="O492" t="inlineStr">
        <is>
          <t>自动管线检出的合格导管腔。</t>
        </is>
      </c>
      <c r="P492" t="inlineStr">
        <is>
          <t>auto_pipeline;review_png_green</t>
        </is>
      </c>
      <c r="R492" t="inlineStr">
        <is>
          <t>样品11</t>
        </is>
      </c>
    </row>
    <row r="493">
      <c r="A493" t="inlineStr">
        <is>
          <t>11(3)-V02</t>
        </is>
      </c>
      <c r="B493" t="inlineStr">
        <is>
          <t>11 (3).tif</t>
        </is>
      </c>
      <c r="C493" t="n">
        <v>549</v>
      </c>
      <c r="D493" t="n">
        <v>439</v>
      </c>
      <c r="E493" t="inlineStr">
        <is>
          <t>473,379,626,500</t>
        </is>
      </c>
      <c r="F493" t="n">
        <v>268</v>
      </c>
      <c r="G493" t="inlineStr">
        <is>
          <t>primary</t>
        </is>
      </c>
      <c r="H493" t="inlineStr">
        <is>
          <t>AUTO_VESSEL</t>
        </is>
      </c>
      <c r="I493" t="inlineStr">
        <is>
          <t>是</t>
        </is>
      </c>
      <c r="J493" t="inlineStr">
        <is>
          <t>纳入</t>
        </is>
      </c>
      <c r="K493" t="n">
        <v>676.7485822306238</v>
      </c>
      <c r="L493">
        <f>导管母表_1781!G493</f>
        <v/>
      </c>
      <c r="M493" t="inlineStr">
        <is>
          <t>视野内部</t>
        </is>
      </c>
      <c r="N493" t="inlineStr">
        <is>
          <t>纳入A/D/Dh；若有Pair_ID则纳入CWR</t>
        </is>
      </c>
      <c r="O493" t="inlineStr">
        <is>
          <t>自动管线检出的合格导管腔。</t>
        </is>
      </c>
      <c r="P493" t="inlineStr">
        <is>
          <t>auto_pipeline;review_png_green</t>
        </is>
      </c>
      <c r="R493" t="inlineStr">
        <is>
          <t>样品11</t>
        </is>
      </c>
    </row>
    <row r="494">
      <c r="A494" t="inlineStr">
        <is>
          <t>11(3)-V03</t>
        </is>
      </c>
      <c r="B494" t="inlineStr">
        <is>
          <t>11 (3).tif</t>
        </is>
      </c>
      <c r="C494" t="n">
        <v>744</v>
      </c>
      <c r="D494" t="n">
        <v>92</v>
      </c>
      <c r="E494" t="inlineStr">
        <is>
          <t>690,54,799,131</t>
        </is>
      </c>
      <c r="F494" t="n">
        <v>54</v>
      </c>
      <c r="G494" t="inlineStr">
        <is>
          <t>primary</t>
        </is>
      </c>
      <c r="H494" t="inlineStr">
        <is>
          <t>AUTO_VESSEL</t>
        </is>
      </c>
      <c r="I494" t="inlineStr">
        <is>
          <t>是</t>
        </is>
      </c>
      <c r="J494" t="inlineStr">
        <is>
          <t>纳入</t>
        </is>
      </c>
      <c r="K494" t="n">
        <v>262.6181474480151</v>
      </c>
      <c r="L494">
        <f>导管母表_1781!G494</f>
        <v/>
      </c>
      <c r="M494" t="inlineStr">
        <is>
          <t>视野内部</t>
        </is>
      </c>
      <c r="N494" t="inlineStr">
        <is>
          <t>纳入A/D/Dh；若有Pair_ID则纳入CWR</t>
        </is>
      </c>
      <c r="O494" t="inlineStr">
        <is>
          <t>自动管线检出的合格导管腔。</t>
        </is>
      </c>
      <c r="P494" t="inlineStr">
        <is>
          <t>auto_pipeline;review_png_green</t>
        </is>
      </c>
      <c r="R494" t="inlineStr">
        <is>
          <t>样品11</t>
        </is>
      </c>
    </row>
    <row r="495">
      <c r="A495" t="inlineStr">
        <is>
          <t>11(3)-V04</t>
        </is>
      </c>
      <c r="B495" t="inlineStr">
        <is>
          <t>11 (3).tif</t>
        </is>
      </c>
      <c r="C495" t="n">
        <v>696</v>
      </c>
      <c r="D495" t="n">
        <v>587</v>
      </c>
      <c r="E495" t="inlineStr">
        <is>
          <t>663,553,730,622</t>
        </is>
      </c>
      <c r="F495" t="n">
        <v>146</v>
      </c>
      <c r="G495" t="inlineStr">
        <is>
          <t>primary</t>
        </is>
      </c>
      <c r="H495" t="inlineStr">
        <is>
          <t>AUTO_VESSEL</t>
        </is>
      </c>
      <c r="I495" t="inlineStr">
        <is>
          <t>是</t>
        </is>
      </c>
      <c r="J495" t="inlineStr">
        <is>
          <t>纳入</t>
        </is>
      </c>
      <c r="K495" t="n">
        <v>148.2986767485822</v>
      </c>
      <c r="L495">
        <f>导管母表_1781!G495</f>
        <v/>
      </c>
      <c r="M495" t="inlineStr">
        <is>
          <t>视野内部</t>
        </is>
      </c>
      <c r="N495" t="inlineStr">
        <is>
          <t>纳入A/D/Dh；若有Pair_ID则纳入CWR</t>
        </is>
      </c>
      <c r="O495" t="inlineStr">
        <is>
          <t>自动管线检出的合格导管腔。</t>
        </is>
      </c>
      <c r="P495" t="inlineStr">
        <is>
          <t>auto_pipeline;review_png_green</t>
        </is>
      </c>
      <c r="R495" t="inlineStr">
        <is>
          <t>样品11</t>
        </is>
      </c>
    </row>
    <row r="496">
      <c r="A496" t="inlineStr">
        <is>
          <t>11(3)-V05</t>
        </is>
      </c>
      <c r="B496" t="inlineStr">
        <is>
          <t>11 (3).tif</t>
        </is>
      </c>
      <c r="C496" t="n">
        <v>429</v>
      </c>
      <c r="D496" t="n">
        <v>578</v>
      </c>
      <c r="E496" t="inlineStr">
        <is>
          <t>402,542,457,615</t>
        </is>
      </c>
      <c r="F496" t="n">
        <v>153</v>
      </c>
      <c r="G496" t="inlineStr">
        <is>
          <t>primary</t>
        </is>
      </c>
      <c r="H496" t="inlineStr">
        <is>
          <t>AUTO_VESSEL</t>
        </is>
      </c>
      <c r="I496" t="inlineStr">
        <is>
          <t>是</t>
        </is>
      </c>
      <c r="J496" t="inlineStr">
        <is>
          <t>纳入</t>
        </is>
      </c>
      <c r="K496" t="n">
        <v>127.3393194706994</v>
      </c>
      <c r="L496">
        <f>导管母表_1781!G496</f>
        <v/>
      </c>
      <c r="M496" t="inlineStr">
        <is>
          <t>视野内部</t>
        </is>
      </c>
      <c r="N496" t="inlineStr">
        <is>
          <t>纳入A/D/Dh；若有Pair_ID则纳入CWR</t>
        </is>
      </c>
      <c r="O496" t="inlineStr">
        <is>
          <t>自动管线检出的合格导管腔。</t>
        </is>
      </c>
      <c r="P496" t="inlineStr">
        <is>
          <t>auto_pipeline;review_png_green</t>
        </is>
      </c>
      <c r="R496" t="inlineStr">
        <is>
          <t>样品11</t>
        </is>
      </c>
    </row>
    <row r="497">
      <c r="A497" t="inlineStr">
        <is>
          <t>11(3)-V06</t>
        </is>
      </c>
      <c r="B497" t="inlineStr">
        <is>
          <t>11 (3).tif</t>
        </is>
      </c>
      <c r="C497" t="n">
        <v>744</v>
      </c>
      <c r="D497" t="n">
        <v>371</v>
      </c>
      <c r="E497" t="inlineStr">
        <is>
          <t>713,346,776,397</t>
        </is>
      </c>
      <c r="F497" t="n">
        <v>248</v>
      </c>
      <c r="G497" t="inlineStr">
        <is>
          <t>primary</t>
        </is>
      </c>
      <c r="H497" t="inlineStr">
        <is>
          <t>AUTO_VESSEL</t>
        </is>
      </c>
      <c r="I497" t="inlineStr">
        <is>
          <t>是</t>
        </is>
      </c>
      <c r="J497" t="inlineStr">
        <is>
          <t>纳入</t>
        </is>
      </c>
      <c r="K497" t="n">
        <v>109.593572778828</v>
      </c>
      <c r="L497">
        <f>导管母表_1781!G497</f>
        <v/>
      </c>
      <c r="M497" t="inlineStr">
        <is>
          <t>视野内部</t>
        </is>
      </c>
      <c r="N497" t="inlineStr">
        <is>
          <t>纳入A/D/Dh；若有Pair_ID则纳入CWR</t>
        </is>
      </c>
      <c r="O497" t="inlineStr">
        <is>
          <t>自动管线检出的合格导管腔。</t>
        </is>
      </c>
      <c r="P497" t="inlineStr">
        <is>
          <t>auto_pipeline;review_png_green</t>
        </is>
      </c>
      <c r="R497" t="inlineStr">
        <is>
          <t>样品11</t>
        </is>
      </c>
    </row>
    <row r="498">
      <c r="A498" t="inlineStr">
        <is>
          <t>11(4)-V01</t>
        </is>
      </c>
      <c r="B498" t="inlineStr">
        <is>
          <t>11 (4).tif</t>
        </is>
      </c>
      <c r="C498" t="n">
        <v>403</v>
      </c>
      <c r="D498" t="n">
        <v>394</v>
      </c>
      <c r="E498" t="inlineStr">
        <is>
          <t>326,326,481,463</t>
        </is>
      </c>
      <c r="F498" t="n">
        <v>305</v>
      </c>
      <c r="G498" t="inlineStr">
        <is>
          <t>primary</t>
        </is>
      </c>
      <c r="H498" t="inlineStr">
        <is>
          <t>AUTO_VESSEL</t>
        </is>
      </c>
      <c r="I498" t="inlineStr">
        <is>
          <t>是</t>
        </is>
      </c>
      <c r="J498" t="inlineStr">
        <is>
          <t>纳入</t>
        </is>
      </c>
      <c r="K498" t="n">
        <v>777.4574669187145</v>
      </c>
      <c r="L498">
        <f>导管母表_1781!G498</f>
        <v/>
      </c>
      <c r="M498" t="inlineStr">
        <is>
          <t>视野内部</t>
        </is>
      </c>
      <c r="N498" t="inlineStr">
        <is>
          <t>纳入A/D/Dh；若有Pair_ID则纳入CWR</t>
        </is>
      </c>
      <c r="O498" t="inlineStr">
        <is>
          <t>自动管线检出的合格导管腔。</t>
        </is>
      </c>
      <c r="P498" t="inlineStr">
        <is>
          <t>auto_pipeline;review_png_green</t>
        </is>
      </c>
      <c r="R498" t="inlineStr">
        <is>
          <t>样品11</t>
        </is>
      </c>
    </row>
    <row r="499">
      <c r="A499" t="inlineStr">
        <is>
          <t>11(4)-V02</t>
        </is>
      </c>
      <c r="B499" t="inlineStr">
        <is>
          <t>11 (4).tif</t>
        </is>
      </c>
      <c r="C499" t="n">
        <v>224</v>
      </c>
      <c r="D499" t="n">
        <v>161</v>
      </c>
      <c r="E499" t="inlineStr">
        <is>
          <t>153,118,296,205</t>
        </is>
      </c>
      <c r="F499" t="n">
        <v>118</v>
      </c>
      <c r="G499" t="inlineStr">
        <is>
          <t>primary</t>
        </is>
      </c>
      <c r="H499" t="inlineStr">
        <is>
          <t>AUTO_VESSEL</t>
        </is>
      </c>
      <c r="I499" t="inlineStr">
        <is>
          <t>是</t>
        </is>
      </c>
      <c r="J499" t="inlineStr">
        <is>
          <t>纳入</t>
        </is>
      </c>
      <c r="K499" t="n">
        <v>453.8043478260869</v>
      </c>
      <c r="L499">
        <f>导管母表_1781!G499</f>
        <v/>
      </c>
      <c r="M499" t="inlineStr">
        <is>
          <t>视野内部</t>
        </is>
      </c>
      <c r="N499" t="inlineStr">
        <is>
          <t>纳入A/D/Dh；若有Pair_ID则纳入CWR</t>
        </is>
      </c>
      <c r="O499" t="inlineStr">
        <is>
          <t>自动管线检出的合格导管腔。</t>
        </is>
      </c>
      <c r="P499" t="inlineStr">
        <is>
          <t>auto_pipeline;review_png_green</t>
        </is>
      </c>
      <c r="R499" t="inlineStr">
        <is>
          <t>样品11</t>
        </is>
      </c>
    </row>
    <row r="500">
      <c r="A500" t="inlineStr">
        <is>
          <t>11(4)-V03</t>
        </is>
      </c>
      <c r="B500" t="inlineStr">
        <is>
          <t>11 (4).tif</t>
        </is>
      </c>
      <c r="C500" t="n">
        <v>871</v>
      </c>
      <c r="D500" t="n">
        <v>106</v>
      </c>
      <c r="E500" t="inlineStr">
        <is>
          <t>823,85,920,128</t>
        </is>
      </c>
      <c r="F500" t="n">
        <v>85</v>
      </c>
      <c r="G500" t="inlineStr">
        <is>
          <t>primary</t>
        </is>
      </c>
      <c r="H500" t="inlineStr">
        <is>
          <t>AUTO_VESSEL</t>
        </is>
      </c>
      <c r="I500" t="inlineStr">
        <is>
          <t>是</t>
        </is>
      </c>
      <c r="J500" t="inlineStr">
        <is>
          <t>纳入</t>
        </is>
      </c>
      <c r="K500" t="n">
        <v>125.8034026465028</v>
      </c>
      <c r="L500">
        <f>导管母表_1781!G500</f>
        <v/>
      </c>
      <c r="M500" t="inlineStr">
        <is>
          <t>视野内部</t>
        </is>
      </c>
      <c r="N500" t="inlineStr">
        <is>
          <t>纳入A/D/Dh；若有Pair_ID则纳入CWR</t>
        </is>
      </c>
      <c r="O500" t="inlineStr">
        <is>
          <t>自动管线检出的合格导管腔。</t>
        </is>
      </c>
      <c r="P500" t="inlineStr">
        <is>
          <t>auto_pipeline;review_png_green</t>
        </is>
      </c>
      <c r="R500" t="inlineStr">
        <is>
          <t>样品11</t>
        </is>
      </c>
    </row>
    <row r="501">
      <c r="A501" t="inlineStr">
        <is>
          <t>11(4)-V04</t>
        </is>
      </c>
      <c r="B501" t="inlineStr">
        <is>
          <t>11 (4).tif</t>
        </is>
      </c>
      <c r="C501" t="n">
        <v>606</v>
      </c>
      <c r="D501" t="n">
        <v>476</v>
      </c>
      <c r="E501" t="inlineStr">
        <is>
          <t>561,457,652,496</t>
        </is>
      </c>
      <c r="F501" t="n">
        <v>272</v>
      </c>
      <c r="G501" t="inlineStr">
        <is>
          <t>primary</t>
        </is>
      </c>
      <c r="H501" t="inlineStr">
        <is>
          <t>AUTO_VESSEL</t>
        </is>
      </c>
      <c r="I501" t="inlineStr">
        <is>
          <t>是</t>
        </is>
      </c>
      <c r="J501" t="inlineStr">
        <is>
          <t>纳入</t>
        </is>
      </c>
      <c r="K501" t="n">
        <v>122.8024574669187</v>
      </c>
      <c r="L501">
        <f>导管母表_1781!G501</f>
        <v/>
      </c>
      <c r="M501" t="inlineStr">
        <is>
          <t>视野内部</t>
        </is>
      </c>
      <c r="N501" t="inlineStr">
        <is>
          <t>纳入A/D/Dh；若有Pair_ID则纳入CWR</t>
        </is>
      </c>
      <c r="O501" t="inlineStr">
        <is>
          <t>自动管线检出的合格导管腔。</t>
        </is>
      </c>
      <c r="P501" t="inlineStr">
        <is>
          <t>auto_pipeline;review_png_green</t>
        </is>
      </c>
      <c r="R501" t="inlineStr">
        <is>
          <t>样品11</t>
        </is>
      </c>
    </row>
    <row r="502">
      <c r="A502" t="inlineStr">
        <is>
          <t>11(4)-V05</t>
        </is>
      </c>
      <c r="B502" t="inlineStr">
        <is>
          <t>11 (4).tif</t>
        </is>
      </c>
      <c r="C502" t="n">
        <v>153</v>
      </c>
      <c r="D502" t="n">
        <v>470</v>
      </c>
      <c r="E502" t="inlineStr">
        <is>
          <t>117,450,190,491</t>
        </is>
      </c>
      <c r="F502" t="n">
        <v>117</v>
      </c>
      <c r="G502" t="inlineStr">
        <is>
          <t>primary</t>
        </is>
      </c>
      <c r="H502" t="inlineStr">
        <is>
          <t>AUTO_VESSEL</t>
        </is>
      </c>
      <c r="I502" t="inlineStr">
        <is>
          <t>是</t>
        </is>
      </c>
      <c r="J502" t="inlineStr">
        <is>
          <t>纳入</t>
        </is>
      </c>
      <c r="K502" t="n">
        <v>107.2306238185255</v>
      </c>
      <c r="L502">
        <f>导管母表_1781!G502</f>
        <v/>
      </c>
      <c r="M502" t="inlineStr">
        <is>
          <t>视野内部</t>
        </is>
      </c>
      <c r="N502" t="inlineStr">
        <is>
          <t>纳入A/D/Dh；若有Pair_ID则纳入CWR</t>
        </is>
      </c>
      <c r="O502" t="inlineStr">
        <is>
          <t>自动管线检出的合格导管腔。</t>
        </is>
      </c>
      <c r="P502" t="inlineStr">
        <is>
          <t>auto_pipeline;review_png_green</t>
        </is>
      </c>
      <c r="R502" t="inlineStr">
        <is>
          <t>样品11</t>
        </is>
      </c>
    </row>
    <row r="503">
      <c r="A503" t="inlineStr">
        <is>
          <t>11(5)-V01</t>
        </is>
      </c>
      <c r="B503" t="inlineStr">
        <is>
          <t>11 (5).tif</t>
        </is>
      </c>
      <c r="C503" t="n">
        <v>466</v>
      </c>
      <c r="D503" t="n">
        <v>474</v>
      </c>
      <c r="E503" t="inlineStr">
        <is>
          <t>400,420,533,529</t>
        </is>
      </c>
      <c r="F503" t="n">
        <v>239</v>
      </c>
      <c r="G503" t="inlineStr">
        <is>
          <t>primary</t>
        </is>
      </c>
      <c r="H503" t="inlineStr">
        <is>
          <t>AUTO_VESSEL</t>
        </is>
      </c>
      <c r="I503" t="inlineStr">
        <is>
          <t>是</t>
        </is>
      </c>
      <c r="J503" t="inlineStr">
        <is>
          <t>纳入</t>
        </is>
      </c>
      <c r="K503" t="n">
        <v>514.3431001890359</v>
      </c>
      <c r="L503">
        <f>导管母表_1781!G503</f>
        <v/>
      </c>
      <c r="M503" t="inlineStr">
        <is>
          <t>视野内部</t>
        </is>
      </c>
      <c r="N503" t="inlineStr">
        <is>
          <t>纳入A/D/Dh；若有Pair_ID则纳入CWR</t>
        </is>
      </c>
      <c r="O503" t="inlineStr">
        <is>
          <t>自动管线检出的合格导管腔。</t>
        </is>
      </c>
      <c r="P503" t="inlineStr">
        <is>
          <t>auto_pipeline;review_png_green</t>
        </is>
      </c>
      <c r="R503" t="inlineStr">
        <is>
          <t>样品11</t>
        </is>
      </c>
    </row>
    <row r="504">
      <c r="A504" t="inlineStr">
        <is>
          <t>11(5)-V02</t>
        </is>
      </c>
      <c r="B504" t="inlineStr">
        <is>
          <t>11 (5).tif</t>
        </is>
      </c>
      <c r="C504" t="n">
        <v>549</v>
      </c>
      <c r="D504" t="n">
        <v>324</v>
      </c>
      <c r="E504" t="inlineStr">
        <is>
          <t>493,273,606,376</t>
        </is>
      </c>
      <c r="F504" t="n">
        <v>273</v>
      </c>
      <c r="G504" t="inlineStr">
        <is>
          <t>primary</t>
        </is>
      </c>
      <c r="H504" t="inlineStr">
        <is>
          <t>AUTO_VESSEL</t>
        </is>
      </c>
      <c r="I504" t="inlineStr">
        <is>
          <t>是</t>
        </is>
      </c>
      <c r="J504" t="inlineStr">
        <is>
          <t>纳入</t>
        </is>
      </c>
      <c r="K504" t="n">
        <v>423.2986767485822</v>
      </c>
      <c r="L504">
        <f>导管母表_1781!G504</f>
        <v/>
      </c>
      <c r="M504" t="inlineStr">
        <is>
          <t>视野内部</t>
        </is>
      </c>
      <c r="N504" t="inlineStr">
        <is>
          <t>纳入A/D/Dh；若有Pair_ID则纳入CWR</t>
        </is>
      </c>
      <c r="O504" t="inlineStr">
        <is>
          <t>自动管线检出的合格导管腔。</t>
        </is>
      </c>
      <c r="P504" t="inlineStr">
        <is>
          <t>auto_pipeline;review_png_green</t>
        </is>
      </c>
      <c r="R504" t="inlineStr">
        <is>
          <t>样品11</t>
        </is>
      </c>
    </row>
    <row r="505">
      <c r="A505" t="inlineStr">
        <is>
          <t>11(5)-V03</t>
        </is>
      </c>
      <c r="B505" t="inlineStr">
        <is>
          <t>11 (5).tif</t>
        </is>
      </c>
      <c r="C505" t="n">
        <v>173</v>
      </c>
      <c r="D505" t="n">
        <v>61</v>
      </c>
      <c r="E505" t="inlineStr">
        <is>
          <t>110,20,237,103</t>
        </is>
      </c>
      <c r="F505" t="n">
        <v>20</v>
      </c>
      <c r="G505" t="inlineStr">
        <is>
          <t>primary</t>
        </is>
      </c>
      <c r="H505" t="inlineStr">
        <is>
          <t>AUTO_VESSEL</t>
        </is>
      </c>
      <c r="I505" t="inlineStr">
        <is>
          <t>是</t>
        </is>
      </c>
      <c r="J505" t="inlineStr">
        <is>
          <t>纳入</t>
        </is>
      </c>
      <c r="K505" t="n">
        <v>343.0056710775047</v>
      </c>
      <c r="L505">
        <f>导管母表_1781!G505</f>
        <v/>
      </c>
      <c r="M505" t="inlineStr">
        <is>
          <t>近边缘（&lt;25 px）</t>
        </is>
      </c>
      <c r="N505" t="inlineStr">
        <is>
          <t>纳入A/D/Dh；若有Pair_ID则纳入CWR</t>
        </is>
      </c>
      <c r="O505" t="inlineStr">
        <is>
          <t>自动管线检出的合格导管腔。</t>
        </is>
      </c>
      <c r="P505" t="inlineStr">
        <is>
          <t>auto_pipeline;review_png_green</t>
        </is>
      </c>
      <c r="R505" t="inlineStr">
        <is>
          <t>样品11</t>
        </is>
      </c>
    </row>
    <row r="506">
      <c r="A506" t="inlineStr">
        <is>
          <t>11(5)-V04</t>
        </is>
      </c>
      <c r="B506" t="inlineStr">
        <is>
          <t>11 (5).tif</t>
        </is>
      </c>
      <c r="C506" t="n">
        <v>664</v>
      </c>
      <c r="D506" t="n">
        <v>263</v>
      </c>
      <c r="E506" t="inlineStr">
        <is>
          <t>630,232,699,295</t>
        </is>
      </c>
      <c r="F506" t="n">
        <v>232</v>
      </c>
      <c r="G506" t="inlineStr">
        <is>
          <t>primary</t>
        </is>
      </c>
      <c r="H506" t="inlineStr">
        <is>
          <t>AUTO_VESSEL</t>
        </is>
      </c>
      <c r="I506" t="inlineStr">
        <is>
          <t>是</t>
        </is>
      </c>
      <c r="J506" t="inlineStr">
        <is>
          <t>纳入</t>
        </is>
      </c>
      <c r="K506" t="n">
        <v>156.8525519848771</v>
      </c>
      <c r="L506">
        <f>导管母表_1781!G506</f>
        <v/>
      </c>
      <c r="M506" t="inlineStr">
        <is>
          <t>视野内部</t>
        </is>
      </c>
      <c r="N506" t="inlineStr">
        <is>
          <t>纳入A/D/Dh；若有Pair_ID则纳入CWR</t>
        </is>
      </c>
      <c r="O506" t="inlineStr">
        <is>
          <t>自动管线检出的合格导管腔。</t>
        </is>
      </c>
      <c r="P506" t="inlineStr">
        <is>
          <t>auto_pipeline;review_png_green</t>
        </is>
      </c>
      <c r="R506" t="inlineStr">
        <is>
          <t>样品11</t>
        </is>
      </c>
    </row>
    <row r="507">
      <c r="A507" t="inlineStr">
        <is>
          <t>11(5)-V05</t>
        </is>
      </c>
      <c r="B507" t="inlineStr">
        <is>
          <t>11 (5).tif</t>
        </is>
      </c>
      <c r="C507" t="n">
        <v>866</v>
      </c>
      <c r="D507" t="n">
        <v>584</v>
      </c>
      <c r="E507" t="inlineStr">
        <is>
          <t>828,559,905,610</t>
        </is>
      </c>
      <c r="F507" t="n">
        <v>119</v>
      </c>
      <c r="G507" t="inlineStr">
        <is>
          <t>primary</t>
        </is>
      </c>
      <c r="H507" t="inlineStr">
        <is>
          <t>AUTO_VESSEL</t>
        </is>
      </c>
      <c r="I507" t="inlineStr">
        <is>
          <t>是</t>
        </is>
      </c>
      <c r="J507" t="inlineStr">
        <is>
          <t>纳入</t>
        </is>
      </c>
      <c r="K507" t="n">
        <v>139.3431001890359</v>
      </c>
      <c r="L507">
        <f>导管母表_1781!G507</f>
        <v/>
      </c>
      <c r="M507" t="inlineStr">
        <is>
          <t>视野内部</t>
        </is>
      </c>
      <c r="N507" t="inlineStr">
        <is>
          <t>纳入A/D/Dh；若有Pair_ID则纳入CWR</t>
        </is>
      </c>
      <c r="O507" t="inlineStr">
        <is>
          <t>自动管线检出的合格导管腔。</t>
        </is>
      </c>
      <c r="P507" t="inlineStr">
        <is>
          <t>auto_pipeline;review_png_green</t>
        </is>
      </c>
      <c r="R507" t="inlineStr">
        <is>
          <t>样品11</t>
        </is>
      </c>
    </row>
    <row r="508">
      <c r="A508" t="inlineStr">
        <is>
          <t>11(5)-V06</t>
        </is>
      </c>
      <c r="B508" t="inlineStr">
        <is>
          <t>11 (5).tif</t>
        </is>
      </c>
      <c r="C508" t="n">
        <v>259</v>
      </c>
      <c r="D508" t="n">
        <v>96</v>
      </c>
      <c r="E508" t="inlineStr">
        <is>
          <t>219,73,300,120</t>
        </is>
      </c>
      <c r="F508" t="n">
        <v>73</v>
      </c>
      <c r="G508" t="inlineStr">
        <is>
          <t>primary</t>
        </is>
      </c>
      <c r="H508" t="inlineStr">
        <is>
          <t>AUTO_VESSEL</t>
        </is>
      </c>
      <c r="I508" t="inlineStr">
        <is>
          <t>是</t>
        </is>
      </c>
      <c r="J508" t="inlineStr">
        <is>
          <t>纳入</t>
        </is>
      </c>
      <c r="K508" t="n">
        <v>111.7911153119093</v>
      </c>
      <c r="L508">
        <f>导管母表_1781!G508</f>
        <v/>
      </c>
      <c r="M508" t="inlineStr">
        <is>
          <t>视野内部</t>
        </is>
      </c>
      <c r="N508" t="inlineStr">
        <is>
          <t>纳入A/D/Dh；若有Pair_ID则纳入CWR</t>
        </is>
      </c>
      <c r="O508" t="inlineStr">
        <is>
          <t>自动管线检出的合格导管腔。</t>
        </is>
      </c>
      <c r="P508" t="inlineStr">
        <is>
          <t>auto_pipeline;review_png_green</t>
        </is>
      </c>
      <c r="R508" t="inlineStr">
        <is>
          <t>样品11</t>
        </is>
      </c>
    </row>
    <row r="509">
      <c r="A509" t="inlineStr">
        <is>
          <t>11(6)-V01</t>
        </is>
      </c>
      <c r="B509" t="inlineStr">
        <is>
          <t>11 (6).tif</t>
        </is>
      </c>
      <c r="C509" t="n">
        <v>76</v>
      </c>
      <c r="D509" t="n">
        <v>447</v>
      </c>
      <c r="E509" t="inlineStr">
        <is>
          <t>13,393,140,502</t>
        </is>
      </c>
      <c r="F509" t="n">
        <v>13</v>
      </c>
      <c r="G509" t="inlineStr">
        <is>
          <t>primary</t>
        </is>
      </c>
      <c r="H509" t="inlineStr">
        <is>
          <t>AUTO_VESSEL</t>
        </is>
      </c>
      <c r="I509" t="inlineStr">
        <is>
          <t>是</t>
        </is>
      </c>
      <c r="J509" t="inlineStr">
        <is>
          <t>纳入</t>
        </is>
      </c>
      <c r="K509" t="n">
        <v>504.796786389414</v>
      </c>
      <c r="L509">
        <f>导管母表_1781!G509</f>
        <v/>
      </c>
      <c r="M509" t="inlineStr">
        <is>
          <t>近边缘（&lt;25 px）</t>
        </is>
      </c>
      <c r="N509" t="inlineStr">
        <is>
          <t>纳入A/D/Dh；若有Pair_ID则纳入CWR</t>
        </is>
      </c>
      <c r="O509" t="inlineStr">
        <is>
          <t>自动管线检出的合格导管腔。</t>
        </is>
      </c>
      <c r="P509" t="inlineStr">
        <is>
          <t>auto_pipeline;review_png_green</t>
        </is>
      </c>
      <c r="R509" t="inlineStr">
        <is>
          <t>样品11</t>
        </is>
      </c>
    </row>
    <row r="510">
      <c r="A510" t="inlineStr">
        <is>
          <t>11(6)-V02</t>
        </is>
      </c>
      <c r="B510" t="inlineStr">
        <is>
          <t>11 (6).tif</t>
        </is>
      </c>
      <c r="C510" t="n">
        <v>470</v>
      </c>
      <c r="D510" t="n">
        <v>372</v>
      </c>
      <c r="E510" t="inlineStr">
        <is>
          <t>413,320,528,425</t>
        </is>
      </c>
      <c r="F510" t="n">
        <v>320</v>
      </c>
      <c r="G510" t="inlineStr">
        <is>
          <t>primary</t>
        </is>
      </c>
      <c r="H510" t="inlineStr">
        <is>
          <t>AUTO_VESSEL</t>
        </is>
      </c>
      <c r="I510" t="inlineStr">
        <is>
          <t>是</t>
        </is>
      </c>
      <c r="J510" t="inlineStr">
        <is>
          <t>纳入</t>
        </is>
      </c>
      <c r="K510" t="n">
        <v>431.6398865784499</v>
      </c>
      <c r="L510">
        <f>导管母表_1781!G510</f>
        <v/>
      </c>
      <c r="M510" t="inlineStr">
        <is>
          <t>视野内部</t>
        </is>
      </c>
      <c r="N510" t="inlineStr">
        <is>
          <t>纳入A/D/Dh；若有Pair_ID则纳入CWR</t>
        </is>
      </c>
      <c r="O510" t="inlineStr">
        <is>
          <t>自动管线检出的合格导管腔。</t>
        </is>
      </c>
      <c r="P510" t="inlineStr">
        <is>
          <t>auto_pipeline;review_png_green</t>
        </is>
      </c>
      <c r="R510" t="inlineStr">
        <is>
          <t>样品11</t>
        </is>
      </c>
    </row>
    <row r="511">
      <c r="A511" t="inlineStr">
        <is>
          <t>11(6)-V03</t>
        </is>
      </c>
      <c r="B511" t="inlineStr">
        <is>
          <t>11 (6).tif</t>
        </is>
      </c>
      <c r="C511" t="n">
        <v>286</v>
      </c>
      <c r="D511" t="n">
        <v>454</v>
      </c>
      <c r="E511" t="inlineStr">
        <is>
          <t>234,404,339,505</t>
        </is>
      </c>
      <c r="F511" t="n">
        <v>234</v>
      </c>
      <c r="G511" t="inlineStr">
        <is>
          <t>primary</t>
        </is>
      </c>
      <c r="H511" t="inlineStr">
        <is>
          <t>AUTO_VESSEL</t>
        </is>
      </c>
      <c r="I511" t="inlineStr">
        <is>
          <t>是</t>
        </is>
      </c>
      <c r="J511" t="inlineStr">
        <is>
          <t>纳入</t>
        </is>
      </c>
      <c r="K511" t="n">
        <v>386.1531190926276</v>
      </c>
      <c r="L511">
        <f>导管母表_1781!G511</f>
        <v/>
      </c>
      <c r="M511" t="inlineStr">
        <is>
          <t>视野内部</t>
        </is>
      </c>
      <c r="N511" t="inlineStr">
        <is>
          <t>纳入A/D/Dh；若有Pair_ID则纳入CWR</t>
        </is>
      </c>
      <c r="O511" t="inlineStr">
        <is>
          <t>自动管线检出的合格导管腔。</t>
        </is>
      </c>
      <c r="P511" t="inlineStr">
        <is>
          <t>auto_pipeline;review_png_green</t>
        </is>
      </c>
      <c r="R511" t="inlineStr">
        <is>
          <t>样品11</t>
        </is>
      </c>
    </row>
    <row r="512">
      <c r="A512" t="inlineStr">
        <is>
          <t>11(6)-V04</t>
        </is>
      </c>
      <c r="B512" t="inlineStr">
        <is>
          <t>11 (6).tif</t>
        </is>
      </c>
      <c r="C512" t="n">
        <v>622</v>
      </c>
      <c r="D512" t="n">
        <v>341</v>
      </c>
      <c r="E512" t="inlineStr">
        <is>
          <t>577,293,668,390</t>
        </is>
      </c>
      <c r="F512" t="n">
        <v>293</v>
      </c>
      <c r="G512" t="inlineStr">
        <is>
          <t>primary</t>
        </is>
      </c>
      <c r="H512" t="inlineStr">
        <is>
          <t>AUTO_VESSEL</t>
        </is>
      </c>
      <c r="I512" t="inlineStr">
        <is>
          <t>是</t>
        </is>
      </c>
      <c r="J512" t="inlineStr">
        <is>
          <t>纳入</t>
        </is>
      </c>
      <c r="K512" t="n">
        <v>320.5103969754254</v>
      </c>
      <c r="L512">
        <f>导管母表_1781!G512</f>
        <v/>
      </c>
      <c r="M512" t="inlineStr">
        <is>
          <t>视野内部</t>
        </is>
      </c>
      <c r="N512" t="inlineStr">
        <is>
          <t>纳入A/D/Dh；若有Pair_ID则纳入CWR</t>
        </is>
      </c>
      <c r="O512" t="inlineStr">
        <is>
          <t>自动管线检出的合格导管腔。</t>
        </is>
      </c>
      <c r="P512" t="inlineStr">
        <is>
          <t>auto_pipeline;review_png_green</t>
        </is>
      </c>
      <c r="R512" t="inlineStr">
        <is>
          <t>样品11</t>
        </is>
      </c>
    </row>
    <row r="513">
      <c r="A513" t="inlineStr">
        <is>
          <t>11(6)-V05</t>
        </is>
      </c>
      <c r="B513" t="inlineStr">
        <is>
          <t>11 (6).tif</t>
        </is>
      </c>
      <c r="C513" t="n">
        <v>848</v>
      </c>
      <c r="D513" t="n">
        <v>596</v>
      </c>
      <c r="E513" t="inlineStr">
        <is>
          <t>817,562,880,631</t>
        </is>
      </c>
      <c r="F513" t="n">
        <v>137</v>
      </c>
      <c r="G513" t="inlineStr">
        <is>
          <t>primary</t>
        </is>
      </c>
      <c r="H513" t="inlineStr">
        <is>
          <t>AUTO_VESSEL</t>
        </is>
      </c>
      <c r="I513" t="inlineStr">
        <is>
          <t>是</t>
        </is>
      </c>
      <c r="J513" t="inlineStr">
        <is>
          <t>纳入</t>
        </is>
      </c>
      <c r="K513" t="n">
        <v>141.351606805293</v>
      </c>
      <c r="L513">
        <f>导管母表_1781!G513</f>
        <v/>
      </c>
      <c r="M513" t="inlineStr">
        <is>
          <t>视野内部</t>
        </is>
      </c>
      <c r="N513" t="inlineStr">
        <is>
          <t>纳入A/D/Dh；若有Pair_ID则纳入CWR</t>
        </is>
      </c>
      <c r="O513" t="inlineStr">
        <is>
          <t>自动管线检出的合格导管腔。</t>
        </is>
      </c>
      <c r="P513" t="inlineStr">
        <is>
          <t>auto_pipeline;review_png_green</t>
        </is>
      </c>
      <c r="R513" t="inlineStr">
        <is>
          <t>样品11</t>
        </is>
      </c>
    </row>
    <row r="514">
      <c r="A514" t="inlineStr">
        <is>
          <t>11(6)-V06</t>
        </is>
      </c>
      <c r="B514" t="inlineStr">
        <is>
          <t>11 (6).tif</t>
        </is>
      </c>
      <c r="C514" t="n">
        <v>790</v>
      </c>
      <c r="D514" t="n">
        <v>170</v>
      </c>
      <c r="E514" t="inlineStr">
        <is>
          <t>752,146,829,195</t>
        </is>
      </c>
      <c r="F514" t="n">
        <v>146</v>
      </c>
      <c r="G514" t="inlineStr">
        <is>
          <t>primary</t>
        </is>
      </c>
      <c r="H514" t="inlineStr">
        <is>
          <t>AUTO_VESSEL</t>
        </is>
      </c>
      <c r="I514" t="inlineStr">
        <is>
          <t>是</t>
        </is>
      </c>
      <c r="J514" t="inlineStr">
        <is>
          <t>纳入</t>
        </is>
      </c>
      <c r="K514" t="n">
        <v>135.538752362949</v>
      </c>
      <c r="L514">
        <f>导管母表_1781!G514</f>
        <v/>
      </c>
      <c r="M514" t="inlineStr">
        <is>
          <t>视野内部</t>
        </is>
      </c>
      <c r="N514" t="inlineStr">
        <is>
          <t>纳入A/D/Dh；若有Pair_ID则纳入CWR</t>
        </is>
      </c>
      <c r="O514" t="inlineStr">
        <is>
          <t>自动管线检出的合格导管腔。</t>
        </is>
      </c>
      <c r="P514" t="inlineStr">
        <is>
          <t>auto_pipeline;review_png_green</t>
        </is>
      </c>
      <c r="R514" t="inlineStr">
        <is>
          <t>样品11</t>
        </is>
      </c>
    </row>
    <row r="515">
      <c r="A515" t="inlineStr">
        <is>
          <t>11(7)-V01</t>
        </is>
      </c>
      <c r="B515" t="inlineStr">
        <is>
          <t>11 (7).tif</t>
        </is>
      </c>
      <c r="C515" t="n">
        <v>300</v>
      </c>
      <c r="D515" t="n">
        <v>370</v>
      </c>
      <c r="E515" t="inlineStr">
        <is>
          <t>250,304,351,437</t>
        </is>
      </c>
      <c r="F515" t="n">
        <v>250</v>
      </c>
      <c r="G515" t="inlineStr">
        <is>
          <t>primary</t>
        </is>
      </c>
      <c r="H515" t="inlineStr">
        <is>
          <t>AUTO_VESSEL</t>
        </is>
      </c>
      <c r="I515" t="inlineStr">
        <is>
          <t>是</t>
        </is>
      </c>
      <c r="J515" t="inlineStr">
        <is>
          <t>纳入</t>
        </is>
      </c>
      <c r="K515" t="n">
        <v>487.1691871455577</v>
      </c>
      <c r="L515">
        <f>导管母表_1781!G515</f>
        <v/>
      </c>
      <c r="M515" t="inlineStr">
        <is>
          <t>视野内部</t>
        </is>
      </c>
      <c r="N515" t="inlineStr">
        <is>
          <t>纳入A/D/Dh；若有Pair_ID则纳入CWR</t>
        </is>
      </c>
      <c r="O515" t="inlineStr">
        <is>
          <t>自动管线检出的合格导管腔。</t>
        </is>
      </c>
      <c r="P515" t="inlineStr">
        <is>
          <t>auto_pipeline;review_png_green</t>
        </is>
      </c>
      <c r="R515" t="inlineStr">
        <is>
          <t>样品11</t>
        </is>
      </c>
    </row>
    <row r="516">
      <c r="A516" t="inlineStr">
        <is>
          <t>11(7)-V02</t>
        </is>
      </c>
      <c r="B516" t="inlineStr">
        <is>
          <t>11 (7).tif</t>
        </is>
      </c>
      <c r="C516" t="n">
        <v>505</v>
      </c>
      <c r="D516" t="n">
        <v>283</v>
      </c>
      <c r="E516" t="inlineStr">
        <is>
          <t>450,229,561,338</t>
        </is>
      </c>
      <c r="F516" t="n">
        <v>229</v>
      </c>
      <c r="G516" t="inlineStr">
        <is>
          <t>primary</t>
        </is>
      </c>
      <c r="H516" t="inlineStr">
        <is>
          <t>AUTO_VESSEL</t>
        </is>
      </c>
      <c r="I516" t="inlineStr">
        <is>
          <t>是</t>
        </is>
      </c>
      <c r="J516" t="inlineStr">
        <is>
          <t>纳入</t>
        </is>
      </c>
      <c r="K516" t="n">
        <v>439.7920604914934</v>
      </c>
      <c r="L516">
        <f>导管母表_1781!G516</f>
        <v/>
      </c>
      <c r="M516" t="inlineStr">
        <is>
          <t>视野内部</t>
        </is>
      </c>
      <c r="N516" t="inlineStr">
        <is>
          <t>纳入A/D/Dh；若有Pair_ID则纳入CWR</t>
        </is>
      </c>
      <c r="O516" t="inlineStr">
        <is>
          <t>自动管线检出的合格导管腔。</t>
        </is>
      </c>
      <c r="P516" t="inlineStr">
        <is>
          <t>auto_pipeline;review_png_green</t>
        </is>
      </c>
      <c r="Q516" t="inlineStr">
        <is>
          <t>11(7)-P01</t>
        </is>
      </c>
      <c r="R516" t="inlineStr">
        <is>
          <t>样品11</t>
        </is>
      </c>
    </row>
    <row r="517">
      <c r="A517" t="inlineStr">
        <is>
          <t>11(7)-V03</t>
        </is>
      </c>
      <c r="B517" t="inlineStr">
        <is>
          <t>11 (7).tif</t>
        </is>
      </c>
      <c r="C517" t="n">
        <v>504</v>
      </c>
      <c r="D517" t="n">
        <v>420</v>
      </c>
      <c r="E517" t="inlineStr">
        <is>
          <t>453,364,556,477</t>
        </is>
      </c>
      <c r="F517" t="n">
        <v>291</v>
      </c>
      <c r="G517" t="inlineStr">
        <is>
          <t>primary</t>
        </is>
      </c>
      <c r="H517" t="inlineStr">
        <is>
          <t>AUTO_VESSEL</t>
        </is>
      </c>
      <c r="I517" t="inlineStr">
        <is>
          <t>是</t>
        </is>
      </c>
      <c r="J517" t="inlineStr">
        <is>
          <t>纳入</t>
        </is>
      </c>
      <c r="K517" t="n">
        <v>423.038752362949</v>
      </c>
      <c r="L517">
        <f>导管母表_1781!G517</f>
        <v/>
      </c>
      <c r="M517" t="inlineStr">
        <is>
          <t>视野内部</t>
        </is>
      </c>
      <c r="N517" t="inlineStr">
        <is>
          <t>纳入A/D/Dh；若有Pair_ID则纳入CWR</t>
        </is>
      </c>
      <c r="O517" t="inlineStr">
        <is>
          <t>自动管线检出的合格导管腔。</t>
        </is>
      </c>
      <c r="P517" t="inlineStr">
        <is>
          <t>auto_pipeline;review_png_green</t>
        </is>
      </c>
      <c r="Q517" t="inlineStr">
        <is>
          <t>11(7)-P01</t>
        </is>
      </c>
      <c r="R517" t="inlineStr">
        <is>
          <t>样品11</t>
        </is>
      </c>
    </row>
    <row r="518">
      <c r="A518" t="inlineStr">
        <is>
          <t>11(7)-V04</t>
        </is>
      </c>
      <c r="B518" t="inlineStr">
        <is>
          <t>11 (7).tif</t>
        </is>
      </c>
      <c r="C518" t="n">
        <v>799</v>
      </c>
      <c r="D518" t="n">
        <v>184</v>
      </c>
      <c r="E518" t="inlineStr">
        <is>
          <t>759,127,840,242</t>
        </is>
      </c>
      <c r="F518" t="n">
        <v>127</v>
      </c>
      <c r="G518" t="inlineStr">
        <is>
          <t>primary</t>
        </is>
      </c>
      <c r="H518" t="inlineStr">
        <is>
          <t>AUTO_VESSEL</t>
        </is>
      </c>
      <c r="I518" t="inlineStr">
        <is>
          <t>是</t>
        </is>
      </c>
      <c r="J518" t="inlineStr">
        <is>
          <t>纳入</t>
        </is>
      </c>
      <c r="K518" t="n">
        <v>324.031190926276</v>
      </c>
      <c r="L518">
        <f>导管母表_1781!G518</f>
        <v/>
      </c>
      <c r="M518" t="inlineStr">
        <is>
          <t>视野内部</t>
        </is>
      </c>
      <c r="N518" t="inlineStr">
        <is>
          <t>纳入A/D/Dh；若有Pair_ID则纳入CWR</t>
        </is>
      </c>
      <c r="O518" t="inlineStr">
        <is>
          <t>自动管线检出的合格导管腔。</t>
        </is>
      </c>
      <c r="P518" t="inlineStr">
        <is>
          <t>auto_pipeline;review_png_green</t>
        </is>
      </c>
      <c r="R518" t="inlineStr">
        <is>
          <t>样品11</t>
        </is>
      </c>
    </row>
    <row r="519">
      <c r="A519" t="inlineStr">
        <is>
          <t>11(7)-V05</t>
        </is>
      </c>
      <c r="B519" t="inlineStr">
        <is>
          <t>11 (7).tif</t>
        </is>
      </c>
      <c r="C519" t="n">
        <v>732</v>
      </c>
      <c r="D519" t="n">
        <v>513</v>
      </c>
      <c r="E519" t="inlineStr">
        <is>
          <t>697,476,768,551</t>
        </is>
      </c>
      <c r="F519" t="n">
        <v>217</v>
      </c>
      <c r="G519" t="inlineStr">
        <is>
          <t>primary</t>
        </is>
      </c>
      <c r="H519" t="inlineStr">
        <is>
          <t>AUTO_VESSEL</t>
        </is>
      </c>
      <c r="I519" t="inlineStr">
        <is>
          <t>是</t>
        </is>
      </c>
      <c r="J519" t="inlineStr">
        <is>
          <t>纳入</t>
        </is>
      </c>
      <c r="K519" t="n">
        <v>191.375236294896</v>
      </c>
      <c r="L519">
        <f>导管母表_1781!G519</f>
        <v/>
      </c>
      <c r="M519" t="inlineStr">
        <is>
          <t>视野内部</t>
        </is>
      </c>
      <c r="N519" t="inlineStr">
        <is>
          <t>纳入A/D/Dh；若有Pair_ID则纳入CWR</t>
        </is>
      </c>
      <c r="O519" t="inlineStr">
        <is>
          <t>自动管线检出的合格导管腔。</t>
        </is>
      </c>
      <c r="P519" t="inlineStr">
        <is>
          <t>auto_pipeline;review_png_green</t>
        </is>
      </c>
      <c r="R519" t="inlineStr">
        <is>
          <t>样品11</t>
        </is>
      </c>
    </row>
    <row r="520">
      <c r="A520" t="inlineStr">
        <is>
          <t>11(7)-V06</t>
        </is>
      </c>
      <c r="B520" t="inlineStr">
        <is>
          <t>11 (7).tif</t>
        </is>
      </c>
      <c r="C520" t="n">
        <v>814</v>
      </c>
      <c r="D520" t="n">
        <v>367</v>
      </c>
      <c r="E520" t="inlineStr">
        <is>
          <t>782,330,847,405</t>
        </is>
      </c>
      <c r="F520" t="n">
        <v>177</v>
      </c>
      <c r="G520" t="inlineStr">
        <is>
          <t>primary</t>
        </is>
      </c>
      <c r="H520" t="inlineStr">
        <is>
          <t>AUTO_VESSEL</t>
        </is>
      </c>
      <c r="I520" t="inlineStr">
        <is>
          <t>是</t>
        </is>
      </c>
      <c r="J520" t="inlineStr">
        <is>
          <t>纳入</t>
        </is>
      </c>
      <c r="K520" t="n">
        <v>176.2287334593573</v>
      </c>
      <c r="L520">
        <f>导管母表_1781!G520</f>
        <v/>
      </c>
      <c r="M520" t="inlineStr">
        <is>
          <t>视野内部</t>
        </is>
      </c>
      <c r="N520" t="inlineStr">
        <is>
          <t>纳入A/D/Dh；若有Pair_ID则纳入CWR</t>
        </is>
      </c>
      <c r="O520" t="inlineStr">
        <is>
          <t>自动管线检出的合格导管腔。</t>
        </is>
      </c>
      <c r="P520" t="inlineStr">
        <is>
          <t>auto_pipeline;review_png_green</t>
        </is>
      </c>
      <c r="R520" t="inlineStr">
        <is>
          <t>样品11</t>
        </is>
      </c>
    </row>
    <row r="521">
      <c r="A521" t="inlineStr">
        <is>
          <t>11(7)-V07</t>
        </is>
      </c>
      <c r="B521" t="inlineStr">
        <is>
          <t>11 (7).tif</t>
        </is>
      </c>
      <c r="C521" t="n">
        <v>93</v>
      </c>
      <c r="D521" t="n">
        <v>574</v>
      </c>
      <c r="E521" t="inlineStr">
        <is>
          <t>60,536,127,613</t>
        </is>
      </c>
      <c r="F521" t="n">
        <v>60</v>
      </c>
      <c r="G521" t="inlineStr">
        <is>
          <t>primary</t>
        </is>
      </c>
      <c r="H521" t="inlineStr">
        <is>
          <t>AUTO_VESSEL</t>
        </is>
      </c>
      <c r="I521" t="inlineStr">
        <is>
          <t>是</t>
        </is>
      </c>
      <c r="J521" t="inlineStr">
        <is>
          <t>纳入</t>
        </is>
      </c>
      <c r="K521" t="n">
        <v>174.6455576559546</v>
      </c>
      <c r="L521">
        <f>导管母表_1781!G521</f>
        <v/>
      </c>
      <c r="M521" t="inlineStr">
        <is>
          <t>视野内部</t>
        </is>
      </c>
      <c r="N521" t="inlineStr">
        <is>
          <t>纳入A/D/Dh；若有Pair_ID则纳入CWR</t>
        </is>
      </c>
      <c r="O521" t="inlineStr">
        <is>
          <t>自动管线检出的合格导管腔。</t>
        </is>
      </c>
      <c r="P521" t="inlineStr">
        <is>
          <t>auto_pipeline;review_png_green</t>
        </is>
      </c>
      <c r="R521" t="inlineStr">
        <is>
          <t>样品11</t>
        </is>
      </c>
    </row>
    <row r="522">
      <c r="A522" t="inlineStr">
        <is>
          <t>11(7)-V08</t>
        </is>
      </c>
      <c r="B522" t="inlineStr">
        <is>
          <t>11 (7).tif</t>
        </is>
      </c>
      <c r="C522" t="n">
        <v>490</v>
      </c>
      <c r="D522" t="n">
        <v>534</v>
      </c>
      <c r="E522" t="inlineStr">
        <is>
          <t>457,504,524,565</t>
        </is>
      </c>
      <c r="F522" t="n">
        <v>203</v>
      </c>
      <c r="G522" t="inlineStr">
        <is>
          <t>primary</t>
        </is>
      </c>
      <c r="H522" t="inlineStr">
        <is>
          <t>AUTO_VESSEL</t>
        </is>
      </c>
      <c r="I522" t="inlineStr">
        <is>
          <t>是</t>
        </is>
      </c>
      <c r="J522" t="inlineStr">
        <is>
          <t>纳入</t>
        </is>
      </c>
      <c r="K522" t="n">
        <v>146.3137996219282</v>
      </c>
      <c r="L522">
        <f>导管母表_1781!G522</f>
        <v/>
      </c>
      <c r="M522" t="inlineStr">
        <is>
          <t>视野内部</t>
        </is>
      </c>
      <c r="N522" t="inlineStr">
        <is>
          <t>纳入A/D/Dh；若有Pair_ID则纳入CWR</t>
        </is>
      </c>
      <c r="O522" t="inlineStr">
        <is>
          <t>自动管线检出的合格导管腔。</t>
        </is>
      </c>
      <c r="P522" t="inlineStr">
        <is>
          <t>auto_pipeline;review_png_green</t>
        </is>
      </c>
      <c r="R522" t="inlineStr">
        <is>
          <t>样品11</t>
        </is>
      </c>
    </row>
    <row r="523">
      <c r="A523" t="inlineStr">
        <is>
          <t>11(8)-V01</t>
        </is>
      </c>
      <c r="B523" t="inlineStr">
        <is>
          <t>11 (8).tif</t>
        </is>
      </c>
      <c r="C523" t="n">
        <v>697</v>
      </c>
      <c r="D523" t="n">
        <v>134</v>
      </c>
      <c r="E523" t="inlineStr">
        <is>
          <t>646,67,749,202</t>
        </is>
      </c>
      <c r="F523" t="n">
        <v>67</v>
      </c>
      <c r="G523" t="inlineStr">
        <is>
          <t>primary</t>
        </is>
      </c>
      <c r="H523" t="inlineStr">
        <is>
          <t>AUTO_VESSEL</t>
        </is>
      </c>
      <c r="I523" t="inlineStr">
        <is>
          <t>是</t>
        </is>
      </c>
      <c r="J523" t="inlineStr">
        <is>
          <t>纳入</t>
        </is>
      </c>
      <c r="K523" t="n">
        <v>504.5368620037807</v>
      </c>
      <c r="L523">
        <f>导管母表_1781!G523</f>
        <v/>
      </c>
      <c r="M523" t="inlineStr">
        <is>
          <t>视野内部</t>
        </is>
      </c>
      <c r="N523" t="inlineStr">
        <is>
          <t>纳入A/D/Dh；若有Pair_ID则纳入CWR</t>
        </is>
      </c>
      <c r="O523" t="inlineStr">
        <is>
          <t>自动管线检出的合格导管腔。</t>
        </is>
      </c>
      <c r="P523" t="inlineStr">
        <is>
          <t>auto_pipeline;review_png_green</t>
        </is>
      </c>
      <c r="R523" t="inlineStr">
        <is>
          <t>样品11</t>
        </is>
      </c>
    </row>
    <row r="524">
      <c r="A524" t="inlineStr">
        <is>
          <t>11(8)-V02</t>
        </is>
      </c>
      <c r="B524" t="inlineStr">
        <is>
          <t>11 (8).tif</t>
        </is>
      </c>
      <c r="C524" t="n">
        <v>495</v>
      </c>
      <c r="D524" t="n">
        <v>414</v>
      </c>
      <c r="E524" t="inlineStr">
        <is>
          <t>445,361,546,468</t>
        </is>
      </c>
      <c r="F524" t="n">
        <v>300</v>
      </c>
      <c r="G524" t="inlineStr">
        <is>
          <t>primary</t>
        </is>
      </c>
      <c r="H524" t="inlineStr">
        <is>
          <t>AUTO_VESSEL</t>
        </is>
      </c>
      <c r="I524" t="inlineStr">
        <is>
          <t>是</t>
        </is>
      </c>
      <c r="J524" t="inlineStr">
        <is>
          <t>纳入</t>
        </is>
      </c>
      <c r="K524" t="n">
        <v>365.0047258979206</v>
      </c>
      <c r="L524">
        <f>导管母表_1781!G524</f>
        <v/>
      </c>
      <c r="M524" t="inlineStr">
        <is>
          <t>视野内部</t>
        </is>
      </c>
      <c r="N524" t="inlineStr">
        <is>
          <t>纳入A/D/Dh；若有Pair_ID则纳入CWR</t>
        </is>
      </c>
      <c r="O524" t="inlineStr">
        <is>
          <t>自动管线检出的合格导管腔。</t>
        </is>
      </c>
      <c r="P524" t="inlineStr">
        <is>
          <t>auto_pipeline;review_png_green</t>
        </is>
      </c>
      <c r="Q524" t="inlineStr">
        <is>
          <t>11(8)-P01</t>
        </is>
      </c>
      <c r="R524" t="inlineStr">
        <is>
          <t>样品11</t>
        </is>
      </c>
    </row>
    <row r="525">
      <c r="A525" t="inlineStr">
        <is>
          <t>11(8)-V03</t>
        </is>
      </c>
      <c r="B525" t="inlineStr">
        <is>
          <t>11 (8).tif</t>
        </is>
      </c>
      <c r="C525" t="n">
        <v>402</v>
      </c>
      <c r="D525" t="n">
        <v>342</v>
      </c>
      <c r="E525" t="inlineStr">
        <is>
          <t>361,287,444,398</t>
        </is>
      </c>
      <c r="F525" t="n">
        <v>287</v>
      </c>
      <c r="G525" t="inlineStr">
        <is>
          <t>primary</t>
        </is>
      </c>
      <c r="H525" t="inlineStr">
        <is>
          <t>AUTO_VESSEL</t>
        </is>
      </c>
      <c r="I525" t="inlineStr">
        <is>
          <t>是</t>
        </is>
      </c>
      <c r="J525" t="inlineStr">
        <is>
          <t>纳入</t>
        </is>
      </c>
      <c r="K525" t="n">
        <v>334.9243856332703</v>
      </c>
      <c r="L525">
        <f>导管母表_1781!G525</f>
        <v/>
      </c>
      <c r="M525" t="inlineStr">
        <is>
          <t>视野内部</t>
        </is>
      </c>
      <c r="N525" t="inlineStr">
        <is>
          <t>纳入A/D/Dh；若有Pair_ID则纳入CWR</t>
        </is>
      </c>
      <c r="O525" t="inlineStr">
        <is>
          <t>自动管线检出的合格导管腔。</t>
        </is>
      </c>
      <c r="P525" t="inlineStr">
        <is>
          <t>auto_pipeline;review_png_green</t>
        </is>
      </c>
      <c r="Q525" t="inlineStr">
        <is>
          <t>11(8)-P01</t>
        </is>
      </c>
      <c r="R525" t="inlineStr">
        <is>
          <t>样品11</t>
        </is>
      </c>
    </row>
    <row r="526">
      <c r="A526" t="inlineStr">
        <is>
          <t>11(8)-V04</t>
        </is>
      </c>
      <c r="B526" t="inlineStr">
        <is>
          <t>11 (8).tif</t>
        </is>
      </c>
      <c r="C526" t="n">
        <v>780</v>
      </c>
      <c r="D526" t="n">
        <v>276</v>
      </c>
      <c r="E526" t="inlineStr">
        <is>
          <t>740,223,821,330</t>
        </is>
      </c>
      <c r="F526" t="n">
        <v>203</v>
      </c>
      <c r="G526" t="inlineStr">
        <is>
          <t>primary</t>
        </is>
      </c>
      <c r="H526" t="inlineStr">
        <is>
          <t>AUTO_VESSEL</t>
        </is>
      </c>
      <c r="I526" t="inlineStr">
        <is>
          <t>是</t>
        </is>
      </c>
      <c r="J526" t="inlineStr">
        <is>
          <t>纳入</t>
        </is>
      </c>
      <c r="K526" t="n">
        <v>304.3241965973535</v>
      </c>
      <c r="L526">
        <f>导管母表_1781!G526</f>
        <v/>
      </c>
      <c r="M526" t="inlineStr">
        <is>
          <t>视野内部</t>
        </is>
      </c>
      <c r="N526" t="inlineStr">
        <is>
          <t>纳入A/D/Dh；若有Pair_ID则纳入CWR</t>
        </is>
      </c>
      <c r="O526" t="inlineStr">
        <is>
          <t>自动管线检出的合格导管腔。</t>
        </is>
      </c>
      <c r="P526" t="inlineStr">
        <is>
          <t>auto_pipeline;review_png_green</t>
        </is>
      </c>
      <c r="R526" t="inlineStr">
        <is>
          <t>样品11</t>
        </is>
      </c>
    </row>
    <row r="527">
      <c r="A527" t="inlineStr">
        <is>
          <t>11(8)-V05</t>
        </is>
      </c>
      <c r="B527" t="inlineStr">
        <is>
          <t>11 (8).tif</t>
        </is>
      </c>
      <c r="C527" t="n">
        <v>679</v>
      </c>
      <c r="D527" t="n">
        <v>529</v>
      </c>
      <c r="E527" t="inlineStr">
        <is>
          <t>645,475,714,584</t>
        </is>
      </c>
      <c r="F527" t="n">
        <v>184</v>
      </c>
      <c r="G527" t="inlineStr">
        <is>
          <t>primary</t>
        </is>
      </c>
      <c r="H527" t="inlineStr">
        <is>
          <t>AUTO_VESSEL</t>
        </is>
      </c>
      <c r="I527" t="inlineStr">
        <is>
          <t>是</t>
        </is>
      </c>
      <c r="J527" t="inlineStr">
        <is>
          <t>纳入</t>
        </is>
      </c>
      <c r="K527" t="n">
        <v>223.6294896030246</v>
      </c>
      <c r="L527">
        <f>导管母表_1781!G527</f>
        <v/>
      </c>
      <c r="M527" t="inlineStr">
        <is>
          <t>视野内部</t>
        </is>
      </c>
      <c r="N527" t="inlineStr">
        <is>
          <t>纳入A/D/Dh；若有Pair_ID则纳入CWR</t>
        </is>
      </c>
      <c r="O527" t="inlineStr">
        <is>
          <t>自动管线检出的合格导管腔。</t>
        </is>
      </c>
      <c r="P527" t="inlineStr">
        <is>
          <t>auto_pipeline;review_png_green</t>
        </is>
      </c>
      <c r="R527" t="inlineStr">
        <is>
          <t>样品11</t>
        </is>
      </c>
    </row>
    <row r="528">
      <c r="A528" t="inlineStr">
        <is>
          <t>11(8)-V06</t>
        </is>
      </c>
      <c r="B528" t="inlineStr">
        <is>
          <t>11 (8).tif</t>
        </is>
      </c>
      <c r="C528" t="n">
        <v>360</v>
      </c>
      <c r="D528" t="n">
        <v>438</v>
      </c>
      <c r="E528" t="inlineStr">
        <is>
          <t>325,396,396,481</t>
        </is>
      </c>
      <c r="F528" t="n">
        <v>287</v>
      </c>
      <c r="G528" t="inlineStr">
        <is>
          <t>primary</t>
        </is>
      </c>
      <c r="H528" t="inlineStr">
        <is>
          <t>AUTO_VESSEL</t>
        </is>
      </c>
      <c r="I528" t="inlineStr">
        <is>
          <t>是</t>
        </is>
      </c>
      <c r="J528" t="inlineStr">
        <is>
          <t>纳入</t>
        </is>
      </c>
      <c r="K528" t="n">
        <v>210.3733459357278</v>
      </c>
      <c r="L528">
        <f>导管母表_1781!G528</f>
        <v/>
      </c>
      <c r="M528" t="inlineStr">
        <is>
          <t>视野内部</t>
        </is>
      </c>
      <c r="N528" t="inlineStr">
        <is>
          <t>纳入A/D/Dh；若有Pair_ID则纳入CWR</t>
        </is>
      </c>
      <c r="O528" t="inlineStr">
        <is>
          <t>自动管线检出的合格导管腔。</t>
        </is>
      </c>
      <c r="P528" t="inlineStr">
        <is>
          <t>auto_pipeline;review_png_green</t>
        </is>
      </c>
      <c r="R528" t="inlineStr">
        <is>
          <t>样品11</t>
        </is>
      </c>
    </row>
    <row r="529">
      <c r="A529" t="inlineStr">
        <is>
          <t>11(8)-V07</t>
        </is>
      </c>
      <c r="B529" t="inlineStr">
        <is>
          <t>11 (8).tif</t>
        </is>
      </c>
      <c r="C529" t="n">
        <v>85</v>
      </c>
      <c r="D529" t="n">
        <v>160</v>
      </c>
      <c r="E529" t="inlineStr">
        <is>
          <t>50,121,121,200</t>
        </is>
      </c>
      <c r="F529" t="n">
        <v>50</v>
      </c>
      <c r="G529" t="inlineStr">
        <is>
          <t>primary</t>
        </is>
      </c>
      <c r="H529" t="inlineStr">
        <is>
          <t>AUTO_VESSEL</t>
        </is>
      </c>
      <c r="I529" t="inlineStr">
        <is>
          <t>是</t>
        </is>
      </c>
      <c r="J529" t="inlineStr">
        <is>
          <t>纳入</t>
        </is>
      </c>
      <c r="K529" t="n">
        <v>201.8667296786389</v>
      </c>
      <c r="L529">
        <f>导管母表_1781!G529</f>
        <v/>
      </c>
      <c r="M529" t="inlineStr">
        <is>
          <t>视野内部</t>
        </is>
      </c>
      <c r="N529" t="inlineStr">
        <is>
          <t>纳入A/D/Dh；若有Pair_ID则纳入CWR</t>
        </is>
      </c>
      <c r="O529" t="inlineStr">
        <is>
          <t>自动管线检出的合格导管腔。</t>
        </is>
      </c>
      <c r="P529" t="inlineStr">
        <is>
          <t>auto_pipeline;review_png_green</t>
        </is>
      </c>
      <c r="R529" t="inlineStr">
        <is>
          <t>样品11</t>
        </is>
      </c>
    </row>
    <row r="530">
      <c r="A530" t="inlineStr">
        <is>
          <t>11(8)-V08</t>
        </is>
      </c>
      <c r="B530" t="inlineStr">
        <is>
          <t>11 (8).tif</t>
        </is>
      </c>
      <c r="C530" t="n">
        <v>964</v>
      </c>
      <c r="D530" t="n">
        <v>137</v>
      </c>
      <c r="E530" t="inlineStr">
        <is>
          <t>931,91,998,184</t>
        </is>
      </c>
      <c r="F530" t="n">
        <v>26</v>
      </c>
      <c r="G530" t="inlineStr">
        <is>
          <t>primary</t>
        </is>
      </c>
      <c r="H530" t="inlineStr">
        <is>
          <t>AUTO_VESSEL</t>
        </is>
      </c>
      <c r="I530" t="inlineStr">
        <is>
          <t>是</t>
        </is>
      </c>
      <c r="J530" t="inlineStr">
        <is>
          <t>纳入</t>
        </is>
      </c>
      <c r="K530" t="n">
        <v>169.9196597353497</v>
      </c>
      <c r="L530">
        <f>导管母表_1781!G530</f>
        <v/>
      </c>
      <c r="M530" t="inlineStr">
        <is>
          <t>视野内部</t>
        </is>
      </c>
      <c r="N530" t="inlineStr">
        <is>
          <t>纳入A/D/Dh；若有Pair_ID则纳入CWR</t>
        </is>
      </c>
      <c r="O530" t="inlineStr">
        <is>
          <t>自动管线检出的合格导管腔。</t>
        </is>
      </c>
      <c r="P530" t="inlineStr">
        <is>
          <t>auto_pipeline;review_png_green</t>
        </is>
      </c>
      <c r="R530" t="inlineStr">
        <is>
          <t>样品11</t>
        </is>
      </c>
    </row>
    <row r="531">
      <c r="A531" t="inlineStr">
        <is>
          <t>12(1)-V01</t>
        </is>
      </c>
      <c r="B531" t="inlineStr">
        <is>
          <t>12 (1).tif</t>
        </is>
      </c>
      <c r="C531" t="n">
        <v>410</v>
      </c>
      <c r="D531" t="n">
        <v>295</v>
      </c>
      <c r="E531" t="inlineStr">
        <is>
          <t>337,229,484,362</t>
        </is>
      </c>
      <c r="F531" t="n">
        <v>229</v>
      </c>
      <c r="G531" t="inlineStr">
        <is>
          <t>primary</t>
        </is>
      </c>
      <c r="H531" t="inlineStr">
        <is>
          <t>AUTO_VESSEL</t>
        </is>
      </c>
      <c r="I531" t="inlineStr">
        <is>
          <t>是</t>
        </is>
      </c>
      <c r="J531" t="inlineStr">
        <is>
          <t>纳入</t>
        </is>
      </c>
      <c r="K531" t="n">
        <v>715.430056710775</v>
      </c>
      <c r="L531">
        <f>导管母表_1781!G531</f>
        <v/>
      </c>
      <c r="M531" t="inlineStr">
        <is>
          <t>视野内部</t>
        </is>
      </c>
      <c r="N531" t="inlineStr">
        <is>
          <t>纳入A/D/Dh；若有Pair_ID则纳入CWR</t>
        </is>
      </c>
      <c r="O531" t="inlineStr">
        <is>
          <t>自动管线检出的合格导管腔。</t>
        </is>
      </c>
      <c r="P531" t="inlineStr">
        <is>
          <t>auto_pipeline;review_png_green</t>
        </is>
      </c>
      <c r="R531" t="inlineStr">
        <is>
          <t>样品12</t>
        </is>
      </c>
    </row>
    <row r="532">
      <c r="A532" t="inlineStr">
        <is>
          <t>12(1)-V02</t>
        </is>
      </c>
      <c r="B532" t="inlineStr">
        <is>
          <t>12 (1).tif</t>
        </is>
      </c>
      <c r="C532" t="n">
        <v>863</v>
      </c>
      <c r="D532" t="n">
        <v>227</v>
      </c>
      <c r="E532" t="inlineStr">
        <is>
          <t>793,168,934,287</t>
        </is>
      </c>
      <c r="F532" t="n">
        <v>90</v>
      </c>
      <c r="G532" t="inlineStr">
        <is>
          <t>primary</t>
        </is>
      </c>
      <c r="H532" t="inlineStr">
        <is>
          <t>AUTO_VESSEL</t>
        </is>
      </c>
      <c r="I532" t="inlineStr">
        <is>
          <t>是</t>
        </is>
      </c>
      <c r="J532" t="inlineStr">
        <is>
          <t>纳入</t>
        </is>
      </c>
      <c r="K532" t="n">
        <v>593.241965973535</v>
      </c>
      <c r="L532">
        <f>导管母表_1781!G532</f>
        <v/>
      </c>
      <c r="M532" t="inlineStr">
        <is>
          <t>视野内部</t>
        </is>
      </c>
      <c r="N532" t="inlineStr">
        <is>
          <t>纳入A/D/Dh；若有Pair_ID则纳入CWR</t>
        </is>
      </c>
      <c r="O532" t="inlineStr">
        <is>
          <t>自动管线检出的合格导管腔。</t>
        </is>
      </c>
      <c r="P532" t="inlineStr">
        <is>
          <t>auto_pipeline;review_png_green</t>
        </is>
      </c>
      <c r="R532" t="inlineStr">
        <is>
          <t>样品12</t>
        </is>
      </c>
    </row>
    <row r="533">
      <c r="A533" t="inlineStr">
        <is>
          <t>12(1)-V03</t>
        </is>
      </c>
      <c r="B533" t="inlineStr">
        <is>
          <t>12 (1).tif</t>
        </is>
      </c>
      <c r="C533" t="n">
        <v>937</v>
      </c>
      <c r="D533" t="n">
        <v>294</v>
      </c>
      <c r="E533" t="inlineStr">
        <is>
          <t>872,244,1003,345</t>
        </is>
      </c>
      <c r="F533" t="n">
        <v>21</v>
      </c>
      <c r="G533" t="inlineStr">
        <is>
          <t>primary</t>
        </is>
      </c>
      <c r="H533" t="inlineStr">
        <is>
          <t>AUTO_VESSEL</t>
        </is>
      </c>
      <c r="I533" t="inlineStr">
        <is>
          <t>是</t>
        </is>
      </c>
      <c r="J533" t="inlineStr">
        <is>
          <t>纳入</t>
        </is>
      </c>
      <c r="K533" t="n">
        <v>367.6039697542533</v>
      </c>
      <c r="L533">
        <f>导管母表_1781!G533</f>
        <v/>
      </c>
      <c r="M533" t="inlineStr">
        <is>
          <t>近边缘（&lt;25 px）</t>
        </is>
      </c>
      <c r="N533" t="inlineStr">
        <is>
          <t>纳入A/D/Dh；若有Pair_ID则纳入CWR</t>
        </is>
      </c>
      <c r="O533" t="inlineStr">
        <is>
          <t>自动管线检出的合格导管腔。</t>
        </is>
      </c>
      <c r="P533" t="inlineStr">
        <is>
          <t>auto_pipeline;review_png_green</t>
        </is>
      </c>
      <c r="R533" t="inlineStr">
        <is>
          <t>样品12</t>
        </is>
      </c>
    </row>
    <row r="534">
      <c r="A534" t="inlineStr">
        <is>
          <t>12(1)-V04</t>
        </is>
      </c>
      <c r="B534" t="inlineStr">
        <is>
          <t>12 (1).tif</t>
        </is>
      </c>
      <c r="C534" t="n">
        <v>249</v>
      </c>
      <c r="D534" t="n">
        <v>360</v>
      </c>
      <c r="E534" t="inlineStr">
        <is>
          <t>174,324,325,397</t>
        </is>
      </c>
      <c r="F534" t="n">
        <v>174</v>
      </c>
      <c r="G534" t="inlineStr">
        <is>
          <t>primary</t>
        </is>
      </c>
      <c r="H534" t="inlineStr">
        <is>
          <t>AUTO_VESSEL</t>
        </is>
      </c>
      <c r="I534" t="inlineStr">
        <is>
          <t>是</t>
        </is>
      </c>
      <c r="J534" t="inlineStr">
        <is>
          <t>纳入</t>
        </is>
      </c>
      <c r="K534" t="n">
        <v>335.1843100189036</v>
      </c>
      <c r="L534">
        <f>导管母表_1781!G534</f>
        <v/>
      </c>
      <c r="M534" t="inlineStr">
        <is>
          <t>视野内部</t>
        </is>
      </c>
      <c r="N534" t="inlineStr">
        <is>
          <t>纳入A/D/Dh；若有Pair_ID则纳入CWR</t>
        </is>
      </c>
      <c r="O534" t="inlineStr">
        <is>
          <t>自动管线检出的合格导管腔。</t>
        </is>
      </c>
      <c r="P534" t="inlineStr">
        <is>
          <t>auto_pipeline;review_png_green</t>
        </is>
      </c>
      <c r="R534" t="inlineStr">
        <is>
          <t>样品12</t>
        </is>
      </c>
    </row>
    <row r="535">
      <c r="A535" t="inlineStr">
        <is>
          <t>12(1)-V05</t>
        </is>
      </c>
      <c r="B535" t="inlineStr">
        <is>
          <t>12 (1).tif</t>
        </is>
      </c>
      <c r="C535" t="n">
        <v>535</v>
      </c>
      <c r="D535" t="n">
        <v>331</v>
      </c>
      <c r="E535" t="inlineStr">
        <is>
          <t>501,299,570,364</t>
        </is>
      </c>
      <c r="F535" t="n">
        <v>299</v>
      </c>
      <c r="G535" t="inlineStr">
        <is>
          <t>primary</t>
        </is>
      </c>
      <c r="H535" t="inlineStr">
        <is>
          <t>AUTO_VESSEL</t>
        </is>
      </c>
      <c r="I535" t="inlineStr">
        <is>
          <t>是</t>
        </is>
      </c>
      <c r="J535" t="inlineStr">
        <is>
          <t>纳入</t>
        </is>
      </c>
      <c r="K535" t="n">
        <v>150.5907372400756</v>
      </c>
      <c r="L535">
        <f>导管母表_1781!G535</f>
        <v/>
      </c>
      <c r="M535" t="inlineStr">
        <is>
          <t>视野内部</t>
        </is>
      </c>
      <c r="N535" t="inlineStr">
        <is>
          <t>纳入A/D/Dh；若有Pair_ID则纳入CWR</t>
        </is>
      </c>
      <c r="O535" t="inlineStr">
        <is>
          <t>自动管线检出的合格导管腔。</t>
        </is>
      </c>
      <c r="P535" t="inlineStr">
        <is>
          <t>auto_pipeline;review_png_green</t>
        </is>
      </c>
      <c r="R535" t="inlineStr">
        <is>
          <t>样品12</t>
        </is>
      </c>
    </row>
    <row r="536">
      <c r="A536" t="inlineStr">
        <is>
          <t>12(1)-V06</t>
        </is>
      </c>
      <c r="B536" t="inlineStr">
        <is>
          <t>12 (1).tif</t>
        </is>
      </c>
      <c r="C536" t="n">
        <v>667</v>
      </c>
      <c r="D536" t="n">
        <v>380</v>
      </c>
      <c r="E536" t="inlineStr">
        <is>
          <t>633,349,702,412</t>
        </is>
      </c>
      <c r="F536" t="n">
        <v>322</v>
      </c>
      <c r="G536" t="inlineStr">
        <is>
          <t>primary</t>
        </is>
      </c>
      <c r="H536" t="inlineStr">
        <is>
          <t>AUTO_VESSEL</t>
        </is>
      </c>
      <c r="I536" t="inlineStr">
        <is>
          <t>是</t>
        </is>
      </c>
      <c r="J536" t="inlineStr">
        <is>
          <t>纳入</t>
        </is>
      </c>
      <c r="K536" t="n">
        <v>136.531190926276</v>
      </c>
      <c r="L536">
        <f>导管母表_1781!G536</f>
        <v/>
      </c>
      <c r="M536" t="inlineStr">
        <is>
          <t>视野内部</t>
        </is>
      </c>
      <c r="N536" t="inlineStr">
        <is>
          <t>纳入A/D/Dh；若有Pair_ID则纳入CWR</t>
        </is>
      </c>
      <c r="O536" t="inlineStr">
        <is>
          <t>自动管线检出的合格导管腔。</t>
        </is>
      </c>
      <c r="P536" t="inlineStr">
        <is>
          <t>auto_pipeline;review_png_green</t>
        </is>
      </c>
      <c r="R536" t="inlineStr">
        <is>
          <t>样品12</t>
        </is>
      </c>
    </row>
    <row r="537">
      <c r="A537" t="inlineStr">
        <is>
          <t>12(1)-V07</t>
        </is>
      </c>
      <c r="B537" t="inlineStr">
        <is>
          <t>12 (1).tif</t>
        </is>
      </c>
      <c r="C537" t="n">
        <v>779</v>
      </c>
      <c r="D537" t="n">
        <v>143</v>
      </c>
      <c r="E537" t="inlineStr">
        <is>
          <t>728,120,831,167</t>
        </is>
      </c>
      <c r="F537" t="n">
        <v>120</v>
      </c>
      <c r="G537" t="inlineStr">
        <is>
          <t>primary</t>
        </is>
      </c>
      <c r="H537" t="inlineStr">
        <is>
          <t>AUTO_VESSEL</t>
        </is>
      </c>
      <c r="I537" t="inlineStr">
        <is>
          <t>是</t>
        </is>
      </c>
      <c r="J537" t="inlineStr">
        <is>
          <t>纳入</t>
        </is>
      </c>
      <c r="K537" t="n">
        <v>133.8374291115312</v>
      </c>
      <c r="L537">
        <f>导管母表_1781!G537</f>
        <v/>
      </c>
      <c r="M537" t="inlineStr">
        <is>
          <t>视野内部</t>
        </is>
      </c>
      <c r="N537" t="inlineStr">
        <is>
          <t>纳入A/D/Dh；若有Pair_ID则纳入CWR</t>
        </is>
      </c>
      <c r="O537" t="inlineStr">
        <is>
          <t>自动管线检出的合格导管腔。</t>
        </is>
      </c>
      <c r="P537" t="inlineStr">
        <is>
          <t>auto_pipeline;review_png_green</t>
        </is>
      </c>
      <c r="R537" t="inlineStr">
        <is>
          <t>样品12</t>
        </is>
      </c>
    </row>
    <row r="538">
      <c r="A538" t="inlineStr">
        <is>
          <t>12(1)-V08</t>
        </is>
      </c>
      <c r="B538" t="inlineStr">
        <is>
          <t>12 (1).tif</t>
        </is>
      </c>
      <c r="C538" t="n">
        <v>966</v>
      </c>
      <c r="D538" t="n">
        <v>311</v>
      </c>
      <c r="E538" t="inlineStr">
        <is>
          <t>941,286,992,337</t>
        </is>
      </c>
      <c r="F538" t="n">
        <v>32</v>
      </c>
      <c r="G538" t="inlineStr">
        <is>
          <t>primary</t>
        </is>
      </c>
      <c r="H538" t="inlineStr">
        <is>
          <t>AUTO_VESSEL</t>
        </is>
      </c>
      <c r="I538" t="inlineStr">
        <is>
          <t>是</t>
        </is>
      </c>
      <c r="J538" t="inlineStr">
        <is>
          <t>纳入</t>
        </is>
      </c>
      <c r="K538" t="n">
        <v>89.3194706994329</v>
      </c>
      <c r="L538">
        <f>导管母表_1781!G538</f>
        <v/>
      </c>
      <c r="M538" t="inlineStr">
        <is>
          <t>视野内部</t>
        </is>
      </c>
      <c r="N538" t="inlineStr">
        <is>
          <t>纳入A/D/Dh；若有Pair_ID则纳入CWR</t>
        </is>
      </c>
      <c r="O538" t="inlineStr">
        <is>
          <t>自动管线检出的合格导管腔。</t>
        </is>
      </c>
      <c r="P538" t="inlineStr">
        <is>
          <t>auto_pipeline;review_png_green</t>
        </is>
      </c>
      <c r="Q538" t="inlineStr">
        <is>
          <t>12(1)-P01</t>
        </is>
      </c>
      <c r="R538" t="inlineStr">
        <is>
          <t>样品12</t>
        </is>
      </c>
    </row>
    <row r="539">
      <c r="A539" t="inlineStr">
        <is>
          <t>12(1)-V09</t>
        </is>
      </c>
      <c r="B539" t="inlineStr">
        <is>
          <t>12 (1).tif</t>
        </is>
      </c>
      <c r="C539" t="n">
        <v>916</v>
      </c>
      <c r="D539" t="n">
        <v>269</v>
      </c>
      <c r="E539" t="inlineStr">
        <is>
          <t>893,246,940,293</t>
        </is>
      </c>
      <c r="F539" t="n">
        <v>84</v>
      </c>
      <c r="G539" t="inlineStr">
        <is>
          <t>primary</t>
        </is>
      </c>
      <c r="H539" t="inlineStr">
        <is>
          <t>AUTO_VESSEL</t>
        </is>
      </c>
      <c r="I539" t="inlineStr">
        <is>
          <t>是</t>
        </is>
      </c>
      <c r="J539" t="inlineStr">
        <is>
          <t>纳入</t>
        </is>
      </c>
      <c r="K539" t="n">
        <v>75.04725897920605</v>
      </c>
      <c r="L539">
        <f>导管母表_1781!G539</f>
        <v/>
      </c>
      <c r="M539" t="inlineStr">
        <is>
          <t>视野内部</t>
        </is>
      </c>
      <c r="N539" t="inlineStr">
        <is>
          <t>纳入A/D/Dh；若有Pair_ID则纳入CWR</t>
        </is>
      </c>
      <c r="O539" t="inlineStr">
        <is>
          <t>自动管线检出的合格导管腔。</t>
        </is>
      </c>
      <c r="P539" t="inlineStr">
        <is>
          <t>auto_pipeline;review_png_green</t>
        </is>
      </c>
      <c r="Q539" t="inlineStr">
        <is>
          <t>12(1)-P01</t>
        </is>
      </c>
      <c r="R539" t="inlineStr">
        <is>
          <t>样品12</t>
        </is>
      </c>
    </row>
    <row r="540">
      <c r="A540" t="inlineStr">
        <is>
          <t>12(2)-V01</t>
        </is>
      </c>
      <c r="B540" t="inlineStr">
        <is>
          <t>12 (2).tif</t>
        </is>
      </c>
      <c r="C540" t="n">
        <v>430</v>
      </c>
      <c r="D540" t="n">
        <v>353</v>
      </c>
      <c r="E540" t="inlineStr">
        <is>
          <t>354,293,507,414</t>
        </is>
      </c>
      <c r="F540" t="n">
        <v>293</v>
      </c>
      <c r="G540" t="inlineStr">
        <is>
          <t>primary</t>
        </is>
      </c>
      <c r="H540" t="inlineStr">
        <is>
          <t>AUTO_VESSEL</t>
        </is>
      </c>
      <c r="I540" t="inlineStr">
        <is>
          <t>是</t>
        </is>
      </c>
      <c r="J540" t="inlineStr">
        <is>
          <t>纳入</t>
        </is>
      </c>
      <c r="K540" t="n">
        <v>674.1493383742911</v>
      </c>
      <c r="L540">
        <f>导管母表_1781!G540</f>
        <v/>
      </c>
      <c r="M540" t="inlineStr">
        <is>
          <t>视野内部</t>
        </is>
      </c>
      <c r="N540" t="inlineStr">
        <is>
          <t>纳入A/D/Dh；若有Pair_ID则纳入CWR</t>
        </is>
      </c>
      <c r="O540" t="inlineStr">
        <is>
          <t>自动管线检出的合格导管腔。</t>
        </is>
      </c>
      <c r="P540" t="inlineStr">
        <is>
          <t>auto_pipeline;review_png_green</t>
        </is>
      </c>
      <c r="R540" t="inlineStr">
        <is>
          <t>样品12</t>
        </is>
      </c>
    </row>
    <row r="541">
      <c r="A541" t="inlineStr">
        <is>
          <t>12(2)-V02</t>
        </is>
      </c>
      <c r="B541" t="inlineStr">
        <is>
          <t>12 (2).tif</t>
        </is>
      </c>
      <c r="C541" t="n">
        <v>744</v>
      </c>
      <c r="D541" t="n">
        <v>379</v>
      </c>
      <c r="E541" t="inlineStr">
        <is>
          <t>684,311,805,448</t>
        </is>
      </c>
      <c r="F541" t="n">
        <v>219</v>
      </c>
      <c r="G541" t="inlineStr">
        <is>
          <t>primary</t>
        </is>
      </c>
      <c r="H541" t="inlineStr">
        <is>
          <t>AUTO_VESSEL</t>
        </is>
      </c>
      <c r="I541" t="inlineStr">
        <is>
          <t>是</t>
        </is>
      </c>
      <c r="J541" t="inlineStr">
        <is>
          <t>纳入</t>
        </is>
      </c>
      <c r="K541" t="n">
        <v>592.4149338374291</v>
      </c>
      <c r="L541">
        <f>导管母表_1781!G541</f>
        <v/>
      </c>
      <c r="M541" t="inlineStr">
        <is>
          <t>视野内部</t>
        </is>
      </c>
      <c r="N541" t="inlineStr">
        <is>
          <t>纳入A/D/Dh；若有Pair_ID则纳入CWR</t>
        </is>
      </c>
      <c r="O541" t="inlineStr">
        <is>
          <t>自动管线检出的合格导管腔。</t>
        </is>
      </c>
      <c r="P541" t="inlineStr">
        <is>
          <t>auto_pipeline;review_png_green</t>
        </is>
      </c>
      <c r="R541" t="inlineStr">
        <is>
          <t>样品12</t>
        </is>
      </c>
    </row>
    <row r="542">
      <c r="A542" t="inlineStr">
        <is>
          <t>12(2)-V03</t>
        </is>
      </c>
      <c r="B542" t="inlineStr">
        <is>
          <t>12 (2).tif</t>
        </is>
      </c>
      <c r="C542" t="n">
        <v>585</v>
      </c>
      <c r="D542" t="n">
        <v>373</v>
      </c>
      <c r="E542" t="inlineStr">
        <is>
          <t>528,312,643,435</t>
        </is>
      </c>
      <c r="F542" t="n">
        <v>312</v>
      </c>
      <c r="G542" t="inlineStr">
        <is>
          <t>primary</t>
        </is>
      </c>
      <c r="H542" t="inlineStr">
        <is>
          <t>AUTO_VESSEL</t>
        </is>
      </c>
      <c r="I542" t="inlineStr">
        <is>
          <t>是</t>
        </is>
      </c>
      <c r="J542" t="inlineStr">
        <is>
          <t>纳入</t>
        </is>
      </c>
      <c r="K542" t="n">
        <v>512.547258979206</v>
      </c>
      <c r="L542">
        <f>导管母表_1781!G542</f>
        <v/>
      </c>
      <c r="M542" t="inlineStr">
        <is>
          <t>视野内部</t>
        </is>
      </c>
      <c r="N542" t="inlineStr">
        <is>
          <t>纳入A/D/Dh；若有Pair_ID则纳入CWR</t>
        </is>
      </c>
      <c r="O542" t="inlineStr">
        <is>
          <t>自动管线检出的合格导管腔。</t>
        </is>
      </c>
      <c r="P542" t="inlineStr">
        <is>
          <t>auto_pipeline;review_png_green</t>
        </is>
      </c>
      <c r="R542" t="inlineStr">
        <is>
          <t>样品12</t>
        </is>
      </c>
    </row>
    <row r="543">
      <c r="A543" t="inlineStr">
        <is>
          <t>12(2)-V04</t>
        </is>
      </c>
      <c r="B543" t="inlineStr">
        <is>
          <t>12 (2).tif</t>
        </is>
      </c>
      <c r="C543" t="n">
        <v>853</v>
      </c>
      <c r="D543" t="n">
        <v>364</v>
      </c>
      <c r="E543" t="inlineStr">
        <is>
          <t>817,325,890,404</t>
        </is>
      </c>
      <c r="F543" t="n">
        <v>134</v>
      </c>
      <c r="G543" t="inlineStr">
        <is>
          <t>primary</t>
        </is>
      </c>
      <c r="H543" t="inlineStr">
        <is>
          <t>AUTO_VESSEL</t>
        </is>
      </c>
      <c r="I543" t="inlineStr">
        <is>
          <t>是</t>
        </is>
      </c>
      <c r="J543" t="inlineStr">
        <is>
          <t>纳入</t>
        </is>
      </c>
      <c r="K543" t="n">
        <v>195.8412098298677</v>
      </c>
      <c r="L543">
        <f>导管母表_1781!G543</f>
        <v/>
      </c>
      <c r="M543" t="inlineStr">
        <is>
          <t>视野内部</t>
        </is>
      </c>
      <c r="N543" t="inlineStr">
        <is>
          <t>纳入A/D/Dh；若有Pair_ID则纳入CWR</t>
        </is>
      </c>
      <c r="O543" t="inlineStr">
        <is>
          <t>自动管线检出的合格导管腔。</t>
        </is>
      </c>
      <c r="P543" t="inlineStr">
        <is>
          <t>auto_pipeline;review_png_green</t>
        </is>
      </c>
      <c r="R543" t="inlineStr">
        <is>
          <t>样品12</t>
        </is>
      </c>
    </row>
    <row r="544">
      <c r="A544" t="inlineStr">
        <is>
          <t>12(2)-V05</t>
        </is>
      </c>
      <c r="B544" t="inlineStr">
        <is>
          <t>12 (2).tif</t>
        </is>
      </c>
      <c r="C544" t="n">
        <v>941</v>
      </c>
      <c r="D544" t="n">
        <v>351</v>
      </c>
      <c r="E544" t="inlineStr">
        <is>
          <t>898,324,985,379</t>
        </is>
      </c>
      <c r="F544" t="n">
        <v>39</v>
      </c>
      <c r="G544" t="inlineStr">
        <is>
          <t>primary</t>
        </is>
      </c>
      <c r="H544" t="inlineStr">
        <is>
          <t>AUTO_VESSEL</t>
        </is>
      </c>
      <c r="I544" t="inlineStr">
        <is>
          <t>是</t>
        </is>
      </c>
      <c r="J544" t="inlineStr">
        <is>
          <t>纳入</t>
        </is>
      </c>
      <c r="K544" t="n">
        <v>132.9867674858223</v>
      </c>
      <c r="L544">
        <f>导管母表_1781!G544</f>
        <v/>
      </c>
      <c r="M544" t="inlineStr">
        <is>
          <t>视野内部</t>
        </is>
      </c>
      <c r="N544" t="inlineStr">
        <is>
          <t>纳入A/D/Dh；若有Pair_ID则纳入CWR</t>
        </is>
      </c>
      <c r="O544" t="inlineStr">
        <is>
          <t>自动管线检出的合格导管腔。</t>
        </is>
      </c>
      <c r="P544" t="inlineStr">
        <is>
          <t>auto_pipeline;review_png_green</t>
        </is>
      </c>
      <c r="R544" t="inlineStr">
        <is>
          <t>样品12</t>
        </is>
      </c>
    </row>
    <row r="545">
      <c r="A545" t="inlineStr">
        <is>
          <t>12(3)-V01</t>
        </is>
      </c>
      <c r="B545" t="inlineStr">
        <is>
          <t>12 (3).tif</t>
        </is>
      </c>
      <c r="C545" t="n">
        <v>420</v>
      </c>
      <c r="D545" t="n">
        <v>387</v>
      </c>
      <c r="E545" t="inlineStr">
        <is>
          <t>357,324,484,451</t>
        </is>
      </c>
      <c r="F545" t="n">
        <v>317</v>
      </c>
      <c r="G545" t="inlineStr">
        <is>
          <t>primary</t>
        </is>
      </c>
      <c r="H545" t="inlineStr">
        <is>
          <t>AUTO_VESSEL</t>
        </is>
      </c>
      <c r="I545" t="inlineStr">
        <is>
          <t>是</t>
        </is>
      </c>
      <c r="J545" t="inlineStr">
        <is>
          <t>纳入</t>
        </is>
      </c>
      <c r="K545" t="n">
        <v>556.3327032136106</v>
      </c>
      <c r="L545">
        <f>导管母表_1781!G545</f>
        <v/>
      </c>
      <c r="M545" t="inlineStr">
        <is>
          <t>视野内部</t>
        </is>
      </c>
      <c r="N545" t="inlineStr">
        <is>
          <t>纳入A/D/Dh；若有Pair_ID则纳入CWR</t>
        </is>
      </c>
      <c r="O545" t="inlineStr">
        <is>
          <t>自动管线检出的合格导管腔。</t>
        </is>
      </c>
      <c r="P545" t="inlineStr">
        <is>
          <t>auto_pipeline;review_png_green</t>
        </is>
      </c>
      <c r="R545" t="inlineStr">
        <is>
          <t>样品12</t>
        </is>
      </c>
    </row>
    <row r="546">
      <c r="A546" t="inlineStr">
        <is>
          <t>12(3)-V02</t>
        </is>
      </c>
      <c r="B546" t="inlineStr">
        <is>
          <t>12 (3).tif</t>
        </is>
      </c>
      <c r="C546" t="n">
        <v>570</v>
      </c>
      <c r="D546" t="n">
        <v>334</v>
      </c>
      <c r="E546" t="inlineStr">
        <is>
          <t>508,271,633,398</t>
        </is>
      </c>
      <c r="F546" t="n">
        <v>271</v>
      </c>
      <c r="G546" t="inlineStr">
        <is>
          <t>primary</t>
        </is>
      </c>
      <c r="H546" t="inlineStr">
        <is>
          <t>AUTO_VESSEL</t>
        </is>
      </c>
      <c r="I546" t="inlineStr">
        <is>
          <t>是</t>
        </is>
      </c>
      <c r="J546" t="inlineStr">
        <is>
          <t>纳入</t>
        </is>
      </c>
      <c r="K546" t="n">
        <v>545.8412098298677</v>
      </c>
      <c r="L546">
        <f>导管母表_1781!G546</f>
        <v/>
      </c>
      <c r="M546" t="inlineStr">
        <is>
          <t>视野内部</t>
        </is>
      </c>
      <c r="N546" t="inlineStr">
        <is>
          <t>纳入A/D/Dh；若有Pair_ID则纳入CWR</t>
        </is>
      </c>
      <c r="O546" t="inlineStr">
        <is>
          <t>自动管线检出的合格导管腔。</t>
        </is>
      </c>
      <c r="P546" t="inlineStr">
        <is>
          <t>auto_pipeline;review_png_green</t>
        </is>
      </c>
      <c r="R546" t="inlineStr">
        <is>
          <t>样品12</t>
        </is>
      </c>
    </row>
    <row r="547">
      <c r="A547" t="inlineStr">
        <is>
          <t>12(3)-V03</t>
        </is>
      </c>
      <c r="B547" t="inlineStr">
        <is>
          <t>12 (3).tif</t>
        </is>
      </c>
      <c r="C547" t="n">
        <v>253</v>
      </c>
      <c r="D547" t="n">
        <v>549</v>
      </c>
      <c r="E547" t="inlineStr">
        <is>
          <t>187,497,320,602</t>
        </is>
      </c>
      <c r="F547" t="n">
        <v>166</v>
      </c>
      <c r="G547" t="inlineStr">
        <is>
          <t>primary</t>
        </is>
      </c>
      <c r="H547" t="inlineStr">
        <is>
          <t>AUTO_VESSEL</t>
        </is>
      </c>
      <c r="I547" t="inlineStr">
        <is>
          <t>是</t>
        </is>
      </c>
      <c r="J547" t="inlineStr">
        <is>
          <t>纳入</t>
        </is>
      </c>
      <c r="K547" t="n">
        <v>444.9432892249528</v>
      </c>
      <c r="L547">
        <f>导管母表_1781!G547</f>
        <v/>
      </c>
      <c r="M547" t="inlineStr">
        <is>
          <t>视野内部</t>
        </is>
      </c>
      <c r="N547" t="inlineStr">
        <is>
          <t>纳入A/D/Dh；若有Pair_ID则纳入CWR</t>
        </is>
      </c>
      <c r="O547" t="inlineStr">
        <is>
          <t>自动管线检出的合格导管腔。</t>
        </is>
      </c>
      <c r="P547" t="inlineStr">
        <is>
          <t>auto_pipeline;review_png_green</t>
        </is>
      </c>
      <c r="R547" t="inlineStr">
        <is>
          <t>样品12</t>
        </is>
      </c>
    </row>
    <row r="548">
      <c r="A548" t="inlineStr">
        <is>
          <t>12(3)-V04</t>
        </is>
      </c>
      <c r="B548" t="inlineStr">
        <is>
          <t>12 (3).tif</t>
        </is>
      </c>
      <c r="C548" t="n">
        <v>468</v>
      </c>
      <c r="D548" t="n">
        <v>275</v>
      </c>
      <c r="E548" t="inlineStr">
        <is>
          <t>413,243,524,308</t>
        </is>
      </c>
      <c r="F548" t="n">
        <v>243</v>
      </c>
      <c r="G548" t="inlineStr">
        <is>
          <t>primary</t>
        </is>
      </c>
      <c r="H548" t="inlineStr">
        <is>
          <t>AUTO_VESSEL</t>
        </is>
      </c>
      <c r="I548" t="inlineStr">
        <is>
          <t>是</t>
        </is>
      </c>
      <c r="J548" t="inlineStr">
        <is>
          <t>纳入</t>
        </is>
      </c>
      <c r="K548" t="n">
        <v>218.7381852551985</v>
      </c>
      <c r="L548">
        <f>导管母表_1781!G548</f>
        <v/>
      </c>
      <c r="M548" t="inlineStr">
        <is>
          <t>视野内部</t>
        </is>
      </c>
      <c r="N548" t="inlineStr">
        <is>
          <t>纳入A/D/Dh；若有Pair_ID则纳入CWR</t>
        </is>
      </c>
      <c r="O548" t="inlineStr">
        <is>
          <t>自动管线检出的合格导管腔。</t>
        </is>
      </c>
      <c r="P548" t="inlineStr">
        <is>
          <t>auto_pipeline;review_png_green</t>
        </is>
      </c>
      <c r="R548" t="inlineStr">
        <is>
          <t>样品12</t>
        </is>
      </c>
    </row>
    <row r="549">
      <c r="A549" t="inlineStr">
        <is>
          <t>12(3)-V05</t>
        </is>
      </c>
      <c r="B549" t="inlineStr">
        <is>
          <t>12 (3).tif</t>
        </is>
      </c>
      <c r="C549" t="n">
        <v>395</v>
      </c>
      <c r="D549" t="n">
        <v>593</v>
      </c>
      <c r="E549" t="inlineStr">
        <is>
          <t>359,562,432,625</t>
        </is>
      </c>
      <c r="F549" t="n">
        <v>143</v>
      </c>
      <c r="G549" t="inlineStr">
        <is>
          <t>primary</t>
        </is>
      </c>
      <c r="H549" t="inlineStr">
        <is>
          <t>AUTO_VESSEL</t>
        </is>
      </c>
      <c r="I549" t="inlineStr">
        <is>
          <t>是</t>
        </is>
      </c>
      <c r="J549" t="inlineStr">
        <is>
          <t>纳入</t>
        </is>
      </c>
      <c r="K549" t="n">
        <v>166.1625708884688</v>
      </c>
      <c r="L549">
        <f>导管母表_1781!G549</f>
        <v/>
      </c>
      <c r="M549" t="inlineStr">
        <is>
          <t>视野内部</t>
        </is>
      </c>
      <c r="N549" t="inlineStr">
        <is>
          <t>纳入A/D/Dh；若有Pair_ID则纳入CWR</t>
        </is>
      </c>
      <c r="O549" t="inlineStr">
        <is>
          <t>自动管线检出的合格导管腔。</t>
        </is>
      </c>
      <c r="P549" t="inlineStr">
        <is>
          <t>auto_pipeline;review_png_green</t>
        </is>
      </c>
      <c r="R549" t="inlineStr">
        <is>
          <t>样品12</t>
        </is>
      </c>
    </row>
    <row r="550">
      <c r="A550" t="inlineStr">
        <is>
          <t>12(3)-V06</t>
        </is>
      </c>
      <c r="B550" t="inlineStr">
        <is>
          <t>12 (3).tif</t>
        </is>
      </c>
      <c r="C550" t="n">
        <v>781</v>
      </c>
      <c r="D550" t="n">
        <v>647</v>
      </c>
      <c r="E550" t="inlineStr">
        <is>
          <t>747,619,816,676</t>
        </is>
      </c>
      <c r="F550" t="n">
        <v>92</v>
      </c>
      <c r="G550" t="inlineStr">
        <is>
          <t>primary</t>
        </is>
      </c>
      <c r="H550" t="inlineStr">
        <is>
          <t>AUTO_VESSEL</t>
        </is>
      </c>
      <c r="I550" t="inlineStr">
        <is>
          <t>是</t>
        </is>
      </c>
      <c r="J550" t="inlineStr">
        <is>
          <t>纳入</t>
        </is>
      </c>
      <c r="K550" t="n">
        <v>131.734404536862</v>
      </c>
      <c r="L550">
        <f>导管母表_1781!G550</f>
        <v/>
      </c>
      <c r="M550" t="inlineStr">
        <is>
          <t>视野内部</t>
        </is>
      </c>
      <c r="N550" t="inlineStr">
        <is>
          <t>纳入A/D/Dh；若有Pair_ID则纳入CWR</t>
        </is>
      </c>
      <c r="O550" t="inlineStr">
        <is>
          <t>自动管线检出的合格导管腔。</t>
        </is>
      </c>
      <c r="P550" t="inlineStr">
        <is>
          <t>auto_pipeline;review_png_green</t>
        </is>
      </c>
      <c r="R550" t="inlineStr">
        <is>
          <t>样品12</t>
        </is>
      </c>
    </row>
    <row r="551">
      <c r="A551" t="inlineStr">
        <is>
          <t>12(4)-V01</t>
        </is>
      </c>
      <c r="B551" t="inlineStr">
        <is>
          <t>12 (4).tif</t>
        </is>
      </c>
      <c r="C551" t="n">
        <v>468</v>
      </c>
      <c r="D551" t="n">
        <v>306</v>
      </c>
      <c r="E551" t="inlineStr">
        <is>
          <t>375,222,562,391</t>
        </is>
      </c>
      <c r="F551" t="n">
        <v>222</v>
      </c>
      <c r="G551" t="inlineStr">
        <is>
          <t>primary</t>
        </is>
      </c>
      <c r="H551" t="inlineStr">
        <is>
          <t>AUTO_VESSEL</t>
        </is>
      </c>
      <c r="I551" t="inlineStr">
        <is>
          <t>是</t>
        </is>
      </c>
      <c r="J551" t="inlineStr">
        <is>
          <t>纳入</t>
        </is>
      </c>
      <c r="K551" t="n">
        <v>1160.609640831758</v>
      </c>
      <c r="L551">
        <f>导管母表_1781!G551</f>
        <v/>
      </c>
      <c r="M551" t="inlineStr">
        <is>
          <t>视野内部</t>
        </is>
      </c>
      <c r="N551" t="inlineStr">
        <is>
          <t>纳入A/D/Dh；若有Pair_ID则纳入CWR</t>
        </is>
      </c>
      <c r="O551" t="inlineStr">
        <is>
          <t>自动管线检出的合格导管腔。</t>
        </is>
      </c>
      <c r="P551" t="inlineStr">
        <is>
          <t>auto_pipeline;review_png_green</t>
        </is>
      </c>
      <c r="Q551" t="inlineStr">
        <is>
          <t>12(4)-P01</t>
        </is>
      </c>
      <c r="R551" t="inlineStr">
        <is>
          <t>样品12</t>
        </is>
      </c>
    </row>
    <row r="552">
      <c r="A552" t="inlineStr">
        <is>
          <t>12(4)-V02</t>
        </is>
      </c>
      <c r="B552" t="inlineStr">
        <is>
          <t>12 (4).tif</t>
        </is>
      </c>
      <c r="C552" t="n">
        <v>426</v>
      </c>
      <c r="D552" t="n">
        <v>462</v>
      </c>
      <c r="E552" t="inlineStr">
        <is>
          <t>345,405,508,520</t>
        </is>
      </c>
      <c r="F552" t="n">
        <v>248</v>
      </c>
      <c r="G552" t="inlineStr">
        <is>
          <t>primary</t>
        </is>
      </c>
      <c r="H552" t="inlineStr">
        <is>
          <t>AUTO_VESSEL</t>
        </is>
      </c>
      <c r="I552" t="inlineStr">
        <is>
          <t>是</t>
        </is>
      </c>
      <c r="J552" t="inlineStr">
        <is>
          <t>纳入</t>
        </is>
      </c>
      <c r="K552" t="n">
        <v>684.9716446124763</v>
      </c>
      <c r="L552">
        <f>导管母表_1781!G552</f>
        <v/>
      </c>
      <c r="M552" t="inlineStr">
        <is>
          <t>视野内部</t>
        </is>
      </c>
      <c r="N552" t="inlineStr">
        <is>
          <t>纳入A/D/Dh；若有Pair_ID则纳入CWR</t>
        </is>
      </c>
      <c r="O552" t="inlineStr">
        <is>
          <t>自动管线检出的合格导管腔。</t>
        </is>
      </c>
      <c r="P552" t="inlineStr">
        <is>
          <t>auto_pipeline;review_png_green</t>
        </is>
      </c>
      <c r="Q552" t="inlineStr">
        <is>
          <t>12(4)-P01</t>
        </is>
      </c>
      <c r="R552" t="inlineStr">
        <is>
          <t>样品12</t>
        </is>
      </c>
    </row>
    <row r="553">
      <c r="A553" t="inlineStr">
        <is>
          <t>12(4)-V03</t>
        </is>
      </c>
      <c r="B553" t="inlineStr">
        <is>
          <t>12 (4).tif</t>
        </is>
      </c>
      <c r="C553" t="n">
        <v>499</v>
      </c>
      <c r="D553" t="n">
        <v>555</v>
      </c>
      <c r="E553" t="inlineStr">
        <is>
          <t>470,515,529,596</t>
        </is>
      </c>
      <c r="F553" t="n">
        <v>172</v>
      </c>
      <c r="G553" t="inlineStr">
        <is>
          <t>primary</t>
        </is>
      </c>
      <c r="H553" t="inlineStr">
        <is>
          <t>AUTO_VESSEL</t>
        </is>
      </c>
      <c r="I553" t="inlineStr">
        <is>
          <t>是</t>
        </is>
      </c>
      <c r="J553" t="inlineStr">
        <is>
          <t>纳入</t>
        </is>
      </c>
      <c r="K553" t="n">
        <v>146.6446124763705</v>
      </c>
      <c r="L553">
        <f>导管母表_1781!G553</f>
        <v/>
      </c>
      <c r="M553" t="inlineStr">
        <is>
          <t>视野内部</t>
        </is>
      </c>
      <c r="N553" t="inlineStr">
        <is>
          <t>纳入A/D/Dh；若有Pair_ID则纳入CWR</t>
        </is>
      </c>
      <c r="O553" t="inlineStr">
        <is>
          <t>自动管线检出的合格导管腔。</t>
        </is>
      </c>
      <c r="P553" t="inlineStr">
        <is>
          <t>auto_pipeline;review_png_green</t>
        </is>
      </c>
      <c r="R553" t="inlineStr">
        <is>
          <t>样品12</t>
        </is>
      </c>
    </row>
    <row r="554">
      <c r="A554" t="inlineStr">
        <is>
          <t>12(4)-V04</t>
        </is>
      </c>
      <c r="B554" t="inlineStr">
        <is>
          <t>12 (4).tif</t>
        </is>
      </c>
      <c r="C554" t="n">
        <v>116</v>
      </c>
      <c r="D554" t="n">
        <v>131</v>
      </c>
      <c r="E554" t="inlineStr">
        <is>
          <t>92,94,141,169</t>
        </is>
      </c>
      <c r="F554" t="n">
        <v>92</v>
      </c>
      <c r="G554" t="inlineStr">
        <is>
          <t>primary</t>
        </is>
      </c>
      <c r="H554" t="inlineStr">
        <is>
          <t>AUTO_VESSEL</t>
        </is>
      </c>
      <c r="I554" t="inlineStr">
        <is>
          <t>是</t>
        </is>
      </c>
      <c r="J554" t="inlineStr">
        <is>
          <t>纳入</t>
        </is>
      </c>
      <c r="K554" t="n">
        <v>131.0018903591682</v>
      </c>
      <c r="L554">
        <f>导管母表_1781!G554</f>
        <v/>
      </c>
      <c r="M554" t="inlineStr">
        <is>
          <t>视野内部</t>
        </is>
      </c>
      <c r="N554" t="inlineStr">
        <is>
          <t>纳入A/D/Dh；若有Pair_ID则纳入CWR</t>
        </is>
      </c>
      <c r="O554" t="inlineStr">
        <is>
          <t>自动管线检出的合格导管腔。</t>
        </is>
      </c>
      <c r="P554" t="inlineStr">
        <is>
          <t>auto_pipeline;review_png_green</t>
        </is>
      </c>
      <c r="R554" t="inlineStr">
        <is>
          <t>样品12</t>
        </is>
      </c>
    </row>
    <row r="555">
      <c r="A555" t="inlineStr">
        <is>
          <t>12(5)-V01</t>
        </is>
      </c>
      <c r="B555" t="inlineStr">
        <is>
          <t>12 (5).tif</t>
        </is>
      </c>
      <c r="C555" t="n">
        <v>493</v>
      </c>
      <c r="D555" t="n">
        <v>351</v>
      </c>
      <c r="E555" t="inlineStr">
        <is>
          <t>410,182,577,521</t>
        </is>
      </c>
      <c r="F555" t="n">
        <v>182</v>
      </c>
      <c r="G555" t="inlineStr">
        <is>
          <t>primary</t>
        </is>
      </c>
      <c r="H555" t="inlineStr">
        <is>
          <t>AUTO_VESSEL</t>
        </is>
      </c>
      <c r="I555" t="inlineStr">
        <is>
          <t>是</t>
        </is>
      </c>
      <c r="J555" t="inlineStr">
        <is>
          <t>纳入</t>
        </is>
      </c>
      <c r="K555" t="n">
        <v>1965.099243856333</v>
      </c>
      <c r="L555">
        <f>导管母表_1781!G555</f>
        <v/>
      </c>
      <c r="M555" t="inlineStr">
        <is>
          <t>视野内部</t>
        </is>
      </c>
      <c r="N555" t="inlineStr">
        <is>
          <t>纳入A/D/Dh；若有Pair_ID则纳入CWR</t>
        </is>
      </c>
      <c r="O555" t="inlineStr">
        <is>
          <t>自动管线检出的合格导管腔。</t>
        </is>
      </c>
      <c r="P555" t="inlineStr">
        <is>
          <t>auto_pipeline;review_png_green</t>
        </is>
      </c>
      <c r="R555" t="inlineStr">
        <is>
          <t>样品12</t>
        </is>
      </c>
    </row>
    <row r="556">
      <c r="A556" t="inlineStr">
        <is>
          <t>12(5)-V02</t>
        </is>
      </c>
      <c r="B556" t="inlineStr">
        <is>
          <t>12 (5).tif</t>
        </is>
      </c>
      <c r="C556" t="n">
        <v>134</v>
      </c>
      <c r="D556" t="n">
        <v>583</v>
      </c>
      <c r="E556" t="inlineStr">
        <is>
          <t>105,546,164,621</t>
        </is>
      </c>
      <c r="F556" t="n">
        <v>105</v>
      </c>
      <c r="G556" t="inlineStr">
        <is>
          <t>primary</t>
        </is>
      </c>
      <c r="H556" t="inlineStr">
        <is>
          <t>AUTO_VESSEL</t>
        </is>
      </c>
      <c r="I556" t="inlineStr">
        <is>
          <t>是</t>
        </is>
      </c>
      <c r="J556" t="inlineStr">
        <is>
          <t>纳入</t>
        </is>
      </c>
      <c r="K556" t="n">
        <v>151.1578449905482</v>
      </c>
      <c r="L556">
        <f>导管母表_1781!G556</f>
        <v/>
      </c>
      <c r="M556" t="inlineStr">
        <is>
          <t>视野内部</t>
        </is>
      </c>
      <c r="N556" t="inlineStr">
        <is>
          <t>纳入A/D/Dh；若有Pair_ID则纳入CWR</t>
        </is>
      </c>
      <c r="O556" t="inlineStr">
        <is>
          <t>自动管线检出的合格导管腔。</t>
        </is>
      </c>
      <c r="P556" t="inlineStr">
        <is>
          <t>auto_pipeline;review_png_green</t>
        </is>
      </c>
      <c r="R556" t="inlineStr">
        <is>
          <t>样品12</t>
        </is>
      </c>
    </row>
    <row r="557">
      <c r="A557" t="inlineStr">
        <is>
          <t>12(6)-V01</t>
        </is>
      </c>
      <c r="B557" t="inlineStr">
        <is>
          <t>12 (6).tif</t>
        </is>
      </c>
      <c r="C557" t="n">
        <v>851</v>
      </c>
      <c r="D557" t="n">
        <v>137</v>
      </c>
      <c r="E557" t="inlineStr">
        <is>
          <t>789,80,914,195</t>
        </is>
      </c>
      <c r="F557" t="n">
        <v>80</v>
      </c>
      <c r="G557" t="inlineStr">
        <is>
          <t>primary</t>
        </is>
      </c>
      <c r="H557" t="inlineStr">
        <is>
          <t>AUTO_VESSEL</t>
        </is>
      </c>
      <c r="I557" t="inlineStr">
        <is>
          <t>是</t>
        </is>
      </c>
      <c r="J557" t="inlineStr">
        <is>
          <t>纳入</t>
        </is>
      </c>
      <c r="K557" t="n">
        <v>523.5586011342155</v>
      </c>
      <c r="L557">
        <f>导管母表_1781!G557</f>
        <v/>
      </c>
      <c r="M557" t="inlineStr">
        <is>
          <t>视野内部</t>
        </is>
      </c>
      <c r="N557" t="inlineStr">
        <is>
          <t>纳入A/D/Dh；若有Pair_ID则纳入CWR</t>
        </is>
      </c>
      <c r="O557" t="inlineStr">
        <is>
          <t>自动管线检出的合格导管腔。</t>
        </is>
      </c>
      <c r="P557" t="inlineStr">
        <is>
          <t>auto_pipeline;review_png_green</t>
        </is>
      </c>
      <c r="R557" t="inlineStr">
        <is>
          <t>样品12</t>
        </is>
      </c>
    </row>
    <row r="558">
      <c r="A558" t="inlineStr">
        <is>
          <t>12(6)-V02</t>
        </is>
      </c>
      <c r="B558" t="inlineStr">
        <is>
          <t>12 (6).tif</t>
        </is>
      </c>
      <c r="C558" t="n">
        <v>534</v>
      </c>
      <c r="D558" t="n">
        <v>426</v>
      </c>
      <c r="E558" t="inlineStr">
        <is>
          <t>478,368,591,485</t>
        </is>
      </c>
      <c r="F558" t="n">
        <v>283</v>
      </c>
      <c r="G558" t="inlineStr">
        <is>
          <t>primary</t>
        </is>
      </c>
      <c r="H558" t="inlineStr">
        <is>
          <t>AUTO_VESSEL</t>
        </is>
      </c>
      <c r="I558" t="inlineStr">
        <is>
          <t>是</t>
        </is>
      </c>
      <c r="J558" t="inlineStr">
        <is>
          <t>纳入</t>
        </is>
      </c>
      <c r="K558" t="n">
        <v>477.5992438563327</v>
      </c>
      <c r="L558">
        <f>导管母表_1781!G558</f>
        <v/>
      </c>
      <c r="M558" t="inlineStr">
        <is>
          <t>视野内部</t>
        </is>
      </c>
      <c r="N558" t="inlineStr">
        <is>
          <t>纳入A/D/Dh；若有Pair_ID则纳入CWR</t>
        </is>
      </c>
      <c r="O558" t="inlineStr">
        <is>
          <t>自动管线检出的合格导管腔。</t>
        </is>
      </c>
      <c r="P558" t="inlineStr">
        <is>
          <t>auto_pipeline;review_png_green</t>
        </is>
      </c>
      <c r="R558" t="inlineStr">
        <is>
          <t>样品12</t>
        </is>
      </c>
    </row>
    <row r="559">
      <c r="A559" t="inlineStr">
        <is>
          <t>12(6)-V03</t>
        </is>
      </c>
      <c r="B559" t="inlineStr">
        <is>
          <t>12 (6).tif</t>
        </is>
      </c>
      <c r="C559" t="n">
        <v>956</v>
      </c>
      <c r="D559" t="n">
        <v>239</v>
      </c>
      <c r="E559" t="inlineStr">
        <is>
          <t>893,190,1020,289</t>
        </is>
      </c>
      <c r="F559" t="n">
        <v>4</v>
      </c>
      <c r="G559" t="inlineStr">
        <is>
          <t>primary</t>
        </is>
      </c>
      <c r="H559" t="inlineStr">
        <is>
          <t>AUTO_VESSEL</t>
        </is>
      </c>
      <c r="I559" t="inlineStr">
        <is>
          <t>是</t>
        </is>
      </c>
      <c r="J559" t="inlineStr">
        <is>
          <t>纳入</t>
        </is>
      </c>
      <c r="K559" t="n">
        <v>457.7504725897921</v>
      </c>
      <c r="L559">
        <f>导管母表_1781!G559</f>
        <v/>
      </c>
      <c r="M559" t="inlineStr">
        <is>
          <t>近边缘（&lt;25 px）</t>
        </is>
      </c>
      <c r="N559" t="inlineStr">
        <is>
          <t>纳入A/D/Dh；若有Pair_ID则纳入CWR</t>
        </is>
      </c>
      <c r="O559" t="inlineStr">
        <is>
          <t>自动管线检出的合格导管腔。</t>
        </is>
      </c>
      <c r="P559" t="inlineStr">
        <is>
          <t>auto_pipeline;review_png_green</t>
        </is>
      </c>
      <c r="R559" t="inlineStr">
        <is>
          <t>样品12</t>
        </is>
      </c>
    </row>
    <row r="560">
      <c r="A560" t="inlineStr">
        <is>
          <t>12(6)-V04</t>
        </is>
      </c>
      <c r="B560" t="inlineStr">
        <is>
          <t>12 (6).tif</t>
        </is>
      </c>
      <c r="C560" t="n">
        <v>346</v>
      </c>
      <c r="D560" t="n">
        <v>634</v>
      </c>
      <c r="E560" t="inlineStr">
        <is>
          <t>296,603,397,666</t>
        </is>
      </c>
      <c r="F560" t="n">
        <v>102</v>
      </c>
      <c r="G560" t="inlineStr">
        <is>
          <t>primary</t>
        </is>
      </c>
      <c r="H560" t="inlineStr">
        <is>
          <t>AUTO_VESSEL</t>
        </is>
      </c>
      <c r="I560" t="inlineStr">
        <is>
          <t>是</t>
        </is>
      </c>
      <c r="J560" t="inlineStr">
        <is>
          <t>纳入</t>
        </is>
      </c>
      <c r="K560" t="n">
        <v>222.8733459357278</v>
      </c>
      <c r="L560">
        <f>导管母表_1781!G560</f>
        <v/>
      </c>
      <c r="M560" t="inlineStr">
        <is>
          <t>视野内部</t>
        </is>
      </c>
      <c r="N560" t="inlineStr">
        <is>
          <t>纳入A/D/Dh；若有Pair_ID则纳入CWR</t>
        </is>
      </c>
      <c r="O560" t="inlineStr">
        <is>
          <t>自动管线检出的合格导管腔。</t>
        </is>
      </c>
      <c r="P560" t="inlineStr">
        <is>
          <t>auto_pipeline;review_png_green</t>
        </is>
      </c>
      <c r="R560" t="inlineStr">
        <is>
          <t>样品12</t>
        </is>
      </c>
    </row>
    <row r="561">
      <c r="A561" t="inlineStr">
        <is>
          <t>12(6)-V05</t>
        </is>
      </c>
      <c r="B561" t="inlineStr">
        <is>
          <t>12 (6).tif</t>
        </is>
      </c>
      <c r="C561" t="n">
        <v>342</v>
      </c>
      <c r="D561" t="n">
        <v>398</v>
      </c>
      <c r="E561" t="inlineStr">
        <is>
          <t>302,366,383,431</t>
        </is>
      </c>
      <c r="F561" t="n">
        <v>302</v>
      </c>
      <c r="G561" t="inlineStr">
        <is>
          <t>primary</t>
        </is>
      </c>
      <c r="H561" t="inlineStr">
        <is>
          <t>AUTO_VESSEL</t>
        </is>
      </c>
      <c r="I561" t="inlineStr">
        <is>
          <t>是</t>
        </is>
      </c>
      <c r="J561" t="inlineStr">
        <is>
          <t>纳入</t>
        </is>
      </c>
      <c r="K561" t="n">
        <v>189.5793950850662</v>
      </c>
      <c r="L561">
        <f>导管母表_1781!G561</f>
        <v/>
      </c>
      <c r="M561" t="inlineStr">
        <is>
          <t>视野内部</t>
        </is>
      </c>
      <c r="N561" t="inlineStr">
        <is>
          <t>纳入A/D/Dh；若有Pair_ID则纳入CWR</t>
        </is>
      </c>
      <c r="O561" t="inlineStr">
        <is>
          <t>自动管线检出的合格导管腔。</t>
        </is>
      </c>
      <c r="P561" t="inlineStr">
        <is>
          <t>auto_pipeline;review_png_green</t>
        </is>
      </c>
      <c r="R561" t="inlineStr">
        <is>
          <t>样品12</t>
        </is>
      </c>
    </row>
    <row r="562">
      <c r="A562" t="inlineStr">
        <is>
          <t>12(7)-V01</t>
        </is>
      </c>
      <c r="B562" t="inlineStr">
        <is>
          <t>12 (7).tif</t>
        </is>
      </c>
      <c r="C562" t="n">
        <v>760</v>
      </c>
      <c r="D562" t="n">
        <v>599</v>
      </c>
      <c r="E562" t="inlineStr">
        <is>
          <t>676,540,845,659</t>
        </is>
      </c>
      <c r="F562" t="n">
        <v>109</v>
      </c>
      <c r="G562" t="inlineStr">
        <is>
          <t>primary</t>
        </is>
      </c>
      <c r="H562" t="inlineStr">
        <is>
          <t>AUTO_VESSEL</t>
        </is>
      </c>
      <c r="I562" t="inlineStr">
        <is>
          <t>是</t>
        </is>
      </c>
      <c r="J562" t="inlineStr">
        <is>
          <t>纳入</t>
        </is>
      </c>
      <c r="K562" t="n">
        <v>735.0425330812855</v>
      </c>
      <c r="L562">
        <f>导管母表_1781!G562</f>
        <v/>
      </c>
      <c r="M562" t="inlineStr">
        <is>
          <t>视野内部</t>
        </is>
      </c>
      <c r="N562" t="inlineStr">
        <is>
          <t>纳入A/D/Dh；若有Pair_ID则纳入CWR</t>
        </is>
      </c>
      <c r="O562" t="inlineStr">
        <is>
          <t>自动管线检出的合格导管腔。</t>
        </is>
      </c>
      <c r="P562" t="inlineStr">
        <is>
          <t>auto_pipeline;review_png_green</t>
        </is>
      </c>
      <c r="R562" t="inlineStr">
        <is>
          <t>样品12</t>
        </is>
      </c>
    </row>
    <row r="563">
      <c r="A563" t="inlineStr">
        <is>
          <t>12(7)-V02</t>
        </is>
      </c>
      <c r="B563" t="inlineStr">
        <is>
          <t>12 (7).tif</t>
        </is>
      </c>
      <c r="C563" t="n">
        <v>607</v>
      </c>
      <c r="D563" t="n">
        <v>403</v>
      </c>
      <c r="E563" t="inlineStr">
        <is>
          <t>533,339,682,468</t>
        </is>
      </c>
      <c r="F563" t="n">
        <v>300</v>
      </c>
      <c r="G563" t="inlineStr">
        <is>
          <t>primary</t>
        </is>
      </c>
      <c r="H563" t="inlineStr">
        <is>
          <t>AUTO_VESSEL</t>
        </is>
      </c>
      <c r="I563" t="inlineStr">
        <is>
          <t>是</t>
        </is>
      </c>
      <c r="J563" t="inlineStr">
        <is>
          <t>纳入</t>
        </is>
      </c>
      <c r="K563" t="n">
        <v>698.7948960302457</v>
      </c>
      <c r="L563">
        <f>导管母表_1781!G563</f>
        <v/>
      </c>
      <c r="M563" t="inlineStr">
        <is>
          <t>视野内部</t>
        </is>
      </c>
      <c r="N563" t="inlineStr">
        <is>
          <t>纳入A/D/Dh；若有Pair_ID则纳入CWR</t>
        </is>
      </c>
      <c r="O563" t="inlineStr">
        <is>
          <t>自动管线检出的合格导管腔。</t>
        </is>
      </c>
      <c r="P563" t="inlineStr">
        <is>
          <t>auto_pipeline;review_png_green</t>
        </is>
      </c>
      <c r="R563" t="inlineStr">
        <is>
          <t>样品12</t>
        </is>
      </c>
    </row>
    <row r="564">
      <c r="A564" t="inlineStr">
        <is>
          <t>12(7)-V03</t>
        </is>
      </c>
      <c r="B564" t="inlineStr">
        <is>
          <t>12 (7).tif</t>
        </is>
      </c>
      <c r="C564" t="n">
        <v>434</v>
      </c>
      <c r="D564" t="n">
        <v>335</v>
      </c>
      <c r="E564" t="inlineStr">
        <is>
          <t>369,294,500,377</t>
        </is>
      </c>
      <c r="F564" t="n">
        <v>294</v>
      </c>
      <c r="G564" t="inlineStr">
        <is>
          <t>primary</t>
        </is>
      </c>
      <c r="H564" t="inlineStr">
        <is>
          <t>AUTO_VESSEL</t>
        </is>
      </c>
      <c r="I564" t="inlineStr">
        <is>
          <t>是</t>
        </is>
      </c>
      <c r="J564" t="inlineStr">
        <is>
          <t>纳入</t>
        </is>
      </c>
      <c r="K564" t="n">
        <v>391.2570888468809</v>
      </c>
      <c r="L564">
        <f>导管母表_1781!G564</f>
        <v/>
      </c>
      <c r="M564" t="inlineStr">
        <is>
          <t>视野内部</t>
        </is>
      </c>
      <c r="N564" t="inlineStr">
        <is>
          <t>纳入A/D/Dh；若有Pair_ID则纳入CWR</t>
        </is>
      </c>
      <c r="O564" t="inlineStr">
        <is>
          <t>自动管线检出的合格导管腔。</t>
        </is>
      </c>
      <c r="P564" t="inlineStr">
        <is>
          <t>auto_pipeline;review_png_green</t>
        </is>
      </c>
      <c r="R564" t="inlineStr">
        <is>
          <t>样品12</t>
        </is>
      </c>
    </row>
    <row r="565">
      <c r="A565" t="inlineStr">
        <is>
          <t>12(7)-V04</t>
        </is>
      </c>
      <c r="B565" t="inlineStr">
        <is>
          <t>12 (7).tif</t>
        </is>
      </c>
      <c r="C565" t="n">
        <v>930</v>
      </c>
      <c r="D565" t="n">
        <v>149</v>
      </c>
      <c r="E565" t="inlineStr">
        <is>
          <t>887,99,974,200</t>
        </is>
      </c>
      <c r="F565" t="n">
        <v>50</v>
      </c>
      <c r="G565" t="inlineStr">
        <is>
          <t>primary</t>
        </is>
      </c>
      <c r="H565" t="inlineStr">
        <is>
          <t>AUTO_VESSEL</t>
        </is>
      </c>
      <c r="I565" t="inlineStr">
        <is>
          <t>是</t>
        </is>
      </c>
      <c r="J565" t="inlineStr">
        <is>
          <t>纳入</t>
        </is>
      </c>
      <c r="K565" t="n">
        <v>314.7684310018903</v>
      </c>
      <c r="L565">
        <f>导管母表_1781!G565</f>
        <v/>
      </c>
      <c r="M565" t="inlineStr">
        <is>
          <t>视野内部</t>
        </is>
      </c>
      <c r="N565" t="inlineStr">
        <is>
          <t>纳入A/D/Dh；若有Pair_ID则纳入CWR</t>
        </is>
      </c>
      <c r="O565" t="inlineStr">
        <is>
          <t>自动管线检出的合格导管腔。</t>
        </is>
      </c>
      <c r="P565" t="inlineStr">
        <is>
          <t>auto_pipeline;review_png_green</t>
        </is>
      </c>
      <c r="R565" t="inlineStr">
        <is>
          <t>样品12</t>
        </is>
      </c>
    </row>
    <row r="566">
      <c r="A566" t="inlineStr">
        <is>
          <t>12(7)-V05</t>
        </is>
      </c>
      <c r="B566" t="inlineStr">
        <is>
          <t>12 (7).tif</t>
        </is>
      </c>
      <c r="C566" t="n">
        <v>89</v>
      </c>
      <c r="D566" t="n">
        <v>552</v>
      </c>
      <c r="E566" t="inlineStr">
        <is>
          <t>56,521,123,584</t>
        </is>
      </c>
      <c r="F566" t="n">
        <v>56</v>
      </c>
      <c r="G566" t="inlineStr">
        <is>
          <t>primary</t>
        </is>
      </c>
      <c r="H566" t="inlineStr">
        <is>
          <t>AUTO_VESSEL</t>
        </is>
      </c>
      <c r="I566" t="inlineStr">
        <is>
          <t>是</t>
        </is>
      </c>
      <c r="J566" t="inlineStr">
        <is>
          <t>纳入</t>
        </is>
      </c>
      <c r="K566" t="n">
        <v>130.765595463138</v>
      </c>
      <c r="L566">
        <f>导管母表_1781!G566</f>
        <v/>
      </c>
      <c r="M566" t="inlineStr">
        <is>
          <t>视野内部</t>
        </is>
      </c>
      <c r="N566" t="inlineStr">
        <is>
          <t>纳入A/D/Dh；若有Pair_ID则纳入CWR</t>
        </is>
      </c>
      <c r="O566" t="inlineStr">
        <is>
          <t>自动管线检出的合格导管腔。</t>
        </is>
      </c>
      <c r="P566" t="inlineStr">
        <is>
          <t>auto_pipeline;review_png_green</t>
        </is>
      </c>
      <c r="R566" t="inlineStr">
        <is>
          <t>样品12</t>
        </is>
      </c>
    </row>
    <row r="567">
      <c r="A567" t="inlineStr">
        <is>
          <t>13(1)-V01</t>
        </is>
      </c>
      <c r="B567" t="inlineStr">
        <is>
          <t>13 (1).tif</t>
        </is>
      </c>
      <c r="C567" t="n">
        <v>635</v>
      </c>
      <c r="D567" t="n">
        <v>278</v>
      </c>
      <c r="E567" t="inlineStr">
        <is>
          <t>559,193,712,364</t>
        </is>
      </c>
      <c r="F567" t="n">
        <v>193</v>
      </c>
      <c r="G567" t="inlineStr">
        <is>
          <t>primary</t>
        </is>
      </c>
      <c r="H567" t="inlineStr">
        <is>
          <t>AUTO_VESSEL</t>
        </is>
      </c>
      <c r="I567" t="inlineStr">
        <is>
          <t>是</t>
        </is>
      </c>
      <c r="J567" t="inlineStr">
        <is>
          <t>纳入</t>
        </is>
      </c>
      <c r="K567" t="n">
        <v>940.0756143667297</v>
      </c>
      <c r="L567">
        <f>导管母表_1781!G567</f>
        <v/>
      </c>
      <c r="M567" t="inlineStr">
        <is>
          <t>视野内部</t>
        </is>
      </c>
      <c r="N567" t="inlineStr">
        <is>
          <t>纳入A/D/Dh；若有Pair_ID则纳入CWR</t>
        </is>
      </c>
      <c r="O567" t="inlineStr">
        <is>
          <t>自动管线检出的合格导管腔。</t>
        </is>
      </c>
      <c r="P567" t="inlineStr">
        <is>
          <t>auto_pipeline;review_png_green</t>
        </is>
      </c>
      <c r="R567" t="inlineStr">
        <is>
          <t>样品13</t>
        </is>
      </c>
    </row>
    <row r="568">
      <c r="A568" t="inlineStr">
        <is>
          <t>13(1)-V02</t>
        </is>
      </c>
      <c r="B568" t="inlineStr">
        <is>
          <t>13 (1).tif</t>
        </is>
      </c>
      <c r="C568" t="n">
        <v>448</v>
      </c>
      <c r="D568" t="n">
        <v>431</v>
      </c>
      <c r="E568" t="inlineStr">
        <is>
          <t>384,366,513,497</t>
        </is>
      </c>
      <c r="F568" t="n">
        <v>271</v>
      </c>
      <c r="G568" t="inlineStr">
        <is>
          <t>primary</t>
        </is>
      </c>
      <c r="H568" t="inlineStr">
        <is>
          <t>AUTO_VESSEL</t>
        </is>
      </c>
      <c r="I568" t="inlineStr">
        <is>
          <t>是</t>
        </is>
      </c>
      <c r="J568" t="inlineStr">
        <is>
          <t>纳入</t>
        </is>
      </c>
      <c r="K568" t="n">
        <v>592.6984877126654</v>
      </c>
      <c r="L568">
        <f>导管母表_1781!G568</f>
        <v/>
      </c>
      <c r="M568" t="inlineStr">
        <is>
          <t>视野内部</t>
        </is>
      </c>
      <c r="N568" t="inlineStr">
        <is>
          <t>纳入A/D/Dh；若有Pair_ID则纳入CWR</t>
        </is>
      </c>
      <c r="O568" t="inlineStr">
        <is>
          <t>自动管线检出的合格导管腔。</t>
        </is>
      </c>
      <c r="P568" t="inlineStr">
        <is>
          <t>auto_pipeline;review_png_green</t>
        </is>
      </c>
      <c r="R568" t="inlineStr">
        <is>
          <t>样品13</t>
        </is>
      </c>
    </row>
    <row r="569">
      <c r="A569" t="inlineStr">
        <is>
          <t>13(1)-V03</t>
        </is>
      </c>
      <c r="B569" t="inlineStr">
        <is>
          <t>13 (1).tif</t>
        </is>
      </c>
      <c r="C569" t="n">
        <v>96</v>
      </c>
      <c r="D569" t="n">
        <v>423</v>
      </c>
      <c r="E569" t="inlineStr">
        <is>
          <t>41,377,152,470</t>
        </is>
      </c>
      <c r="F569" t="n">
        <v>41</v>
      </c>
      <c r="G569" t="inlineStr">
        <is>
          <t>primary</t>
        </is>
      </c>
      <c r="H569" t="inlineStr">
        <is>
          <t>AUTO_VESSEL</t>
        </is>
      </c>
      <c r="I569" t="inlineStr">
        <is>
          <t>是</t>
        </is>
      </c>
      <c r="J569" t="inlineStr">
        <is>
          <t>纳入</t>
        </is>
      </c>
      <c r="K569" t="n">
        <v>373.8657844990548</v>
      </c>
      <c r="L569">
        <f>导管母表_1781!G569</f>
        <v/>
      </c>
      <c r="M569" t="inlineStr">
        <is>
          <t>视野内部</t>
        </is>
      </c>
      <c r="N569" t="inlineStr">
        <is>
          <t>纳入A/D/Dh；若有Pair_ID则纳入CWR</t>
        </is>
      </c>
      <c r="O569" t="inlineStr">
        <is>
          <t>自动管线检出的合格导管腔。</t>
        </is>
      </c>
      <c r="P569" t="inlineStr">
        <is>
          <t>auto_pipeline;review_png_green</t>
        </is>
      </c>
      <c r="R569" t="inlineStr">
        <is>
          <t>样品13</t>
        </is>
      </c>
    </row>
    <row r="570">
      <c r="A570" t="inlineStr">
        <is>
          <t>13(1)-V04</t>
        </is>
      </c>
      <c r="B570" t="inlineStr">
        <is>
          <t>13 (1).tif</t>
        </is>
      </c>
      <c r="C570" t="n">
        <v>774</v>
      </c>
      <c r="D570" t="n">
        <v>131</v>
      </c>
      <c r="E570" t="inlineStr">
        <is>
          <t>725,111,824,152</t>
        </is>
      </c>
      <c r="F570" t="n">
        <v>111</v>
      </c>
      <c r="G570" t="inlineStr">
        <is>
          <t>primary</t>
        </is>
      </c>
      <c r="H570" t="inlineStr">
        <is>
          <t>AUTO_VESSEL</t>
        </is>
      </c>
      <c r="I570" t="inlineStr">
        <is>
          <t>是</t>
        </is>
      </c>
      <c r="J570" t="inlineStr">
        <is>
          <t>纳入</t>
        </is>
      </c>
      <c r="K570" t="n">
        <v>138.2561436672968</v>
      </c>
      <c r="L570">
        <f>导管母表_1781!G570</f>
        <v/>
      </c>
      <c r="M570" t="inlineStr">
        <is>
          <t>视野内部</t>
        </is>
      </c>
      <c r="N570" t="inlineStr">
        <is>
          <t>纳入A/D/Dh；若有Pair_ID则纳入CWR</t>
        </is>
      </c>
      <c r="O570" t="inlineStr">
        <is>
          <t>自动管线检出的合格导管腔。</t>
        </is>
      </c>
      <c r="P570" t="inlineStr">
        <is>
          <t>auto_pipeline;review_png_green</t>
        </is>
      </c>
      <c r="R570" t="inlineStr">
        <is>
          <t>样品13</t>
        </is>
      </c>
    </row>
    <row r="571">
      <c r="A571" t="inlineStr">
        <is>
          <t>13(2)-V01</t>
        </is>
      </c>
      <c r="B571" t="inlineStr">
        <is>
          <t>13 (2).tif</t>
        </is>
      </c>
      <c r="C571" t="n">
        <v>522</v>
      </c>
      <c r="D571" t="n">
        <v>319</v>
      </c>
      <c r="E571" t="inlineStr">
        <is>
          <t>453,266,592,373</t>
        </is>
      </c>
      <c r="F571" t="n">
        <v>266</v>
      </c>
      <c r="G571" t="inlineStr">
        <is>
          <t>primary</t>
        </is>
      </c>
      <c r="H571" t="inlineStr">
        <is>
          <t>AUTO_VESSEL</t>
        </is>
      </c>
      <c r="I571" t="inlineStr">
        <is>
          <t>是</t>
        </is>
      </c>
      <c r="J571" t="inlineStr">
        <is>
          <t>纳入</t>
        </is>
      </c>
      <c r="K571" t="n">
        <v>519.305293005671</v>
      </c>
      <c r="L571">
        <f>导管母表_1781!G571</f>
        <v/>
      </c>
      <c r="M571" t="inlineStr">
        <is>
          <t>视野内部</t>
        </is>
      </c>
      <c r="N571" t="inlineStr">
        <is>
          <t>纳入A/D/Dh；若有Pair_ID则纳入CWR</t>
        </is>
      </c>
      <c r="O571" t="inlineStr">
        <is>
          <t>自动管线检出的合格导管腔。</t>
        </is>
      </c>
      <c r="P571" t="inlineStr">
        <is>
          <t>auto_pipeline;review_png_green</t>
        </is>
      </c>
      <c r="R571" t="inlineStr">
        <is>
          <t>样品13</t>
        </is>
      </c>
    </row>
    <row r="572">
      <c r="A572" t="inlineStr">
        <is>
          <t>13(2)-V02</t>
        </is>
      </c>
      <c r="B572" t="inlineStr">
        <is>
          <t>13 (2).tif</t>
        </is>
      </c>
      <c r="C572" t="n">
        <v>48</v>
      </c>
      <c r="D572" t="n">
        <v>161</v>
      </c>
      <c r="E572" t="inlineStr">
        <is>
          <t>16,132,81,191</t>
        </is>
      </c>
      <c r="F572" t="n">
        <v>16</v>
      </c>
      <c r="G572" t="inlineStr">
        <is>
          <t>primary</t>
        </is>
      </c>
      <c r="H572" t="inlineStr">
        <is>
          <t>AUTO_VESSEL</t>
        </is>
      </c>
      <c r="I572" t="inlineStr">
        <is>
          <t>是</t>
        </is>
      </c>
      <c r="J572" t="inlineStr">
        <is>
          <t>纳入</t>
        </is>
      </c>
      <c r="K572" t="n">
        <v>132.3724007561437</v>
      </c>
      <c r="L572">
        <f>导管母表_1781!G572</f>
        <v/>
      </c>
      <c r="M572" t="inlineStr">
        <is>
          <t>近边缘（&lt;25 px）</t>
        </is>
      </c>
      <c r="N572" t="inlineStr">
        <is>
          <t>纳入A/D/Dh；若有Pair_ID则纳入CWR</t>
        </is>
      </c>
      <c r="O572" t="inlineStr">
        <is>
          <t>自动管线检出的合格导管腔。</t>
        </is>
      </c>
      <c r="P572" t="inlineStr">
        <is>
          <t>auto_pipeline;review_png_green</t>
        </is>
      </c>
      <c r="R572" t="inlineStr">
        <is>
          <t>样品13</t>
        </is>
      </c>
    </row>
    <row r="573">
      <c r="A573" t="inlineStr">
        <is>
          <t>13(3)-V01</t>
        </is>
      </c>
      <c r="B573" t="inlineStr">
        <is>
          <t>13 (3).tif</t>
        </is>
      </c>
      <c r="C573" t="n">
        <v>378</v>
      </c>
      <c r="D573" t="n">
        <v>382</v>
      </c>
      <c r="E573" t="inlineStr">
        <is>
          <t>289,304,468,461</t>
        </is>
      </c>
      <c r="F573" t="n">
        <v>289</v>
      </c>
      <c r="G573" t="inlineStr">
        <is>
          <t>primary</t>
        </is>
      </c>
      <c r="H573" t="inlineStr">
        <is>
          <t>AUTO_VESSEL</t>
        </is>
      </c>
      <c r="I573" t="inlineStr">
        <is>
          <t>是</t>
        </is>
      </c>
      <c r="J573" t="inlineStr">
        <is>
          <t>纳入</t>
        </is>
      </c>
      <c r="K573" t="n">
        <v>1028.568052930057</v>
      </c>
      <c r="L573">
        <f>导管母表_1781!G573</f>
        <v/>
      </c>
      <c r="M573" t="inlineStr">
        <is>
          <t>视野内部</t>
        </is>
      </c>
      <c r="N573" t="inlineStr">
        <is>
          <t>纳入A/D/Dh；若有Pair_ID则纳入CWR</t>
        </is>
      </c>
      <c r="O573" t="inlineStr">
        <is>
          <t>自动管线检出的合格导管腔。</t>
        </is>
      </c>
      <c r="P573" t="inlineStr">
        <is>
          <t>auto_pipeline;review_png_green</t>
        </is>
      </c>
      <c r="R573" t="inlineStr">
        <is>
          <t>样品13</t>
        </is>
      </c>
    </row>
    <row r="574">
      <c r="A574" t="inlineStr">
        <is>
          <t>13(3)-V02</t>
        </is>
      </c>
      <c r="B574" t="inlineStr">
        <is>
          <t>13 (3).tif</t>
        </is>
      </c>
      <c r="C574" t="n">
        <v>898</v>
      </c>
      <c r="D574" t="n">
        <v>301</v>
      </c>
      <c r="E574" t="inlineStr">
        <is>
          <t>818,230,979,373</t>
        </is>
      </c>
      <c r="F574" t="n">
        <v>45</v>
      </c>
      <c r="G574" t="inlineStr">
        <is>
          <t>primary</t>
        </is>
      </c>
      <c r="H574" t="inlineStr">
        <is>
          <t>AUTO_VESSEL</t>
        </is>
      </c>
      <c r="I574" t="inlineStr">
        <is>
          <t>是</t>
        </is>
      </c>
      <c r="J574" t="inlineStr">
        <is>
          <t>纳入</t>
        </is>
      </c>
      <c r="K574" t="n">
        <v>839.6975425330813</v>
      </c>
      <c r="L574">
        <f>导管母表_1781!G574</f>
        <v/>
      </c>
      <c r="M574" t="inlineStr">
        <is>
          <t>视野内部</t>
        </is>
      </c>
      <c r="N574" t="inlineStr">
        <is>
          <t>纳入A/D/Dh；若有Pair_ID则纳入CWR</t>
        </is>
      </c>
      <c r="O574" t="inlineStr">
        <is>
          <t>自动管线检出的合格导管腔。</t>
        </is>
      </c>
      <c r="P574" t="inlineStr">
        <is>
          <t>auto_pipeline;review_png_green</t>
        </is>
      </c>
      <c r="R574" t="inlineStr">
        <is>
          <t>样品13</t>
        </is>
      </c>
    </row>
    <row r="575">
      <c r="A575" t="inlineStr">
        <is>
          <t>13(3)-V03</t>
        </is>
      </c>
      <c r="B575" t="inlineStr">
        <is>
          <t>13 (3).tif</t>
        </is>
      </c>
      <c r="C575" t="n">
        <v>582</v>
      </c>
      <c r="D575" t="n">
        <v>356</v>
      </c>
      <c r="E575" t="inlineStr">
        <is>
          <t>509,288,656,425</t>
        </is>
      </c>
      <c r="F575" t="n">
        <v>288</v>
      </c>
      <c r="G575" t="inlineStr">
        <is>
          <t>primary</t>
        </is>
      </c>
      <c r="H575" t="inlineStr">
        <is>
          <t>AUTO_VESSEL</t>
        </is>
      </c>
      <c r="I575" t="inlineStr">
        <is>
          <t>是</t>
        </is>
      </c>
      <c r="J575" t="inlineStr">
        <is>
          <t>纳入</t>
        </is>
      </c>
      <c r="K575" t="n">
        <v>731.4035916824197</v>
      </c>
      <c r="L575">
        <f>导管母表_1781!G575</f>
        <v/>
      </c>
      <c r="M575" t="inlineStr">
        <is>
          <t>视野内部</t>
        </is>
      </c>
      <c r="N575" t="inlineStr">
        <is>
          <t>纳入A/D/Dh；若有Pair_ID则纳入CWR</t>
        </is>
      </c>
      <c r="O575" t="inlineStr">
        <is>
          <t>自动管线检出的合格导管腔。</t>
        </is>
      </c>
      <c r="P575" t="inlineStr">
        <is>
          <t>auto_pipeline;review_png_green</t>
        </is>
      </c>
      <c r="R575" t="inlineStr">
        <is>
          <t>样品13</t>
        </is>
      </c>
    </row>
    <row r="576">
      <c r="A576" t="inlineStr">
        <is>
          <t>13(3)-V04</t>
        </is>
      </c>
      <c r="B576" t="inlineStr">
        <is>
          <t>13 (3).tif</t>
        </is>
      </c>
      <c r="C576" t="n">
        <v>735</v>
      </c>
      <c r="D576" t="n">
        <v>86</v>
      </c>
      <c r="E576" t="inlineStr">
        <is>
          <t>691,52,780,121</t>
        </is>
      </c>
      <c r="F576" t="n">
        <v>52</v>
      </c>
      <c r="G576" t="inlineStr">
        <is>
          <t>primary</t>
        </is>
      </c>
      <c r="H576" t="inlineStr">
        <is>
          <t>AUTO_VESSEL</t>
        </is>
      </c>
      <c r="I576" t="inlineStr">
        <is>
          <t>是</t>
        </is>
      </c>
      <c r="J576" t="inlineStr">
        <is>
          <t>纳入</t>
        </is>
      </c>
      <c r="K576" t="n">
        <v>199.5746691871456</v>
      </c>
      <c r="L576">
        <f>导管母表_1781!G576</f>
        <v/>
      </c>
      <c r="M576" t="inlineStr">
        <is>
          <t>视野内部</t>
        </is>
      </c>
      <c r="N576" t="inlineStr">
        <is>
          <t>纳入A/D/Dh；若有Pair_ID则纳入CWR</t>
        </is>
      </c>
      <c r="O576" t="inlineStr">
        <is>
          <t>自动管线检出的合格导管腔。</t>
        </is>
      </c>
      <c r="P576" t="inlineStr">
        <is>
          <t>auto_pipeline;review_png_green</t>
        </is>
      </c>
      <c r="R576" t="inlineStr">
        <is>
          <t>样品13</t>
        </is>
      </c>
    </row>
    <row r="577">
      <c r="A577" t="inlineStr">
        <is>
          <t>13(3)-V05</t>
        </is>
      </c>
      <c r="B577" t="inlineStr">
        <is>
          <t>13 (3).tif</t>
        </is>
      </c>
      <c r="C577" t="n">
        <v>221</v>
      </c>
      <c r="D577" t="n">
        <v>340</v>
      </c>
      <c r="E577" t="inlineStr">
        <is>
          <t>165,317,278,364</t>
        </is>
      </c>
      <c r="F577" t="n">
        <v>165</v>
      </c>
      <c r="G577" t="inlineStr">
        <is>
          <t>primary</t>
        </is>
      </c>
      <c r="H577" t="inlineStr">
        <is>
          <t>AUTO_VESSEL</t>
        </is>
      </c>
      <c r="I577" t="inlineStr">
        <is>
          <t>是</t>
        </is>
      </c>
      <c r="J577" t="inlineStr">
        <is>
          <t>纳入</t>
        </is>
      </c>
      <c r="K577" t="n">
        <v>177.1266540642722</v>
      </c>
      <c r="L577">
        <f>导管母表_1781!G577</f>
        <v/>
      </c>
      <c r="M577" t="inlineStr">
        <is>
          <t>视野内部</t>
        </is>
      </c>
      <c r="N577" t="inlineStr">
        <is>
          <t>纳入A/D/Dh；若有Pair_ID则纳入CWR</t>
        </is>
      </c>
      <c r="O577" t="inlineStr">
        <is>
          <t>自动管线检出的合格导管腔。</t>
        </is>
      </c>
      <c r="P577" t="inlineStr">
        <is>
          <t>auto_pipeline;review_png_green</t>
        </is>
      </c>
      <c r="R577" t="inlineStr">
        <is>
          <t>样品13</t>
        </is>
      </c>
    </row>
    <row r="578">
      <c r="A578" t="inlineStr">
        <is>
          <t>13(3)-V06</t>
        </is>
      </c>
      <c r="B578" t="inlineStr">
        <is>
          <t>13 (3).tif</t>
        </is>
      </c>
      <c r="C578" t="n">
        <v>762</v>
      </c>
      <c r="D578" t="n">
        <v>329</v>
      </c>
      <c r="E578" t="inlineStr">
        <is>
          <t>739,287,786,372</t>
        </is>
      </c>
      <c r="F578" t="n">
        <v>238</v>
      </c>
      <c r="G578" t="inlineStr">
        <is>
          <t>primary</t>
        </is>
      </c>
      <c r="H578" t="inlineStr">
        <is>
          <t>AUTO_VESSEL</t>
        </is>
      </c>
      <c r="I578" t="inlineStr">
        <is>
          <t>是</t>
        </is>
      </c>
      <c r="J578" t="inlineStr">
        <is>
          <t>纳入</t>
        </is>
      </c>
      <c r="K578" t="n">
        <v>128.1663516068053</v>
      </c>
      <c r="L578">
        <f>导管母表_1781!G578</f>
        <v/>
      </c>
      <c r="M578" t="inlineStr">
        <is>
          <t>视野内部</t>
        </is>
      </c>
      <c r="N578" t="inlineStr">
        <is>
          <t>纳入A/D/Dh；若有Pair_ID则纳入CWR</t>
        </is>
      </c>
      <c r="O578" t="inlineStr">
        <is>
          <t>自动管线检出的合格导管腔。</t>
        </is>
      </c>
      <c r="P578" t="inlineStr">
        <is>
          <t>auto_pipeline;review_png_green</t>
        </is>
      </c>
      <c r="R578" t="inlineStr">
        <is>
          <t>样品13</t>
        </is>
      </c>
    </row>
    <row r="579">
      <c r="A579" t="inlineStr">
        <is>
          <t>13(4)-V01</t>
        </is>
      </c>
      <c r="B579" t="inlineStr">
        <is>
          <t>13 (4).tif</t>
        </is>
      </c>
      <c r="C579" t="n">
        <v>593</v>
      </c>
      <c r="D579" t="n">
        <v>382</v>
      </c>
      <c r="E579" t="inlineStr">
        <is>
          <t>531,329,656,436</t>
        </is>
      </c>
      <c r="F579" t="n">
        <v>329</v>
      </c>
      <c r="G579" t="inlineStr">
        <is>
          <t>primary</t>
        </is>
      </c>
      <c r="H579" t="inlineStr">
        <is>
          <t>AUTO_VESSEL</t>
        </is>
      </c>
      <c r="I579" t="inlineStr">
        <is>
          <t>是</t>
        </is>
      </c>
      <c r="J579" t="inlineStr">
        <is>
          <t>纳入</t>
        </is>
      </c>
      <c r="K579" t="n">
        <v>473.0151228733459</v>
      </c>
      <c r="L579">
        <f>导管母表_1781!G579</f>
        <v/>
      </c>
      <c r="M579" t="inlineStr">
        <is>
          <t>视野内部</t>
        </is>
      </c>
      <c r="N579" t="inlineStr">
        <is>
          <t>纳入A/D/Dh；若有Pair_ID则纳入CWR</t>
        </is>
      </c>
      <c r="O579" t="inlineStr">
        <is>
          <t>自动管线检出的合格导管腔。</t>
        </is>
      </c>
      <c r="P579" t="inlineStr">
        <is>
          <t>auto_pipeline;review_png_green</t>
        </is>
      </c>
      <c r="R579" t="inlineStr">
        <is>
          <t>样品13</t>
        </is>
      </c>
    </row>
    <row r="580">
      <c r="A580" t="inlineStr">
        <is>
          <t>13(4)-V02</t>
        </is>
      </c>
      <c r="B580" t="inlineStr">
        <is>
          <t>13 (4).tif</t>
        </is>
      </c>
      <c r="C580" t="n">
        <v>571</v>
      </c>
      <c r="D580" t="n">
        <v>136</v>
      </c>
      <c r="E580" t="inlineStr">
        <is>
          <t>500,117,643,156</t>
        </is>
      </c>
      <c r="F580" t="n">
        <v>117</v>
      </c>
      <c r="G580" t="inlineStr">
        <is>
          <t>primary</t>
        </is>
      </c>
      <c r="H580" t="inlineStr">
        <is>
          <t>AUTO_VESSEL</t>
        </is>
      </c>
      <c r="I580" t="inlineStr">
        <is>
          <t>是</t>
        </is>
      </c>
      <c r="J580" t="inlineStr">
        <is>
          <t>纳入</t>
        </is>
      </c>
      <c r="K580" t="n">
        <v>199.8582230623819</v>
      </c>
      <c r="L580">
        <f>导管母表_1781!G580</f>
        <v/>
      </c>
      <c r="M580" t="inlineStr">
        <is>
          <t>视野内部</t>
        </is>
      </c>
      <c r="N580" t="inlineStr">
        <is>
          <t>纳入A/D/Dh；若有Pair_ID则纳入CWR</t>
        </is>
      </c>
      <c r="O580" t="inlineStr">
        <is>
          <t>自动管线检出的合格导管腔。</t>
        </is>
      </c>
      <c r="P580" t="inlineStr">
        <is>
          <t>auto_pipeline;review_png_green</t>
        </is>
      </c>
      <c r="R580" t="inlineStr">
        <is>
          <t>样品13</t>
        </is>
      </c>
    </row>
    <row r="581">
      <c r="A581" t="inlineStr">
        <is>
          <t>13(4)-V03</t>
        </is>
      </c>
      <c r="B581" t="inlineStr">
        <is>
          <t>13 (4).tif</t>
        </is>
      </c>
      <c r="C581" t="n">
        <v>960</v>
      </c>
      <c r="D581" t="n">
        <v>435</v>
      </c>
      <c r="E581" t="inlineStr">
        <is>
          <t>911,407,1010,464</t>
        </is>
      </c>
      <c r="F581" t="n">
        <v>14</v>
      </c>
      <c r="G581" t="inlineStr">
        <is>
          <t>primary</t>
        </is>
      </c>
      <c r="H581" t="inlineStr">
        <is>
          <t>AUTO_VESSEL</t>
        </is>
      </c>
      <c r="I581" t="inlineStr">
        <is>
          <t>是</t>
        </is>
      </c>
      <c r="J581" t="inlineStr">
        <is>
          <t>纳入</t>
        </is>
      </c>
      <c r="K581" t="n">
        <v>182.1124763705104</v>
      </c>
      <c r="L581">
        <f>导管母表_1781!G581</f>
        <v/>
      </c>
      <c r="M581" t="inlineStr">
        <is>
          <t>近边缘（&lt;25 px）</t>
        </is>
      </c>
      <c r="N581" t="inlineStr">
        <is>
          <t>纳入A/D/Dh；若有Pair_ID则纳入CWR</t>
        </is>
      </c>
      <c r="O581" t="inlineStr">
        <is>
          <t>自动管线检出的合格导管腔。</t>
        </is>
      </c>
      <c r="P581" t="inlineStr">
        <is>
          <t>auto_pipeline;review_png_green</t>
        </is>
      </c>
      <c r="R581" t="inlineStr">
        <is>
          <t>样品13</t>
        </is>
      </c>
    </row>
    <row r="582">
      <c r="A582" t="inlineStr">
        <is>
          <t>13(4)-V04</t>
        </is>
      </c>
      <c r="B582" t="inlineStr">
        <is>
          <t>13 (4).tif</t>
        </is>
      </c>
      <c r="C582" t="n">
        <v>877</v>
      </c>
      <c r="D582" t="n">
        <v>277</v>
      </c>
      <c r="E582" t="inlineStr">
        <is>
          <t>806,262,949,293</t>
        </is>
      </c>
      <c r="F582" t="n">
        <v>75</v>
      </c>
      <c r="G582" t="inlineStr">
        <is>
          <t>primary</t>
        </is>
      </c>
      <c r="H582" t="inlineStr">
        <is>
          <t>AUTO_VESSEL</t>
        </is>
      </c>
      <c r="I582" t="inlineStr">
        <is>
          <t>是</t>
        </is>
      </c>
      <c r="J582" t="inlineStr">
        <is>
          <t>纳入</t>
        </is>
      </c>
      <c r="K582" t="n">
        <v>158.1758034026465</v>
      </c>
      <c r="L582">
        <f>导管母表_1781!G582</f>
        <v/>
      </c>
      <c r="M582" t="inlineStr">
        <is>
          <t>视野内部</t>
        </is>
      </c>
      <c r="N582" t="inlineStr">
        <is>
          <t>纳入A/D/Dh；若有Pair_ID则纳入CWR</t>
        </is>
      </c>
      <c r="O582" t="inlineStr">
        <is>
          <t>自动管线检出的合格导管腔。</t>
        </is>
      </c>
      <c r="P582" t="inlineStr">
        <is>
          <t>auto_pipeline;review_png_green</t>
        </is>
      </c>
      <c r="R582" t="inlineStr">
        <is>
          <t>样品13</t>
        </is>
      </c>
    </row>
    <row r="583">
      <c r="A583" t="inlineStr">
        <is>
          <t>13(5)-V01</t>
        </is>
      </c>
      <c r="B583" t="inlineStr">
        <is>
          <t>13 (5).tif</t>
        </is>
      </c>
      <c r="C583" t="n">
        <v>439</v>
      </c>
      <c r="D583" t="n">
        <v>361</v>
      </c>
      <c r="E583" t="inlineStr">
        <is>
          <t>372,293,507,430</t>
        </is>
      </c>
      <c r="F583" t="n">
        <v>293</v>
      </c>
      <c r="G583" t="inlineStr">
        <is>
          <t>primary</t>
        </is>
      </c>
      <c r="H583" t="inlineStr">
        <is>
          <t>AUTO_VESSEL</t>
        </is>
      </c>
      <c r="I583" t="inlineStr">
        <is>
          <t>是</t>
        </is>
      </c>
      <c r="J583" t="inlineStr">
        <is>
          <t>纳入</t>
        </is>
      </c>
      <c r="K583" t="n">
        <v>664.1776937618148</v>
      </c>
      <c r="L583">
        <f>导管母表_1781!G583</f>
        <v/>
      </c>
      <c r="M583" t="inlineStr">
        <is>
          <t>视野内部</t>
        </is>
      </c>
      <c r="N583" t="inlineStr">
        <is>
          <t>纳入A/D/Dh；若有Pair_ID则纳入CWR</t>
        </is>
      </c>
      <c r="O583" t="inlineStr">
        <is>
          <t>自动管线检出的合格导管腔。</t>
        </is>
      </c>
      <c r="P583" t="inlineStr">
        <is>
          <t>auto_pipeline;review_png_green</t>
        </is>
      </c>
      <c r="Q583" t="inlineStr">
        <is>
          <t>13(5)-P01</t>
        </is>
      </c>
      <c r="R583" t="inlineStr">
        <is>
          <t>样品13</t>
        </is>
      </c>
    </row>
    <row r="584">
      <c r="A584" t="inlineStr">
        <is>
          <t>13(5)-V02</t>
        </is>
      </c>
      <c r="B584" t="inlineStr">
        <is>
          <t>13 (5).tif</t>
        </is>
      </c>
      <c r="C584" t="n">
        <v>711</v>
      </c>
      <c r="D584" t="n">
        <v>106</v>
      </c>
      <c r="E584" t="inlineStr">
        <is>
          <t>629,51,794,162</t>
        </is>
      </c>
      <c r="F584" t="n">
        <v>51</v>
      </c>
      <c r="G584" t="inlineStr">
        <is>
          <t>primary</t>
        </is>
      </c>
      <c r="H584" t="inlineStr">
        <is>
          <t>AUTO_VESSEL</t>
        </is>
      </c>
      <c r="I584" t="inlineStr">
        <is>
          <t>是</t>
        </is>
      </c>
      <c r="J584" t="inlineStr">
        <is>
          <t>纳入</t>
        </is>
      </c>
      <c r="K584" t="n">
        <v>664.0595463137996</v>
      </c>
      <c r="L584">
        <f>导管母表_1781!G584</f>
        <v/>
      </c>
      <c r="M584" t="inlineStr">
        <is>
          <t>视野内部</t>
        </is>
      </c>
      <c r="N584" t="inlineStr">
        <is>
          <t>纳入A/D/Dh；若有Pair_ID则纳入CWR</t>
        </is>
      </c>
      <c r="O584" t="inlineStr">
        <is>
          <t>自动管线检出的合格导管腔。</t>
        </is>
      </c>
      <c r="P584" t="inlineStr">
        <is>
          <t>auto_pipeline;review_png_green</t>
        </is>
      </c>
      <c r="R584" t="inlineStr">
        <is>
          <t>样品13</t>
        </is>
      </c>
    </row>
    <row r="585">
      <c r="A585" t="inlineStr">
        <is>
          <t>13(5)-V03</t>
        </is>
      </c>
      <c r="B585" t="inlineStr">
        <is>
          <t>13 (5).tif</t>
        </is>
      </c>
      <c r="C585" t="n">
        <v>592</v>
      </c>
      <c r="D585" t="n">
        <v>391</v>
      </c>
      <c r="E585" t="inlineStr">
        <is>
          <t>523,328,662,455</t>
        </is>
      </c>
      <c r="F585" t="n">
        <v>313</v>
      </c>
      <c r="G585" t="inlineStr">
        <is>
          <t>primary</t>
        </is>
      </c>
      <c r="H585" t="inlineStr">
        <is>
          <t>AUTO_VESSEL</t>
        </is>
      </c>
      <c r="I585" t="inlineStr">
        <is>
          <t>是</t>
        </is>
      </c>
      <c r="J585" t="inlineStr">
        <is>
          <t>纳入</t>
        </is>
      </c>
      <c r="K585" t="n">
        <v>645.6521739130435</v>
      </c>
      <c r="L585">
        <f>导管母表_1781!G585</f>
        <v/>
      </c>
      <c r="M585" t="inlineStr">
        <is>
          <t>视野内部</t>
        </is>
      </c>
      <c r="N585" t="inlineStr">
        <is>
          <t>纳入A/D/Dh；若有Pair_ID则纳入CWR</t>
        </is>
      </c>
      <c r="O585" t="inlineStr">
        <is>
          <t>自动管线检出的合格导管腔。</t>
        </is>
      </c>
      <c r="P585" t="inlineStr">
        <is>
          <t>auto_pipeline;review_png_green</t>
        </is>
      </c>
      <c r="Q585" t="inlineStr">
        <is>
          <t>13(5)-P01</t>
        </is>
      </c>
      <c r="R585" t="inlineStr">
        <is>
          <t>样品13</t>
        </is>
      </c>
    </row>
    <row r="586">
      <c r="A586" t="inlineStr">
        <is>
          <t>13(5)-V04</t>
        </is>
      </c>
      <c r="B586" t="inlineStr">
        <is>
          <t>13 (5).tif</t>
        </is>
      </c>
      <c r="C586" t="n">
        <v>946</v>
      </c>
      <c r="D586" t="n">
        <v>466</v>
      </c>
      <c r="E586" t="inlineStr">
        <is>
          <t>889,439,1004,494</t>
        </is>
      </c>
      <c r="F586" t="n">
        <v>20</v>
      </c>
      <c r="G586" t="inlineStr">
        <is>
          <t>primary</t>
        </is>
      </c>
      <c r="H586" t="inlineStr">
        <is>
          <t>AUTO_VESSEL</t>
        </is>
      </c>
      <c r="I586" t="inlineStr">
        <is>
          <t>是</t>
        </is>
      </c>
      <c r="J586" t="inlineStr">
        <is>
          <t>纳入</t>
        </is>
      </c>
      <c r="K586" t="n">
        <v>228.3790170132325</v>
      </c>
      <c r="L586">
        <f>导管母表_1781!G586</f>
        <v/>
      </c>
      <c r="M586" t="inlineStr">
        <is>
          <t>近边缘（&lt;25 px）</t>
        </is>
      </c>
      <c r="N586" t="inlineStr">
        <is>
          <t>纳入A/D/Dh；若有Pair_ID则纳入CWR</t>
        </is>
      </c>
      <c r="O586" t="inlineStr">
        <is>
          <t>自动管线检出的合格导管腔。</t>
        </is>
      </c>
      <c r="P586" t="inlineStr">
        <is>
          <t>auto_pipeline;review_png_green</t>
        </is>
      </c>
      <c r="R586" t="inlineStr">
        <is>
          <t>样品13</t>
        </is>
      </c>
    </row>
    <row r="587">
      <c r="A587" t="inlineStr">
        <is>
          <t>13(5)-V05</t>
        </is>
      </c>
      <c r="B587" t="inlineStr">
        <is>
          <t>13 (5).tif</t>
        </is>
      </c>
      <c r="C587" t="n">
        <v>893</v>
      </c>
      <c r="D587" t="n">
        <v>92</v>
      </c>
      <c r="E587" t="inlineStr">
        <is>
          <t>859,65,928,120</t>
        </is>
      </c>
      <c r="F587" t="n">
        <v>65</v>
      </c>
      <c r="G587" t="inlineStr">
        <is>
          <t>primary</t>
        </is>
      </c>
      <c r="H587" t="inlineStr">
        <is>
          <t>AUTO_VESSEL</t>
        </is>
      </c>
      <c r="I587" t="inlineStr">
        <is>
          <t>是</t>
        </is>
      </c>
      <c r="J587" t="inlineStr">
        <is>
          <t>纳入</t>
        </is>
      </c>
      <c r="K587" t="n">
        <v>133.5538752362949</v>
      </c>
      <c r="L587">
        <f>导管母表_1781!G587</f>
        <v/>
      </c>
      <c r="M587" t="inlineStr">
        <is>
          <t>视野内部</t>
        </is>
      </c>
      <c r="N587" t="inlineStr">
        <is>
          <t>纳入A/D/Dh；若有Pair_ID则纳入CWR</t>
        </is>
      </c>
      <c r="O587" t="inlineStr">
        <is>
          <t>自动管线检出的合格导管腔。</t>
        </is>
      </c>
      <c r="P587" t="inlineStr">
        <is>
          <t>auto_pipeline;review_png_green</t>
        </is>
      </c>
      <c r="R587" t="inlineStr">
        <is>
          <t>样品13</t>
        </is>
      </c>
    </row>
    <row r="588">
      <c r="A588" t="inlineStr">
        <is>
          <t>13(5)-V06</t>
        </is>
      </c>
      <c r="B588" t="inlineStr">
        <is>
          <t>13 (5).tif</t>
        </is>
      </c>
      <c r="C588" t="n">
        <v>937</v>
      </c>
      <c r="D588" t="n">
        <v>198</v>
      </c>
      <c r="E588" t="inlineStr">
        <is>
          <t>898,178,977,219</t>
        </is>
      </c>
      <c r="F588" t="n">
        <v>47</v>
      </c>
      <c r="G588" t="inlineStr">
        <is>
          <t>primary</t>
        </is>
      </c>
      <c r="H588" t="inlineStr">
        <is>
          <t>AUTO_VESSEL</t>
        </is>
      </c>
      <c r="I588" t="inlineStr">
        <is>
          <t>是</t>
        </is>
      </c>
      <c r="J588" t="inlineStr">
        <is>
          <t>纳入</t>
        </is>
      </c>
      <c r="K588" t="n">
        <v>116.0680529300567</v>
      </c>
      <c r="L588">
        <f>导管母表_1781!G588</f>
        <v/>
      </c>
      <c r="M588" t="inlineStr">
        <is>
          <t>视野内部</t>
        </is>
      </c>
      <c r="N588" t="inlineStr">
        <is>
          <t>纳入A/D/Dh；若有Pair_ID则纳入CWR</t>
        </is>
      </c>
      <c r="O588" t="inlineStr">
        <is>
          <t>自动管线检出的合格导管腔。</t>
        </is>
      </c>
      <c r="P588" t="inlineStr">
        <is>
          <t>auto_pipeline;review_png_green</t>
        </is>
      </c>
      <c r="R588" t="inlineStr">
        <is>
          <t>样品13</t>
        </is>
      </c>
    </row>
    <row r="589">
      <c r="A589" t="inlineStr">
        <is>
          <t>13(6)-V01</t>
        </is>
      </c>
      <c r="B589" t="inlineStr">
        <is>
          <t>13 (6).tif</t>
        </is>
      </c>
      <c r="C589" t="n">
        <v>431</v>
      </c>
      <c r="D589" t="n">
        <v>395</v>
      </c>
      <c r="E589" t="inlineStr">
        <is>
          <t>369,340,494,451</t>
        </is>
      </c>
      <c r="F589" t="n">
        <v>317</v>
      </c>
      <c r="G589" t="inlineStr">
        <is>
          <t>primary</t>
        </is>
      </c>
      <c r="H589" t="inlineStr">
        <is>
          <t>AUTO_VESSEL</t>
        </is>
      </c>
      <c r="I589" t="inlineStr">
        <is>
          <t>是</t>
        </is>
      </c>
      <c r="J589" t="inlineStr">
        <is>
          <t>纳入</t>
        </is>
      </c>
      <c r="K589" t="n">
        <v>501.5359168241966</v>
      </c>
      <c r="L589">
        <f>导管母表_1781!G589</f>
        <v/>
      </c>
      <c r="M589" t="inlineStr">
        <is>
          <t>视野内部</t>
        </is>
      </c>
      <c r="N589" t="inlineStr">
        <is>
          <t>纳入A/D/Dh；若有Pair_ID则纳入CWR</t>
        </is>
      </c>
      <c r="O589" t="inlineStr">
        <is>
          <t>自动管线检出的合格导管腔。</t>
        </is>
      </c>
      <c r="P589" t="inlineStr">
        <is>
          <t>auto_pipeline;review_png_green</t>
        </is>
      </c>
      <c r="R589" t="inlineStr">
        <is>
          <t>样品13</t>
        </is>
      </c>
    </row>
    <row r="590">
      <c r="A590" t="inlineStr">
        <is>
          <t>13(6)-V02</t>
        </is>
      </c>
      <c r="B590" t="inlineStr">
        <is>
          <t>13 (6).tif</t>
        </is>
      </c>
      <c r="C590" t="n">
        <v>835</v>
      </c>
      <c r="D590" t="n">
        <v>482</v>
      </c>
      <c r="E590" t="inlineStr">
        <is>
          <t>773,433,898,532</t>
        </is>
      </c>
      <c r="F590" t="n">
        <v>126</v>
      </c>
      <c r="G590" t="inlineStr">
        <is>
          <t>primary</t>
        </is>
      </c>
      <c r="H590" t="inlineStr">
        <is>
          <t>AUTO_VESSEL</t>
        </is>
      </c>
      <c r="I590" t="inlineStr">
        <is>
          <t>是</t>
        </is>
      </c>
      <c r="J590" t="inlineStr">
        <is>
          <t>纳入</t>
        </is>
      </c>
      <c r="K590" t="n">
        <v>451.8194706994329</v>
      </c>
      <c r="L590">
        <f>导管母表_1781!G590</f>
        <v/>
      </c>
      <c r="M590" t="inlineStr">
        <is>
          <t>视野内部</t>
        </is>
      </c>
      <c r="N590" t="inlineStr">
        <is>
          <t>纳入A/D/Dh；若有Pair_ID则纳入CWR</t>
        </is>
      </c>
      <c r="O590" t="inlineStr">
        <is>
          <t>自动管线检出的合格导管腔。</t>
        </is>
      </c>
      <c r="P590" t="inlineStr">
        <is>
          <t>auto_pipeline;review_png_green</t>
        </is>
      </c>
      <c r="R590" t="inlineStr">
        <is>
          <t>样品13</t>
        </is>
      </c>
    </row>
    <row r="591">
      <c r="A591" t="inlineStr">
        <is>
          <t>13(6)-V03</t>
        </is>
      </c>
      <c r="B591" t="inlineStr">
        <is>
          <t>13 (6).tif</t>
        </is>
      </c>
      <c r="C591" t="n">
        <v>601</v>
      </c>
      <c r="D591" t="n">
        <v>391</v>
      </c>
      <c r="E591" t="inlineStr">
        <is>
          <t>551,344,652,439</t>
        </is>
      </c>
      <c r="F591" t="n">
        <v>329</v>
      </c>
      <c r="G591" t="inlineStr">
        <is>
          <t>primary</t>
        </is>
      </c>
      <c r="H591" t="inlineStr">
        <is>
          <t>AUTO_VESSEL</t>
        </is>
      </c>
      <c r="I591" t="inlineStr">
        <is>
          <t>是</t>
        </is>
      </c>
      <c r="J591" t="inlineStr">
        <is>
          <t>纳入</t>
        </is>
      </c>
      <c r="K591" t="n">
        <v>319.0453686200378</v>
      </c>
      <c r="L591">
        <f>导管母表_1781!G591</f>
        <v/>
      </c>
      <c r="M591" t="inlineStr">
        <is>
          <t>视野内部</t>
        </is>
      </c>
      <c r="N591" t="inlineStr">
        <is>
          <t>纳入A/D/Dh；若有Pair_ID则纳入CWR</t>
        </is>
      </c>
      <c r="O591" t="inlineStr">
        <is>
          <t>自动管线检出的合格导管腔。</t>
        </is>
      </c>
      <c r="P591" t="inlineStr">
        <is>
          <t>auto_pipeline;review_png_green</t>
        </is>
      </c>
      <c r="R591" t="inlineStr">
        <is>
          <t>样品13</t>
        </is>
      </c>
    </row>
    <row r="592">
      <c r="A592" t="inlineStr">
        <is>
          <t>13(7)-V01</t>
        </is>
      </c>
      <c r="B592" t="inlineStr">
        <is>
          <t>13 (7).tif</t>
        </is>
      </c>
      <c r="C592" t="n">
        <v>601</v>
      </c>
      <c r="D592" t="n">
        <v>376</v>
      </c>
      <c r="E592" t="inlineStr">
        <is>
          <t>531,303,672,450</t>
        </is>
      </c>
      <c r="F592" t="n">
        <v>303</v>
      </c>
      <c r="G592" t="inlineStr">
        <is>
          <t>primary</t>
        </is>
      </c>
      <c r="H592" t="inlineStr">
        <is>
          <t>AUTO_VESSEL</t>
        </is>
      </c>
      <c r="I592" t="inlineStr">
        <is>
          <t>是</t>
        </is>
      </c>
      <c r="J592" t="inlineStr">
        <is>
          <t>纳入</t>
        </is>
      </c>
      <c r="K592" t="n">
        <v>756.0491493383743</v>
      </c>
      <c r="L592">
        <f>导管母表_1781!G592</f>
        <v/>
      </c>
      <c r="M592" t="inlineStr">
        <is>
          <t>视野内部</t>
        </is>
      </c>
      <c r="N592" t="inlineStr">
        <is>
          <t>纳入A/D/Dh；若有Pair_ID则纳入CWR</t>
        </is>
      </c>
      <c r="O592" t="inlineStr">
        <is>
          <t>自动管线检出的合格导管腔。</t>
        </is>
      </c>
      <c r="P592" t="inlineStr">
        <is>
          <t>auto_pipeline;review_png_green</t>
        </is>
      </c>
      <c r="R592" t="inlineStr">
        <is>
          <t>样品13</t>
        </is>
      </c>
    </row>
    <row r="593">
      <c r="A593" t="inlineStr">
        <is>
          <t>13(7)-V02</t>
        </is>
      </c>
      <c r="B593" t="inlineStr">
        <is>
          <t>13 (7).tif</t>
        </is>
      </c>
      <c r="C593" t="n">
        <v>452</v>
      </c>
      <c r="D593" t="n">
        <v>346</v>
      </c>
      <c r="E593" t="inlineStr">
        <is>
          <t>397,296,508,397</t>
        </is>
      </c>
      <c r="F593" t="n">
        <v>296</v>
      </c>
      <c r="G593" t="inlineStr">
        <is>
          <t>primary</t>
        </is>
      </c>
      <c r="H593" t="inlineStr">
        <is>
          <t>AUTO_VESSEL</t>
        </is>
      </c>
      <c r="I593" t="inlineStr">
        <is>
          <t>是</t>
        </is>
      </c>
      <c r="J593" t="inlineStr">
        <is>
          <t>纳入</t>
        </is>
      </c>
      <c r="K593" t="n">
        <v>407.7504725897921</v>
      </c>
      <c r="L593">
        <f>导管母表_1781!G593</f>
        <v/>
      </c>
      <c r="M593" t="inlineStr">
        <is>
          <t>视野内部</t>
        </is>
      </c>
      <c r="N593" t="inlineStr">
        <is>
          <t>纳入A/D/Dh；若有Pair_ID则纳入CWR</t>
        </is>
      </c>
      <c r="O593" t="inlineStr">
        <is>
          <t>自动管线检出的合格导管腔。</t>
        </is>
      </c>
      <c r="P593" t="inlineStr">
        <is>
          <t>auto_pipeline;review_png_green</t>
        </is>
      </c>
      <c r="Q593" t="inlineStr">
        <is>
          <t>13(7)-P01</t>
        </is>
      </c>
      <c r="R593" t="inlineStr">
        <is>
          <t>样品13</t>
        </is>
      </c>
    </row>
    <row r="594">
      <c r="A594" t="inlineStr">
        <is>
          <t>13(7)-V03</t>
        </is>
      </c>
      <c r="B594" t="inlineStr">
        <is>
          <t>13 (7).tif</t>
        </is>
      </c>
      <c r="C594" t="n">
        <v>921</v>
      </c>
      <c r="D594" t="n">
        <v>555</v>
      </c>
      <c r="E594" t="inlineStr">
        <is>
          <t>871,525,972,586</t>
        </is>
      </c>
      <c r="F594" t="n">
        <v>52</v>
      </c>
      <c r="G594" t="inlineStr">
        <is>
          <t>primary</t>
        </is>
      </c>
      <c r="H594" t="inlineStr">
        <is>
          <t>AUTO_VESSEL</t>
        </is>
      </c>
      <c r="I594" t="inlineStr">
        <is>
          <t>是</t>
        </is>
      </c>
      <c r="J594" t="inlineStr">
        <is>
          <t>纳入</t>
        </is>
      </c>
      <c r="K594" t="n">
        <v>212.0982986767486</v>
      </c>
      <c r="L594">
        <f>导管母表_1781!G594</f>
        <v/>
      </c>
      <c r="M594" t="inlineStr">
        <is>
          <t>视野内部</t>
        </is>
      </c>
      <c r="N594" t="inlineStr">
        <is>
          <t>纳入A/D/Dh；若有Pair_ID则纳入CWR</t>
        </is>
      </c>
      <c r="O594" t="inlineStr">
        <is>
          <t>自动管线检出的合格导管腔。</t>
        </is>
      </c>
      <c r="P594" t="inlineStr">
        <is>
          <t>auto_pipeline;review_png_green</t>
        </is>
      </c>
      <c r="R594" t="inlineStr">
        <is>
          <t>样品13</t>
        </is>
      </c>
    </row>
    <row r="595">
      <c r="A595" t="inlineStr">
        <is>
          <t>13(7)-V04</t>
        </is>
      </c>
      <c r="B595" t="inlineStr">
        <is>
          <t>13 (7).tif</t>
        </is>
      </c>
      <c r="C595" t="n">
        <v>439</v>
      </c>
      <c r="D595" t="n">
        <v>161</v>
      </c>
      <c r="E595" t="inlineStr">
        <is>
          <t>381,133,498,190</t>
        </is>
      </c>
      <c r="F595" t="n">
        <v>133</v>
      </c>
      <c r="G595" t="inlineStr">
        <is>
          <t>primary</t>
        </is>
      </c>
      <c r="H595" t="inlineStr">
        <is>
          <t>AUTO_VESSEL</t>
        </is>
      </c>
      <c r="I595" t="inlineStr">
        <is>
          <t>是</t>
        </is>
      </c>
      <c r="J595" t="inlineStr">
        <is>
          <t>纳入</t>
        </is>
      </c>
      <c r="K595" t="n">
        <v>174.976370510397</v>
      </c>
      <c r="L595">
        <f>导管母表_1781!G595</f>
        <v/>
      </c>
      <c r="M595" t="inlineStr">
        <is>
          <t>视野内部</t>
        </is>
      </c>
      <c r="N595" t="inlineStr">
        <is>
          <t>纳入A/D/Dh；若有Pair_ID则纳入CWR</t>
        </is>
      </c>
      <c r="O595" t="inlineStr">
        <is>
          <t>自动管线检出的合格导管腔。</t>
        </is>
      </c>
      <c r="P595" t="inlineStr">
        <is>
          <t>auto_pipeline;review_png_green</t>
        </is>
      </c>
      <c r="R595" t="inlineStr">
        <is>
          <t>样品13</t>
        </is>
      </c>
    </row>
    <row r="596">
      <c r="A596" t="inlineStr">
        <is>
          <t>13(7)-V05</t>
        </is>
      </c>
      <c r="B596" t="inlineStr">
        <is>
          <t>13 (7).tif</t>
        </is>
      </c>
      <c r="C596" t="n">
        <v>673</v>
      </c>
      <c r="D596" t="n">
        <v>345</v>
      </c>
      <c r="E596" t="inlineStr">
        <is>
          <t>629,306,718,385</t>
        </is>
      </c>
      <c r="F596" t="n">
        <v>306</v>
      </c>
      <c r="G596" t="inlineStr">
        <is>
          <t>primary</t>
        </is>
      </c>
      <c r="H596" t="inlineStr">
        <is>
          <t>AUTO_VESSEL</t>
        </is>
      </c>
      <c r="I596" t="inlineStr">
        <is>
          <t>是</t>
        </is>
      </c>
      <c r="J596" t="inlineStr">
        <is>
          <t>纳入</t>
        </is>
      </c>
      <c r="K596" t="n">
        <v>133.2939508506616</v>
      </c>
      <c r="L596">
        <f>导管母表_1781!G596</f>
        <v/>
      </c>
      <c r="M596" t="inlineStr">
        <is>
          <t>视野内部</t>
        </is>
      </c>
      <c r="N596" t="inlineStr">
        <is>
          <t>纳入A/D/Dh；若有Pair_ID则纳入CWR</t>
        </is>
      </c>
      <c r="O596" t="inlineStr">
        <is>
          <t>自动管线检出的合格导管腔。</t>
        </is>
      </c>
      <c r="P596" t="inlineStr">
        <is>
          <t>auto_pipeline;review_png_green</t>
        </is>
      </c>
      <c r="R596" t="inlineStr">
        <is>
          <t>样品13</t>
        </is>
      </c>
    </row>
    <row r="597">
      <c r="A597" t="inlineStr">
        <is>
          <t>13(7)-V06</t>
        </is>
      </c>
      <c r="B597" t="inlineStr">
        <is>
          <t>13 (7).tif</t>
        </is>
      </c>
      <c r="C597" t="n">
        <v>715</v>
      </c>
      <c r="D597" t="n">
        <v>502</v>
      </c>
      <c r="E597" t="inlineStr">
        <is>
          <t>672,483,759,522</t>
        </is>
      </c>
      <c r="F597" t="n">
        <v>246</v>
      </c>
      <c r="G597" t="inlineStr">
        <is>
          <t>primary</t>
        </is>
      </c>
      <c r="H597" t="inlineStr">
        <is>
          <t>AUTO_VESSEL</t>
        </is>
      </c>
      <c r="I597" t="inlineStr">
        <is>
          <t>是</t>
        </is>
      </c>
      <c r="J597" t="inlineStr">
        <is>
          <t>纳入</t>
        </is>
      </c>
      <c r="K597" t="n">
        <v>117.2022684310019</v>
      </c>
      <c r="L597">
        <f>导管母表_1781!G597</f>
        <v/>
      </c>
      <c r="M597" t="inlineStr">
        <is>
          <t>视野内部</t>
        </is>
      </c>
      <c r="N597" t="inlineStr">
        <is>
          <t>纳入A/D/Dh；若有Pair_ID则纳入CWR</t>
        </is>
      </c>
      <c r="O597" t="inlineStr">
        <is>
          <t>自动管线检出的合格导管腔。</t>
        </is>
      </c>
      <c r="P597" t="inlineStr">
        <is>
          <t>auto_pipeline;review_png_green</t>
        </is>
      </c>
      <c r="R597" t="inlineStr">
        <is>
          <t>样品13</t>
        </is>
      </c>
    </row>
    <row r="598">
      <c r="A598" t="inlineStr">
        <is>
          <t>13(7)-V07</t>
        </is>
      </c>
      <c r="B598" t="inlineStr">
        <is>
          <t>13 (7).tif</t>
        </is>
      </c>
      <c r="C598" t="n">
        <v>506</v>
      </c>
      <c r="D598" t="n">
        <v>397</v>
      </c>
      <c r="E598" t="inlineStr">
        <is>
          <t>481,372,532,423</t>
        </is>
      </c>
      <c r="F598" t="n">
        <v>345</v>
      </c>
      <c r="G598" t="inlineStr">
        <is>
          <t>primary</t>
        </is>
      </c>
      <c r="H598" t="inlineStr">
        <is>
          <t>AUTO_VESSEL</t>
        </is>
      </c>
      <c r="I598" t="inlineStr">
        <is>
          <t>是</t>
        </is>
      </c>
      <c r="J598" t="inlineStr">
        <is>
          <t>纳入</t>
        </is>
      </c>
      <c r="K598" t="n">
        <v>84.78260869565217</v>
      </c>
      <c r="L598">
        <f>导管母表_1781!G598</f>
        <v/>
      </c>
      <c r="M598" t="inlineStr">
        <is>
          <t>视野内部</t>
        </is>
      </c>
      <c r="N598" t="inlineStr">
        <is>
          <t>纳入A/D/Dh；若有Pair_ID则纳入CWR</t>
        </is>
      </c>
      <c r="O598" t="inlineStr">
        <is>
          <t>自动管线检出的合格导管腔。</t>
        </is>
      </c>
      <c r="P598" t="inlineStr">
        <is>
          <t>auto_pipeline;review_png_green</t>
        </is>
      </c>
      <c r="Q598" t="inlineStr">
        <is>
          <t>13(7)-P01</t>
        </is>
      </c>
      <c r="R598" t="inlineStr">
        <is>
          <t>样品13</t>
        </is>
      </c>
    </row>
    <row r="599">
      <c r="A599" t="inlineStr">
        <is>
          <t>13(8)-V01</t>
        </is>
      </c>
      <c r="B599" t="inlineStr">
        <is>
          <t>13 (8).tif</t>
        </is>
      </c>
      <c r="C599" t="n">
        <v>582</v>
      </c>
      <c r="D599" t="n">
        <v>358</v>
      </c>
      <c r="E599" t="inlineStr">
        <is>
          <t>506,286,659,431</t>
        </is>
      </c>
      <c r="F599" t="n">
        <v>286</v>
      </c>
      <c r="G599" t="inlineStr">
        <is>
          <t>primary</t>
        </is>
      </c>
      <c r="H599" t="inlineStr">
        <is>
          <t>AUTO_VESSEL</t>
        </is>
      </c>
      <c r="I599" t="inlineStr">
        <is>
          <t>是</t>
        </is>
      </c>
      <c r="J599" t="inlineStr">
        <is>
          <t>纳入</t>
        </is>
      </c>
      <c r="K599" t="n">
        <v>809.68809073724</v>
      </c>
      <c r="L599">
        <f>导管母表_1781!G599</f>
        <v/>
      </c>
      <c r="M599" t="inlineStr">
        <is>
          <t>视野内部</t>
        </is>
      </c>
      <c r="N599" t="inlineStr">
        <is>
          <t>纳入A/D/Dh；若有Pair_ID则纳入CWR</t>
        </is>
      </c>
      <c r="O599" t="inlineStr">
        <is>
          <t>自动管线检出的合格导管腔。</t>
        </is>
      </c>
      <c r="P599" t="inlineStr">
        <is>
          <t>auto_pipeline;review_png_green</t>
        </is>
      </c>
      <c r="R599" t="inlineStr">
        <is>
          <t>样品13</t>
        </is>
      </c>
    </row>
    <row r="600">
      <c r="A600" t="inlineStr">
        <is>
          <t>13(8)-V02</t>
        </is>
      </c>
      <c r="B600" t="inlineStr">
        <is>
          <t>13 (8).tif</t>
        </is>
      </c>
      <c r="C600" t="n">
        <v>676</v>
      </c>
      <c r="D600" t="n">
        <v>561</v>
      </c>
      <c r="E600" t="inlineStr">
        <is>
          <t>598,494,755,629</t>
        </is>
      </c>
      <c r="F600" t="n">
        <v>139</v>
      </c>
      <c r="G600" t="inlineStr">
        <is>
          <t>primary</t>
        </is>
      </c>
      <c r="H600" t="inlineStr">
        <is>
          <t>AUTO_VESSEL</t>
        </is>
      </c>
      <c r="I600" t="inlineStr">
        <is>
          <t>是</t>
        </is>
      </c>
      <c r="J600" t="inlineStr">
        <is>
          <t>纳入</t>
        </is>
      </c>
      <c r="K600" t="n">
        <v>697.069943289225</v>
      </c>
      <c r="L600">
        <f>导管母表_1781!G600</f>
        <v/>
      </c>
      <c r="M600" t="inlineStr">
        <is>
          <t>视野内部</t>
        </is>
      </c>
      <c r="N600" t="inlineStr">
        <is>
          <t>纳入A/D/Dh；若有Pair_ID则纳入CWR</t>
        </is>
      </c>
      <c r="O600" t="inlineStr">
        <is>
          <t>自动管线检出的合格导管腔。</t>
        </is>
      </c>
      <c r="P600" t="inlineStr">
        <is>
          <t>auto_pipeline;review_png_green</t>
        </is>
      </c>
      <c r="R600" t="inlineStr">
        <is>
          <t>样品13</t>
        </is>
      </c>
    </row>
    <row r="601">
      <c r="A601" t="inlineStr">
        <is>
          <t>13(8)-V03</t>
        </is>
      </c>
      <c r="B601" t="inlineStr">
        <is>
          <t>13 (8).tif</t>
        </is>
      </c>
      <c r="C601" t="n">
        <v>167</v>
      </c>
      <c r="D601" t="n">
        <v>591</v>
      </c>
      <c r="E601" t="inlineStr">
        <is>
          <t>135,566,200,617</t>
        </is>
      </c>
      <c r="F601" t="n">
        <v>135</v>
      </c>
      <c r="G601" t="inlineStr">
        <is>
          <t>primary</t>
        </is>
      </c>
      <c r="H601" t="inlineStr">
        <is>
          <t>AUTO_VESSEL</t>
        </is>
      </c>
      <c r="I601" t="inlineStr">
        <is>
          <t>是</t>
        </is>
      </c>
      <c r="J601" t="inlineStr">
        <is>
          <t>纳入</t>
        </is>
      </c>
      <c r="K601" t="n">
        <v>104.6786389413989</v>
      </c>
      <c r="L601">
        <f>导管母表_1781!G601</f>
        <v/>
      </c>
      <c r="M601" t="inlineStr">
        <is>
          <t>视野内部</t>
        </is>
      </c>
      <c r="N601" t="inlineStr">
        <is>
          <t>纳入A/D/Dh；若有Pair_ID则纳入CWR</t>
        </is>
      </c>
      <c r="O601" t="inlineStr">
        <is>
          <t>自动管线检出的合格导管腔。</t>
        </is>
      </c>
      <c r="P601" t="inlineStr">
        <is>
          <t>auto_pipeline;review_png_green</t>
        </is>
      </c>
      <c r="R601" t="inlineStr">
        <is>
          <t>样品13</t>
        </is>
      </c>
    </row>
    <row r="602">
      <c r="A602" t="inlineStr">
        <is>
          <t>14(1)-V01</t>
        </is>
      </c>
      <c r="B602" t="inlineStr">
        <is>
          <t>14 (1).tif</t>
        </is>
      </c>
      <c r="C602" t="n">
        <v>495</v>
      </c>
      <c r="D602" t="n">
        <v>460</v>
      </c>
      <c r="E602" t="inlineStr">
        <is>
          <t>427,401,564,520</t>
        </is>
      </c>
      <c r="F602" t="n">
        <v>248</v>
      </c>
      <c r="G602" t="inlineStr">
        <is>
          <t>primary</t>
        </is>
      </c>
      <c r="H602" t="inlineStr">
        <is>
          <t>AUTO_VESSEL</t>
        </is>
      </c>
      <c r="I602" t="inlineStr">
        <is>
          <t>是</t>
        </is>
      </c>
      <c r="J602" t="inlineStr">
        <is>
          <t>纳入</t>
        </is>
      </c>
      <c r="K602" t="n">
        <v>583.8374291115312</v>
      </c>
      <c r="L602">
        <f>导管母表_1781!G602</f>
        <v/>
      </c>
      <c r="M602" t="inlineStr">
        <is>
          <t>视野内部</t>
        </is>
      </c>
      <c r="N602" t="inlineStr">
        <is>
          <t>纳入A/D/Dh；若有Pair_ID则纳入CWR</t>
        </is>
      </c>
      <c r="O602" t="inlineStr">
        <is>
          <t>自动管线检出的合格导管腔。</t>
        </is>
      </c>
      <c r="P602" t="inlineStr">
        <is>
          <t>auto_pipeline;review_png_green</t>
        </is>
      </c>
      <c r="R602" t="inlineStr">
        <is>
          <t>样品14</t>
        </is>
      </c>
    </row>
    <row r="603">
      <c r="A603" t="inlineStr">
        <is>
          <t>14(1)-V02</t>
        </is>
      </c>
      <c r="B603" t="inlineStr">
        <is>
          <t>14 (1).tif</t>
        </is>
      </c>
      <c r="C603" t="n">
        <v>501</v>
      </c>
      <c r="D603" t="n">
        <v>320</v>
      </c>
      <c r="E603" t="inlineStr">
        <is>
          <t>437,261,566,380</t>
        </is>
      </c>
      <c r="F603" t="n">
        <v>261</v>
      </c>
      <c r="G603" t="inlineStr">
        <is>
          <t>primary</t>
        </is>
      </c>
      <c r="H603" t="inlineStr">
        <is>
          <t>AUTO_VESSEL</t>
        </is>
      </c>
      <c r="I603" t="inlineStr">
        <is>
          <t>是</t>
        </is>
      </c>
      <c r="J603" t="inlineStr">
        <is>
          <t>纳入</t>
        </is>
      </c>
      <c r="K603" t="n">
        <v>559.8771266540642</v>
      </c>
      <c r="L603">
        <f>导管母表_1781!G603</f>
        <v/>
      </c>
      <c r="M603" t="inlineStr">
        <is>
          <t>视野内部</t>
        </is>
      </c>
      <c r="N603" t="inlineStr">
        <is>
          <t>纳入A/D/Dh；若有Pair_ID则纳入CWR</t>
        </is>
      </c>
      <c r="O603" t="inlineStr">
        <is>
          <t>自动管线检出的合格导管腔。</t>
        </is>
      </c>
      <c r="P603" t="inlineStr">
        <is>
          <t>auto_pipeline;review_png_green</t>
        </is>
      </c>
      <c r="R603" t="inlineStr">
        <is>
          <t>样品14</t>
        </is>
      </c>
    </row>
    <row r="604">
      <c r="A604" t="inlineStr">
        <is>
          <t>14(1)-V03</t>
        </is>
      </c>
      <c r="B604" t="inlineStr">
        <is>
          <t>14 (1).tif</t>
        </is>
      </c>
      <c r="C604" t="n">
        <v>79</v>
      </c>
      <c r="D604" t="n">
        <v>584</v>
      </c>
      <c r="E604" t="inlineStr">
        <is>
          <t>32,538,127,631</t>
        </is>
      </c>
      <c r="F604" t="n">
        <v>32</v>
      </c>
      <c r="G604" t="inlineStr">
        <is>
          <t>primary</t>
        </is>
      </c>
      <c r="H604" t="inlineStr">
        <is>
          <t>AUTO_VESSEL</t>
        </is>
      </c>
      <c r="I604" t="inlineStr">
        <is>
          <t>是</t>
        </is>
      </c>
      <c r="J604" t="inlineStr">
        <is>
          <t>纳入</t>
        </is>
      </c>
      <c r="K604" t="n">
        <v>177.882797731569</v>
      </c>
      <c r="L604">
        <f>导管母表_1781!G604</f>
        <v/>
      </c>
      <c r="M604" t="inlineStr">
        <is>
          <t>视野内部</t>
        </is>
      </c>
      <c r="N604" t="inlineStr">
        <is>
          <t>纳入A/D/Dh；若有Pair_ID则纳入CWR</t>
        </is>
      </c>
      <c r="O604" t="inlineStr">
        <is>
          <t>自动管线检出的合格导管腔。</t>
        </is>
      </c>
      <c r="P604" t="inlineStr">
        <is>
          <t>auto_pipeline;review_png_green</t>
        </is>
      </c>
      <c r="R604" t="inlineStr">
        <is>
          <t>样品14</t>
        </is>
      </c>
    </row>
    <row r="605">
      <c r="A605" t="inlineStr">
        <is>
          <t>14(1)-V04</t>
        </is>
      </c>
      <c r="B605" t="inlineStr">
        <is>
          <t>14 (1).tif</t>
        </is>
      </c>
      <c r="C605" t="n">
        <v>644</v>
      </c>
      <c r="D605" t="n">
        <v>336</v>
      </c>
      <c r="E605" t="inlineStr">
        <is>
          <t>616,300,673,373</t>
        </is>
      </c>
      <c r="F605" t="n">
        <v>300</v>
      </c>
      <c r="G605" t="inlineStr">
        <is>
          <t>primary</t>
        </is>
      </c>
      <c r="H605" t="inlineStr">
        <is>
          <t>AUTO_VESSEL</t>
        </is>
      </c>
      <c r="I605" t="inlineStr">
        <is>
          <t>是</t>
        </is>
      </c>
      <c r="J605" t="inlineStr">
        <is>
          <t>纳入</t>
        </is>
      </c>
      <c r="K605" t="n">
        <v>146.2429111531191</v>
      </c>
      <c r="L605">
        <f>导管母表_1781!G605</f>
        <v/>
      </c>
      <c r="M605" t="inlineStr">
        <is>
          <t>视野内部</t>
        </is>
      </c>
      <c r="N605" t="inlineStr">
        <is>
          <t>纳入A/D/Dh；若有Pair_ID则纳入CWR</t>
        </is>
      </c>
      <c r="O605" t="inlineStr">
        <is>
          <t>自动管线检出的合格导管腔。</t>
        </is>
      </c>
      <c r="P605" t="inlineStr">
        <is>
          <t>auto_pipeline;review_png_green</t>
        </is>
      </c>
      <c r="R605" t="inlineStr">
        <is>
          <t>样品14</t>
        </is>
      </c>
    </row>
    <row r="606">
      <c r="A606" t="inlineStr">
        <is>
          <t>14(1)-V05</t>
        </is>
      </c>
      <c r="B606" t="inlineStr">
        <is>
          <t>14 (1).tif</t>
        </is>
      </c>
      <c r="C606" t="n">
        <v>640</v>
      </c>
      <c r="D606" t="n">
        <v>267</v>
      </c>
      <c r="E606" t="inlineStr">
        <is>
          <t>599,246,682,289</t>
        </is>
      </c>
      <c r="F606" t="n">
        <v>246</v>
      </c>
      <c r="G606" t="inlineStr">
        <is>
          <t>primary</t>
        </is>
      </c>
      <c r="H606" t="inlineStr">
        <is>
          <t>AUTO_VESSEL</t>
        </is>
      </c>
      <c r="I606" t="inlineStr">
        <is>
          <t>是</t>
        </is>
      </c>
      <c r="J606" t="inlineStr">
        <is>
          <t>纳入</t>
        </is>
      </c>
      <c r="K606" t="n">
        <v>127.882797731569</v>
      </c>
      <c r="L606">
        <f>导管母表_1781!G606</f>
        <v/>
      </c>
      <c r="M606" t="inlineStr">
        <is>
          <t>视野内部</t>
        </is>
      </c>
      <c r="N606" t="inlineStr">
        <is>
          <t>纳入A/D/Dh；若有Pair_ID则纳入CWR</t>
        </is>
      </c>
      <c r="O606" t="inlineStr">
        <is>
          <t>自动管线检出的合格导管腔。</t>
        </is>
      </c>
      <c r="P606" t="inlineStr">
        <is>
          <t>auto_pipeline;review_png_green</t>
        </is>
      </c>
      <c r="R606" t="inlineStr">
        <is>
          <t>样品14</t>
        </is>
      </c>
    </row>
    <row r="607">
      <c r="A607" t="inlineStr">
        <is>
          <t>14(1)-V06</t>
        </is>
      </c>
      <c r="B607" t="inlineStr">
        <is>
          <t>14 (1).tif</t>
        </is>
      </c>
      <c r="C607" t="n">
        <v>75</v>
      </c>
      <c r="D607" t="n">
        <v>263</v>
      </c>
      <c r="E607" t="inlineStr">
        <is>
          <t>38,242,113,285</t>
        </is>
      </c>
      <c r="F607" t="n">
        <v>38</v>
      </c>
      <c r="G607" t="inlineStr">
        <is>
          <t>primary</t>
        </is>
      </c>
      <c r="H607" t="inlineStr">
        <is>
          <t>AUTO_VESSEL</t>
        </is>
      </c>
      <c r="I607" t="inlineStr">
        <is>
          <t>是</t>
        </is>
      </c>
      <c r="J607" t="inlineStr">
        <is>
          <t>纳入</t>
        </is>
      </c>
      <c r="K607" t="n">
        <v>109.617202268431</v>
      </c>
      <c r="L607">
        <f>导管母表_1781!G607</f>
        <v/>
      </c>
      <c r="M607" t="inlineStr">
        <is>
          <t>视野内部</t>
        </is>
      </c>
      <c r="N607" t="inlineStr">
        <is>
          <t>纳入A/D/Dh；若有Pair_ID则纳入CWR</t>
        </is>
      </c>
      <c r="O607" t="inlineStr">
        <is>
          <t>自动管线检出的合格导管腔。</t>
        </is>
      </c>
      <c r="P607" t="inlineStr">
        <is>
          <t>auto_pipeline;review_png_green</t>
        </is>
      </c>
      <c r="R607" t="inlineStr">
        <is>
          <t>样品14</t>
        </is>
      </c>
    </row>
    <row r="608">
      <c r="A608" t="inlineStr">
        <is>
          <t>14(2)-V01</t>
        </is>
      </c>
      <c r="B608" t="inlineStr">
        <is>
          <t>14 (2).tif</t>
        </is>
      </c>
      <c r="C608" t="n">
        <v>529</v>
      </c>
      <c r="D608" t="n">
        <v>293</v>
      </c>
      <c r="E608" t="inlineStr">
        <is>
          <t>457,224,602,363</t>
        </is>
      </c>
      <c r="F608" t="n">
        <v>224</v>
      </c>
      <c r="G608" t="inlineStr">
        <is>
          <t>primary</t>
        </is>
      </c>
      <c r="H608" t="inlineStr">
        <is>
          <t>AUTO_VESSEL</t>
        </is>
      </c>
      <c r="I608" t="inlineStr">
        <is>
          <t>是</t>
        </is>
      </c>
      <c r="J608" t="inlineStr">
        <is>
          <t>纳入</t>
        </is>
      </c>
      <c r="K608" t="n">
        <v>736.4130434782609</v>
      </c>
      <c r="L608">
        <f>导管母表_1781!G608</f>
        <v/>
      </c>
      <c r="M608" t="inlineStr">
        <is>
          <t>视野内部</t>
        </is>
      </c>
      <c r="N608" t="inlineStr">
        <is>
          <t>纳入A/D/Dh；若有Pair_ID则纳入CWR</t>
        </is>
      </c>
      <c r="O608" t="inlineStr">
        <is>
          <t>自动管线检出的合格导管腔。</t>
        </is>
      </c>
      <c r="P608" t="inlineStr">
        <is>
          <t>auto_pipeline;review_png_green</t>
        </is>
      </c>
      <c r="R608" t="inlineStr">
        <is>
          <t>样品14</t>
        </is>
      </c>
    </row>
    <row r="609">
      <c r="A609" t="inlineStr">
        <is>
          <t>14(2)-V02</t>
        </is>
      </c>
      <c r="B609" t="inlineStr">
        <is>
          <t>14 (2).tif</t>
        </is>
      </c>
      <c r="C609" t="n">
        <v>112</v>
      </c>
      <c r="D609" t="n">
        <v>57</v>
      </c>
      <c r="E609" t="inlineStr">
        <is>
          <t>82,6,143,109</t>
        </is>
      </c>
      <c r="F609" t="n">
        <v>6</v>
      </c>
      <c r="G609" t="inlineStr">
        <is>
          <t>primary</t>
        </is>
      </c>
      <c r="H609" t="inlineStr">
        <is>
          <t>AUTO_VESSEL</t>
        </is>
      </c>
      <c r="I609" t="inlineStr">
        <is>
          <t>是</t>
        </is>
      </c>
      <c r="J609" t="inlineStr">
        <is>
          <t>纳入</t>
        </is>
      </c>
      <c r="K609" t="n">
        <v>227.2211720226843</v>
      </c>
      <c r="L609">
        <f>导管母表_1781!G609</f>
        <v/>
      </c>
      <c r="M609" t="inlineStr">
        <is>
          <t>近边缘（&lt;25 px）</t>
        </is>
      </c>
      <c r="N609" t="inlineStr">
        <is>
          <t>纳入A/D/Dh；若有Pair_ID则纳入CWR</t>
        </is>
      </c>
      <c r="O609" t="inlineStr">
        <is>
          <t>自动管线检出的合格导管腔。</t>
        </is>
      </c>
      <c r="P609" t="inlineStr">
        <is>
          <t>auto_pipeline;review_png_green</t>
        </is>
      </c>
      <c r="R609" t="inlineStr">
        <is>
          <t>样品14</t>
        </is>
      </c>
    </row>
    <row r="610">
      <c r="A610" t="inlineStr">
        <is>
          <t>14(2)-V03</t>
        </is>
      </c>
      <c r="B610" t="inlineStr">
        <is>
          <t>14 (2).tif</t>
        </is>
      </c>
      <c r="C610" t="n">
        <v>218</v>
      </c>
      <c r="D610" t="n">
        <v>437</v>
      </c>
      <c r="E610" t="inlineStr">
        <is>
          <t>190,407,247,468</t>
        </is>
      </c>
      <c r="F610" t="n">
        <v>190</v>
      </c>
      <c r="G610" t="inlineStr">
        <is>
          <t>primary</t>
        </is>
      </c>
      <c r="H610" t="inlineStr">
        <is>
          <t>AUTO_VESSEL</t>
        </is>
      </c>
      <c r="I610" t="inlineStr">
        <is>
          <t>是</t>
        </is>
      </c>
      <c r="J610" t="inlineStr">
        <is>
          <t>纳入</t>
        </is>
      </c>
      <c r="K610" t="n">
        <v>123.2514177693762</v>
      </c>
      <c r="L610">
        <f>导管母表_1781!G610</f>
        <v/>
      </c>
      <c r="M610" t="inlineStr">
        <is>
          <t>视野内部</t>
        </is>
      </c>
      <c r="N610" t="inlineStr">
        <is>
          <t>纳入A/D/Dh；若有Pair_ID则纳入CWR</t>
        </is>
      </c>
      <c r="O610" t="inlineStr">
        <is>
          <t>自动管线检出的合格导管腔。</t>
        </is>
      </c>
      <c r="P610" t="inlineStr">
        <is>
          <t>auto_pipeline;review_png_green</t>
        </is>
      </c>
      <c r="R610" t="inlineStr">
        <is>
          <t>样品14</t>
        </is>
      </c>
    </row>
    <row r="611">
      <c r="A611" t="inlineStr">
        <is>
          <t>14(2)-V04</t>
        </is>
      </c>
      <c r="B611" t="inlineStr">
        <is>
          <t>14 (2).tif</t>
        </is>
      </c>
      <c r="C611" t="n">
        <v>360</v>
      </c>
      <c r="D611" t="n">
        <v>231</v>
      </c>
      <c r="E611" t="inlineStr">
        <is>
          <t>331,198,390,265</t>
        </is>
      </c>
      <c r="F611" t="n">
        <v>198</v>
      </c>
      <c r="G611" t="inlineStr">
        <is>
          <t>primary</t>
        </is>
      </c>
      <c r="H611" t="inlineStr">
        <is>
          <t>AUTO_VESSEL</t>
        </is>
      </c>
      <c r="I611" t="inlineStr">
        <is>
          <t>是</t>
        </is>
      </c>
      <c r="J611" t="inlineStr">
        <is>
          <t>纳入</t>
        </is>
      </c>
      <c r="K611" t="n">
        <v>121.5973534971645</v>
      </c>
      <c r="L611">
        <f>导管母表_1781!G611</f>
        <v/>
      </c>
      <c r="M611" t="inlineStr">
        <is>
          <t>视野内部</t>
        </is>
      </c>
      <c r="N611" t="inlineStr">
        <is>
          <t>纳入A/D/Dh；若有Pair_ID则纳入CWR</t>
        </is>
      </c>
      <c r="O611" t="inlineStr">
        <is>
          <t>自动管线检出的合格导管腔。</t>
        </is>
      </c>
      <c r="P611" t="inlineStr">
        <is>
          <t>auto_pipeline;review_png_green</t>
        </is>
      </c>
      <c r="R611" t="inlineStr">
        <is>
          <t>样品14</t>
        </is>
      </c>
    </row>
    <row r="612">
      <c r="A612" t="inlineStr">
        <is>
          <t>14(3)-V01</t>
        </is>
      </c>
      <c r="B612" t="inlineStr">
        <is>
          <t>14 (3).tif</t>
        </is>
      </c>
      <c r="C612" t="n">
        <v>414</v>
      </c>
      <c r="D612" t="n">
        <v>366</v>
      </c>
      <c r="E612" t="inlineStr">
        <is>
          <t>335,279,494,454</t>
        </is>
      </c>
      <c r="F612" t="n">
        <v>279</v>
      </c>
      <c r="G612" t="inlineStr">
        <is>
          <t>primary</t>
        </is>
      </c>
      <c r="H612" t="inlineStr">
        <is>
          <t>AUTO_VESSEL</t>
        </is>
      </c>
      <c r="I612" t="inlineStr">
        <is>
          <t>是</t>
        </is>
      </c>
      <c r="J612" t="inlineStr">
        <is>
          <t>纳入</t>
        </is>
      </c>
      <c r="K612" t="n">
        <v>979.0170132325142</v>
      </c>
      <c r="L612">
        <f>导管母表_1781!G612</f>
        <v/>
      </c>
      <c r="M612" t="inlineStr">
        <is>
          <t>视野内部</t>
        </is>
      </c>
      <c r="N612" t="inlineStr">
        <is>
          <t>纳入A/D/Dh；若有Pair_ID则纳入CWR</t>
        </is>
      </c>
      <c r="O612" t="inlineStr">
        <is>
          <t>自动管线检出的合格导管腔。</t>
        </is>
      </c>
      <c r="P612" t="inlineStr">
        <is>
          <t>auto_pipeline;review_png_green</t>
        </is>
      </c>
      <c r="R612" t="inlineStr">
        <is>
          <t>样品14</t>
        </is>
      </c>
    </row>
    <row r="613">
      <c r="A613" t="inlineStr">
        <is>
          <t>14(3)-V02</t>
        </is>
      </c>
      <c r="B613" t="inlineStr">
        <is>
          <t>14 (3).tif</t>
        </is>
      </c>
      <c r="C613" t="n">
        <v>71</v>
      </c>
      <c r="D613" t="n">
        <v>378</v>
      </c>
      <c r="E613" t="inlineStr">
        <is>
          <t>19,328,124,429</t>
        </is>
      </c>
      <c r="F613" t="n">
        <v>19</v>
      </c>
      <c r="G613" t="inlineStr">
        <is>
          <t>primary</t>
        </is>
      </c>
      <c r="H613" t="inlineStr">
        <is>
          <t>AUTO_VESSEL</t>
        </is>
      </c>
      <c r="I613" t="inlineStr">
        <is>
          <t>是</t>
        </is>
      </c>
      <c r="J613" t="inlineStr">
        <is>
          <t>纳入</t>
        </is>
      </c>
      <c r="K613" t="n">
        <v>359.4045368620038</v>
      </c>
      <c r="L613">
        <f>导管母表_1781!G613</f>
        <v/>
      </c>
      <c r="M613" t="inlineStr">
        <is>
          <t>近边缘（&lt;25 px）</t>
        </is>
      </c>
      <c r="N613" t="inlineStr">
        <is>
          <t>纳入A/D/Dh；若有Pair_ID则纳入CWR</t>
        </is>
      </c>
      <c r="O613" t="inlineStr">
        <is>
          <t>自动管线检出的合格导管腔。</t>
        </is>
      </c>
      <c r="P613" t="inlineStr">
        <is>
          <t>auto_pipeline;review_png_green</t>
        </is>
      </c>
      <c r="R613" t="inlineStr">
        <is>
          <t>样品14</t>
        </is>
      </c>
    </row>
    <row r="614">
      <c r="A614" t="inlineStr">
        <is>
          <t>14(3)-V03</t>
        </is>
      </c>
      <c r="B614" t="inlineStr">
        <is>
          <t>14 (3).tif</t>
        </is>
      </c>
      <c r="C614" t="n">
        <v>125</v>
      </c>
      <c r="D614" t="n">
        <v>277</v>
      </c>
      <c r="E614" t="inlineStr">
        <is>
          <t>86,241,165,314</t>
        </is>
      </c>
      <c r="F614" t="n">
        <v>86</v>
      </c>
      <c r="G614" t="inlineStr">
        <is>
          <t>primary</t>
        </is>
      </c>
      <c r="H614" t="inlineStr">
        <is>
          <t>AUTO_VESSEL</t>
        </is>
      </c>
      <c r="I614" t="inlineStr">
        <is>
          <t>是</t>
        </is>
      </c>
      <c r="J614" t="inlineStr">
        <is>
          <t>纳入</t>
        </is>
      </c>
      <c r="K614" t="n">
        <v>206.0964083175803</v>
      </c>
      <c r="L614">
        <f>导管母表_1781!G614</f>
        <v/>
      </c>
      <c r="M614" t="inlineStr">
        <is>
          <t>视野内部</t>
        </is>
      </c>
      <c r="N614" t="inlineStr">
        <is>
          <t>纳入A/D/Dh；若有Pair_ID则纳入CWR</t>
        </is>
      </c>
      <c r="O614" t="inlineStr">
        <is>
          <t>自动管线检出的合格导管腔。</t>
        </is>
      </c>
      <c r="P614" t="inlineStr">
        <is>
          <t>auto_pipeline;review_png_green</t>
        </is>
      </c>
      <c r="R614" t="inlineStr">
        <is>
          <t>样品14</t>
        </is>
      </c>
    </row>
    <row r="615">
      <c r="A615" t="inlineStr">
        <is>
          <t>14(3)-V04</t>
        </is>
      </c>
      <c r="B615" t="inlineStr">
        <is>
          <t>14 (3).tif</t>
        </is>
      </c>
      <c r="C615" t="n">
        <v>723</v>
      </c>
      <c r="D615" t="n">
        <v>124</v>
      </c>
      <c r="E615" t="inlineStr">
        <is>
          <t>697,88,750,161</t>
        </is>
      </c>
      <c r="F615" t="n">
        <v>88</v>
      </c>
      <c r="G615" t="inlineStr">
        <is>
          <t>primary</t>
        </is>
      </c>
      <c r="H615" t="inlineStr">
        <is>
          <t>AUTO_VESSEL</t>
        </is>
      </c>
      <c r="I615" t="inlineStr">
        <is>
          <t>是</t>
        </is>
      </c>
      <c r="J615" t="inlineStr">
        <is>
          <t>纳入</t>
        </is>
      </c>
      <c r="K615" t="n">
        <v>137.6181474480151</v>
      </c>
      <c r="L615">
        <f>导管母表_1781!G615</f>
        <v/>
      </c>
      <c r="M615" t="inlineStr">
        <is>
          <t>视野内部</t>
        </is>
      </c>
      <c r="N615" t="inlineStr">
        <is>
          <t>纳入A/D/Dh；若有Pair_ID则纳入CWR</t>
        </is>
      </c>
      <c r="O615" t="inlineStr">
        <is>
          <t>自动管线检出的合格导管腔。</t>
        </is>
      </c>
      <c r="P615" t="inlineStr">
        <is>
          <t>auto_pipeline;review_png_green</t>
        </is>
      </c>
      <c r="R615" t="inlineStr">
        <is>
          <t>样品14</t>
        </is>
      </c>
    </row>
    <row r="616">
      <c r="A616" t="inlineStr">
        <is>
          <t>14(4)-V01</t>
        </is>
      </c>
      <c r="B616" t="inlineStr">
        <is>
          <t>14 (4).tif</t>
        </is>
      </c>
      <c r="C616" t="n">
        <v>487</v>
      </c>
      <c r="D616" t="n">
        <v>499</v>
      </c>
      <c r="E616" t="inlineStr">
        <is>
          <t>421,424,554,575</t>
        </is>
      </c>
      <c r="F616" t="n">
        <v>193</v>
      </c>
      <c r="G616" t="inlineStr">
        <is>
          <t>primary</t>
        </is>
      </c>
      <c r="H616" t="inlineStr">
        <is>
          <t>AUTO_VESSEL</t>
        </is>
      </c>
      <c r="I616" t="inlineStr">
        <is>
          <t>是</t>
        </is>
      </c>
      <c r="J616" t="inlineStr">
        <is>
          <t>纳入</t>
        </is>
      </c>
      <c r="K616" t="n">
        <v>711.7674858223062</v>
      </c>
      <c r="L616">
        <f>导管母表_1781!G616</f>
        <v/>
      </c>
      <c r="M616" t="inlineStr">
        <is>
          <t>视野内部</t>
        </is>
      </c>
      <c r="N616" t="inlineStr">
        <is>
          <t>纳入A/D/Dh；若有Pair_ID则纳入CWR</t>
        </is>
      </c>
      <c r="O616" t="inlineStr">
        <is>
          <t>自动管线检出的合格导管腔。</t>
        </is>
      </c>
      <c r="P616" t="inlineStr">
        <is>
          <t>auto_pipeline;review_png_green</t>
        </is>
      </c>
      <c r="R616" t="inlineStr">
        <is>
          <t>样品14</t>
        </is>
      </c>
    </row>
    <row r="617">
      <c r="A617" t="inlineStr">
        <is>
          <t>14(4)-V02</t>
        </is>
      </c>
      <c r="B617" t="inlineStr">
        <is>
          <t>14 (4).tif</t>
        </is>
      </c>
      <c r="C617" t="n">
        <v>486</v>
      </c>
      <c r="D617" t="n">
        <v>320</v>
      </c>
      <c r="E617" t="inlineStr">
        <is>
          <t>424,259,549,382</t>
        </is>
      </c>
      <c r="F617" t="n">
        <v>259</v>
      </c>
      <c r="G617" t="inlineStr">
        <is>
          <t>primary</t>
        </is>
      </c>
      <c r="H617" t="inlineStr">
        <is>
          <t>AUTO_VESSEL</t>
        </is>
      </c>
      <c r="I617" t="inlineStr">
        <is>
          <t>是</t>
        </is>
      </c>
      <c r="J617" t="inlineStr">
        <is>
          <t>纳入</t>
        </is>
      </c>
      <c r="K617" t="n">
        <v>536.6020793950851</v>
      </c>
      <c r="L617">
        <f>导管母表_1781!G617</f>
        <v/>
      </c>
      <c r="M617" t="inlineStr">
        <is>
          <t>视野内部</t>
        </is>
      </c>
      <c r="N617" t="inlineStr">
        <is>
          <t>纳入A/D/Dh；若有Pair_ID则纳入CWR</t>
        </is>
      </c>
      <c r="O617" t="inlineStr">
        <is>
          <t>自动管线检出的合格导管腔。</t>
        </is>
      </c>
      <c r="P617" t="inlineStr">
        <is>
          <t>auto_pipeline;review_png_green</t>
        </is>
      </c>
      <c r="R617" t="inlineStr">
        <is>
          <t>样品14</t>
        </is>
      </c>
    </row>
    <row r="618">
      <c r="A618" t="inlineStr">
        <is>
          <t>14(4)-V03</t>
        </is>
      </c>
      <c r="B618" t="inlineStr">
        <is>
          <t>14 (4).tif</t>
        </is>
      </c>
      <c r="C618" t="n">
        <v>903</v>
      </c>
      <c r="D618" t="n">
        <v>396</v>
      </c>
      <c r="E618" t="inlineStr">
        <is>
          <t>849,339,958,454</t>
        </is>
      </c>
      <c r="F618" t="n">
        <v>66</v>
      </c>
      <c r="G618" t="inlineStr">
        <is>
          <t>primary</t>
        </is>
      </c>
      <c r="H618" t="inlineStr">
        <is>
          <t>AUTO_VESSEL</t>
        </is>
      </c>
      <c r="I618" t="inlineStr">
        <is>
          <t>是</t>
        </is>
      </c>
      <c r="J618" t="inlineStr">
        <is>
          <t>纳入</t>
        </is>
      </c>
      <c r="K618" t="n">
        <v>441.8714555765595</v>
      </c>
      <c r="L618">
        <f>导管母表_1781!G618</f>
        <v/>
      </c>
      <c r="M618" t="inlineStr">
        <is>
          <t>视野内部</t>
        </is>
      </c>
      <c r="N618" t="inlineStr">
        <is>
          <t>纳入A/D/Dh；若有Pair_ID则纳入CWR</t>
        </is>
      </c>
      <c r="O618" t="inlineStr">
        <is>
          <t>自动管线检出的合格导管腔。</t>
        </is>
      </c>
      <c r="P618" t="inlineStr">
        <is>
          <t>auto_pipeline;review_png_green</t>
        </is>
      </c>
      <c r="R618" t="inlineStr">
        <is>
          <t>样品14</t>
        </is>
      </c>
    </row>
    <row r="619">
      <c r="A619" t="inlineStr">
        <is>
          <t>14(4)-V04</t>
        </is>
      </c>
      <c r="B619" t="inlineStr">
        <is>
          <t>14 (4).tif</t>
        </is>
      </c>
      <c r="C619" t="n">
        <v>210</v>
      </c>
      <c r="D619" t="n">
        <v>515</v>
      </c>
      <c r="E619" t="inlineStr">
        <is>
          <t>179,471,242,560</t>
        </is>
      </c>
      <c r="F619" t="n">
        <v>179</v>
      </c>
      <c r="G619" t="inlineStr">
        <is>
          <t>primary</t>
        </is>
      </c>
      <c r="H619" t="inlineStr">
        <is>
          <t>AUTO_VESSEL</t>
        </is>
      </c>
      <c r="I619" t="inlineStr">
        <is>
          <t>是</t>
        </is>
      </c>
      <c r="J619" t="inlineStr">
        <is>
          <t>纳入</t>
        </is>
      </c>
      <c r="K619" t="n">
        <v>203.0718336483932</v>
      </c>
      <c r="L619">
        <f>导管母表_1781!G619</f>
        <v/>
      </c>
      <c r="M619" t="inlineStr">
        <is>
          <t>视野内部</t>
        </is>
      </c>
      <c r="N619" t="inlineStr">
        <is>
          <t>纳入A/D/Dh；若有Pair_ID则纳入CWR</t>
        </is>
      </c>
      <c r="O619" t="inlineStr">
        <is>
          <t>自动管线检出的合格导管腔。</t>
        </is>
      </c>
      <c r="P619" t="inlineStr">
        <is>
          <t>auto_pipeline;review_png_green</t>
        </is>
      </c>
      <c r="R619" t="inlineStr">
        <is>
          <t>样品14</t>
        </is>
      </c>
    </row>
    <row r="620">
      <c r="A620" t="inlineStr">
        <is>
          <t>14(4)-V05</t>
        </is>
      </c>
      <c r="B620" t="inlineStr">
        <is>
          <t>14 (4).tif</t>
        </is>
      </c>
      <c r="C620" t="n">
        <v>495</v>
      </c>
      <c r="D620" t="n">
        <v>223</v>
      </c>
      <c r="E620" t="inlineStr">
        <is>
          <t>463,191,528,256</t>
        </is>
      </c>
      <c r="F620" t="n">
        <v>191</v>
      </c>
      <c r="G620" t="inlineStr">
        <is>
          <t>primary</t>
        </is>
      </c>
      <c r="H620" t="inlineStr">
        <is>
          <t>AUTO_VESSEL</t>
        </is>
      </c>
      <c r="I620" t="inlineStr">
        <is>
          <t>是</t>
        </is>
      </c>
      <c r="J620" t="inlineStr">
        <is>
          <t>纳入</t>
        </is>
      </c>
      <c r="K620" t="n">
        <v>138.9413988657845</v>
      </c>
      <c r="L620">
        <f>导管母表_1781!G620</f>
        <v/>
      </c>
      <c r="M620" t="inlineStr">
        <is>
          <t>视野内部</t>
        </is>
      </c>
      <c r="N620" t="inlineStr">
        <is>
          <t>纳入A/D/Dh；若有Pair_ID则纳入CWR</t>
        </is>
      </c>
      <c r="O620" t="inlineStr">
        <is>
          <t>自动管线检出的合格导管腔。</t>
        </is>
      </c>
      <c r="P620" t="inlineStr">
        <is>
          <t>auto_pipeline;review_png_green</t>
        </is>
      </c>
      <c r="R620" t="inlineStr">
        <is>
          <t>样品14</t>
        </is>
      </c>
    </row>
    <row r="621">
      <c r="A621" t="inlineStr">
        <is>
          <t>14(5)-V01</t>
        </is>
      </c>
      <c r="B621" t="inlineStr">
        <is>
          <t>14 (5).tif</t>
        </is>
      </c>
      <c r="C621" t="n">
        <v>535</v>
      </c>
      <c r="D621" t="n">
        <v>262</v>
      </c>
      <c r="E621" t="inlineStr">
        <is>
          <t>471,194,600,331</t>
        </is>
      </c>
      <c r="F621" t="n">
        <v>194</v>
      </c>
      <c r="G621" t="inlineStr">
        <is>
          <t>primary</t>
        </is>
      </c>
      <c r="H621" t="inlineStr">
        <is>
          <t>AUTO_VESSEL</t>
        </is>
      </c>
      <c r="I621" t="inlineStr">
        <is>
          <t>是</t>
        </is>
      </c>
      <c r="J621" t="inlineStr">
        <is>
          <t>纳入</t>
        </is>
      </c>
      <c r="K621" t="n">
        <v>645.0614366729678</v>
      </c>
      <c r="L621">
        <f>导管母表_1781!G621</f>
        <v/>
      </c>
      <c r="M621" t="inlineStr">
        <is>
          <t>视野内部</t>
        </is>
      </c>
      <c r="N621" t="inlineStr">
        <is>
          <t>纳入A/D/Dh；若有Pair_ID则纳入CWR</t>
        </is>
      </c>
      <c r="O621" t="inlineStr">
        <is>
          <t>自动管线检出的合格导管腔。</t>
        </is>
      </c>
      <c r="P621" t="inlineStr">
        <is>
          <t>auto_pipeline;review_png_green</t>
        </is>
      </c>
      <c r="R621" t="inlineStr">
        <is>
          <t>样品14</t>
        </is>
      </c>
    </row>
    <row r="622">
      <c r="A622" t="inlineStr">
        <is>
          <t>14(5)-V02</t>
        </is>
      </c>
      <c r="B622" t="inlineStr">
        <is>
          <t>14 (5).tif</t>
        </is>
      </c>
      <c r="C622" t="n">
        <v>466</v>
      </c>
      <c r="D622" t="n">
        <v>443</v>
      </c>
      <c r="E622" t="inlineStr">
        <is>
          <t>407,373,526,514</t>
        </is>
      </c>
      <c r="F622" t="n">
        <v>254</v>
      </c>
      <c r="G622" t="inlineStr">
        <is>
          <t>primary</t>
        </is>
      </c>
      <c r="H622" t="inlineStr">
        <is>
          <t>AUTO_VESSEL</t>
        </is>
      </c>
      <c r="I622" t="inlineStr">
        <is>
          <t>是</t>
        </is>
      </c>
      <c r="J622" t="inlineStr">
        <is>
          <t>纳入</t>
        </is>
      </c>
      <c r="K622" t="n">
        <v>611.6729678638941</v>
      </c>
      <c r="L622">
        <f>导管母表_1781!G622</f>
        <v/>
      </c>
      <c r="M622" t="inlineStr">
        <is>
          <t>视野内部</t>
        </is>
      </c>
      <c r="N622" t="inlineStr">
        <is>
          <t>纳入A/D/Dh；若有Pair_ID则纳入CWR</t>
        </is>
      </c>
      <c r="O622" t="inlineStr">
        <is>
          <t>自动管线检出的合格导管腔。</t>
        </is>
      </c>
      <c r="P622" t="inlineStr">
        <is>
          <t>auto_pipeline;review_png_green</t>
        </is>
      </c>
      <c r="R622" t="inlineStr">
        <is>
          <t>样品14</t>
        </is>
      </c>
    </row>
    <row r="623">
      <c r="A623" t="inlineStr">
        <is>
          <t>14(5)-V03</t>
        </is>
      </c>
      <c r="B623" t="inlineStr">
        <is>
          <t>14 (5).tif</t>
        </is>
      </c>
      <c r="C623" t="n">
        <v>897</v>
      </c>
      <c r="D623" t="n">
        <v>116</v>
      </c>
      <c r="E623" t="inlineStr">
        <is>
          <t>870,69,925,164</t>
        </is>
      </c>
      <c r="F623" t="n">
        <v>69</v>
      </c>
      <c r="G623" t="inlineStr">
        <is>
          <t>primary</t>
        </is>
      </c>
      <c r="H623" t="inlineStr">
        <is>
          <t>AUTO_VESSEL</t>
        </is>
      </c>
      <c r="I623" t="inlineStr">
        <is>
          <t>是</t>
        </is>
      </c>
      <c r="J623" t="inlineStr">
        <is>
          <t>纳入</t>
        </is>
      </c>
      <c r="K623" t="n">
        <v>144.1398865784499</v>
      </c>
      <c r="L623">
        <f>导管母表_1781!G623</f>
        <v/>
      </c>
      <c r="M623" t="inlineStr">
        <is>
          <t>视野内部</t>
        </is>
      </c>
      <c r="N623" t="inlineStr">
        <is>
          <t>纳入A/D/Dh；若有Pair_ID则纳入CWR</t>
        </is>
      </c>
      <c r="O623" t="inlineStr">
        <is>
          <t>自动管线检出的合格导管腔。</t>
        </is>
      </c>
      <c r="P623" t="inlineStr">
        <is>
          <t>auto_pipeline;review_png_green</t>
        </is>
      </c>
      <c r="R623" t="inlineStr">
        <is>
          <t>样品14</t>
        </is>
      </c>
    </row>
    <row r="624">
      <c r="A624" t="inlineStr">
        <is>
          <t>14(5)-V04</t>
        </is>
      </c>
      <c r="B624" t="inlineStr">
        <is>
          <t>14 (5).tif</t>
        </is>
      </c>
      <c r="C624" t="n">
        <v>143</v>
      </c>
      <c r="D624" t="n">
        <v>605</v>
      </c>
      <c r="E624" t="inlineStr">
        <is>
          <t>117,575,170,636</t>
        </is>
      </c>
      <c r="F624" t="n">
        <v>117</v>
      </c>
      <c r="G624" t="inlineStr">
        <is>
          <t>primary</t>
        </is>
      </c>
      <c r="H624" t="inlineStr">
        <is>
          <t>AUTO_VESSEL</t>
        </is>
      </c>
      <c r="I624" t="inlineStr">
        <is>
          <t>是</t>
        </is>
      </c>
      <c r="J624" t="inlineStr">
        <is>
          <t>纳入</t>
        </is>
      </c>
      <c r="K624" t="n">
        <v>116.1625708884688</v>
      </c>
      <c r="L624">
        <f>导管母表_1781!G624</f>
        <v/>
      </c>
      <c r="M624" t="inlineStr">
        <is>
          <t>视野内部</t>
        </is>
      </c>
      <c r="N624" t="inlineStr">
        <is>
          <t>纳入A/D/Dh；若有Pair_ID则纳入CWR</t>
        </is>
      </c>
      <c r="O624" t="inlineStr">
        <is>
          <t>自动管线检出的合格导管腔。</t>
        </is>
      </c>
      <c r="P624" t="inlineStr">
        <is>
          <t>auto_pipeline;review_png_green</t>
        </is>
      </c>
      <c r="R624" t="inlineStr">
        <is>
          <t>样品14</t>
        </is>
      </c>
    </row>
    <row r="625">
      <c r="A625" t="inlineStr">
        <is>
          <t>14(6)-V01</t>
        </is>
      </c>
      <c r="B625" t="inlineStr">
        <is>
          <t>14 (6).tif</t>
        </is>
      </c>
      <c r="C625" t="n">
        <v>494</v>
      </c>
      <c r="D625" t="n">
        <v>284</v>
      </c>
      <c r="E625" t="inlineStr">
        <is>
          <t>441,228,548,341</t>
        </is>
      </c>
      <c r="F625" t="n">
        <v>228</v>
      </c>
      <c r="G625" t="inlineStr">
        <is>
          <t>primary</t>
        </is>
      </c>
      <c r="H625" t="inlineStr">
        <is>
          <t>AUTO_VESSEL</t>
        </is>
      </c>
      <c r="I625" t="inlineStr">
        <is>
          <t>是</t>
        </is>
      </c>
      <c r="J625" t="inlineStr">
        <is>
          <t>纳入</t>
        </is>
      </c>
      <c r="K625" t="n">
        <v>440.9735349716446</v>
      </c>
      <c r="L625">
        <f>导管母表_1781!G625</f>
        <v/>
      </c>
      <c r="M625" t="inlineStr">
        <is>
          <t>视野内部</t>
        </is>
      </c>
      <c r="N625" t="inlineStr">
        <is>
          <t>纳入A/D/Dh；若有Pair_ID则纳入CWR</t>
        </is>
      </c>
      <c r="O625" t="inlineStr">
        <is>
          <t>自动管线检出的合格导管腔。</t>
        </is>
      </c>
      <c r="P625" t="inlineStr">
        <is>
          <t>auto_pipeline;review_png_green</t>
        </is>
      </c>
      <c r="R625" t="inlineStr">
        <is>
          <t>样品14</t>
        </is>
      </c>
    </row>
    <row r="626">
      <c r="A626" t="inlineStr">
        <is>
          <t>14(6)-V02</t>
        </is>
      </c>
      <c r="B626" t="inlineStr">
        <is>
          <t>14 (6).tif</t>
        </is>
      </c>
      <c r="C626" t="n">
        <v>527</v>
      </c>
      <c r="D626" t="n">
        <v>462</v>
      </c>
      <c r="E626" t="inlineStr">
        <is>
          <t>481,406,574,519</t>
        </is>
      </c>
      <c r="F626" t="n">
        <v>249</v>
      </c>
      <c r="G626" t="inlineStr">
        <is>
          <t>primary</t>
        </is>
      </c>
      <c r="H626" t="inlineStr">
        <is>
          <t>AUTO_VESSEL</t>
        </is>
      </c>
      <c r="I626" t="inlineStr">
        <is>
          <t>是</t>
        </is>
      </c>
      <c r="J626" t="inlineStr">
        <is>
          <t>纳入</t>
        </is>
      </c>
      <c r="K626" t="n">
        <v>381.1200378071834</v>
      </c>
      <c r="L626">
        <f>导管母表_1781!G626</f>
        <v/>
      </c>
      <c r="M626" t="inlineStr">
        <is>
          <t>视野内部</t>
        </is>
      </c>
      <c r="N626" t="inlineStr">
        <is>
          <t>纳入A/D/Dh；若有Pair_ID则纳入CWR</t>
        </is>
      </c>
      <c r="O626" t="inlineStr">
        <is>
          <t>自动管线检出的合格导管腔。</t>
        </is>
      </c>
      <c r="P626" t="inlineStr">
        <is>
          <t>auto_pipeline;review_png_green</t>
        </is>
      </c>
      <c r="R626" t="inlineStr">
        <is>
          <t>样品14</t>
        </is>
      </c>
    </row>
    <row r="627">
      <c r="A627" t="inlineStr">
        <is>
          <t>14(6)-V03</t>
        </is>
      </c>
      <c r="B627" t="inlineStr">
        <is>
          <t>14 (6).tif</t>
        </is>
      </c>
      <c r="C627" t="n">
        <v>932</v>
      </c>
      <c r="D627" t="n">
        <v>481</v>
      </c>
      <c r="E627" t="inlineStr">
        <is>
          <t>892,436,973,527</t>
        </is>
      </c>
      <c r="F627" t="n">
        <v>51</v>
      </c>
      <c r="G627" t="inlineStr">
        <is>
          <t>primary</t>
        </is>
      </c>
      <c r="H627" t="inlineStr">
        <is>
          <t>AUTO_VESSEL</t>
        </is>
      </c>
      <c r="I627" t="inlineStr">
        <is>
          <t>是</t>
        </is>
      </c>
      <c r="J627" t="inlineStr">
        <is>
          <t>纳入</t>
        </is>
      </c>
      <c r="K627" t="n">
        <v>266.6824196597353</v>
      </c>
      <c r="L627">
        <f>导管母表_1781!G627</f>
        <v/>
      </c>
      <c r="M627" t="inlineStr">
        <is>
          <t>视野内部</t>
        </is>
      </c>
      <c r="N627" t="inlineStr">
        <is>
          <t>纳入A/D/Dh；若有Pair_ID则纳入CWR</t>
        </is>
      </c>
      <c r="O627" t="inlineStr">
        <is>
          <t>自动管线检出的合格导管腔。</t>
        </is>
      </c>
      <c r="P627" t="inlineStr">
        <is>
          <t>auto_pipeline;review_png_green</t>
        </is>
      </c>
      <c r="R627" t="inlineStr">
        <is>
          <t>样品14</t>
        </is>
      </c>
    </row>
    <row r="628">
      <c r="A628" t="inlineStr">
        <is>
          <t>14(6)-V04</t>
        </is>
      </c>
      <c r="B628" t="inlineStr">
        <is>
          <t>14 (6).tif</t>
        </is>
      </c>
      <c r="C628" t="n">
        <v>437</v>
      </c>
      <c r="D628" t="n">
        <v>494</v>
      </c>
      <c r="E628" t="inlineStr">
        <is>
          <t>407,460,468,529</t>
        </is>
      </c>
      <c r="F628" t="n">
        <v>239</v>
      </c>
      <c r="G628" t="inlineStr">
        <is>
          <t>primary</t>
        </is>
      </c>
      <c r="H628" t="inlineStr">
        <is>
          <t>AUTO_VESSEL</t>
        </is>
      </c>
      <c r="I628" t="inlineStr">
        <is>
          <t>是</t>
        </is>
      </c>
      <c r="J628" t="inlineStr">
        <is>
          <t>纳入</t>
        </is>
      </c>
      <c r="K628" t="n">
        <v>149.3856332703214</v>
      </c>
      <c r="L628">
        <f>导管母表_1781!G628</f>
        <v/>
      </c>
      <c r="M628" t="inlineStr">
        <is>
          <t>视野内部</t>
        </is>
      </c>
      <c r="N628" t="inlineStr">
        <is>
          <t>纳入A/D/Dh；若有Pair_ID则纳入CWR</t>
        </is>
      </c>
      <c r="O628" t="inlineStr">
        <is>
          <t>自动管线检出的合格导管腔。</t>
        </is>
      </c>
      <c r="P628" t="inlineStr">
        <is>
          <t>auto_pipeline;review_png_green</t>
        </is>
      </c>
      <c r="R628" t="inlineStr">
        <is>
          <t>样品14</t>
        </is>
      </c>
    </row>
    <row r="629">
      <c r="A629" t="inlineStr">
        <is>
          <t>14(6)-V05</t>
        </is>
      </c>
      <c r="B629" t="inlineStr">
        <is>
          <t>14 (6).tif</t>
        </is>
      </c>
      <c r="C629" t="n">
        <v>106</v>
      </c>
      <c r="D629" t="n">
        <v>138</v>
      </c>
      <c r="E629" t="inlineStr">
        <is>
          <t>81,96,132,181</t>
        </is>
      </c>
      <c r="F629" t="n">
        <v>81</v>
      </c>
      <c r="G629" t="inlineStr">
        <is>
          <t>primary</t>
        </is>
      </c>
      <c r="H629" t="inlineStr">
        <is>
          <t>AUTO_VESSEL</t>
        </is>
      </c>
      <c r="I629" t="inlineStr">
        <is>
          <t>是</t>
        </is>
      </c>
      <c r="J629" t="inlineStr">
        <is>
          <t>纳入</t>
        </is>
      </c>
      <c r="K629" t="n">
        <v>146.3610586011342</v>
      </c>
      <c r="L629">
        <f>导管母表_1781!G629</f>
        <v/>
      </c>
      <c r="M629" t="inlineStr">
        <is>
          <t>视野内部</t>
        </is>
      </c>
      <c r="N629" t="inlineStr">
        <is>
          <t>纳入A/D/Dh；若有Pair_ID则纳入CWR</t>
        </is>
      </c>
      <c r="O629" t="inlineStr">
        <is>
          <t>自动管线检出的合格导管腔。</t>
        </is>
      </c>
      <c r="P629" t="inlineStr">
        <is>
          <t>auto_pipeline;review_png_green</t>
        </is>
      </c>
      <c r="R629" t="inlineStr">
        <is>
          <t>样品14</t>
        </is>
      </c>
    </row>
    <row r="630">
      <c r="A630" t="inlineStr">
        <is>
          <t>14(6)-V06</t>
        </is>
      </c>
      <c r="B630" t="inlineStr">
        <is>
          <t>14 (6).tif</t>
        </is>
      </c>
      <c r="C630" t="n">
        <v>517</v>
      </c>
      <c r="D630" t="n">
        <v>180</v>
      </c>
      <c r="E630" t="inlineStr">
        <is>
          <t>478,130,557,231</t>
        </is>
      </c>
      <c r="F630" t="n">
        <v>130</v>
      </c>
      <c r="G630" t="inlineStr">
        <is>
          <t>primary</t>
        </is>
      </c>
      <c r="H630" t="inlineStr">
        <is>
          <t>AUTO_VESSEL</t>
        </is>
      </c>
      <c r="I630" t="inlineStr">
        <is>
          <t>是</t>
        </is>
      </c>
      <c r="J630" t="inlineStr">
        <is>
          <t>纳入</t>
        </is>
      </c>
      <c r="K630" t="n">
        <v>145.4395085066162</v>
      </c>
      <c r="L630">
        <f>导管母表_1781!G630</f>
        <v/>
      </c>
      <c r="M630" t="inlineStr">
        <is>
          <t>视野内部</t>
        </is>
      </c>
      <c r="N630" t="inlineStr">
        <is>
          <t>纳入A/D/Dh；若有Pair_ID则纳入CWR</t>
        </is>
      </c>
      <c r="O630" t="inlineStr">
        <is>
          <t>自动管线检出的合格导管腔。</t>
        </is>
      </c>
      <c r="P630" t="inlineStr">
        <is>
          <t>auto_pipeline;review_png_green</t>
        </is>
      </c>
      <c r="R630" t="inlineStr">
        <is>
          <t>样品14</t>
        </is>
      </c>
    </row>
    <row r="631">
      <c r="A631" t="inlineStr">
        <is>
          <t>14(7)-V01</t>
        </is>
      </c>
      <c r="B631" t="inlineStr">
        <is>
          <t>14 (7).tif</t>
        </is>
      </c>
      <c r="C631" t="n">
        <v>895</v>
      </c>
      <c r="D631" t="n">
        <v>173</v>
      </c>
      <c r="E631" t="inlineStr">
        <is>
          <t>844,124,947,223</t>
        </is>
      </c>
      <c r="F631" t="n">
        <v>77</v>
      </c>
      <c r="G631" t="inlineStr">
        <is>
          <t>primary</t>
        </is>
      </c>
      <c r="H631" t="inlineStr">
        <is>
          <t>AUTO_VESSEL</t>
        </is>
      </c>
      <c r="I631" t="inlineStr">
        <is>
          <t>是</t>
        </is>
      </c>
      <c r="J631" t="inlineStr">
        <is>
          <t>纳入</t>
        </is>
      </c>
      <c r="K631" t="n">
        <v>366.375236294896</v>
      </c>
      <c r="L631">
        <f>导管母表_1781!G631</f>
        <v/>
      </c>
      <c r="M631" t="inlineStr">
        <is>
          <t>视野内部</t>
        </is>
      </c>
      <c r="N631" t="inlineStr">
        <is>
          <t>纳入A/D/Dh；若有Pair_ID则纳入CWR</t>
        </is>
      </c>
      <c r="O631" t="inlineStr">
        <is>
          <t>自动管线检出的合格导管腔。</t>
        </is>
      </c>
      <c r="P631" t="inlineStr">
        <is>
          <t>auto_pipeline;review_png_green</t>
        </is>
      </c>
      <c r="R631" t="inlineStr">
        <is>
          <t>样品14</t>
        </is>
      </c>
    </row>
    <row r="632">
      <c r="A632" t="inlineStr">
        <is>
          <t>14(7)-V02</t>
        </is>
      </c>
      <c r="B632" t="inlineStr">
        <is>
          <t>14 (7).tif</t>
        </is>
      </c>
      <c r="C632" t="n">
        <v>631</v>
      </c>
      <c r="D632" t="n">
        <v>565</v>
      </c>
      <c r="E632" t="inlineStr">
        <is>
          <t>587,531,676,600</t>
        </is>
      </c>
      <c r="F632" t="n">
        <v>168</v>
      </c>
      <c r="G632" t="inlineStr">
        <is>
          <t>primary</t>
        </is>
      </c>
      <c r="H632" t="inlineStr">
        <is>
          <t>AUTO_VESSEL</t>
        </is>
      </c>
      <c r="I632" t="inlineStr">
        <is>
          <t>是</t>
        </is>
      </c>
      <c r="J632" t="inlineStr">
        <is>
          <t>纳入</t>
        </is>
      </c>
      <c r="K632" t="n">
        <v>161.7674858223062</v>
      </c>
      <c r="L632">
        <f>导管母表_1781!G632</f>
        <v/>
      </c>
      <c r="M632" t="inlineStr">
        <is>
          <t>视野内部</t>
        </is>
      </c>
      <c r="N632" t="inlineStr">
        <is>
          <t>纳入A/D/Dh；若有Pair_ID则纳入CWR</t>
        </is>
      </c>
      <c r="O632" t="inlineStr">
        <is>
          <t>自动管线检出的合格导管腔。</t>
        </is>
      </c>
      <c r="P632" t="inlineStr">
        <is>
          <t>auto_pipeline;review_png_green</t>
        </is>
      </c>
      <c r="R632" t="inlineStr">
        <is>
          <t>样品14</t>
        </is>
      </c>
    </row>
    <row r="633">
      <c r="A633" t="inlineStr">
        <is>
          <t>14(7)-V03</t>
        </is>
      </c>
      <c r="B633" t="inlineStr">
        <is>
          <t>14 (7).tif</t>
        </is>
      </c>
      <c r="C633" t="n">
        <v>614</v>
      </c>
      <c r="D633" t="n">
        <v>167</v>
      </c>
      <c r="E633" t="inlineStr">
        <is>
          <t>584,134,645,201</t>
        </is>
      </c>
      <c r="F633" t="n">
        <v>134</v>
      </c>
      <c r="G633" t="inlineStr">
        <is>
          <t>primary</t>
        </is>
      </c>
      <c r="H633" t="inlineStr">
        <is>
          <t>AUTO_VESSEL</t>
        </is>
      </c>
      <c r="I633" t="inlineStr">
        <is>
          <t>是</t>
        </is>
      </c>
      <c r="J633" t="inlineStr">
        <is>
          <t>纳入</t>
        </is>
      </c>
      <c r="K633" t="n">
        <v>138.6578449905482</v>
      </c>
      <c r="L633">
        <f>导管母表_1781!G633</f>
        <v/>
      </c>
      <c r="M633" t="inlineStr">
        <is>
          <t>视野内部</t>
        </is>
      </c>
      <c r="N633" t="inlineStr">
        <is>
          <t>纳入A/D/Dh；若有Pair_ID则纳入CWR</t>
        </is>
      </c>
      <c r="O633" t="inlineStr">
        <is>
          <t>自动管线检出的合格导管腔。</t>
        </is>
      </c>
      <c r="P633" t="inlineStr">
        <is>
          <t>auto_pipeline;review_png_green</t>
        </is>
      </c>
      <c r="R633" t="inlineStr">
        <is>
          <t>样品14</t>
        </is>
      </c>
    </row>
    <row r="634">
      <c r="A634" t="inlineStr">
        <is>
          <t>14(8)-V01</t>
        </is>
      </c>
      <c r="B634" t="inlineStr">
        <is>
          <t>14 (8).tif</t>
        </is>
      </c>
      <c r="C634" t="n">
        <v>158</v>
      </c>
      <c r="D634" t="n">
        <v>520</v>
      </c>
      <c r="E634" t="inlineStr">
        <is>
          <t>102,470,215,571</t>
        </is>
      </c>
      <c r="F634" t="n">
        <v>102</v>
      </c>
      <c r="G634" t="inlineStr">
        <is>
          <t>primary</t>
        </is>
      </c>
      <c r="H634" t="inlineStr">
        <is>
          <t>AUTO_VESSEL</t>
        </is>
      </c>
      <c r="I634" t="inlineStr">
        <is>
          <t>是</t>
        </is>
      </c>
      <c r="J634" t="inlineStr">
        <is>
          <t>纳入</t>
        </is>
      </c>
      <c r="K634" t="n">
        <v>414.5321361058601</v>
      </c>
      <c r="L634">
        <f>导管母表_1781!G634</f>
        <v/>
      </c>
      <c r="M634" t="inlineStr">
        <is>
          <t>视野内部</t>
        </is>
      </c>
      <c r="N634" t="inlineStr">
        <is>
          <t>纳入A/D/Dh；若有Pair_ID则纳入CWR</t>
        </is>
      </c>
      <c r="O634" t="inlineStr">
        <is>
          <t>自动管线检出的合格导管腔。</t>
        </is>
      </c>
      <c r="P634" t="inlineStr">
        <is>
          <t>auto_pipeline;review_png_green</t>
        </is>
      </c>
      <c r="R634" t="inlineStr">
        <is>
          <t>样品14</t>
        </is>
      </c>
    </row>
    <row r="635">
      <c r="A635" t="inlineStr">
        <is>
          <t>14(8)-V02</t>
        </is>
      </c>
      <c r="B635" t="inlineStr">
        <is>
          <t>14 (8).tif</t>
        </is>
      </c>
      <c r="C635" t="n">
        <v>445</v>
      </c>
      <c r="D635" t="n">
        <v>382</v>
      </c>
      <c r="E635" t="inlineStr">
        <is>
          <t>395,334,496,431</t>
        </is>
      </c>
      <c r="F635" t="n">
        <v>334</v>
      </c>
      <c r="G635" t="inlineStr">
        <is>
          <t>primary</t>
        </is>
      </c>
      <c r="H635" t="inlineStr">
        <is>
          <t>AUTO_VESSEL</t>
        </is>
      </c>
      <c r="I635" t="inlineStr">
        <is>
          <t>是</t>
        </is>
      </c>
      <c r="J635" t="inlineStr">
        <is>
          <t>纳入</t>
        </is>
      </c>
      <c r="K635" t="n">
        <v>353.875236294896</v>
      </c>
      <c r="L635">
        <f>导管母表_1781!G635</f>
        <v/>
      </c>
      <c r="M635" t="inlineStr">
        <is>
          <t>视野内部</t>
        </is>
      </c>
      <c r="N635" t="inlineStr">
        <is>
          <t>纳入A/D/Dh；若有Pair_ID则纳入CWR</t>
        </is>
      </c>
      <c r="O635" t="inlineStr">
        <is>
          <t>自动管线检出的合格导管腔。</t>
        </is>
      </c>
      <c r="P635" t="inlineStr">
        <is>
          <t>auto_pipeline;review_png_green</t>
        </is>
      </c>
      <c r="Q635" t="inlineStr">
        <is>
          <t>14(8)-P01</t>
        </is>
      </c>
      <c r="R635" t="inlineStr">
        <is>
          <t>样品14</t>
        </is>
      </c>
    </row>
    <row r="636">
      <c r="A636" t="inlineStr">
        <is>
          <t>14(8)-V03</t>
        </is>
      </c>
      <c r="B636" t="inlineStr">
        <is>
          <t>14 (8).tif</t>
        </is>
      </c>
      <c r="C636" t="n">
        <v>564</v>
      </c>
      <c r="D636" t="n">
        <v>354</v>
      </c>
      <c r="E636" t="inlineStr">
        <is>
          <t>520,306,609,403</t>
        </is>
      </c>
      <c r="F636" t="n">
        <v>306</v>
      </c>
      <c r="G636" t="inlineStr">
        <is>
          <t>primary</t>
        </is>
      </c>
      <c r="H636" t="inlineStr">
        <is>
          <t>AUTO_VESSEL</t>
        </is>
      </c>
      <c r="I636" t="inlineStr">
        <is>
          <t>是</t>
        </is>
      </c>
      <c r="J636" t="inlineStr">
        <is>
          <t>纳入</t>
        </is>
      </c>
      <c r="K636" t="n">
        <v>314.3667296786389</v>
      </c>
      <c r="L636">
        <f>导管母表_1781!G636</f>
        <v/>
      </c>
      <c r="M636" t="inlineStr">
        <is>
          <t>视野内部</t>
        </is>
      </c>
      <c r="N636" t="inlineStr">
        <is>
          <t>纳入A/D/Dh；若有Pair_ID则纳入CWR</t>
        </is>
      </c>
      <c r="O636" t="inlineStr">
        <is>
          <t>自动管线检出的合格导管腔。</t>
        </is>
      </c>
      <c r="P636" t="inlineStr">
        <is>
          <t>auto_pipeline;review_png_green</t>
        </is>
      </c>
      <c r="Q636" t="inlineStr">
        <is>
          <t>14(8)-P01</t>
        </is>
      </c>
      <c r="R636" t="inlineStr">
        <is>
          <t>样品14</t>
        </is>
      </c>
    </row>
    <row r="637">
      <c r="A637" t="inlineStr">
        <is>
          <t>14(8)-V04</t>
        </is>
      </c>
      <c r="B637" t="inlineStr">
        <is>
          <t>14 (8).tif</t>
        </is>
      </c>
      <c r="C637" t="n">
        <v>176</v>
      </c>
      <c r="D637" t="n">
        <v>348</v>
      </c>
      <c r="E637" t="inlineStr">
        <is>
          <t>133,268,220,429</t>
        </is>
      </c>
      <c r="F637" t="n">
        <v>133</v>
      </c>
      <c r="G637" t="inlineStr">
        <is>
          <t>primary</t>
        </is>
      </c>
      <c r="H637" t="inlineStr">
        <is>
          <t>AUTO_VESSEL</t>
        </is>
      </c>
      <c r="I637" t="inlineStr">
        <is>
          <t>是</t>
        </is>
      </c>
      <c r="J637" t="inlineStr">
        <is>
          <t>纳入</t>
        </is>
      </c>
      <c r="K637" t="n">
        <v>313.3979206049149</v>
      </c>
      <c r="L637">
        <f>导管母表_1781!G637</f>
        <v/>
      </c>
      <c r="M637" t="inlineStr">
        <is>
          <t>视野内部</t>
        </is>
      </c>
      <c r="N637" t="inlineStr">
        <is>
          <t>纳入A/D/Dh；若有Pair_ID则纳入CWR</t>
        </is>
      </c>
      <c r="O637" t="inlineStr">
        <is>
          <t>自动管线检出的合格导管腔。</t>
        </is>
      </c>
      <c r="P637" t="inlineStr">
        <is>
          <t>auto_pipeline;review_png_green</t>
        </is>
      </c>
      <c r="R637" t="inlineStr">
        <is>
          <t>样品14</t>
        </is>
      </c>
    </row>
    <row r="638">
      <c r="A638" t="inlineStr">
        <is>
          <t>14(8)-V05</t>
        </is>
      </c>
      <c r="B638" t="inlineStr">
        <is>
          <t>14 (8).tif</t>
        </is>
      </c>
      <c r="C638" t="n">
        <v>815</v>
      </c>
      <c r="D638" t="n">
        <v>588</v>
      </c>
      <c r="E638" t="inlineStr">
        <is>
          <t>792,540,839,637</t>
        </is>
      </c>
      <c r="F638" t="n">
        <v>131</v>
      </c>
      <c r="G638" t="inlineStr">
        <is>
          <t>primary</t>
        </is>
      </c>
      <c r="H638" t="inlineStr">
        <is>
          <t>AUTO_VESSEL</t>
        </is>
      </c>
      <c r="I638" t="inlineStr">
        <is>
          <t>是</t>
        </is>
      </c>
      <c r="J638" t="inlineStr">
        <is>
          <t>纳入</t>
        </is>
      </c>
      <c r="K638" t="n">
        <v>152.7410207939508</v>
      </c>
      <c r="L638">
        <f>导管母表_1781!G638</f>
        <v/>
      </c>
      <c r="M638" t="inlineStr">
        <is>
          <t>视野内部</t>
        </is>
      </c>
      <c r="N638" t="inlineStr">
        <is>
          <t>纳入A/D/Dh；若有Pair_ID则纳入CWR</t>
        </is>
      </c>
      <c r="O638" t="inlineStr">
        <is>
          <t>自动管线检出的合格导管腔。</t>
        </is>
      </c>
      <c r="P638" t="inlineStr">
        <is>
          <t>auto_pipeline;review_png_green</t>
        </is>
      </c>
      <c r="R638" t="inlineStr">
        <is>
          <t>样品14</t>
        </is>
      </c>
    </row>
    <row r="639">
      <c r="A639" t="inlineStr">
        <is>
          <t>15(1)-V01</t>
        </is>
      </c>
      <c r="B639" t="inlineStr">
        <is>
          <t>15 (1).tif</t>
        </is>
      </c>
      <c r="C639" t="n">
        <v>496</v>
      </c>
      <c r="D639" t="n">
        <v>267</v>
      </c>
      <c r="E639" t="inlineStr">
        <is>
          <t>427,187,566,348</t>
        </is>
      </c>
      <c r="F639" t="n">
        <v>187</v>
      </c>
      <c r="G639" t="inlineStr">
        <is>
          <t>primary</t>
        </is>
      </c>
      <c r="H639" t="inlineStr">
        <is>
          <t>AUTO_VESSEL</t>
        </is>
      </c>
      <c r="I639" t="inlineStr">
        <is>
          <t>是</t>
        </is>
      </c>
      <c r="J639" t="inlineStr">
        <is>
          <t>纳入</t>
        </is>
      </c>
      <c r="K639" t="n">
        <v>817.320415879017</v>
      </c>
      <c r="L639">
        <f>导管母表_1781!G639</f>
        <v/>
      </c>
      <c r="M639" t="inlineStr">
        <is>
          <t>视野内部</t>
        </is>
      </c>
      <c r="N639" t="inlineStr">
        <is>
          <t>纳入A/D/Dh；若有Pair_ID则纳入CWR</t>
        </is>
      </c>
      <c r="O639" t="inlineStr">
        <is>
          <t>自动管线检出的合格导管腔。</t>
        </is>
      </c>
      <c r="P639" t="inlineStr">
        <is>
          <t>auto_pipeline;review_png_green</t>
        </is>
      </c>
      <c r="R639" t="inlineStr">
        <is>
          <t>样品15</t>
        </is>
      </c>
    </row>
    <row r="640">
      <c r="A640" t="inlineStr">
        <is>
          <t>15(1)-V02</t>
        </is>
      </c>
      <c r="B640" t="inlineStr">
        <is>
          <t>15 (1).tif</t>
        </is>
      </c>
      <c r="C640" t="n">
        <v>203</v>
      </c>
      <c r="D640" t="n">
        <v>361</v>
      </c>
      <c r="E640" t="inlineStr">
        <is>
          <t>179,314,228,409</t>
        </is>
      </c>
      <c r="F640" t="n">
        <v>179</v>
      </c>
      <c r="G640" t="inlineStr">
        <is>
          <t>primary</t>
        </is>
      </c>
      <c r="H640" t="inlineStr">
        <is>
          <t>AUTO_VESSEL</t>
        </is>
      </c>
      <c r="I640" t="inlineStr">
        <is>
          <t>是</t>
        </is>
      </c>
      <c r="J640" t="inlineStr">
        <is>
          <t>纳入</t>
        </is>
      </c>
      <c r="K640" t="n">
        <v>125.7088846880907</v>
      </c>
      <c r="L640">
        <f>导管母表_1781!G640</f>
        <v/>
      </c>
      <c r="M640" t="inlineStr">
        <is>
          <t>视野内部</t>
        </is>
      </c>
      <c r="N640" t="inlineStr">
        <is>
          <t>纳入A/D/Dh；若有Pair_ID则纳入CWR</t>
        </is>
      </c>
      <c r="O640" t="inlineStr">
        <is>
          <t>自动管线检出的合格导管腔。</t>
        </is>
      </c>
      <c r="P640" t="inlineStr">
        <is>
          <t>auto_pipeline;review_png_green</t>
        </is>
      </c>
      <c r="R640" t="inlineStr">
        <is>
          <t>样品15</t>
        </is>
      </c>
    </row>
    <row r="641">
      <c r="A641" t="inlineStr">
        <is>
          <t>15(2)-V01</t>
        </is>
      </c>
      <c r="B641" t="inlineStr">
        <is>
          <t>15 (2).tif</t>
        </is>
      </c>
      <c r="C641" t="n">
        <v>461</v>
      </c>
      <c r="D641" t="n">
        <v>242</v>
      </c>
      <c r="E641" t="inlineStr">
        <is>
          <t>382,150,541,335</t>
        </is>
      </c>
      <c r="F641" t="n">
        <v>150</v>
      </c>
      <c r="G641" t="inlineStr">
        <is>
          <t>primary</t>
        </is>
      </c>
      <c r="H641" t="inlineStr">
        <is>
          <t>AUTO_VESSEL</t>
        </is>
      </c>
      <c r="I641" t="inlineStr">
        <is>
          <t>是</t>
        </is>
      </c>
      <c r="J641" t="inlineStr">
        <is>
          <t>纳入</t>
        </is>
      </c>
      <c r="K641" t="n">
        <v>1060.23156899811</v>
      </c>
      <c r="L641">
        <f>导管母表_1781!G641</f>
        <v/>
      </c>
      <c r="M641" t="inlineStr">
        <is>
          <t>视野内部</t>
        </is>
      </c>
      <c r="N641" t="inlineStr">
        <is>
          <t>纳入A/D/Dh；若有Pair_ID则纳入CWR</t>
        </is>
      </c>
      <c r="O641" t="inlineStr">
        <is>
          <t>自动管线检出的合格导管腔。</t>
        </is>
      </c>
      <c r="P641" t="inlineStr">
        <is>
          <t>auto_pipeline;review_png_green</t>
        </is>
      </c>
      <c r="R641" t="inlineStr">
        <is>
          <t>样品15</t>
        </is>
      </c>
    </row>
    <row r="642">
      <c r="A642" t="inlineStr">
        <is>
          <t>15(2)-V02</t>
        </is>
      </c>
      <c r="B642" t="inlineStr">
        <is>
          <t>15 (2).tif</t>
        </is>
      </c>
      <c r="C642" t="n">
        <v>896</v>
      </c>
      <c r="D642" t="n">
        <v>275</v>
      </c>
      <c r="E642" t="inlineStr">
        <is>
          <t>832,185,961,366</t>
        </is>
      </c>
      <c r="F642" t="n">
        <v>63</v>
      </c>
      <c r="G642" t="inlineStr">
        <is>
          <t>primary</t>
        </is>
      </c>
      <c r="H642" t="inlineStr">
        <is>
          <t>AUTO_VESSEL</t>
        </is>
      </c>
      <c r="I642" t="inlineStr">
        <is>
          <t>是</t>
        </is>
      </c>
      <c r="J642" t="inlineStr">
        <is>
          <t>纳入</t>
        </is>
      </c>
      <c r="K642" t="n">
        <v>856.3327032136106</v>
      </c>
      <c r="L642">
        <f>导管母表_1781!G642</f>
        <v/>
      </c>
      <c r="M642" t="inlineStr">
        <is>
          <t>视野内部</t>
        </is>
      </c>
      <c r="N642" t="inlineStr">
        <is>
          <t>纳入A/D/Dh；若有Pair_ID则纳入CWR</t>
        </is>
      </c>
      <c r="O642" t="inlineStr">
        <is>
          <t>自动管线检出的合格导管腔。</t>
        </is>
      </c>
      <c r="P642" t="inlineStr">
        <is>
          <t>auto_pipeline;review_png_green</t>
        </is>
      </c>
      <c r="R642" t="inlineStr">
        <is>
          <t>样品15</t>
        </is>
      </c>
    </row>
    <row r="643">
      <c r="A643" t="inlineStr">
        <is>
          <t>15(2)-V03</t>
        </is>
      </c>
      <c r="B643" t="inlineStr">
        <is>
          <t>15 (2).tif</t>
        </is>
      </c>
      <c r="C643" t="n">
        <v>490</v>
      </c>
      <c r="D643" t="n">
        <v>456</v>
      </c>
      <c r="E643" t="inlineStr">
        <is>
          <t>422,371,559,542</t>
        </is>
      </c>
      <c r="F643" t="n">
        <v>226</v>
      </c>
      <c r="G643" t="inlineStr">
        <is>
          <t>primary</t>
        </is>
      </c>
      <c r="H643" t="inlineStr">
        <is>
          <t>AUTO_VESSEL</t>
        </is>
      </c>
      <c r="I643" t="inlineStr">
        <is>
          <t>是</t>
        </is>
      </c>
      <c r="J643" t="inlineStr">
        <is>
          <t>纳入</t>
        </is>
      </c>
      <c r="K643" t="n">
        <v>855.1512287334593</v>
      </c>
      <c r="L643">
        <f>导管母表_1781!G643</f>
        <v/>
      </c>
      <c r="M643" t="inlineStr">
        <is>
          <t>视野内部</t>
        </is>
      </c>
      <c r="N643" t="inlineStr">
        <is>
          <t>纳入A/D/Dh；若有Pair_ID则纳入CWR</t>
        </is>
      </c>
      <c r="O643" t="inlineStr">
        <is>
          <t>自动管线检出的合格导管腔。</t>
        </is>
      </c>
      <c r="P643" t="inlineStr">
        <is>
          <t>auto_pipeline;review_png_green</t>
        </is>
      </c>
      <c r="R643" t="inlineStr">
        <is>
          <t>样品15</t>
        </is>
      </c>
    </row>
    <row r="644">
      <c r="A644" t="inlineStr">
        <is>
          <t>15(2)-V04</t>
        </is>
      </c>
      <c r="B644" t="inlineStr">
        <is>
          <t>15 (2).tif</t>
        </is>
      </c>
      <c r="C644" t="n">
        <v>108</v>
      </c>
      <c r="D644" t="n">
        <v>203</v>
      </c>
      <c r="E644" t="inlineStr">
        <is>
          <t>39,129,178,278</t>
        </is>
      </c>
      <c r="F644" t="n">
        <v>39</v>
      </c>
      <c r="G644" t="inlineStr">
        <is>
          <t>primary</t>
        </is>
      </c>
      <c r="H644" t="inlineStr">
        <is>
          <t>AUTO_VESSEL</t>
        </is>
      </c>
      <c r="I644" t="inlineStr">
        <is>
          <t>是</t>
        </is>
      </c>
      <c r="J644" t="inlineStr">
        <is>
          <t>纳入</t>
        </is>
      </c>
      <c r="K644" t="n">
        <v>755.5293005671077</v>
      </c>
      <c r="L644">
        <f>导管母表_1781!G644</f>
        <v/>
      </c>
      <c r="M644" t="inlineStr">
        <is>
          <t>视野内部</t>
        </is>
      </c>
      <c r="N644" t="inlineStr">
        <is>
          <t>纳入A/D/Dh；若有Pair_ID则纳入CWR</t>
        </is>
      </c>
      <c r="O644" t="inlineStr">
        <is>
          <t>自动管线检出的合格导管腔。</t>
        </is>
      </c>
      <c r="P644" t="inlineStr">
        <is>
          <t>auto_pipeline;review_png_green</t>
        </is>
      </c>
      <c r="R644" t="inlineStr">
        <is>
          <t>样品15</t>
        </is>
      </c>
    </row>
    <row r="645">
      <c r="A645" t="inlineStr">
        <is>
          <t>15(2)-V05</t>
        </is>
      </c>
      <c r="B645" t="inlineStr">
        <is>
          <t>15 (2).tif</t>
        </is>
      </c>
      <c r="C645" t="n">
        <v>87</v>
      </c>
      <c r="D645" t="n">
        <v>65</v>
      </c>
      <c r="E645" t="inlineStr">
        <is>
          <t>19,29,156,102</t>
        </is>
      </c>
      <c r="F645" t="n">
        <v>19</v>
      </c>
      <c r="G645" t="inlineStr">
        <is>
          <t>primary</t>
        </is>
      </c>
      <c r="H645" t="inlineStr">
        <is>
          <t>AUTO_VESSEL</t>
        </is>
      </c>
      <c r="I645" t="inlineStr">
        <is>
          <t>是</t>
        </is>
      </c>
      <c r="J645" t="inlineStr">
        <is>
          <t>纳入</t>
        </is>
      </c>
      <c r="K645" t="n">
        <v>338.6578449905482</v>
      </c>
      <c r="L645">
        <f>导管母表_1781!G645</f>
        <v/>
      </c>
      <c r="M645" t="inlineStr">
        <is>
          <t>近边缘（&lt;25 px）</t>
        </is>
      </c>
      <c r="N645" t="inlineStr">
        <is>
          <t>纳入A/D/Dh；若有Pair_ID则纳入CWR</t>
        </is>
      </c>
      <c r="O645" t="inlineStr">
        <is>
          <t>自动管线检出的合格导管腔。</t>
        </is>
      </c>
      <c r="P645" t="inlineStr">
        <is>
          <t>auto_pipeline;review_png_green</t>
        </is>
      </c>
      <c r="R645" t="inlineStr">
        <is>
          <t>样品15</t>
        </is>
      </c>
    </row>
    <row r="646">
      <c r="A646" t="inlineStr">
        <is>
          <t>15(2)-V06</t>
        </is>
      </c>
      <c r="B646" t="inlineStr">
        <is>
          <t>15 (2).tif</t>
        </is>
      </c>
      <c r="C646" t="n">
        <v>140</v>
      </c>
      <c r="D646" t="n">
        <v>511</v>
      </c>
      <c r="E646" t="inlineStr">
        <is>
          <t>99,454,182,569</t>
        </is>
      </c>
      <c r="F646" t="n">
        <v>99</v>
      </c>
      <c r="G646" t="inlineStr">
        <is>
          <t>primary</t>
        </is>
      </c>
      <c r="H646" t="inlineStr">
        <is>
          <t>AUTO_VESSEL</t>
        </is>
      </c>
      <c r="I646" t="inlineStr">
        <is>
          <t>是</t>
        </is>
      </c>
      <c r="J646" t="inlineStr">
        <is>
          <t>纳入</t>
        </is>
      </c>
      <c r="K646" t="n">
        <v>320.6049149338374</v>
      </c>
      <c r="L646">
        <f>导管母表_1781!G646</f>
        <v/>
      </c>
      <c r="M646" t="inlineStr">
        <is>
          <t>视野内部</t>
        </is>
      </c>
      <c r="N646" t="inlineStr">
        <is>
          <t>纳入A/D/Dh；若有Pair_ID则纳入CWR</t>
        </is>
      </c>
      <c r="O646" t="inlineStr">
        <is>
          <t>自动管线检出的合格导管腔。</t>
        </is>
      </c>
      <c r="P646" t="inlineStr">
        <is>
          <t>auto_pipeline;review_png_green</t>
        </is>
      </c>
      <c r="R646" t="inlineStr">
        <is>
          <t>样品15</t>
        </is>
      </c>
    </row>
    <row r="647">
      <c r="A647" t="inlineStr">
        <is>
          <t>15(3)-V01</t>
        </is>
      </c>
      <c r="B647" t="inlineStr">
        <is>
          <t>15 (3).tif</t>
        </is>
      </c>
      <c r="C647" t="n">
        <v>460</v>
      </c>
      <c r="D647" t="n">
        <v>326</v>
      </c>
      <c r="E647" t="inlineStr">
        <is>
          <t>415,276,506,377</t>
        </is>
      </c>
      <c r="F647" t="n">
        <v>276</v>
      </c>
      <c r="G647" t="inlineStr">
        <is>
          <t>primary</t>
        </is>
      </c>
      <c r="H647" t="inlineStr">
        <is>
          <t>AUTO_VESSEL</t>
        </is>
      </c>
      <c r="I647" t="inlineStr">
        <is>
          <t>是</t>
        </is>
      </c>
      <c r="J647" t="inlineStr">
        <is>
          <t>纳入</t>
        </is>
      </c>
      <c r="K647" t="n">
        <v>326.2996219281663</v>
      </c>
      <c r="L647">
        <f>导管母表_1781!G647</f>
        <v/>
      </c>
      <c r="M647" t="inlineStr">
        <is>
          <t>视野内部</t>
        </is>
      </c>
      <c r="N647" t="inlineStr">
        <is>
          <t>纳入A/D/Dh；若有Pair_ID则纳入CWR</t>
        </is>
      </c>
      <c r="O647" t="inlineStr">
        <is>
          <t>自动管线检出的合格导管腔。</t>
        </is>
      </c>
      <c r="P647" t="inlineStr">
        <is>
          <t>auto_pipeline;review_png_green</t>
        </is>
      </c>
      <c r="R647" t="inlineStr">
        <is>
          <t>样品15</t>
        </is>
      </c>
    </row>
    <row r="648">
      <c r="A648" t="inlineStr">
        <is>
          <t>15(3)-V02</t>
        </is>
      </c>
      <c r="B648" t="inlineStr">
        <is>
          <t>15 (3).tif</t>
        </is>
      </c>
      <c r="C648" t="n">
        <v>121</v>
      </c>
      <c r="D648" t="n">
        <v>318</v>
      </c>
      <c r="E648" t="inlineStr">
        <is>
          <t>64,271,179,366</t>
        </is>
      </c>
      <c r="F648" t="n">
        <v>64</v>
      </c>
      <c r="G648" t="inlineStr">
        <is>
          <t>primary</t>
        </is>
      </c>
      <c r="H648" t="inlineStr">
        <is>
          <t>AUTO_VESSEL</t>
        </is>
      </c>
      <c r="I648" t="inlineStr">
        <is>
          <t>是</t>
        </is>
      </c>
      <c r="J648" t="inlineStr">
        <is>
          <t>纳入</t>
        </is>
      </c>
      <c r="K648" t="n">
        <v>313.3270321361059</v>
      </c>
      <c r="L648">
        <f>导管母表_1781!G648</f>
        <v/>
      </c>
      <c r="M648" t="inlineStr">
        <is>
          <t>视野内部</t>
        </is>
      </c>
      <c r="N648" t="inlineStr">
        <is>
          <t>纳入A/D/Dh；若有Pair_ID则纳入CWR</t>
        </is>
      </c>
      <c r="O648" t="inlineStr">
        <is>
          <t>自动管线检出的合格导管腔。</t>
        </is>
      </c>
      <c r="P648" t="inlineStr">
        <is>
          <t>auto_pipeline;review_png_green</t>
        </is>
      </c>
      <c r="R648" t="inlineStr">
        <is>
          <t>样品15</t>
        </is>
      </c>
    </row>
    <row r="649">
      <c r="A649" t="inlineStr">
        <is>
          <t>15(3)-V03</t>
        </is>
      </c>
      <c r="B649" t="inlineStr">
        <is>
          <t>15 (3).tif</t>
        </is>
      </c>
      <c r="C649" t="n">
        <v>738</v>
      </c>
      <c r="D649" t="n">
        <v>372</v>
      </c>
      <c r="E649" t="inlineStr">
        <is>
          <t>695,333,782,412</t>
        </is>
      </c>
      <c r="F649" t="n">
        <v>242</v>
      </c>
      <c r="G649" t="inlineStr">
        <is>
          <t>primary</t>
        </is>
      </c>
      <c r="H649" t="inlineStr">
        <is>
          <t>AUTO_VESSEL</t>
        </is>
      </c>
      <c r="I649" t="inlineStr">
        <is>
          <t>是</t>
        </is>
      </c>
      <c r="J649" t="inlineStr">
        <is>
          <t>纳入</t>
        </is>
      </c>
      <c r="K649" t="n">
        <v>249.1493383742911</v>
      </c>
      <c r="L649">
        <f>导管母表_1781!G649</f>
        <v/>
      </c>
      <c r="M649" t="inlineStr">
        <is>
          <t>视野内部</t>
        </is>
      </c>
      <c r="N649" t="inlineStr">
        <is>
          <t>纳入A/D/Dh；若有Pair_ID则纳入CWR</t>
        </is>
      </c>
      <c r="O649" t="inlineStr">
        <is>
          <t>自动管线检出的合格导管腔。</t>
        </is>
      </c>
      <c r="P649" t="inlineStr">
        <is>
          <t>auto_pipeline;review_png_green</t>
        </is>
      </c>
      <c r="R649" t="inlineStr">
        <is>
          <t>样品15</t>
        </is>
      </c>
    </row>
    <row r="650">
      <c r="A650" t="inlineStr">
        <is>
          <t>15(3)-V04</t>
        </is>
      </c>
      <c r="B650" t="inlineStr">
        <is>
          <t>15 (3).tif</t>
        </is>
      </c>
      <c r="C650" t="n">
        <v>880</v>
      </c>
      <c r="D650" t="n">
        <v>92</v>
      </c>
      <c r="E650" t="inlineStr">
        <is>
          <t>843,50,918,135</t>
        </is>
      </c>
      <c r="F650" t="n">
        <v>50</v>
      </c>
      <c r="G650" t="inlineStr">
        <is>
          <t>primary</t>
        </is>
      </c>
      <c r="H650" t="inlineStr">
        <is>
          <t>AUTO_VESSEL</t>
        </is>
      </c>
      <c r="I650" t="inlineStr">
        <is>
          <t>是</t>
        </is>
      </c>
      <c r="J650" t="inlineStr">
        <is>
          <t>纳入</t>
        </is>
      </c>
      <c r="K650" t="n">
        <v>230.6238185255199</v>
      </c>
      <c r="L650">
        <f>导管母表_1781!G650</f>
        <v/>
      </c>
      <c r="M650" t="inlineStr">
        <is>
          <t>视野内部</t>
        </is>
      </c>
      <c r="N650" t="inlineStr">
        <is>
          <t>纳入A/D/Dh；若有Pair_ID则纳入CWR</t>
        </is>
      </c>
      <c r="O650" t="inlineStr">
        <is>
          <t>自动管线检出的合格导管腔。</t>
        </is>
      </c>
      <c r="P650" t="inlineStr">
        <is>
          <t>auto_pipeline;review_png_green</t>
        </is>
      </c>
      <c r="R650" t="inlineStr">
        <is>
          <t>样品15</t>
        </is>
      </c>
    </row>
    <row r="651">
      <c r="A651" t="inlineStr">
        <is>
          <t>15(3)-V05</t>
        </is>
      </c>
      <c r="B651" t="inlineStr">
        <is>
          <t>15 (3).tif</t>
        </is>
      </c>
      <c r="C651" t="n">
        <v>540</v>
      </c>
      <c r="D651" t="n">
        <v>392</v>
      </c>
      <c r="E651" t="inlineStr">
        <is>
          <t>509,356,572,429</t>
        </is>
      </c>
      <c r="F651" t="n">
        <v>339</v>
      </c>
      <c r="G651" t="inlineStr">
        <is>
          <t>primary</t>
        </is>
      </c>
      <c r="H651" t="inlineStr">
        <is>
          <t>AUTO_VESSEL</t>
        </is>
      </c>
      <c r="I651" t="inlineStr">
        <is>
          <t>是</t>
        </is>
      </c>
      <c r="J651" t="inlineStr">
        <is>
          <t>纳入</t>
        </is>
      </c>
      <c r="K651" t="n">
        <v>165.2882797731569</v>
      </c>
      <c r="L651">
        <f>导管母表_1781!G651</f>
        <v/>
      </c>
      <c r="M651" t="inlineStr">
        <is>
          <t>视野内部</t>
        </is>
      </c>
      <c r="N651" t="inlineStr">
        <is>
          <t>纳入A/D/Dh；若有Pair_ID则纳入CWR</t>
        </is>
      </c>
      <c r="O651" t="inlineStr">
        <is>
          <t>自动管线检出的合格导管腔。</t>
        </is>
      </c>
      <c r="P651" t="inlineStr">
        <is>
          <t>auto_pipeline;review_png_green</t>
        </is>
      </c>
      <c r="R651" t="inlineStr">
        <is>
          <t>样品15</t>
        </is>
      </c>
    </row>
    <row r="652">
      <c r="A652" t="inlineStr">
        <is>
          <t>15(3)-V06</t>
        </is>
      </c>
      <c r="B652" t="inlineStr">
        <is>
          <t>15 (3).tif</t>
        </is>
      </c>
      <c r="C652" t="n">
        <v>611</v>
      </c>
      <c r="D652" t="n">
        <v>357</v>
      </c>
      <c r="E652" t="inlineStr">
        <is>
          <t>577,326,646,389</t>
        </is>
      </c>
      <c r="F652" t="n">
        <v>326</v>
      </c>
      <c r="G652" t="inlineStr">
        <is>
          <t>primary</t>
        </is>
      </c>
      <c r="H652" t="inlineStr">
        <is>
          <t>AUTO_VESSEL</t>
        </is>
      </c>
      <c r="I652" t="inlineStr">
        <is>
          <t>是</t>
        </is>
      </c>
      <c r="J652" t="inlineStr">
        <is>
          <t>纳入</t>
        </is>
      </c>
      <c r="K652" t="n">
        <v>145.15595463138</v>
      </c>
      <c r="L652">
        <f>导管母表_1781!G652</f>
        <v/>
      </c>
      <c r="M652" t="inlineStr">
        <is>
          <t>视野内部</t>
        </is>
      </c>
      <c r="N652" t="inlineStr">
        <is>
          <t>纳入A/D/Dh；若有Pair_ID则纳入CWR</t>
        </is>
      </c>
      <c r="O652" t="inlineStr">
        <is>
          <t>自动管线检出的合格导管腔。</t>
        </is>
      </c>
      <c r="P652" t="inlineStr">
        <is>
          <t>auto_pipeline;review_png_green</t>
        </is>
      </c>
      <c r="R652" t="inlineStr">
        <is>
          <t>样品15</t>
        </is>
      </c>
    </row>
    <row r="653">
      <c r="A653" t="inlineStr">
        <is>
          <t>15(4)-V01</t>
        </is>
      </c>
      <c r="B653" t="inlineStr">
        <is>
          <t>15 (4).tif</t>
        </is>
      </c>
      <c r="C653" t="n">
        <v>375</v>
      </c>
      <c r="D653" t="n">
        <v>310</v>
      </c>
      <c r="E653" t="inlineStr">
        <is>
          <t>277,228,474,393</t>
        </is>
      </c>
      <c r="F653" t="n">
        <v>228</v>
      </c>
      <c r="G653" t="inlineStr">
        <is>
          <t>primary</t>
        </is>
      </c>
      <c r="H653" t="inlineStr">
        <is>
          <t>AUTO_VESSEL</t>
        </is>
      </c>
      <c r="I653" t="inlineStr">
        <is>
          <t>是</t>
        </is>
      </c>
      <c r="J653" t="inlineStr">
        <is>
          <t>纳入</t>
        </is>
      </c>
      <c r="K653" t="n">
        <v>1192.296786389414</v>
      </c>
      <c r="L653">
        <f>导管母表_1781!G653</f>
        <v/>
      </c>
      <c r="M653" t="inlineStr">
        <is>
          <t>视野内部</t>
        </is>
      </c>
      <c r="N653" t="inlineStr">
        <is>
          <t>纳入A/D/Dh；若有Pair_ID则纳入CWR</t>
        </is>
      </c>
      <c r="O653" t="inlineStr">
        <is>
          <t>自动管线检出的合格导管腔。</t>
        </is>
      </c>
      <c r="P653" t="inlineStr">
        <is>
          <t>auto_pipeline;review_png_green</t>
        </is>
      </c>
      <c r="R653" t="inlineStr">
        <is>
          <t>样品15</t>
        </is>
      </c>
    </row>
    <row r="654">
      <c r="A654" t="inlineStr">
        <is>
          <t>15(4)-V02</t>
        </is>
      </c>
      <c r="B654" t="inlineStr">
        <is>
          <t>15 (4).tif</t>
        </is>
      </c>
      <c r="C654" t="n">
        <v>594</v>
      </c>
      <c r="D654" t="n">
        <v>321</v>
      </c>
      <c r="E654" t="inlineStr">
        <is>
          <t>524,245,665,398</t>
        </is>
      </c>
      <c r="F654" t="n">
        <v>245</v>
      </c>
      <c r="G654" t="inlineStr">
        <is>
          <t>primary</t>
        </is>
      </c>
      <c r="H654" t="inlineStr">
        <is>
          <t>AUTO_VESSEL</t>
        </is>
      </c>
      <c r="I654" t="inlineStr">
        <is>
          <t>是</t>
        </is>
      </c>
      <c r="J654" t="inlineStr">
        <is>
          <t>纳入</t>
        </is>
      </c>
      <c r="K654" t="n">
        <v>774.976370510397</v>
      </c>
      <c r="L654">
        <f>导管母表_1781!G654</f>
        <v/>
      </c>
      <c r="M654" t="inlineStr">
        <is>
          <t>视野内部</t>
        </is>
      </c>
      <c r="N654" t="inlineStr">
        <is>
          <t>纳入A/D/Dh；若有Pair_ID则纳入CWR</t>
        </is>
      </c>
      <c r="O654" t="inlineStr">
        <is>
          <t>自动管线检出的合格导管腔。</t>
        </is>
      </c>
      <c r="P654" t="inlineStr">
        <is>
          <t>auto_pipeline;review_png_green</t>
        </is>
      </c>
      <c r="R654" t="inlineStr">
        <is>
          <t>样品15</t>
        </is>
      </c>
    </row>
    <row r="655">
      <c r="A655" t="inlineStr">
        <is>
          <t>15(4)-V03</t>
        </is>
      </c>
      <c r="B655" t="inlineStr">
        <is>
          <t>15 (4).tif</t>
        </is>
      </c>
      <c r="C655" t="n">
        <v>325</v>
      </c>
      <c r="D655" t="n">
        <v>588</v>
      </c>
      <c r="E655" t="inlineStr">
        <is>
          <t>251,540,400,637</t>
        </is>
      </c>
      <c r="F655" t="n">
        <v>131</v>
      </c>
      <c r="G655" t="inlineStr">
        <is>
          <t>primary</t>
        </is>
      </c>
      <c r="H655" t="inlineStr">
        <is>
          <t>AUTO_VESSEL</t>
        </is>
      </c>
      <c r="I655" t="inlineStr">
        <is>
          <t>是</t>
        </is>
      </c>
      <c r="J655" t="inlineStr">
        <is>
          <t>纳入</t>
        </is>
      </c>
      <c r="K655" t="n">
        <v>527.4338374291116</v>
      </c>
      <c r="L655">
        <f>导管母表_1781!G655</f>
        <v/>
      </c>
      <c r="M655" t="inlineStr">
        <is>
          <t>视野内部</t>
        </is>
      </c>
      <c r="N655" t="inlineStr">
        <is>
          <t>纳入A/D/Dh；若有Pair_ID则纳入CWR</t>
        </is>
      </c>
      <c r="O655" t="inlineStr">
        <is>
          <t>自动管线检出的合格导管腔。</t>
        </is>
      </c>
      <c r="P655" t="inlineStr">
        <is>
          <t>auto_pipeline;review_png_green</t>
        </is>
      </c>
      <c r="R655" t="inlineStr">
        <is>
          <t>样品15</t>
        </is>
      </c>
    </row>
    <row r="656">
      <c r="A656" t="inlineStr">
        <is>
          <t>15(4)-V04</t>
        </is>
      </c>
      <c r="B656" t="inlineStr">
        <is>
          <t>15 (4).tif</t>
        </is>
      </c>
      <c r="C656" t="n">
        <v>917</v>
      </c>
      <c r="D656" t="n">
        <v>412</v>
      </c>
      <c r="E656" t="inlineStr">
        <is>
          <t>845,366,990,459</t>
        </is>
      </c>
      <c r="F656" t="n">
        <v>34</v>
      </c>
      <c r="G656" t="inlineStr">
        <is>
          <t>primary</t>
        </is>
      </c>
      <c r="H656" t="inlineStr">
        <is>
          <t>AUTO_VESSEL</t>
        </is>
      </c>
      <c r="I656" t="inlineStr">
        <is>
          <t>是</t>
        </is>
      </c>
      <c r="J656" t="inlineStr">
        <is>
          <t>纳入</t>
        </is>
      </c>
      <c r="K656" t="n">
        <v>491.9659735349716</v>
      </c>
      <c r="L656">
        <f>导管母表_1781!G656</f>
        <v/>
      </c>
      <c r="M656" t="inlineStr">
        <is>
          <t>视野内部</t>
        </is>
      </c>
      <c r="N656" t="inlineStr">
        <is>
          <t>纳入A/D/Dh；若有Pair_ID则纳入CWR</t>
        </is>
      </c>
      <c r="O656" t="inlineStr">
        <is>
          <t>自动管线检出的合格导管腔。</t>
        </is>
      </c>
      <c r="P656" t="inlineStr">
        <is>
          <t>auto_pipeline;review_png_green</t>
        </is>
      </c>
      <c r="R656" t="inlineStr">
        <is>
          <t>样品15</t>
        </is>
      </c>
    </row>
    <row r="657">
      <c r="A657" t="inlineStr">
        <is>
          <t>15(4)-V05</t>
        </is>
      </c>
      <c r="B657" t="inlineStr">
        <is>
          <t>15 (4).tif</t>
        </is>
      </c>
      <c r="C657" t="n">
        <v>648</v>
      </c>
      <c r="D657" t="n">
        <v>593</v>
      </c>
      <c r="E657" t="inlineStr">
        <is>
          <t>595,571,702,616</t>
        </is>
      </c>
      <c r="F657" t="n">
        <v>152</v>
      </c>
      <c r="G657" t="inlineStr">
        <is>
          <t>primary</t>
        </is>
      </c>
      <c r="H657" t="inlineStr">
        <is>
          <t>AUTO_VESSEL</t>
        </is>
      </c>
      <c r="I657" t="inlineStr">
        <is>
          <t>是</t>
        </is>
      </c>
      <c r="J657" t="inlineStr">
        <is>
          <t>纳入</t>
        </is>
      </c>
      <c r="K657" t="n">
        <v>161.0822306238185</v>
      </c>
      <c r="L657">
        <f>导管母表_1781!G657</f>
        <v/>
      </c>
      <c r="M657" t="inlineStr">
        <is>
          <t>视野内部</t>
        </is>
      </c>
      <c r="N657" t="inlineStr">
        <is>
          <t>纳入A/D/Dh；若有Pair_ID则纳入CWR</t>
        </is>
      </c>
      <c r="O657" t="inlineStr">
        <is>
          <t>自动管线检出的合格导管腔。</t>
        </is>
      </c>
      <c r="P657" t="inlineStr">
        <is>
          <t>auto_pipeline;review_png_green</t>
        </is>
      </c>
      <c r="R657" t="inlineStr">
        <is>
          <t>样品15</t>
        </is>
      </c>
    </row>
    <row r="658">
      <c r="A658" t="inlineStr">
        <is>
          <t>15(4)-V06</t>
        </is>
      </c>
      <c r="B658" t="inlineStr">
        <is>
          <t>15 (4).tif</t>
        </is>
      </c>
      <c r="C658" t="n">
        <v>763</v>
      </c>
      <c r="D658" t="n">
        <v>212</v>
      </c>
      <c r="E658" t="inlineStr">
        <is>
          <t>719,188,808,237</t>
        </is>
      </c>
      <c r="F658" t="n">
        <v>188</v>
      </c>
      <c r="G658" t="inlineStr">
        <is>
          <t>primary</t>
        </is>
      </c>
      <c r="H658" t="inlineStr">
        <is>
          <t>AUTO_VESSEL</t>
        </is>
      </c>
      <c r="I658" t="inlineStr">
        <is>
          <t>是</t>
        </is>
      </c>
      <c r="J658" t="inlineStr">
        <is>
          <t>纳入</t>
        </is>
      </c>
      <c r="K658" t="n">
        <v>129.5841209829868</v>
      </c>
      <c r="L658">
        <f>导管母表_1781!G658</f>
        <v/>
      </c>
      <c r="M658" t="inlineStr">
        <is>
          <t>视野内部</t>
        </is>
      </c>
      <c r="N658" t="inlineStr">
        <is>
          <t>纳入A/D/Dh；若有Pair_ID则纳入CWR</t>
        </is>
      </c>
      <c r="O658" t="inlineStr">
        <is>
          <t>自动管线检出的合格导管腔。</t>
        </is>
      </c>
      <c r="P658" t="inlineStr">
        <is>
          <t>auto_pipeline;review_png_green</t>
        </is>
      </c>
      <c r="R658" t="inlineStr">
        <is>
          <t>样品15</t>
        </is>
      </c>
    </row>
    <row r="659">
      <c r="A659" t="inlineStr">
        <is>
          <t>15(5)-V01</t>
        </is>
      </c>
      <c r="B659" t="inlineStr">
        <is>
          <t>15 (5).tif</t>
        </is>
      </c>
      <c r="C659" t="n">
        <v>478</v>
      </c>
      <c r="D659" t="n">
        <v>437</v>
      </c>
      <c r="E659" t="inlineStr">
        <is>
          <t>402,369,555,506</t>
        </is>
      </c>
      <c r="F659" t="n">
        <v>262</v>
      </c>
      <c r="G659" t="inlineStr">
        <is>
          <t>primary</t>
        </is>
      </c>
      <c r="H659" t="inlineStr">
        <is>
          <t>AUTO_VESSEL</t>
        </is>
      </c>
      <c r="I659" t="inlineStr">
        <is>
          <t>是</t>
        </is>
      </c>
      <c r="J659" t="inlineStr">
        <is>
          <t>纳入</t>
        </is>
      </c>
      <c r="K659" t="n">
        <v>765.9735349716447</v>
      </c>
      <c r="L659">
        <f>导管母表_1781!G659</f>
        <v/>
      </c>
      <c r="M659" t="inlineStr">
        <is>
          <t>视野内部</t>
        </is>
      </c>
      <c r="N659" t="inlineStr">
        <is>
          <t>纳入A/D/Dh；若有Pair_ID则纳入CWR</t>
        </is>
      </c>
      <c r="O659" t="inlineStr">
        <is>
          <t>自动管线检出的合格导管腔。</t>
        </is>
      </c>
      <c r="P659" t="inlineStr">
        <is>
          <t>auto_pipeline;review_png_green</t>
        </is>
      </c>
      <c r="R659" t="inlineStr">
        <is>
          <t>样品15</t>
        </is>
      </c>
    </row>
    <row r="660">
      <c r="A660" t="inlineStr">
        <is>
          <t>15(5)-V02</t>
        </is>
      </c>
      <c r="B660" t="inlineStr">
        <is>
          <t>15 (5).tif</t>
        </is>
      </c>
      <c r="C660" t="n">
        <v>471</v>
      </c>
      <c r="D660" t="n">
        <v>289</v>
      </c>
      <c r="E660" t="inlineStr">
        <is>
          <t>411,237,532,342</t>
        </is>
      </c>
      <c r="F660" t="n">
        <v>237</v>
      </c>
      <c r="G660" t="inlineStr">
        <is>
          <t>primary</t>
        </is>
      </c>
      <c r="H660" t="inlineStr">
        <is>
          <t>AUTO_VESSEL</t>
        </is>
      </c>
      <c r="I660" t="inlineStr">
        <is>
          <t>是</t>
        </is>
      </c>
      <c r="J660" t="inlineStr">
        <is>
          <t>纳入</t>
        </is>
      </c>
      <c r="K660" t="n">
        <v>461.3657844990548</v>
      </c>
      <c r="L660">
        <f>导管母表_1781!G660</f>
        <v/>
      </c>
      <c r="M660" t="inlineStr">
        <is>
          <t>视野内部</t>
        </is>
      </c>
      <c r="N660" t="inlineStr">
        <is>
          <t>纳入A/D/Dh；若有Pair_ID则纳入CWR</t>
        </is>
      </c>
      <c r="O660" t="inlineStr">
        <is>
          <t>自动管线检出的合格导管腔。</t>
        </is>
      </c>
      <c r="P660" t="inlineStr">
        <is>
          <t>auto_pipeline;review_png_green</t>
        </is>
      </c>
      <c r="R660" t="inlineStr">
        <is>
          <t>样品15</t>
        </is>
      </c>
    </row>
    <row r="661">
      <c r="A661" t="inlineStr">
        <is>
          <t>15(5)-V03</t>
        </is>
      </c>
      <c r="B661" t="inlineStr">
        <is>
          <t>15 (5).tif</t>
        </is>
      </c>
      <c r="C661" t="n">
        <v>942</v>
      </c>
      <c r="D661" t="n">
        <v>577</v>
      </c>
      <c r="E661" t="inlineStr">
        <is>
          <t>892,517,993,638</t>
        </is>
      </c>
      <c r="F661" t="n">
        <v>31</v>
      </c>
      <c r="G661" t="inlineStr">
        <is>
          <t>primary</t>
        </is>
      </c>
      <c r="H661" t="inlineStr">
        <is>
          <t>AUTO_VESSEL</t>
        </is>
      </c>
      <c r="I661" t="inlineStr">
        <is>
          <t>是</t>
        </is>
      </c>
      <c r="J661" t="inlineStr">
        <is>
          <t>纳入</t>
        </is>
      </c>
      <c r="K661" t="n">
        <v>443.6672967863894</v>
      </c>
      <c r="L661">
        <f>导管母表_1781!G661</f>
        <v/>
      </c>
      <c r="M661" t="inlineStr">
        <is>
          <t>视野内部</t>
        </is>
      </c>
      <c r="N661" t="inlineStr">
        <is>
          <t>纳入A/D/Dh；若有Pair_ID则纳入CWR</t>
        </is>
      </c>
      <c r="O661" t="inlineStr">
        <is>
          <t>自动管线检出的合格导管腔。</t>
        </is>
      </c>
      <c r="P661" t="inlineStr">
        <is>
          <t>auto_pipeline;review_png_green</t>
        </is>
      </c>
      <c r="R661" t="inlineStr">
        <is>
          <t>样品15</t>
        </is>
      </c>
    </row>
    <row r="662">
      <c r="A662" t="inlineStr">
        <is>
          <t>15(5)-V04</t>
        </is>
      </c>
      <c r="B662" t="inlineStr">
        <is>
          <t>15 (5).tif</t>
        </is>
      </c>
      <c r="C662" t="n">
        <v>787</v>
      </c>
      <c r="D662" t="n">
        <v>149</v>
      </c>
      <c r="E662" t="inlineStr">
        <is>
          <t>744,94,831,205</t>
        </is>
      </c>
      <c r="F662" t="n">
        <v>94</v>
      </c>
      <c r="G662" t="inlineStr">
        <is>
          <t>primary</t>
        </is>
      </c>
      <c r="H662" t="inlineStr">
        <is>
          <t>AUTO_VESSEL</t>
        </is>
      </c>
      <c r="I662" t="inlineStr">
        <is>
          <t>是</t>
        </is>
      </c>
      <c r="J662" t="inlineStr">
        <is>
          <t>纳入</t>
        </is>
      </c>
      <c r="K662" t="n">
        <v>351.5122873345936</v>
      </c>
      <c r="L662">
        <f>导管母表_1781!G662</f>
        <v/>
      </c>
      <c r="M662" t="inlineStr">
        <is>
          <t>视野内部</t>
        </is>
      </c>
      <c r="N662" t="inlineStr">
        <is>
          <t>纳入A/D/Dh；若有Pair_ID则纳入CWR</t>
        </is>
      </c>
      <c r="O662" t="inlineStr">
        <is>
          <t>自动管线检出的合格导管腔。</t>
        </is>
      </c>
      <c r="P662" t="inlineStr">
        <is>
          <t>auto_pipeline;review_png_green</t>
        </is>
      </c>
      <c r="R662" t="inlineStr">
        <is>
          <t>样品15</t>
        </is>
      </c>
    </row>
    <row r="663">
      <c r="A663" t="inlineStr">
        <is>
          <t>15(6)-V01</t>
        </is>
      </c>
      <c r="B663" t="inlineStr">
        <is>
          <t>15 (6).tif</t>
        </is>
      </c>
      <c r="C663" t="n">
        <v>416</v>
      </c>
      <c r="D663" t="n">
        <v>323</v>
      </c>
      <c r="E663" t="inlineStr">
        <is>
          <t>358,258,475,389</t>
        </is>
      </c>
      <c r="F663" t="n">
        <v>258</v>
      </c>
      <c r="G663" t="inlineStr">
        <is>
          <t>primary</t>
        </is>
      </c>
      <c r="H663" t="inlineStr">
        <is>
          <t>AUTO_VESSEL</t>
        </is>
      </c>
      <c r="I663" t="inlineStr">
        <is>
          <t>是</t>
        </is>
      </c>
      <c r="J663" t="inlineStr">
        <is>
          <t>纳入</t>
        </is>
      </c>
      <c r="K663" t="n">
        <v>554.1351606805293</v>
      </c>
      <c r="L663">
        <f>导管母表_1781!G663</f>
        <v/>
      </c>
      <c r="M663" t="inlineStr">
        <is>
          <t>视野内部</t>
        </is>
      </c>
      <c r="N663" t="inlineStr">
        <is>
          <t>纳入A/D/Dh；若有Pair_ID则纳入CWR</t>
        </is>
      </c>
      <c r="O663" t="inlineStr">
        <is>
          <t>自动管线检出的合格导管腔。</t>
        </is>
      </c>
      <c r="P663" t="inlineStr">
        <is>
          <t>auto_pipeline;review_png_green</t>
        </is>
      </c>
      <c r="R663" t="inlineStr">
        <is>
          <t>样品15</t>
        </is>
      </c>
    </row>
    <row r="664">
      <c r="A664" t="inlineStr">
        <is>
          <t>15(6)-V02</t>
        </is>
      </c>
      <c r="B664" t="inlineStr">
        <is>
          <t>15 (6).tif</t>
        </is>
      </c>
      <c r="C664" t="n">
        <v>556</v>
      </c>
      <c r="D664" t="n">
        <v>403</v>
      </c>
      <c r="E664" t="inlineStr">
        <is>
          <t>501,344,612,463</t>
        </is>
      </c>
      <c r="F664" t="n">
        <v>305</v>
      </c>
      <c r="G664" t="inlineStr">
        <is>
          <t>primary</t>
        </is>
      </c>
      <c r="H664" t="inlineStr">
        <is>
          <t>AUTO_VESSEL</t>
        </is>
      </c>
      <c r="I664" t="inlineStr">
        <is>
          <t>是</t>
        </is>
      </c>
      <c r="J664" t="inlineStr">
        <is>
          <t>纳入</t>
        </is>
      </c>
      <c r="K664" t="n">
        <v>479.3005671077505</v>
      </c>
      <c r="L664">
        <f>导管母表_1781!G664</f>
        <v/>
      </c>
      <c r="M664" t="inlineStr">
        <is>
          <t>视野内部</t>
        </is>
      </c>
      <c r="N664" t="inlineStr">
        <is>
          <t>纳入A/D/Dh；若有Pair_ID则纳入CWR</t>
        </is>
      </c>
      <c r="O664" t="inlineStr">
        <is>
          <t>自动管线检出的合格导管腔。</t>
        </is>
      </c>
      <c r="P664" t="inlineStr">
        <is>
          <t>auto_pipeline;review_png_green</t>
        </is>
      </c>
      <c r="R664" t="inlineStr">
        <is>
          <t>样品15</t>
        </is>
      </c>
    </row>
    <row r="665">
      <c r="A665" t="inlineStr">
        <is>
          <t>15(6)-V03</t>
        </is>
      </c>
      <c r="B665" t="inlineStr">
        <is>
          <t>15 (6).tif</t>
        </is>
      </c>
      <c r="C665" t="n">
        <v>635</v>
      </c>
      <c r="D665" t="n">
        <v>61</v>
      </c>
      <c r="E665" t="inlineStr">
        <is>
          <t>597,40,674,83</t>
        </is>
      </c>
      <c r="F665" t="n">
        <v>40</v>
      </c>
      <c r="G665" t="inlineStr">
        <is>
          <t>primary</t>
        </is>
      </c>
      <c r="H665" t="inlineStr">
        <is>
          <t>AUTO_VESSEL</t>
        </is>
      </c>
      <c r="I665" t="inlineStr">
        <is>
          <t>是</t>
        </is>
      </c>
      <c r="J665" t="inlineStr">
        <is>
          <t>纳入</t>
        </is>
      </c>
      <c r="K665" t="n">
        <v>118.5727788279773</v>
      </c>
      <c r="L665">
        <f>导管母表_1781!G665</f>
        <v/>
      </c>
      <c r="M665" t="inlineStr">
        <is>
          <t>视野内部</t>
        </is>
      </c>
      <c r="N665" t="inlineStr">
        <is>
          <t>纳入A/D/Dh；若有Pair_ID则纳入CWR</t>
        </is>
      </c>
      <c r="O665" t="inlineStr">
        <is>
          <t>自动管线检出的合格导管腔。</t>
        </is>
      </c>
      <c r="P665" t="inlineStr">
        <is>
          <t>auto_pipeline;review_png_green</t>
        </is>
      </c>
      <c r="R665" t="inlineStr">
        <is>
          <t>样品15</t>
        </is>
      </c>
    </row>
    <row r="666">
      <c r="A666" t="inlineStr">
        <is>
          <t>15(7)-V01</t>
        </is>
      </c>
      <c r="B666" t="inlineStr">
        <is>
          <t>15 (7).tif</t>
        </is>
      </c>
      <c r="C666" t="n">
        <v>450</v>
      </c>
      <c r="D666" t="n">
        <v>393</v>
      </c>
      <c r="E666" t="inlineStr">
        <is>
          <t>381,330,520,457</t>
        </is>
      </c>
      <c r="F666" t="n">
        <v>311</v>
      </c>
      <c r="G666" t="inlineStr">
        <is>
          <t>primary</t>
        </is>
      </c>
      <c r="H666" t="inlineStr">
        <is>
          <t>AUTO_VESSEL</t>
        </is>
      </c>
      <c r="I666" t="inlineStr">
        <is>
          <t>是</t>
        </is>
      </c>
      <c r="J666" t="inlineStr">
        <is>
          <t>纳入</t>
        </is>
      </c>
      <c r="K666" t="n">
        <v>645.132325141777</v>
      </c>
      <c r="L666">
        <f>导管母表_1781!G666</f>
        <v/>
      </c>
      <c r="M666" t="inlineStr">
        <is>
          <t>视野内部</t>
        </is>
      </c>
      <c r="N666" t="inlineStr">
        <is>
          <t>纳入A/D/Dh；若有Pair_ID则纳入CWR</t>
        </is>
      </c>
      <c r="O666" t="inlineStr">
        <is>
          <t>自动管线检出的合格导管腔。</t>
        </is>
      </c>
      <c r="P666" t="inlineStr">
        <is>
          <t>auto_pipeline;review_png_green</t>
        </is>
      </c>
      <c r="R666" t="inlineStr">
        <is>
          <t>样品15</t>
        </is>
      </c>
    </row>
    <row r="667">
      <c r="A667" t="inlineStr">
        <is>
          <t>15(7)-V02</t>
        </is>
      </c>
      <c r="B667" t="inlineStr">
        <is>
          <t>15 (7).tif</t>
        </is>
      </c>
      <c r="C667" t="n">
        <v>618</v>
      </c>
      <c r="D667" t="n">
        <v>400</v>
      </c>
      <c r="E667" t="inlineStr">
        <is>
          <t>555,337,682,464</t>
        </is>
      </c>
      <c r="F667" t="n">
        <v>304</v>
      </c>
      <c r="G667" t="inlineStr">
        <is>
          <t>primary</t>
        </is>
      </c>
      <c r="H667" t="inlineStr">
        <is>
          <t>AUTO_VESSEL</t>
        </is>
      </c>
      <c r="I667" t="inlineStr">
        <is>
          <t>是</t>
        </is>
      </c>
      <c r="J667" t="inlineStr">
        <is>
          <t>纳入</t>
        </is>
      </c>
      <c r="K667" t="n">
        <v>584.569943289225</v>
      </c>
      <c r="L667">
        <f>导管母表_1781!G667</f>
        <v/>
      </c>
      <c r="M667" t="inlineStr">
        <is>
          <t>视野内部</t>
        </is>
      </c>
      <c r="N667" t="inlineStr">
        <is>
          <t>纳入A/D/Dh；若有Pair_ID则纳入CWR</t>
        </is>
      </c>
      <c r="O667" t="inlineStr">
        <is>
          <t>自动管线检出的合格导管腔。</t>
        </is>
      </c>
      <c r="P667" t="inlineStr">
        <is>
          <t>auto_pipeline;review_png_green</t>
        </is>
      </c>
      <c r="R667" t="inlineStr">
        <is>
          <t>样品15</t>
        </is>
      </c>
    </row>
    <row r="668">
      <c r="A668" t="inlineStr">
        <is>
          <t>15(7)-V03</t>
        </is>
      </c>
      <c r="B668" t="inlineStr">
        <is>
          <t>15 (7).tif</t>
        </is>
      </c>
      <c r="C668" t="n">
        <v>311</v>
      </c>
      <c r="D668" t="n">
        <v>161</v>
      </c>
      <c r="E668" t="inlineStr">
        <is>
          <t>264,111,359,212</t>
        </is>
      </c>
      <c r="F668" t="n">
        <v>111</v>
      </c>
      <c r="G668" t="inlineStr">
        <is>
          <t>primary</t>
        </is>
      </c>
      <c r="H668" t="inlineStr">
        <is>
          <t>AUTO_VESSEL</t>
        </is>
      </c>
      <c r="I668" t="inlineStr">
        <is>
          <t>是</t>
        </is>
      </c>
      <c r="J668" t="inlineStr">
        <is>
          <t>纳入</t>
        </is>
      </c>
      <c r="K668" t="n">
        <v>349.2674858223062</v>
      </c>
      <c r="L668">
        <f>导管母表_1781!G668</f>
        <v/>
      </c>
      <c r="M668" t="inlineStr">
        <is>
          <t>视野内部</t>
        </is>
      </c>
      <c r="N668" t="inlineStr">
        <is>
          <t>纳入A/D/Dh；若有Pair_ID则纳入CWR</t>
        </is>
      </c>
      <c r="O668" t="inlineStr">
        <is>
          <t>自动管线检出的合格导管腔。</t>
        </is>
      </c>
      <c r="P668" t="inlineStr">
        <is>
          <t>auto_pipeline;review_png_green</t>
        </is>
      </c>
      <c r="R668" t="inlineStr">
        <is>
          <t>样品15</t>
        </is>
      </c>
    </row>
    <row r="669">
      <c r="A669" t="inlineStr">
        <is>
          <t>15(7)-V04</t>
        </is>
      </c>
      <c r="B669" t="inlineStr">
        <is>
          <t>15 (7).tif</t>
        </is>
      </c>
      <c r="C669" t="n">
        <v>84</v>
      </c>
      <c r="D669" t="n">
        <v>351</v>
      </c>
      <c r="E669" t="inlineStr">
        <is>
          <t>44,312,125,391</t>
        </is>
      </c>
      <c r="F669" t="n">
        <v>44</v>
      </c>
      <c r="G669" t="inlineStr">
        <is>
          <t>primary</t>
        </is>
      </c>
      <c r="H669" t="inlineStr">
        <is>
          <t>AUTO_VESSEL</t>
        </is>
      </c>
      <c r="I669" t="inlineStr">
        <is>
          <t>是</t>
        </is>
      </c>
      <c r="J669" t="inlineStr">
        <is>
          <t>纳入</t>
        </is>
      </c>
      <c r="K669" t="n">
        <v>222.117202268431</v>
      </c>
      <c r="L669">
        <f>导管母表_1781!G669</f>
        <v/>
      </c>
      <c r="M669" t="inlineStr">
        <is>
          <t>视野内部</t>
        </is>
      </c>
      <c r="N669" t="inlineStr">
        <is>
          <t>纳入A/D/Dh；若有Pair_ID则纳入CWR</t>
        </is>
      </c>
      <c r="O669" t="inlineStr">
        <is>
          <t>自动管线检出的合格导管腔。</t>
        </is>
      </c>
      <c r="P669" t="inlineStr">
        <is>
          <t>auto_pipeline;review_png_green</t>
        </is>
      </c>
      <c r="R669" t="inlineStr">
        <is>
          <t>样品15</t>
        </is>
      </c>
    </row>
    <row r="670">
      <c r="A670" t="inlineStr">
        <is>
          <t>15(7)-V05</t>
        </is>
      </c>
      <c r="B670" t="inlineStr">
        <is>
          <t>15 (7).tif</t>
        </is>
      </c>
      <c r="C670" t="n">
        <v>465</v>
      </c>
      <c r="D670" t="n">
        <v>89</v>
      </c>
      <c r="E670" t="inlineStr">
        <is>
          <t>416,72,515,107</t>
        </is>
      </c>
      <c r="F670" t="n">
        <v>72</v>
      </c>
      <c r="G670" t="inlineStr">
        <is>
          <t>primary</t>
        </is>
      </c>
      <c r="H670" t="inlineStr">
        <is>
          <t>AUTO_VESSEL</t>
        </is>
      </c>
      <c r="I670" t="inlineStr">
        <is>
          <t>是</t>
        </is>
      </c>
      <c r="J670" t="inlineStr">
        <is>
          <t>纳入</t>
        </is>
      </c>
      <c r="K670" t="n">
        <v>123.1568998109641</v>
      </c>
      <c r="L670">
        <f>导管母表_1781!G670</f>
        <v/>
      </c>
      <c r="M670" t="inlineStr">
        <is>
          <t>视野内部</t>
        </is>
      </c>
      <c r="N670" t="inlineStr">
        <is>
          <t>纳入A/D/Dh；若有Pair_ID则纳入CWR</t>
        </is>
      </c>
      <c r="O670" t="inlineStr">
        <is>
          <t>自动管线检出的合格导管腔。</t>
        </is>
      </c>
      <c r="P670" t="inlineStr">
        <is>
          <t>auto_pipeline;review_png_green</t>
        </is>
      </c>
      <c r="R670" t="inlineStr">
        <is>
          <t>样品15</t>
        </is>
      </c>
    </row>
    <row r="671">
      <c r="A671" t="inlineStr">
        <is>
          <t>15(7)-V06</t>
        </is>
      </c>
      <c r="B671" t="inlineStr">
        <is>
          <t>15 (7).tif</t>
        </is>
      </c>
      <c r="C671" t="n">
        <v>219</v>
      </c>
      <c r="D671" t="n">
        <v>81</v>
      </c>
      <c r="E671" t="inlineStr">
        <is>
          <t>187,57,252,106</t>
        </is>
      </c>
      <c r="F671" t="n">
        <v>57</v>
      </c>
      <c r="G671" t="inlineStr">
        <is>
          <t>primary</t>
        </is>
      </c>
      <c r="H671" t="inlineStr">
        <is>
          <t>AUTO_VESSEL</t>
        </is>
      </c>
      <c r="I671" t="inlineStr">
        <is>
          <t>是</t>
        </is>
      </c>
      <c r="J671" t="inlineStr">
        <is>
          <t>纳入</t>
        </is>
      </c>
      <c r="K671" t="n">
        <v>108.1521739130435</v>
      </c>
      <c r="L671">
        <f>导管母表_1781!G671</f>
        <v/>
      </c>
      <c r="M671" t="inlineStr">
        <is>
          <t>视野内部</t>
        </is>
      </c>
      <c r="N671" t="inlineStr">
        <is>
          <t>纳入A/D/Dh；若有Pair_ID则纳入CWR</t>
        </is>
      </c>
      <c r="O671" t="inlineStr">
        <is>
          <t>自动管线检出的合格导管腔。</t>
        </is>
      </c>
      <c r="P671" t="inlineStr">
        <is>
          <t>auto_pipeline;review_png_green</t>
        </is>
      </c>
      <c r="R671" t="inlineStr">
        <is>
          <t>样品15</t>
        </is>
      </c>
    </row>
    <row r="672">
      <c r="A672" t="inlineStr">
        <is>
          <t>15(8)-V01</t>
        </is>
      </c>
      <c r="B672" t="inlineStr">
        <is>
          <t>15 (8).tif</t>
        </is>
      </c>
      <c r="C672" t="n">
        <v>476</v>
      </c>
      <c r="D672" t="n">
        <v>267</v>
      </c>
      <c r="E672" t="inlineStr">
        <is>
          <t>379,185,574,350</t>
        </is>
      </c>
      <c r="F672" t="n">
        <v>185</v>
      </c>
      <c r="G672" t="inlineStr">
        <is>
          <t>primary</t>
        </is>
      </c>
      <c r="H672" t="inlineStr">
        <is>
          <t>AUTO_VESSEL</t>
        </is>
      </c>
      <c r="I672" t="inlineStr">
        <is>
          <t>是</t>
        </is>
      </c>
      <c r="J672" t="inlineStr">
        <is>
          <t>纳入</t>
        </is>
      </c>
      <c r="K672" t="n">
        <v>1174.314744801512</v>
      </c>
      <c r="L672">
        <f>导管母表_1781!G672</f>
        <v/>
      </c>
      <c r="M672" t="inlineStr">
        <is>
          <t>视野内部</t>
        </is>
      </c>
      <c r="N672" t="inlineStr">
        <is>
          <t>纳入A/D/Dh；若有Pair_ID则纳入CWR</t>
        </is>
      </c>
      <c r="O672" t="inlineStr">
        <is>
          <t>自动管线检出的合格导管腔。</t>
        </is>
      </c>
      <c r="P672" t="inlineStr">
        <is>
          <t>auto_pipeline;review_png_green</t>
        </is>
      </c>
      <c r="Q672" t="inlineStr">
        <is>
          <t>15(8)-P01</t>
        </is>
      </c>
      <c r="R672" t="inlineStr">
        <is>
          <t>样品15</t>
        </is>
      </c>
    </row>
    <row r="673">
      <c r="A673" t="inlineStr">
        <is>
          <t>15(8)-V02</t>
        </is>
      </c>
      <c r="B673" t="inlineStr">
        <is>
          <t>15 (8).tif</t>
        </is>
      </c>
      <c r="C673" t="n">
        <v>560</v>
      </c>
      <c r="D673" t="n">
        <v>432</v>
      </c>
      <c r="E673" t="inlineStr">
        <is>
          <t>476,364,645,501</t>
        </is>
      </c>
      <c r="F673" t="n">
        <v>267</v>
      </c>
      <c r="G673" t="inlineStr">
        <is>
          <t>primary</t>
        </is>
      </c>
      <c r="H673" t="inlineStr">
        <is>
          <t>AUTO_VESSEL</t>
        </is>
      </c>
      <c r="I673" t="inlineStr">
        <is>
          <t>是</t>
        </is>
      </c>
      <c r="J673" t="inlineStr">
        <is>
          <t>纳入</t>
        </is>
      </c>
      <c r="K673" t="n">
        <v>848.2041587901701</v>
      </c>
      <c r="L673">
        <f>导管母表_1781!G673</f>
        <v/>
      </c>
      <c r="M673" t="inlineStr">
        <is>
          <t>视野内部</t>
        </is>
      </c>
      <c r="N673" t="inlineStr">
        <is>
          <t>纳入A/D/Dh；若有Pair_ID则纳入CWR</t>
        </is>
      </c>
      <c r="O673" t="inlineStr">
        <is>
          <t>自动管线检出的合格导管腔。</t>
        </is>
      </c>
      <c r="P673" t="inlineStr">
        <is>
          <t>auto_pipeline;review_png_green</t>
        </is>
      </c>
      <c r="Q673" t="inlineStr">
        <is>
          <t>15(8)-P01</t>
        </is>
      </c>
      <c r="R673" t="inlineStr">
        <is>
          <t>样品15</t>
        </is>
      </c>
    </row>
    <row r="674">
      <c r="A674" t="inlineStr">
        <is>
          <t>15(8)-V03</t>
        </is>
      </c>
      <c r="B674" t="inlineStr">
        <is>
          <t>15 (8).tif</t>
        </is>
      </c>
      <c r="C674" t="n">
        <v>820</v>
      </c>
      <c r="D674" t="n">
        <v>412</v>
      </c>
      <c r="E674" t="inlineStr">
        <is>
          <t>758,371,883,454</t>
        </is>
      </c>
      <c r="F674" t="n">
        <v>141</v>
      </c>
      <c r="G674" t="inlineStr">
        <is>
          <t>primary</t>
        </is>
      </c>
      <c r="H674" t="inlineStr">
        <is>
          <t>AUTO_VESSEL</t>
        </is>
      </c>
      <c r="I674" t="inlineStr">
        <is>
          <t>是</t>
        </is>
      </c>
      <c r="J674" t="inlineStr">
        <is>
          <t>纳入</t>
        </is>
      </c>
      <c r="K674" t="n">
        <v>377.0085066162571</v>
      </c>
      <c r="L674">
        <f>导管母表_1781!G674</f>
        <v/>
      </c>
      <c r="M674" t="inlineStr">
        <is>
          <t>视野内部</t>
        </is>
      </c>
      <c r="N674" t="inlineStr">
        <is>
          <t>纳入A/D/Dh；若有Pair_ID则纳入CWR</t>
        </is>
      </c>
      <c r="O674" t="inlineStr">
        <is>
          <t>自动管线检出的合格导管腔。</t>
        </is>
      </c>
      <c r="P674" t="inlineStr">
        <is>
          <t>auto_pipeline;review_png_green</t>
        </is>
      </c>
      <c r="R674" t="inlineStr">
        <is>
          <t>样品15</t>
        </is>
      </c>
    </row>
    <row r="675">
      <c r="A675" t="inlineStr">
        <is>
          <t>15(8)-V04</t>
        </is>
      </c>
      <c r="B675" t="inlineStr">
        <is>
          <t>15 (8).tif</t>
        </is>
      </c>
      <c r="C675" t="n">
        <v>691</v>
      </c>
      <c r="D675" t="n">
        <v>455</v>
      </c>
      <c r="E675" t="inlineStr">
        <is>
          <t>664,415,719,496</t>
        </is>
      </c>
      <c r="F675" t="n">
        <v>272</v>
      </c>
      <c r="G675" t="inlineStr">
        <is>
          <t>primary</t>
        </is>
      </c>
      <c r="H675" t="inlineStr">
        <is>
          <t>AUTO_VESSEL</t>
        </is>
      </c>
      <c r="I675" t="inlineStr">
        <is>
          <t>是</t>
        </is>
      </c>
      <c r="J675" t="inlineStr">
        <is>
          <t>纳入</t>
        </is>
      </c>
      <c r="K675" t="n">
        <v>160.6805293005671</v>
      </c>
      <c r="L675">
        <f>导管母表_1781!G675</f>
        <v/>
      </c>
      <c r="M675" t="inlineStr">
        <is>
          <t>视野内部</t>
        </is>
      </c>
      <c r="N675" t="inlineStr">
        <is>
          <t>纳入A/D/Dh；若有Pair_ID则纳入CWR</t>
        </is>
      </c>
      <c r="O675" t="inlineStr">
        <is>
          <t>自动管线检出的合格导管腔。</t>
        </is>
      </c>
      <c r="P675" t="inlineStr">
        <is>
          <t>auto_pipeline;review_png_green</t>
        </is>
      </c>
      <c r="R675" t="inlineStr">
        <is>
          <t>样品15</t>
        </is>
      </c>
    </row>
    <row r="676">
      <c r="A676" t="inlineStr">
        <is>
          <t>15(8)-V05</t>
        </is>
      </c>
      <c r="B676" t="inlineStr">
        <is>
          <t>15 (8).tif</t>
        </is>
      </c>
      <c r="C676" t="n">
        <v>470</v>
      </c>
      <c r="D676" t="n">
        <v>169</v>
      </c>
      <c r="E676" t="inlineStr">
        <is>
          <t>428,146,513,193</t>
        </is>
      </c>
      <c r="F676" t="n">
        <v>146</v>
      </c>
      <c r="G676" t="inlineStr">
        <is>
          <t>primary</t>
        </is>
      </c>
      <c r="H676" t="inlineStr">
        <is>
          <t>AUTO_VESSEL</t>
        </is>
      </c>
      <c r="I676" t="inlineStr">
        <is>
          <t>是</t>
        </is>
      </c>
      <c r="J676" t="inlineStr">
        <is>
          <t>纳入</t>
        </is>
      </c>
      <c r="K676" t="n">
        <v>143.4546313799622</v>
      </c>
      <c r="L676">
        <f>导管母表_1781!G676</f>
        <v/>
      </c>
      <c r="M676" t="inlineStr">
        <is>
          <t>视野内部</t>
        </is>
      </c>
      <c r="N676" t="inlineStr">
        <is>
          <t>纳入A/D/Dh；若有Pair_ID则纳入CWR</t>
        </is>
      </c>
      <c r="O676" t="inlineStr">
        <is>
          <t>自动管线检出的合格导管腔。</t>
        </is>
      </c>
      <c r="P676" t="inlineStr">
        <is>
          <t>auto_pipeline;review_png_green</t>
        </is>
      </c>
      <c r="R676" t="inlineStr">
        <is>
          <t>样品15</t>
        </is>
      </c>
    </row>
    <row r="677">
      <c r="A677" t="inlineStr">
        <is>
          <t>15(8)-V06</t>
        </is>
      </c>
      <c r="B677" t="inlineStr">
        <is>
          <t>15 (8).tif</t>
        </is>
      </c>
      <c r="C677" t="n">
        <v>159</v>
      </c>
      <c r="D677" t="n">
        <v>514</v>
      </c>
      <c r="E677" t="inlineStr">
        <is>
          <t>111,496,208,533</t>
        </is>
      </c>
      <c r="F677" t="n">
        <v>111</v>
      </c>
      <c r="G677" t="inlineStr">
        <is>
          <t>primary</t>
        </is>
      </c>
      <c r="H677" t="inlineStr">
        <is>
          <t>AUTO_VESSEL</t>
        </is>
      </c>
      <c r="I677" t="inlineStr">
        <is>
          <t>是</t>
        </is>
      </c>
      <c r="J677" t="inlineStr">
        <is>
          <t>纳入</t>
        </is>
      </c>
      <c r="K677" t="n">
        <v>128.1663516068053</v>
      </c>
      <c r="L677">
        <f>导管母表_1781!G677</f>
        <v/>
      </c>
      <c r="M677" t="inlineStr">
        <is>
          <t>视野内部</t>
        </is>
      </c>
      <c r="N677" t="inlineStr">
        <is>
          <t>纳入A/D/Dh；若有Pair_ID则纳入CWR</t>
        </is>
      </c>
      <c r="O677" t="inlineStr">
        <is>
          <t>自动管线检出的合格导管腔。</t>
        </is>
      </c>
      <c r="P677" t="inlineStr">
        <is>
          <t>auto_pipeline;review_png_green</t>
        </is>
      </c>
      <c r="R677" t="inlineStr">
        <is>
          <t>样品15</t>
        </is>
      </c>
    </row>
    <row r="678">
      <c r="A678" t="inlineStr">
        <is>
          <t>16(1)-V01</t>
        </is>
      </c>
      <c r="B678" t="inlineStr">
        <is>
          <t>16 (1).tif</t>
        </is>
      </c>
      <c r="C678" t="n">
        <v>381</v>
      </c>
      <c r="D678" t="n">
        <v>351</v>
      </c>
      <c r="E678" t="inlineStr">
        <is>
          <t>318,290,445,413</t>
        </is>
      </c>
      <c r="F678" t="n">
        <v>290</v>
      </c>
      <c r="G678" t="inlineStr">
        <is>
          <t>primary</t>
        </is>
      </c>
      <c r="H678" t="inlineStr">
        <is>
          <t>AUTO_VESSEL</t>
        </is>
      </c>
      <c r="I678" t="inlineStr">
        <is>
          <t>是</t>
        </is>
      </c>
      <c r="J678" t="inlineStr">
        <is>
          <t>纳入</t>
        </is>
      </c>
      <c r="K678" t="n">
        <v>560.0425330812855</v>
      </c>
      <c r="L678">
        <f>导管母表_1781!G678</f>
        <v/>
      </c>
      <c r="M678" t="inlineStr">
        <is>
          <t>视野内部</t>
        </is>
      </c>
      <c r="N678" t="inlineStr">
        <is>
          <t>纳入A/D/Dh；若有Pair_ID则纳入CWR</t>
        </is>
      </c>
      <c r="O678" t="inlineStr">
        <is>
          <t>自动管线检出的合格导管腔。</t>
        </is>
      </c>
      <c r="P678" t="inlineStr">
        <is>
          <t>auto_pipeline;review_png_green</t>
        </is>
      </c>
      <c r="R678" t="inlineStr">
        <is>
          <t>样品16</t>
        </is>
      </c>
    </row>
    <row r="679">
      <c r="A679" t="inlineStr">
        <is>
          <t>16(1)-V02</t>
        </is>
      </c>
      <c r="B679" t="inlineStr">
        <is>
          <t>16 (1).tif</t>
        </is>
      </c>
      <c r="C679" t="n">
        <v>780</v>
      </c>
      <c r="D679" t="n">
        <v>135</v>
      </c>
      <c r="E679" t="inlineStr">
        <is>
          <t>716,91,845,180</t>
        </is>
      </c>
      <c r="F679" t="n">
        <v>91</v>
      </c>
      <c r="G679" t="inlineStr">
        <is>
          <t>primary</t>
        </is>
      </c>
      <c r="H679" t="inlineStr">
        <is>
          <t>AUTO_VESSEL</t>
        </is>
      </c>
      <c r="I679" t="inlineStr">
        <is>
          <t>是</t>
        </is>
      </c>
      <c r="J679" t="inlineStr">
        <is>
          <t>纳入</t>
        </is>
      </c>
      <c r="K679" t="n">
        <v>404.5604914933837</v>
      </c>
      <c r="L679">
        <f>导管母表_1781!G679</f>
        <v/>
      </c>
      <c r="M679" t="inlineStr">
        <is>
          <t>视野内部</t>
        </is>
      </c>
      <c r="N679" t="inlineStr">
        <is>
          <t>纳入A/D/Dh；若有Pair_ID则纳入CWR</t>
        </is>
      </c>
      <c r="O679" t="inlineStr">
        <is>
          <t>自动管线检出的合格导管腔。</t>
        </is>
      </c>
      <c r="P679" t="inlineStr">
        <is>
          <t>auto_pipeline;review_png_green</t>
        </is>
      </c>
      <c r="R679" t="inlineStr">
        <is>
          <t>样品16</t>
        </is>
      </c>
    </row>
    <row r="680">
      <c r="A680" t="inlineStr">
        <is>
          <t>16(1)-V03</t>
        </is>
      </c>
      <c r="B680" t="inlineStr">
        <is>
          <t>16 (1).tif</t>
        </is>
      </c>
      <c r="C680" t="n">
        <v>535</v>
      </c>
      <c r="D680" t="n">
        <v>380</v>
      </c>
      <c r="E680" t="inlineStr">
        <is>
          <t>479,338,592,423</t>
        </is>
      </c>
      <c r="F680" t="n">
        <v>338</v>
      </c>
      <c r="G680" t="inlineStr">
        <is>
          <t>primary</t>
        </is>
      </c>
      <c r="H680" t="inlineStr">
        <is>
          <t>AUTO_VESSEL</t>
        </is>
      </c>
      <c r="I680" t="inlineStr">
        <is>
          <t>是</t>
        </is>
      </c>
      <c r="J680" t="inlineStr">
        <is>
          <t>纳入</t>
        </is>
      </c>
      <c r="K680" t="n">
        <v>346.3610586011342</v>
      </c>
      <c r="L680">
        <f>导管母表_1781!G680</f>
        <v/>
      </c>
      <c r="M680" t="inlineStr">
        <is>
          <t>视野内部</t>
        </is>
      </c>
      <c r="N680" t="inlineStr">
        <is>
          <t>纳入A/D/Dh；若有Pair_ID则纳入CWR</t>
        </is>
      </c>
      <c r="O680" t="inlineStr">
        <is>
          <t>自动管线检出的合格导管腔。</t>
        </is>
      </c>
      <c r="P680" t="inlineStr">
        <is>
          <t>auto_pipeline;review_png_green</t>
        </is>
      </c>
      <c r="R680" t="inlineStr">
        <is>
          <t>样品16</t>
        </is>
      </c>
    </row>
    <row r="681">
      <c r="A681" t="inlineStr">
        <is>
          <t>16(1)-V04</t>
        </is>
      </c>
      <c r="B681" t="inlineStr">
        <is>
          <t>16 (1).tif</t>
        </is>
      </c>
      <c r="C681" t="n">
        <v>84</v>
      </c>
      <c r="D681" t="n">
        <v>372</v>
      </c>
      <c r="E681" t="inlineStr">
        <is>
          <t>40,346,129,399</t>
        </is>
      </c>
      <c r="F681" t="n">
        <v>40</v>
      </c>
      <c r="G681" t="inlineStr">
        <is>
          <t>primary</t>
        </is>
      </c>
      <c r="H681" t="inlineStr">
        <is>
          <t>AUTO_VESSEL</t>
        </is>
      </c>
      <c r="I681" t="inlineStr">
        <is>
          <t>是</t>
        </is>
      </c>
      <c r="J681" t="inlineStr">
        <is>
          <t>纳入</t>
        </is>
      </c>
      <c r="K681" t="n">
        <v>169.9905482041588</v>
      </c>
      <c r="L681">
        <f>导管母表_1781!G681</f>
        <v/>
      </c>
      <c r="M681" t="inlineStr">
        <is>
          <t>视野内部</t>
        </is>
      </c>
      <c r="N681" t="inlineStr">
        <is>
          <t>纳入A/D/Dh；若有Pair_ID则纳入CWR</t>
        </is>
      </c>
      <c r="O681" t="inlineStr">
        <is>
          <t>自动管线检出的合格导管腔。</t>
        </is>
      </c>
      <c r="P681" t="inlineStr">
        <is>
          <t>auto_pipeline;review_png_green</t>
        </is>
      </c>
      <c r="R681" t="inlineStr">
        <is>
          <t>样品16</t>
        </is>
      </c>
    </row>
    <row r="682">
      <c r="A682" t="inlineStr">
        <is>
          <t>16(1)-V05</t>
        </is>
      </c>
      <c r="B682" t="inlineStr">
        <is>
          <t>16 (1).tif</t>
        </is>
      </c>
      <c r="C682" t="n">
        <v>227</v>
      </c>
      <c r="D682" t="n">
        <v>608</v>
      </c>
      <c r="E682" t="inlineStr">
        <is>
          <t>197,584,258,633</t>
        </is>
      </c>
      <c r="F682" t="n">
        <v>135</v>
      </c>
      <c r="G682" t="inlineStr">
        <is>
          <t>primary</t>
        </is>
      </c>
      <c r="H682" t="inlineStr">
        <is>
          <t>AUTO_VESSEL</t>
        </is>
      </c>
      <c r="I682" t="inlineStr">
        <is>
          <t>是</t>
        </is>
      </c>
      <c r="J682" t="inlineStr">
        <is>
          <t>纳入</t>
        </is>
      </c>
      <c r="K682" t="n">
        <v>104.5368620037807</v>
      </c>
      <c r="L682">
        <f>导管母表_1781!G682</f>
        <v/>
      </c>
      <c r="M682" t="inlineStr">
        <is>
          <t>视野内部</t>
        </is>
      </c>
      <c r="N682" t="inlineStr">
        <is>
          <t>纳入A/D/Dh；若有Pair_ID则纳入CWR</t>
        </is>
      </c>
      <c r="O682" t="inlineStr">
        <is>
          <t>自动管线检出的合格导管腔。</t>
        </is>
      </c>
      <c r="P682" t="inlineStr">
        <is>
          <t>auto_pipeline;review_png_green</t>
        </is>
      </c>
      <c r="R682" t="inlineStr">
        <is>
          <t>样品16</t>
        </is>
      </c>
    </row>
    <row r="683">
      <c r="A683" t="inlineStr">
        <is>
          <t>16(2)-V01</t>
        </is>
      </c>
      <c r="B683" t="inlineStr">
        <is>
          <t>16 (2).tif</t>
        </is>
      </c>
      <c r="C683" t="n">
        <v>426</v>
      </c>
      <c r="D683" t="n">
        <v>404</v>
      </c>
      <c r="E683" t="inlineStr">
        <is>
          <t>372,338,481,471</t>
        </is>
      </c>
      <c r="F683" t="n">
        <v>297</v>
      </c>
      <c r="G683" t="inlineStr">
        <is>
          <t>primary</t>
        </is>
      </c>
      <c r="H683" t="inlineStr">
        <is>
          <t>AUTO_VESSEL</t>
        </is>
      </c>
      <c r="I683" t="inlineStr">
        <is>
          <t>是</t>
        </is>
      </c>
      <c r="J683" t="inlineStr">
        <is>
          <t>纳入</t>
        </is>
      </c>
      <c r="K683" t="n">
        <v>527.5047258979206</v>
      </c>
      <c r="L683">
        <f>导管母表_1781!G683</f>
        <v/>
      </c>
      <c r="M683" t="inlineStr">
        <is>
          <t>视野内部</t>
        </is>
      </c>
      <c r="N683" t="inlineStr">
        <is>
          <t>纳入A/D/Dh；若有Pair_ID则纳入CWR</t>
        </is>
      </c>
      <c r="O683" t="inlineStr">
        <is>
          <t>自动管线检出的合格导管腔。</t>
        </is>
      </c>
      <c r="P683" t="inlineStr">
        <is>
          <t>auto_pipeline;review_png_green</t>
        </is>
      </c>
      <c r="R683" t="inlineStr">
        <is>
          <t>样品16</t>
        </is>
      </c>
    </row>
    <row r="684">
      <c r="A684" t="inlineStr">
        <is>
          <t>16(2)-V02</t>
        </is>
      </c>
      <c r="B684" t="inlineStr">
        <is>
          <t>16 (2).tif</t>
        </is>
      </c>
      <c r="C684" t="n">
        <v>523</v>
      </c>
      <c r="D684" t="n">
        <v>258</v>
      </c>
      <c r="E684" t="inlineStr">
        <is>
          <t>478,217,569,300</t>
        </is>
      </c>
      <c r="F684" t="n">
        <v>217</v>
      </c>
      <c r="G684" t="inlineStr">
        <is>
          <t>primary</t>
        </is>
      </c>
      <c r="H684" t="inlineStr">
        <is>
          <t>AUTO_VESSEL</t>
        </is>
      </c>
      <c r="I684" t="inlineStr">
        <is>
          <t>是</t>
        </is>
      </c>
      <c r="J684" t="inlineStr">
        <is>
          <t>纳入</t>
        </is>
      </c>
      <c r="K684" t="n">
        <v>266.4933837429111</v>
      </c>
      <c r="L684">
        <f>导管母表_1781!G684</f>
        <v/>
      </c>
      <c r="M684" t="inlineStr">
        <is>
          <t>视野内部</t>
        </is>
      </c>
      <c r="N684" t="inlineStr">
        <is>
          <t>纳入A/D/Dh；若有Pair_ID则纳入CWR</t>
        </is>
      </c>
      <c r="O684" t="inlineStr">
        <is>
          <t>自动管线检出的合格导管腔。</t>
        </is>
      </c>
      <c r="P684" t="inlineStr">
        <is>
          <t>auto_pipeline;review_png_green</t>
        </is>
      </c>
      <c r="R684" t="inlineStr">
        <is>
          <t>样品16</t>
        </is>
      </c>
    </row>
    <row r="685">
      <c r="A685" t="inlineStr">
        <is>
          <t>16(2)-V03</t>
        </is>
      </c>
      <c r="B685" t="inlineStr">
        <is>
          <t>16 (2).tif</t>
        </is>
      </c>
      <c r="C685" t="n">
        <v>733</v>
      </c>
      <c r="D685" t="n">
        <v>118</v>
      </c>
      <c r="E685" t="inlineStr">
        <is>
          <t>695,74,772,163</t>
        </is>
      </c>
      <c r="F685" t="n">
        <v>74</v>
      </c>
      <c r="G685" t="inlineStr">
        <is>
          <t>primary</t>
        </is>
      </c>
      <c r="H685" t="inlineStr">
        <is>
          <t>AUTO_VESSEL</t>
        </is>
      </c>
      <c r="I685" t="inlineStr">
        <is>
          <t>是</t>
        </is>
      </c>
      <c r="J685" t="inlineStr">
        <is>
          <t>纳入</t>
        </is>
      </c>
      <c r="K685" t="n">
        <v>232.5378071833648</v>
      </c>
      <c r="L685">
        <f>导管母表_1781!G685</f>
        <v/>
      </c>
      <c r="M685" t="inlineStr">
        <is>
          <t>视野内部</t>
        </is>
      </c>
      <c r="N685" t="inlineStr">
        <is>
          <t>纳入A/D/Dh；若有Pair_ID则纳入CWR</t>
        </is>
      </c>
      <c r="O685" t="inlineStr">
        <is>
          <t>自动管线检出的合格导管腔。</t>
        </is>
      </c>
      <c r="P685" t="inlineStr">
        <is>
          <t>auto_pipeline;review_png_green</t>
        </is>
      </c>
      <c r="R685" t="inlineStr">
        <is>
          <t>样品16</t>
        </is>
      </c>
    </row>
    <row r="686">
      <c r="A686" t="inlineStr">
        <is>
          <t>16(2)-V04</t>
        </is>
      </c>
      <c r="B686" t="inlineStr">
        <is>
          <t>16 (2).tif</t>
        </is>
      </c>
      <c r="C686" t="n">
        <v>89</v>
      </c>
      <c r="D686" t="n">
        <v>457</v>
      </c>
      <c r="E686" t="inlineStr">
        <is>
          <t>54,412,125,503</t>
        </is>
      </c>
      <c r="F686" t="n">
        <v>54</v>
      </c>
      <c r="G686" t="inlineStr">
        <is>
          <t>primary</t>
        </is>
      </c>
      <c r="H686" t="inlineStr">
        <is>
          <t>AUTO_VESSEL</t>
        </is>
      </c>
      <c r="I686" t="inlineStr">
        <is>
          <t>是</t>
        </is>
      </c>
      <c r="J686" t="inlineStr">
        <is>
          <t>纳入</t>
        </is>
      </c>
      <c r="K686" t="n">
        <v>210.9168241965974</v>
      </c>
      <c r="L686">
        <f>导管母表_1781!G686</f>
        <v/>
      </c>
      <c r="M686" t="inlineStr">
        <is>
          <t>视野内部</t>
        </is>
      </c>
      <c r="N686" t="inlineStr">
        <is>
          <t>纳入A/D/Dh；若有Pair_ID则纳入CWR</t>
        </is>
      </c>
      <c r="O686" t="inlineStr">
        <is>
          <t>自动管线检出的合格导管腔。</t>
        </is>
      </c>
      <c r="P686" t="inlineStr">
        <is>
          <t>auto_pipeline;review_png_green</t>
        </is>
      </c>
      <c r="R686" t="inlineStr">
        <is>
          <t>样品16</t>
        </is>
      </c>
    </row>
    <row r="687">
      <c r="A687" t="inlineStr">
        <is>
          <t>16(2)-V05</t>
        </is>
      </c>
      <c r="B687" t="inlineStr">
        <is>
          <t>16 (2).tif</t>
        </is>
      </c>
      <c r="C687" t="n">
        <v>924</v>
      </c>
      <c r="D687" t="n">
        <v>605</v>
      </c>
      <c r="E687" t="inlineStr">
        <is>
          <t>892,572,957,639</t>
        </is>
      </c>
      <c r="F687" t="n">
        <v>67</v>
      </c>
      <c r="G687" t="inlineStr">
        <is>
          <t>primary</t>
        </is>
      </c>
      <c r="H687" t="inlineStr">
        <is>
          <t>AUTO_VESSEL</t>
        </is>
      </c>
      <c r="I687" t="inlineStr">
        <is>
          <t>是</t>
        </is>
      </c>
      <c r="J687" t="inlineStr">
        <is>
          <t>纳入</t>
        </is>
      </c>
      <c r="K687" t="n">
        <v>156.710775047259</v>
      </c>
      <c r="L687">
        <f>导管母表_1781!G687</f>
        <v/>
      </c>
      <c r="M687" t="inlineStr">
        <is>
          <t>视野内部</t>
        </is>
      </c>
      <c r="N687" t="inlineStr">
        <is>
          <t>纳入A/D/Dh；若有Pair_ID则纳入CWR</t>
        </is>
      </c>
      <c r="O687" t="inlineStr">
        <is>
          <t>自动管线检出的合格导管腔。</t>
        </is>
      </c>
      <c r="P687" t="inlineStr">
        <is>
          <t>auto_pipeline;review_png_green</t>
        </is>
      </c>
      <c r="R687" t="inlineStr">
        <is>
          <t>样品16</t>
        </is>
      </c>
    </row>
    <row r="688">
      <c r="A688" t="inlineStr">
        <is>
          <t>16(2)-V06</t>
        </is>
      </c>
      <c r="B688" t="inlineStr">
        <is>
          <t>16 (2).tif</t>
        </is>
      </c>
      <c r="C688" t="n">
        <v>701</v>
      </c>
      <c r="D688" t="n">
        <v>484</v>
      </c>
      <c r="E688" t="inlineStr">
        <is>
          <t>670,451,733,518</t>
        </is>
      </c>
      <c r="F688" t="n">
        <v>250</v>
      </c>
      <c r="G688" t="inlineStr">
        <is>
          <t>primary</t>
        </is>
      </c>
      <c r="H688" t="inlineStr">
        <is>
          <t>AUTO_VESSEL</t>
        </is>
      </c>
      <c r="I688" t="inlineStr">
        <is>
          <t>是</t>
        </is>
      </c>
      <c r="J688" t="inlineStr">
        <is>
          <t>纳入</t>
        </is>
      </c>
      <c r="K688" t="n">
        <v>143.0765595463138</v>
      </c>
      <c r="L688">
        <f>导管母表_1781!G688</f>
        <v/>
      </c>
      <c r="M688" t="inlineStr">
        <is>
          <t>视野内部</t>
        </is>
      </c>
      <c r="N688" t="inlineStr">
        <is>
          <t>纳入A/D/Dh；若有Pair_ID则纳入CWR</t>
        </is>
      </c>
      <c r="O688" t="inlineStr">
        <is>
          <t>自动管线检出的合格导管腔。</t>
        </is>
      </c>
      <c r="P688" t="inlineStr">
        <is>
          <t>auto_pipeline;review_png_green</t>
        </is>
      </c>
      <c r="R688" t="inlineStr">
        <is>
          <t>样品16</t>
        </is>
      </c>
    </row>
    <row r="689">
      <c r="A689" t="inlineStr">
        <is>
          <t>16(3)-V01</t>
        </is>
      </c>
      <c r="B689" t="inlineStr">
        <is>
          <t>16 (3).tif</t>
        </is>
      </c>
      <c r="C689" t="n">
        <v>466</v>
      </c>
      <c r="D689" t="n">
        <v>324</v>
      </c>
      <c r="E689" t="inlineStr">
        <is>
          <t>403,250,530,399</t>
        </is>
      </c>
      <c r="F689" t="n">
        <v>250</v>
      </c>
      <c r="G689" t="inlineStr">
        <is>
          <t>primary</t>
        </is>
      </c>
      <c r="H689" t="inlineStr">
        <is>
          <t>AUTO_VESSEL</t>
        </is>
      </c>
      <c r="I689" t="inlineStr">
        <is>
          <t>是</t>
        </is>
      </c>
      <c r="J689" t="inlineStr">
        <is>
          <t>纳入</t>
        </is>
      </c>
      <c r="K689" t="n">
        <v>691.4697542533081</v>
      </c>
      <c r="L689">
        <f>导管母表_1781!G689</f>
        <v/>
      </c>
      <c r="M689" t="inlineStr">
        <is>
          <t>视野内部</t>
        </is>
      </c>
      <c r="N689" t="inlineStr">
        <is>
          <t>纳入A/D/Dh；若有Pair_ID则纳入CWR</t>
        </is>
      </c>
      <c r="O689" t="inlineStr">
        <is>
          <t>自动管线检出的合格导管腔。</t>
        </is>
      </c>
      <c r="P689" t="inlineStr">
        <is>
          <t>auto_pipeline;review_png_green</t>
        </is>
      </c>
      <c r="Q689" t="inlineStr">
        <is>
          <t>16(3)-P01</t>
        </is>
      </c>
      <c r="R689" t="inlineStr">
        <is>
          <t>样品16</t>
        </is>
      </c>
    </row>
    <row r="690">
      <c r="A690" t="inlineStr">
        <is>
          <t>16(3)-V02</t>
        </is>
      </c>
      <c r="B690" t="inlineStr">
        <is>
          <t>16 (3).tif</t>
        </is>
      </c>
      <c r="C690" t="n">
        <v>587</v>
      </c>
      <c r="D690" t="n">
        <v>389</v>
      </c>
      <c r="E690" t="inlineStr">
        <is>
          <t>532,328,643,451</t>
        </is>
      </c>
      <c r="F690" t="n">
        <v>317</v>
      </c>
      <c r="G690" t="inlineStr">
        <is>
          <t>primary</t>
        </is>
      </c>
      <c r="H690" t="inlineStr">
        <is>
          <t>AUTO_VESSEL</t>
        </is>
      </c>
      <c r="I690" t="inlineStr">
        <is>
          <t>是</t>
        </is>
      </c>
      <c r="J690" t="inlineStr">
        <is>
          <t>纳入</t>
        </is>
      </c>
      <c r="K690" t="n">
        <v>498.4404536862004</v>
      </c>
      <c r="L690">
        <f>导管母表_1781!G690</f>
        <v/>
      </c>
      <c r="M690" t="inlineStr">
        <is>
          <t>视野内部</t>
        </is>
      </c>
      <c r="N690" t="inlineStr">
        <is>
          <t>纳入A/D/Dh；若有Pair_ID则纳入CWR</t>
        </is>
      </c>
      <c r="O690" t="inlineStr">
        <is>
          <t>自动管线检出的合格导管腔。</t>
        </is>
      </c>
      <c r="P690" t="inlineStr">
        <is>
          <t>auto_pipeline;review_png_green</t>
        </is>
      </c>
      <c r="Q690" t="inlineStr">
        <is>
          <t>16(3)-P01</t>
        </is>
      </c>
      <c r="R690" t="inlineStr">
        <is>
          <t>样品16</t>
        </is>
      </c>
    </row>
    <row r="691">
      <c r="A691" t="inlineStr">
        <is>
          <t>16(3)-V03</t>
        </is>
      </c>
      <c r="B691" t="inlineStr">
        <is>
          <t>16 (3).tif</t>
        </is>
      </c>
      <c r="C691" t="n">
        <v>55</v>
      </c>
      <c r="D691" t="n">
        <v>68</v>
      </c>
      <c r="E691" t="inlineStr">
        <is>
          <t>26,28,85,109</t>
        </is>
      </c>
      <c r="F691" t="n">
        <v>26</v>
      </c>
      <c r="G691" t="inlineStr">
        <is>
          <t>primary</t>
        </is>
      </c>
      <c r="H691" t="inlineStr">
        <is>
          <t>AUTO_VESSEL</t>
        </is>
      </c>
      <c r="I691" t="inlineStr">
        <is>
          <t>是</t>
        </is>
      </c>
      <c r="J691" t="inlineStr">
        <is>
          <t>纳入</t>
        </is>
      </c>
      <c r="K691" t="n">
        <v>170.4158790170132</v>
      </c>
      <c r="L691">
        <f>导管母表_1781!G691</f>
        <v/>
      </c>
      <c r="M691" t="inlineStr">
        <is>
          <t>视野内部</t>
        </is>
      </c>
      <c r="N691" t="inlineStr">
        <is>
          <t>纳入A/D/Dh；若有Pair_ID则纳入CWR</t>
        </is>
      </c>
      <c r="O691" t="inlineStr">
        <is>
          <t>自动管线检出的合格导管腔。</t>
        </is>
      </c>
      <c r="P691" t="inlineStr">
        <is>
          <t>auto_pipeline;review_png_green</t>
        </is>
      </c>
      <c r="R691" t="inlineStr">
        <is>
          <t>样品16</t>
        </is>
      </c>
    </row>
    <row r="692">
      <c r="A692" t="inlineStr">
        <is>
          <t>16(3)-V04</t>
        </is>
      </c>
      <c r="B692" t="inlineStr">
        <is>
          <t>16 (3).tif</t>
        </is>
      </c>
      <c r="C692" t="n">
        <v>551</v>
      </c>
      <c r="D692" t="n">
        <v>596</v>
      </c>
      <c r="E692" t="inlineStr">
        <is>
          <t>524,556,579,637</t>
        </is>
      </c>
      <c r="F692" t="n">
        <v>131</v>
      </c>
      <c r="G692" t="inlineStr">
        <is>
          <t>primary</t>
        </is>
      </c>
      <c r="H692" t="inlineStr">
        <is>
          <t>AUTO_VESSEL</t>
        </is>
      </c>
      <c r="I692" t="inlineStr">
        <is>
          <t>是</t>
        </is>
      </c>
      <c r="J692" t="inlineStr">
        <is>
          <t>纳入</t>
        </is>
      </c>
      <c r="K692" t="n">
        <v>152.1266540642722</v>
      </c>
      <c r="L692">
        <f>导管母表_1781!G692</f>
        <v/>
      </c>
      <c r="M692" t="inlineStr">
        <is>
          <t>视野内部</t>
        </is>
      </c>
      <c r="N692" t="inlineStr">
        <is>
          <t>纳入A/D/Dh；若有Pair_ID则纳入CWR</t>
        </is>
      </c>
      <c r="O692" t="inlineStr">
        <is>
          <t>自动管线检出的合格导管腔。</t>
        </is>
      </c>
      <c r="P692" t="inlineStr">
        <is>
          <t>auto_pipeline;review_png_green</t>
        </is>
      </c>
      <c r="R692" t="inlineStr">
        <is>
          <t>样品16</t>
        </is>
      </c>
    </row>
    <row r="693">
      <c r="A693" t="inlineStr">
        <is>
          <t>16(3)-V05</t>
        </is>
      </c>
      <c r="B693" t="inlineStr">
        <is>
          <t>16 (3).tif</t>
        </is>
      </c>
      <c r="C693" t="n">
        <v>447</v>
      </c>
      <c r="D693" t="n">
        <v>80</v>
      </c>
      <c r="E693" t="inlineStr">
        <is>
          <t>414,45,481,116</t>
        </is>
      </c>
      <c r="F693" t="n">
        <v>45</v>
      </c>
      <c r="G693" t="inlineStr">
        <is>
          <t>primary</t>
        </is>
      </c>
      <c r="H693" t="inlineStr">
        <is>
          <t>AUTO_VESSEL</t>
        </is>
      </c>
      <c r="I693" t="inlineStr">
        <is>
          <t>是</t>
        </is>
      </c>
      <c r="J693" t="inlineStr">
        <is>
          <t>纳入</t>
        </is>
      </c>
      <c r="K693" t="n">
        <v>136.6729678638941</v>
      </c>
      <c r="L693">
        <f>导管母表_1781!G693</f>
        <v/>
      </c>
      <c r="M693" t="inlineStr">
        <is>
          <t>视野内部</t>
        </is>
      </c>
      <c r="N693" t="inlineStr">
        <is>
          <t>纳入A/D/Dh；若有Pair_ID则纳入CWR</t>
        </is>
      </c>
      <c r="O693" t="inlineStr">
        <is>
          <t>自动管线检出的合格导管腔。</t>
        </is>
      </c>
      <c r="P693" t="inlineStr">
        <is>
          <t>auto_pipeline;review_png_green</t>
        </is>
      </c>
      <c r="R693" t="inlineStr">
        <is>
          <t>样品16</t>
        </is>
      </c>
    </row>
    <row r="694">
      <c r="A694" t="inlineStr">
        <is>
          <t>16(3)-V06</t>
        </is>
      </c>
      <c r="B694" t="inlineStr">
        <is>
          <t>16 (3).tif</t>
        </is>
      </c>
      <c r="C694" t="n">
        <v>160</v>
      </c>
      <c r="D694" t="n">
        <v>219</v>
      </c>
      <c r="E694" t="inlineStr">
        <is>
          <t>128,191,193,248</t>
        </is>
      </c>
      <c r="F694" t="n">
        <v>128</v>
      </c>
      <c r="G694" t="inlineStr">
        <is>
          <t>primary</t>
        </is>
      </c>
      <c r="H694" t="inlineStr">
        <is>
          <t>AUTO_VESSEL</t>
        </is>
      </c>
      <c r="I694" t="inlineStr">
        <is>
          <t>是</t>
        </is>
      </c>
      <c r="J694" t="inlineStr">
        <is>
          <t>纳入</t>
        </is>
      </c>
      <c r="K694" t="n">
        <v>133.0812854442344</v>
      </c>
      <c r="L694">
        <f>导管母表_1781!G694</f>
        <v/>
      </c>
      <c r="M694" t="inlineStr">
        <is>
          <t>视野内部</t>
        </is>
      </c>
      <c r="N694" t="inlineStr">
        <is>
          <t>纳入A/D/Dh；若有Pair_ID则纳入CWR</t>
        </is>
      </c>
      <c r="O694" t="inlineStr">
        <is>
          <t>自动管线检出的合格导管腔。</t>
        </is>
      </c>
      <c r="P694" t="inlineStr">
        <is>
          <t>auto_pipeline;review_png_green</t>
        </is>
      </c>
      <c r="R694" t="inlineStr">
        <is>
          <t>样品16</t>
        </is>
      </c>
    </row>
    <row r="695">
      <c r="A695" t="inlineStr">
        <is>
          <t>16(3)-V07</t>
        </is>
      </c>
      <c r="B695" t="inlineStr">
        <is>
          <t>16 (3).tif</t>
        </is>
      </c>
      <c r="C695" t="n">
        <v>622</v>
      </c>
      <c r="D695" t="n">
        <v>600</v>
      </c>
      <c r="E695" t="inlineStr">
        <is>
          <t>591,570,654,631</t>
        </is>
      </c>
      <c r="F695" t="n">
        <v>137</v>
      </c>
      <c r="G695" t="inlineStr">
        <is>
          <t>primary</t>
        </is>
      </c>
      <c r="H695" t="inlineStr">
        <is>
          <t>AUTO_VESSEL</t>
        </is>
      </c>
      <c r="I695" t="inlineStr">
        <is>
          <t>是</t>
        </is>
      </c>
      <c r="J695" t="inlineStr">
        <is>
          <t>纳入</t>
        </is>
      </c>
      <c r="K695" t="n">
        <v>130.3402646502836</v>
      </c>
      <c r="L695">
        <f>导管母表_1781!G695</f>
        <v/>
      </c>
      <c r="M695" t="inlineStr">
        <is>
          <t>视野内部</t>
        </is>
      </c>
      <c r="N695" t="inlineStr">
        <is>
          <t>纳入A/D/Dh；若有Pair_ID则纳入CWR</t>
        </is>
      </c>
      <c r="O695" t="inlineStr">
        <is>
          <t>自动管线检出的合格导管腔。</t>
        </is>
      </c>
      <c r="P695" t="inlineStr">
        <is>
          <t>auto_pipeline;review_png_green</t>
        </is>
      </c>
      <c r="R695" t="inlineStr">
        <is>
          <t>样品16</t>
        </is>
      </c>
    </row>
    <row r="696">
      <c r="A696" t="inlineStr">
        <is>
          <t>16(3)-V08</t>
        </is>
      </c>
      <c r="B696" t="inlineStr">
        <is>
          <t>16 (3).tif</t>
        </is>
      </c>
      <c r="C696" t="n">
        <v>643</v>
      </c>
      <c r="D696" t="n">
        <v>261</v>
      </c>
      <c r="E696" t="inlineStr">
        <is>
          <t>609,236,678,287</t>
        </is>
      </c>
      <c r="F696" t="n">
        <v>236</v>
      </c>
      <c r="G696" t="inlineStr">
        <is>
          <t>primary</t>
        </is>
      </c>
      <c r="H696" t="inlineStr">
        <is>
          <t>AUTO_VESSEL</t>
        </is>
      </c>
      <c r="I696" t="inlineStr">
        <is>
          <t>是</t>
        </is>
      </c>
      <c r="J696" t="inlineStr">
        <is>
          <t>纳入</t>
        </is>
      </c>
      <c r="K696" t="n">
        <v>121.0302457466919</v>
      </c>
      <c r="L696">
        <f>导管母表_1781!G696</f>
        <v/>
      </c>
      <c r="M696" t="inlineStr">
        <is>
          <t>视野内部</t>
        </is>
      </c>
      <c r="N696" t="inlineStr">
        <is>
          <t>纳入A/D/Dh；若有Pair_ID则纳入CWR</t>
        </is>
      </c>
      <c r="O696" t="inlineStr">
        <is>
          <t>自动管线检出的合格导管腔。</t>
        </is>
      </c>
      <c r="P696" t="inlineStr">
        <is>
          <t>auto_pipeline;review_png_green</t>
        </is>
      </c>
      <c r="R696" t="inlineStr">
        <is>
          <t>样品16</t>
        </is>
      </c>
    </row>
    <row r="697">
      <c r="A697" t="inlineStr">
        <is>
          <t>16(4)-V01</t>
        </is>
      </c>
      <c r="B697" t="inlineStr">
        <is>
          <t>16 (4).tif</t>
        </is>
      </c>
      <c r="C697" t="n">
        <v>533</v>
      </c>
      <c r="D697" t="n">
        <v>455</v>
      </c>
      <c r="E697" t="inlineStr">
        <is>
          <t>468,383,599,528</t>
        </is>
      </c>
      <c r="F697" t="n">
        <v>240</v>
      </c>
      <c r="G697" t="inlineStr">
        <is>
          <t>primary</t>
        </is>
      </c>
      <c r="H697" t="inlineStr">
        <is>
          <t>AUTO_VESSEL</t>
        </is>
      </c>
      <c r="I697" t="inlineStr">
        <is>
          <t>是</t>
        </is>
      </c>
      <c r="J697" t="inlineStr">
        <is>
          <t>纳入</t>
        </is>
      </c>
      <c r="K697" t="n">
        <v>691.9187145557656</v>
      </c>
      <c r="L697">
        <f>导管母表_1781!G697</f>
        <v/>
      </c>
      <c r="M697" t="inlineStr">
        <is>
          <t>视野内部</t>
        </is>
      </c>
      <c r="N697" t="inlineStr">
        <is>
          <t>纳入A/D/Dh；若有Pair_ID则纳入CWR</t>
        </is>
      </c>
      <c r="O697" t="inlineStr">
        <is>
          <t>自动管线检出的合格导管腔。</t>
        </is>
      </c>
      <c r="P697" t="inlineStr">
        <is>
          <t>auto_pipeline;review_png_green</t>
        </is>
      </c>
      <c r="Q697" t="inlineStr">
        <is>
          <t>16(4)-P01</t>
        </is>
      </c>
      <c r="R697" t="inlineStr">
        <is>
          <t>样品16</t>
        </is>
      </c>
    </row>
    <row r="698">
      <c r="A698" t="inlineStr">
        <is>
          <t>16(4)-V02</t>
        </is>
      </c>
      <c r="B698" t="inlineStr">
        <is>
          <t>16 (4).tif</t>
        </is>
      </c>
      <c r="C698" t="n">
        <v>473</v>
      </c>
      <c r="D698" t="n">
        <v>313</v>
      </c>
      <c r="E698" t="inlineStr">
        <is>
          <t>420,254,527,373</t>
        </is>
      </c>
      <c r="F698" t="n">
        <v>254</v>
      </c>
      <c r="G698" t="inlineStr">
        <is>
          <t>primary</t>
        </is>
      </c>
      <c r="H698" t="inlineStr">
        <is>
          <t>AUTO_VESSEL</t>
        </is>
      </c>
      <c r="I698" t="inlineStr">
        <is>
          <t>是</t>
        </is>
      </c>
      <c r="J698" t="inlineStr">
        <is>
          <t>纳入</t>
        </is>
      </c>
      <c r="K698" t="n">
        <v>452.8355387523629</v>
      </c>
      <c r="L698">
        <f>导管母表_1781!G698</f>
        <v/>
      </c>
      <c r="M698" t="inlineStr">
        <is>
          <t>视野内部</t>
        </is>
      </c>
      <c r="N698" t="inlineStr">
        <is>
          <t>纳入A/D/Dh；若有Pair_ID则纳入CWR</t>
        </is>
      </c>
      <c r="O698" t="inlineStr">
        <is>
          <t>自动管线检出的合格导管腔。</t>
        </is>
      </c>
      <c r="P698" t="inlineStr">
        <is>
          <t>auto_pipeline;review_png_green</t>
        </is>
      </c>
      <c r="Q698" t="inlineStr">
        <is>
          <t>16(4)-P01</t>
        </is>
      </c>
      <c r="R698" t="inlineStr">
        <is>
          <t>样品16</t>
        </is>
      </c>
    </row>
    <row r="699">
      <c r="A699" t="inlineStr">
        <is>
          <t>16(4)-V03</t>
        </is>
      </c>
      <c r="B699" t="inlineStr">
        <is>
          <t>16 (4).tif</t>
        </is>
      </c>
      <c r="C699" t="n">
        <v>851</v>
      </c>
      <c r="D699" t="n">
        <v>383</v>
      </c>
      <c r="E699" t="inlineStr">
        <is>
          <t>822,307,881,460</t>
        </is>
      </c>
      <c r="F699" t="n">
        <v>143</v>
      </c>
      <c r="G699" t="inlineStr">
        <is>
          <t>primary</t>
        </is>
      </c>
      <c r="H699" t="inlineStr">
        <is>
          <t>AUTO_VESSEL</t>
        </is>
      </c>
      <c r="I699" t="inlineStr">
        <is>
          <t>是</t>
        </is>
      </c>
      <c r="J699" t="inlineStr">
        <is>
          <t>纳入</t>
        </is>
      </c>
      <c r="K699" t="n">
        <v>296.8336483931947</v>
      </c>
      <c r="L699">
        <f>导管母表_1781!G699</f>
        <v/>
      </c>
      <c r="M699" t="inlineStr">
        <is>
          <t>视野内部</t>
        </is>
      </c>
      <c r="N699" t="inlineStr">
        <is>
          <t>纳入A/D/Dh；若有Pair_ID则纳入CWR</t>
        </is>
      </c>
      <c r="O699" t="inlineStr">
        <is>
          <t>自动管线检出的合格导管腔。</t>
        </is>
      </c>
      <c r="P699" t="inlineStr">
        <is>
          <t>auto_pipeline;review_png_green</t>
        </is>
      </c>
      <c r="R699" t="inlineStr">
        <is>
          <t>样品16</t>
        </is>
      </c>
    </row>
    <row r="700">
      <c r="A700" t="inlineStr">
        <is>
          <t>16(4)-V04</t>
        </is>
      </c>
      <c r="B700" t="inlineStr">
        <is>
          <t>16 (4).tif</t>
        </is>
      </c>
      <c r="C700" t="n">
        <v>916</v>
      </c>
      <c r="D700" t="n">
        <v>203</v>
      </c>
      <c r="E700" t="inlineStr">
        <is>
          <t>875,161,958,246</t>
        </is>
      </c>
      <c r="F700" t="n">
        <v>66</v>
      </c>
      <c r="G700" t="inlineStr">
        <is>
          <t>primary</t>
        </is>
      </c>
      <c r="H700" t="inlineStr">
        <is>
          <t>AUTO_VESSEL</t>
        </is>
      </c>
      <c r="I700" t="inlineStr">
        <is>
          <t>是</t>
        </is>
      </c>
      <c r="J700" t="inlineStr">
        <is>
          <t>纳入</t>
        </is>
      </c>
      <c r="K700" t="n">
        <v>232.9867674858223</v>
      </c>
      <c r="L700">
        <f>导管母表_1781!G700</f>
        <v/>
      </c>
      <c r="M700" t="inlineStr">
        <is>
          <t>视野内部</t>
        </is>
      </c>
      <c r="N700" t="inlineStr">
        <is>
          <t>纳入A/D/Dh；若有Pair_ID则纳入CWR</t>
        </is>
      </c>
      <c r="O700" t="inlineStr">
        <is>
          <t>自动管线检出的合格导管腔。</t>
        </is>
      </c>
      <c r="P700" t="inlineStr">
        <is>
          <t>auto_pipeline;review_png_green</t>
        </is>
      </c>
      <c r="R700" t="inlineStr">
        <is>
          <t>样品16</t>
        </is>
      </c>
    </row>
    <row r="701">
      <c r="A701" t="inlineStr">
        <is>
          <t>16(4)-V05</t>
        </is>
      </c>
      <c r="B701" t="inlineStr">
        <is>
          <t>16 (4).tif</t>
        </is>
      </c>
      <c r="C701" t="n">
        <v>220</v>
      </c>
      <c r="D701" t="n">
        <v>634</v>
      </c>
      <c r="E701" t="inlineStr">
        <is>
          <t>174,590,267,679</t>
        </is>
      </c>
      <c r="F701" t="n">
        <v>89</v>
      </c>
      <c r="G701" t="inlineStr">
        <is>
          <t>primary</t>
        </is>
      </c>
      <c r="H701" t="inlineStr">
        <is>
          <t>AUTO_VESSEL</t>
        </is>
      </c>
      <c r="I701" t="inlineStr">
        <is>
          <t>是</t>
        </is>
      </c>
      <c r="J701" t="inlineStr">
        <is>
          <t>纳入</t>
        </is>
      </c>
      <c r="K701" t="n">
        <v>232.8449905482042</v>
      </c>
      <c r="L701">
        <f>导管母表_1781!G701</f>
        <v/>
      </c>
      <c r="M701" t="inlineStr">
        <is>
          <t>视野内部</t>
        </is>
      </c>
      <c r="N701" t="inlineStr">
        <is>
          <t>纳入A/D/Dh；若有Pair_ID则纳入CWR</t>
        </is>
      </c>
      <c r="O701" t="inlineStr">
        <is>
          <t>自动管线检出的合格导管腔。</t>
        </is>
      </c>
      <c r="P701" t="inlineStr">
        <is>
          <t>auto_pipeline;review_png_green</t>
        </is>
      </c>
      <c r="R701" t="inlineStr">
        <is>
          <t>样品16</t>
        </is>
      </c>
    </row>
    <row r="702">
      <c r="A702" t="inlineStr">
        <is>
          <t>16(4)-V06</t>
        </is>
      </c>
      <c r="B702" t="inlineStr">
        <is>
          <t>16 (4).tif</t>
        </is>
      </c>
      <c r="C702" t="n">
        <v>955</v>
      </c>
      <c r="D702" t="n">
        <v>492</v>
      </c>
      <c r="E702" t="inlineStr">
        <is>
          <t>925,460,986,525</t>
        </is>
      </c>
      <c r="F702" t="n">
        <v>38</v>
      </c>
      <c r="G702" t="inlineStr">
        <is>
          <t>primary</t>
        </is>
      </c>
      <c r="H702" t="inlineStr">
        <is>
          <t>AUTO_VESSEL</t>
        </is>
      </c>
      <c r="I702" t="inlineStr">
        <is>
          <t>是</t>
        </is>
      </c>
      <c r="J702" t="inlineStr">
        <is>
          <t>纳入</t>
        </is>
      </c>
      <c r="K702" t="n">
        <v>124.1257088846881</v>
      </c>
      <c r="L702">
        <f>导管母表_1781!G702</f>
        <v/>
      </c>
      <c r="M702" t="inlineStr">
        <is>
          <t>视野内部</t>
        </is>
      </c>
      <c r="N702" t="inlineStr">
        <is>
          <t>纳入A/D/Dh；若有Pair_ID则纳入CWR</t>
        </is>
      </c>
      <c r="O702" t="inlineStr">
        <is>
          <t>自动管线检出的合格导管腔。</t>
        </is>
      </c>
      <c r="P702" t="inlineStr">
        <is>
          <t>auto_pipeline;review_png_green</t>
        </is>
      </c>
      <c r="R702" t="inlineStr">
        <is>
          <t>样品16</t>
        </is>
      </c>
    </row>
    <row r="703">
      <c r="A703" t="inlineStr">
        <is>
          <t>16(5)-V01</t>
        </is>
      </c>
      <c r="B703" t="inlineStr">
        <is>
          <t>16 (5).tif</t>
        </is>
      </c>
      <c r="C703" t="n">
        <v>493</v>
      </c>
      <c r="D703" t="n">
        <v>274</v>
      </c>
      <c r="E703" t="inlineStr">
        <is>
          <t>421,193,566,356</t>
        </is>
      </c>
      <c r="F703" t="n">
        <v>193</v>
      </c>
      <c r="G703" t="inlineStr">
        <is>
          <t>primary</t>
        </is>
      </c>
      <c r="H703" t="inlineStr">
        <is>
          <t>AUTO_VESSEL</t>
        </is>
      </c>
      <c r="I703" t="inlineStr">
        <is>
          <t>是</t>
        </is>
      </c>
      <c r="J703" t="inlineStr">
        <is>
          <t>纳入</t>
        </is>
      </c>
      <c r="K703" t="n">
        <v>865.7136105860113</v>
      </c>
      <c r="L703">
        <f>导管母表_1781!G703</f>
        <v/>
      </c>
      <c r="M703" t="inlineStr">
        <is>
          <t>视野内部</t>
        </is>
      </c>
      <c r="N703" t="inlineStr">
        <is>
          <t>纳入A/D/Dh；若有Pair_ID则纳入CWR</t>
        </is>
      </c>
      <c r="O703" t="inlineStr">
        <is>
          <t>自动管线检出的合格导管腔。</t>
        </is>
      </c>
      <c r="P703" t="inlineStr">
        <is>
          <t>auto_pipeline;review_png_green</t>
        </is>
      </c>
      <c r="Q703" t="inlineStr">
        <is>
          <t>16(5)-P01</t>
        </is>
      </c>
      <c r="R703" t="inlineStr">
        <is>
          <t>样品16</t>
        </is>
      </c>
    </row>
    <row r="704">
      <c r="A704" t="inlineStr">
        <is>
          <t>16(5)-V02</t>
        </is>
      </c>
      <c r="B704" t="inlineStr">
        <is>
          <t>16 (5).tif</t>
        </is>
      </c>
      <c r="C704" t="n">
        <v>445</v>
      </c>
      <c r="D704" t="n">
        <v>443</v>
      </c>
      <c r="E704" t="inlineStr">
        <is>
          <t>384,376,507,511</t>
        </is>
      </c>
      <c r="F704" t="n">
        <v>257</v>
      </c>
      <c r="G704" t="inlineStr">
        <is>
          <t>primary</t>
        </is>
      </c>
      <c r="H704" t="inlineStr">
        <is>
          <t>AUTO_VESSEL</t>
        </is>
      </c>
      <c r="I704" t="inlineStr">
        <is>
          <t>是</t>
        </is>
      </c>
      <c r="J704" t="inlineStr">
        <is>
          <t>纳入</t>
        </is>
      </c>
      <c r="K704" t="n">
        <v>606.3090737240076</v>
      </c>
      <c r="L704">
        <f>导管母表_1781!G704</f>
        <v/>
      </c>
      <c r="M704" t="inlineStr">
        <is>
          <t>视野内部</t>
        </is>
      </c>
      <c r="N704" t="inlineStr">
        <is>
          <t>纳入A/D/Dh；若有Pair_ID则纳入CWR</t>
        </is>
      </c>
      <c r="O704" t="inlineStr">
        <is>
          <t>自动管线检出的合格导管腔。</t>
        </is>
      </c>
      <c r="P704" t="inlineStr">
        <is>
          <t>auto_pipeline;review_png_green</t>
        </is>
      </c>
      <c r="Q704" t="inlineStr">
        <is>
          <t>16(5)-P01</t>
        </is>
      </c>
      <c r="R704" t="inlineStr">
        <is>
          <t>样品16</t>
        </is>
      </c>
    </row>
    <row r="705">
      <c r="A705" t="inlineStr">
        <is>
          <t>16(5)-V03</t>
        </is>
      </c>
      <c r="B705" t="inlineStr">
        <is>
          <t>16 (5).tif</t>
        </is>
      </c>
      <c r="C705" t="n">
        <v>946</v>
      </c>
      <c r="D705" t="n">
        <v>609</v>
      </c>
      <c r="E705" t="inlineStr">
        <is>
          <t>913,545,980,674</t>
        </is>
      </c>
      <c r="F705" t="n">
        <v>44</v>
      </c>
      <c r="G705" t="inlineStr">
        <is>
          <t>primary</t>
        </is>
      </c>
      <c r="H705" t="inlineStr">
        <is>
          <t>AUTO_VESSEL</t>
        </is>
      </c>
      <c r="I705" t="inlineStr">
        <is>
          <t>是</t>
        </is>
      </c>
      <c r="J705" t="inlineStr">
        <is>
          <t>纳入</t>
        </is>
      </c>
      <c r="K705" t="n">
        <v>242.3676748582231</v>
      </c>
      <c r="L705">
        <f>导管母表_1781!G705</f>
        <v/>
      </c>
      <c r="M705" t="inlineStr">
        <is>
          <t>视野内部</t>
        </is>
      </c>
      <c r="N705" t="inlineStr">
        <is>
          <t>纳入A/D/Dh；若有Pair_ID则纳入CWR</t>
        </is>
      </c>
      <c r="O705" t="inlineStr">
        <is>
          <t>自动管线检出的合格导管腔。</t>
        </is>
      </c>
      <c r="P705" t="inlineStr">
        <is>
          <t>auto_pipeline;review_png_green</t>
        </is>
      </c>
      <c r="R705" t="inlineStr">
        <is>
          <t>样品16</t>
        </is>
      </c>
    </row>
    <row r="706">
      <c r="A706" t="inlineStr">
        <is>
          <t>16(5)-V04</t>
        </is>
      </c>
      <c r="B706" t="inlineStr">
        <is>
          <t>16 (5).tif</t>
        </is>
      </c>
      <c r="C706" t="n">
        <v>239</v>
      </c>
      <c r="D706" t="n">
        <v>433</v>
      </c>
      <c r="E706" t="inlineStr">
        <is>
          <t>206,387,273,480</t>
        </is>
      </c>
      <c r="F706" t="n">
        <v>206</v>
      </c>
      <c r="G706" t="inlineStr">
        <is>
          <t>primary</t>
        </is>
      </c>
      <c r="H706" t="inlineStr">
        <is>
          <t>AUTO_VESSEL</t>
        </is>
      </c>
      <c r="I706" t="inlineStr">
        <is>
          <t>是</t>
        </is>
      </c>
      <c r="J706" t="inlineStr">
        <is>
          <t>纳入</t>
        </is>
      </c>
      <c r="K706" t="n">
        <v>223.3695652173913</v>
      </c>
      <c r="L706">
        <f>导管母表_1781!G706</f>
        <v/>
      </c>
      <c r="M706" t="inlineStr">
        <is>
          <t>视野内部</t>
        </is>
      </c>
      <c r="N706" t="inlineStr">
        <is>
          <t>纳入A/D/Dh；若有Pair_ID则纳入CWR</t>
        </is>
      </c>
      <c r="O706" t="inlineStr">
        <is>
          <t>自动管线检出的合格导管腔。</t>
        </is>
      </c>
      <c r="P706" t="inlineStr">
        <is>
          <t>auto_pipeline;review_png_green</t>
        </is>
      </c>
      <c r="R706" t="inlineStr">
        <is>
          <t>样品16</t>
        </is>
      </c>
    </row>
    <row r="707">
      <c r="A707" t="inlineStr">
        <is>
          <t>16(5)-V05</t>
        </is>
      </c>
      <c r="B707" t="inlineStr">
        <is>
          <t>16 (5).tif</t>
        </is>
      </c>
      <c r="C707" t="n">
        <v>40</v>
      </c>
      <c r="D707" t="n">
        <v>96</v>
      </c>
      <c r="E707" t="inlineStr">
        <is>
          <t>2,67,79,126</t>
        </is>
      </c>
      <c r="F707" t="n">
        <v>2</v>
      </c>
      <c r="G707" t="inlineStr">
        <is>
          <t>primary</t>
        </is>
      </c>
      <c r="H707" t="inlineStr">
        <is>
          <t>AUTO_VESSEL</t>
        </is>
      </c>
      <c r="I707" t="inlineStr">
        <is>
          <t>是</t>
        </is>
      </c>
      <c r="J707" t="inlineStr">
        <is>
          <t>纳入</t>
        </is>
      </c>
      <c r="K707" t="n">
        <v>154.796786389414</v>
      </c>
      <c r="L707">
        <f>导管母表_1781!G707</f>
        <v/>
      </c>
      <c r="M707" t="inlineStr">
        <is>
          <t>近边缘（&lt;25 px）</t>
        </is>
      </c>
      <c r="N707" t="inlineStr">
        <is>
          <t>纳入A/D/Dh；若有Pair_ID则纳入CWR</t>
        </is>
      </c>
      <c r="O707" t="inlineStr">
        <is>
          <t>自动管线检出的合格导管腔。</t>
        </is>
      </c>
      <c r="P707" t="inlineStr">
        <is>
          <t>auto_pipeline;review_png_green</t>
        </is>
      </c>
      <c r="R707" t="inlineStr">
        <is>
          <t>样品16</t>
        </is>
      </c>
    </row>
    <row r="708">
      <c r="A708" t="inlineStr">
        <is>
          <t>16(5)-V06</t>
        </is>
      </c>
      <c r="B708" t="inlineStr">
        <is>
          <t>16 (5).tif</t>
        </is>
      </c>
      <c r="C708" t="n">
        <v>543</v>
      </c>
      <c r="D708" t="n">
        <v>600</v>
      </c>
      <c r="E708" t="inlineStr">
        <is>
          <t>515,564,572,637</t>
        </is>
      </c>
      <c r="F708" t="n">
        <v>131</v>
      </c>
      <c r="G708" t="inlineStr">
        <is>
          <t>primary</t>
        </is>
      </c>
      <c r="H708" t="inlineStr">
        <is>
          <t>AUTO_VESSEL</t>
        </is>
      </c>
      <c r="I708" t="inlineStr">
        <is>
          <t>是</t>
        </is>
      </c>
      <c r="J708" t="inlineStr">
        <is>
          <t>纳入</t>
        </is>
      </c>
      <c r="K708" t="n">
        <v>140.7372400756144</v>
      </c>
      <c r="L708">
        <f>导管母表_1781!G708</f>
        <v/>
      </c>
      <c r="M708" t="inlineStr">
        <is>
          <t>视野内部</t>
        </is>
      </c>
      <c r="N708" t="inlineStr">
        <is>
          <t>纳入A/D/Dh；若有Pair_ID则纳入CWR</t>
        </is>
      </c>
      <c r="O708" t="inlineStr">
        <is>
          <t>自动管线检出的合格导管腔。</t>
        </is>
      </c>
      <c r="P708" t="inlineStr">
        <is>
          <t>auto_pipeline;review_png_green</t>
        </is>
      </c>
      <c r="R708" t="inlineStr">
        <is>
          <t>样品16</t>
        </is>
      </c>
    </row>
    <row r="709">
      <c r="A709" t="inlineStr">
        <is>
          <t>16(5)-V07</t>
        </is>
      </c>
      <c r="B709" t="inlineStr">
        <is>
          <t>16 (5).tif</t>
        </is>
      </c>
      <c r="C709" t="n">
        <v>135</v>
      </c>
      <c r="D709" t="n">
        <v>103</v>
      </c>
      <c r="E709" t="inlineStr">
        <is>
          <t>112,73,159,134</t>
        </is>
      </c>
      <c r="F709" t="n">
        <v>73</v>
      </c>
      <c r="G709" t="inlineStr">
        <is>
          <t>primary</t>
        </is>
      </c>
      <c r="H709" t="inlineStr">
        <is>
          <t>AUTO_VESSEL</t>
        </is>
      </c>
      <c r="I709" t="inlineStr">
        <is>
          <t>是</t>
        </is>
      </c>
      <c r="J709" t="inlineStr">
        <is>
          <t>纳入</t>
        </is>
      </c>
      <c r="K709" t="n">
        <v>101.4177693761815</v>
      </c>
      <c r="L709">
        <f>导管母表_1781!G709</f>
        <v/>
      </c>
      <c r="M709" t="inlineStr">
        <is>
          <t>视野内部</t>
        </is>
      </c>
      <c r="N709" t="inlineStr">
        <is>
          <t>纳入A/D/Dh；若有Pair_ID则纳入CWR</t>
        </is>
      </c>
      <c r="O709" t="inlineStr">
        <is>
          <t>自动管线检出的合格导管腔。</t>
        </is>
      </c>
      <c r="P709" t="inlineStr">
        <is>
          <t>auto_pipeline;review_png_green</t>
        </is>
      </c>
      <c r="R709" t="inlineStr">
        <is>
          <t>样品16</t>
        </is>
      </c>
    </row>
    <row r="710">
      <c r="A710" t="inlineStr">
        <is>
          <t>16(6)-V01</t>
        </is>
      </c>
      <c r="B710" t="inlineStr">
        <is>
          <t>16 (6).tif</t>
        </is>
      </c>
      <c r="C710" t="n">
        <v>507</v>
      </c>
      <c r="D710" t="n">
        <v>282</v>
      </c>
      <c r="E710" t="inlineStr">
        <is>
          <t>440,220,575,345</t>
        </is>
      </c>
      <c r="F710" t="n">
        <v>220</v>
      </c>
      <c r="G710" t="inlineStr">
        <is>
          <t>primary</t>
        </is>
      </c>
      <c r="H710" t="inlineStr">
        <is>
          <t>AUTO_VESSEL</t>
        </is>
      </c>
      <c r="I710" t="inlineStr">
        <is>
          <t>是</t>
        </is>
      </c>
      <c r="J710" t="inlineStr">
        <is>
          <t>纳入</t>
        </is>
      </c>
      <c r="K710" t="n">
        <v>615.5718336483932</v>
      </c>
      <c r="L710">
        <f>导管母表_1781!G710</f>
        <v/>
      </c>
      <c r="M710" t="inlineStr">
        <is>
          <t>视野内部</t>
        </is>
      </c>
      <c r="N710" t="inlineStr">
        <is>
          <t>纳入A/D/Dh；若有Pair_ID则纳入CWR</t>
        </is>
      </c>
      <c r="O710" t="inlineStr">
        <is>
          <t>自动管线检出的合格导管腔。</t>
        </is>
      </c>
      <c r="P710" t="inlineStr">
        <is>
          <t>auto_pipeline;review_png_green</t>
        </is>
      </c>
      <c r="Q710" t="inlineStr">
        <is>
          <t>16(6)-P01</t>
        </is>
      </c>
      <c r="R710" t="inlineStr">
        <is>
          <t>样品16</t>
        </is>
      </c>
    </row>
    <row r="711">
      <c r="A711" t="inlineStr">
        <is>
          <t>16(6)-V02</t>
        </is>
      </c>
      <c r="B711" t="inlineStr">
        <is>
          <t>16 (6).tif</t>
        </is>
      </c>
      <c r="C711" t="n">
        <v>196</v>
      </c>
      <c r="D711" t="n">
        <v>370</v>
      </c>
      <c r="E711" t="inlineStr">
        <is>
          <t>136,302,257,439</t>
        </is>
      </c>
      <c r="F711" t="n">
        <v>136</v>
      </c>
      <c r="G711" t="inlineStr">
        <is>
          <t>primary</t>
        </is>
      </c>
      <c r="H711" t="inlineStr">
        <is>
          <t>AUTO_VESSEL</t>
        </is>
      </c>
      <c r="I711" t="inlineStr">
        <is>
          <t>是</t>
        </is>
      </c>
      <c r="J711" t="inlineStr">
        <is>
          <t>纳入</t>
        </is>
      </c>
      <c r="K711" t="n">
        <v>605.6710775047259</v>
      </c>
      <c r="L711">
        <f>导管母表_1781!G711</f>
        <v/>
      </c>
      <c r="M711" t="inlineStr">
        <is>
          <t>视野内部</t>
        </is>
      </c>
      <c r="N711" t="inlineStr">
        <is>
          <t>纳入A/D/Dh；若有Pair_ID则纳入CWR</t>
        </is>
      </c>
      <c r="O711" t="inlineStr">
        <is>
          <t>自动管线检出的合格导管腔。</t>
        </is>
      </c>
      <c r="P711" t="inlineStr">
        <is>
          <t>auto_pipeline;review_png_green</t>
        </is>
      </c>
      <c r="R711" t="inlineStr">
        <is>
          <t>样品16</t>
        </is>
      </c>
    </row>
    <row r="712">
      <c r="A712" t="inlineStr">
        <is>
          <t>16(6)-V03</t>
        </is>
      </c>
      <c r="B712" t="inlineStr">
        <is>
          <t>16 (6).tif</t>
        </is>
      </c>
      <c r="C712" t="n">
        <v>547</v>
      </c>
      <c r="D712" t="n">
        <v>440</v>
      </c>
      <c r="E712" t="inlineStr">
        <is>
          <t>495,381,600,500</t>
        </is>
      </c>
      <c r="F712" t="n">
        <v>268</v>
      </c>
      <c r="G712" t="inlineStr">
        <is>
          <t>primary</t>
        </is>
      </c>
      <c r="H712" t="inlineStr">
        <is>
          <t>AUTO_VESSEL</t>
        </is>
      </c>
      <c r="I712" t="inlineStr">
        <is>
          <t>是</t>
        </is>
      </c>
      <c r="J712" t="inlineStr">
        <is>
          <t>纳入</t>
        </is>
      </c>
      <c r="K712" t="n">
        <v>439.9338374291115</v>
      </c>
      <c r="L712">
        <f>导管母表_1781!G712</f>
        <v/>
      </c>
      <c r="M712" t="inlineStr">
        <is>
          <t>视野内部</t>
        </is>
      </c>
      <c r="N712" t="inlineStr">
        <is>
          <t>纳入A/D/Dh；若有Pair_ID则纳入CWR</t>
        </is>
      </c>
      <c r="O712" t="inlineStr">
        <is>
          <t>自动管线检出的合格导管腔。</t>
        </is>
      </c>
      <c r="P712" t="inlineStr">
        <is>
          <t>auto_pipeline;review_png_green</t>
        </is>
      </c>
      <c r="Q712" t="inlineStr">
        <is>
          <t>16(6)-P01</t>
        </is>
      </c>
      <c r="R712" t="inlineStr">
        <is>
          <t>样品16</t>
        </is>
      </c>
    </row>
    <row r="713">
      <c r="A713" t="inlineStr">
        <is>
          <t>16(6)-V04</t>
        </is>
      </c>
      <c r="B713" t="inlineStr">
        <is>
          <t>16 (6).tif</t>
        </is>
      </c>
      <c r="C713" t="n">
        <v>195</v>
      </c>
      <c r="D713" t="n">
        <v>180</v>
      </c>
      <c r="E713" t="inlineStr">
        <is>
          <t>170,133,221,228</t>
        </is>
      </c>
      <c r="F713" t="n">
        <v>133</v>
      </c>
      <c r="G713" t="inlineStr">
        <is>
          <t>primary</t>
        </is>
      </c>
      <c r="H713" t="inlineStr">
        <is>
          <t>AUTO_VESSEL</t>
        </is>
      </c>
      <c r="I713" t="inlineStr">
        <is>
          <t>是</t>
        </is>
      </c>
      <c r="J713" t="inlineStr">
        <is>
          <t>纳入</t>
        </is>
      </c>
      <c r="K713" t="n">
        <v>152.9536862003781</v>
      </c>
      <c r="L713">
        <f>导管母表_1781!G713</f>
        <v/>
      </c>
      <c r="M713" t="inlineStr">
        <is>
          <t>视野内部</t>
        </is>
      </c>
      <c r="N713" t="inlineStr">
        <is>
          <t>纳入A/D/Dh；若有Pair_ID则纳入CWR</t>
        </is>
      </c>
      <c r="O713" t="inlineStr">
        <is>
          <t>自动管线检出的合格导管腔。</t>
        </is>
      </c>
      <c r="P713" t="inlineStr">
        <is>
          <t>auto_pipeline;review_png_green</t>
        </is>
      </c>
      <c r="R713" t="inlineStr">
        <is>
          <t>样品16</t>
        </is>
      </c>
    </row>
    <row r="714">
      <c r="A714" t="inlineStr">
        <is>
          <t>16(6)-V05</t>
        </is>
      </c>
      <c r="B714" t="inlineStr">
        <is>
          <t>16 (6).tif</t>
        </is>
      </c>
      <c r="C714" t="n">
        <v>273</v>
      </c>
      <c r="D714" t="n">
        <v>308</v>
      </c>
      <c r="E714" t="inlineStr">
        <is>
          <t>248,278,299,339</t>
        </is>
      </c>
      <c r="F714" t="n">
        <v>248</v>
      </c>
      <c r="G714" t="inlineStr">
        <is>
          <t>primary</t>
        </is>
      </c>
      <c r="H714" t="inlineStr">
        <is>
          <t>AUTO_VESSEL</t>
        </is>
      </c>
      <c r="I714" t="inlineStr">
        <is>
          <t>是</t>
        </is>
      </c>
      <c r="J714" t="inlineStr">
        <is>
          <t>纳入</t>
        </is>
      </c>
      <c r="K714" t="n">
        <v>106.2618147448015</v>
      </c>
      <c r="L714">
        <f>导管母表_1781!G714</f>
        <v/>
      </c>
      <c r="M714" t="inlineStr">
        <is>
          <t>视野内部</t>
        </is>
      </c>
      <c r="N714" t="inlineStr">
        <is>
          <t>纳入A/D/Dh；若有Pair_ID则纳入CWR</t>
        </is>
      </c>
      <c r="O714" t="inlineStr">
        <is>
          <t>自动管线检出的合格导管腔。</t>
        </is>
      </c>
      <c r="P714" t="inlineStr">
        <is>
          <t>auto_pipeline;review_png_green</t>
        </is>
      </c>
      <c r="R714" t="inlineStr">
        <is>
          <t>样品16</t>
        </is>
      </c>
    </row>
    <row r="715">
      <c r="A715" t="inlineStr">
        <is>
          <t>17(1)-V01</t>
        </is>
      </c>
      <c r="B715" t="inlineStr">
        <is>
          <t>17 (1).tif</t>
        </is>
      </c>
      <c r="C715" t="n">
        <v>275</v>
      </c>
      <c r="D715" t="n">
        <v>449</v>
      </c>
      <c r="E715" t="inlineStr">
        <is>
          <t>233,394,318,505</t>
        </is>
      </c>
      <c r="F715" t="n">
        <v>233</v>
      </c>
      <c r="G715" t="inlineStr">
        <is>
          <t>primary</t>
        </is>
      </c>
      <c r="H715" t="inlineStr">
        <is>
          <t>AUTO_VESSEL</t>
        </is>
      </c>
      <c r="I715" t="inlineStr">
        <is>
          <t>是</t>
        </is>
      </c>
      <c r="J715" t="inlineStr">
        <is>
          <t>纳入</t>
        </is>
      </c>
      <c r="K715" t="n">
        <v>303.0954631379962</v>
      </c>
      <c r="L715">
        <f>导管母表_1781!G715</f>
        <v/>
      </c>
      <c r="M715" t="inlineStr">
        <is>
          <t>视野内部</t>
        </is>
      </c>
      <c r="N715" t="inlineStr">
        <is>
          <t>纳入A/D/Dh；若有Pair_ID则纳入CWR</t>
        </is>
      </c>
      <c r="O715" t="inlineStr">
        <is>
          <t>自动管线检出的合格导管腔。</t>
        </is>
      </c>
      <c r="P715" t="inlineStr">
        <is>
          <t>auto_pipeline;review_png_green</t>
        </is>
      </c>
      <c r="R715" t="inlineStr">
        <is>
          <t>样品17</t>
        </is>
      </c>
    </row>
    <row r="716">
      <c r="A716" t="inlineStr">
        <is>
          <t>17(1)-V02</t>
        </is>
      </c>
      <c r="B716" t="inlineStr">
        <is>
          <t>17 (1).tif</t>
        </is>
      </c>
      <c r="C716" t="n">
        <v>198</v>
      </c>
      <c r="D716" t="n">
        <v>235</v>
      </c>
      <c r="E716" t="inlineStr">
        <is>
          <t>154,189,243,282</t>
        </is>
      </c>
      <c r="F716" t="n">
        <v>154</v>
      </c>
      <c r="G716" t="inlineStr">
        <is>
          <t>primary</t>
        </is>
      </c>
      <c r="H716" t="inlineStr">
        <is>
          <t>AUTO_VESSEL</t>
        </is>
      </c>
      <c r="I716" t="inlineStr">
        <is>
          <t>是</t>
        </is>
      </c>
      <c r="J716" t="inlineStr">
        <is>
          <t>纳入</t>
        </is>
      </c>
      <c r="K716" t="n">
        <v>297.8733459357278</v>
      </c>
      <c r="L716">
        <f>导管母表_1781!G716</f>
        <v/>
      </c>
      <c r="M716" t="inlineStr">
        <is>
          <t>视野内部</t>
        </is>
      </c>
      <c r="N716" t="inlineStr">
        <is>
          <t>纳入A/D/Dh；若有Pair_ID则纳入CWR</t>
        </is>
      </c>
      <c r="O716" t="inlineStr">
        <is>
          <t>自动管线检出的合格导管腔。</t>
        </is>
      </c>
      <c r="P716" t="inlineStr">
        <is>
          <t>auto_pipeline;review_png_green</t>
        </is>
      </c>
      <c r="R716" t="inlineStr">
        <is>
          <t>样品17</t>
        </is>
      </c>
    </row>
    <row r="717">
      <c r="A717" t="inlineStr">
        <is>
          <t>17(1)-V03</t>
        </is>
      </c>
      <c r="B717" t="inlineStr">
        <is>
          <t>17 (1).tif</t>
        </is>
      </c>
      <c r="C717" t="n">
        <v>186</v>
      </c>
      <c r="D717" t="n">
        <v>154</v>
      </c>
      <c r="E717" t="inlineStr">
        <is>
          <t>149,127,224,182</t>
        </is>
      </c>
      <c r="F717" t="n">
        <v>127</v>
      </c>
      <c r="G717" t="inlineStr">
        <is>
          <t>primary</t>
        </is>
      </c>
      <c r="H717" t="inlineStr">
        <is>
          <t>AUTO_VESSEL</t>
        </is>
      </c>
      <c r="I717" t="inlineStr">
        <is>
          <t>是</t>
        </is>
      </c>
      <c r="J717" t="inlineStr">
        <is>
          <t>纳入</t>
        </is>
      </c>
      <c r="K717" t="n">
        <v>139.2013232514178</v>
      </c>
      <c r="L717">
        <f>导管母表_1781!G717</f>
        <v/>
      </c>
      <c r="M717" t="inlineStr">
        <is>
          <t>视野内部</t>
        </is>
      </c>
      <c r="N717" t="inlineStr">
        <is>
          <t>纳入A/D/Dh；若有Pair_ID则纳入CWR</t>
        </is>
      </c>
      <c r="O717" t="inlineStr">
        <is>
          <t>自动管线检出的合格导管腔。</t>
        </is>
      </c>
      <c r="P717" t="inlineStr">
        <is>
          <t>auto_pipeline;review_png_green</t>
        </is>
      </c>
      <c r="R717" t="inlineStr">
        <is>
          <t>样品17</t>
        </is>
      </c>
    </row>
    <row r="718">
      <c r="A718" t="inlineStr">
        <is>
          <t>17(2)-V01</t>
        </is>
      </c>
      <c r="B718" t="inlineStr">
        <is>
          <t>17 (2).tif</t>
        </is>
      </c>
      <c r="C718" t="n">
        <v>464</v>
      </c>
      <c r="D718" t="n">
        <v>304</v>
      </c>
      <c r="E718" t="inlineStr">
        <is>
          <t>379,228,550,381</t>
        </is>
      </c>
      <c r="F718" t="n">
        <v>228</v>
      </c>
      <c r="G718" t="inlineStr">
        <is>
          <t>primary</t>
        </is>
      </c>
      <c r="H718" t="inlineStr">
        <is>
          <t>AUTO_VESSEL</t>
        </is>
      </c>
      <c r="I718" t="inlineStr">
        <is>
          <t>是</t>
        </is>
      </c>
      <c r="J718" t="inlineStr">
        <is>
          <t>纳入</t>
        </is>
      </c>
      <c r="K718" t="n">
        <v>952.2211720226843</v>
      </c>
      <c r="L718">
        <f>导管母表_1781!G718</f>
        <v/>
      </c>
      <c r="M718" t="inlineStr">
        <is>
          <t>视野内部</t>
        </is>
      </c>
      <c r="N718" t="inlineStr">
        <is>
          <t>纳入A/D/Dh；若有Pair_ID则纳入CWR</t>
        </is>
      </c>
      <c r="O718" t="inlineStr">
        <is>
          <t>自动管线检出的合格导管腔。</t>
        </is>
      </c>
      <c r="P718" t="inlineStr">
        <is>
          <t>auto_pipeline;review_png_green</t>
        </is>
      </c>
      <c r="Q718" t="inlineStr">
        <is>
          <t>17(2)-P01</t>
        </is>
      </c>
      <c r="R718" t="inlineStr">
        <is>
          <t>样品17</t>
        </is>
      </c>
    </row>
    <row r="719">
      <c r="A719" t="inlineStr">
        <is>
          <t>17(2)-V02</t>
        </is>
      </c>
      <c r="B719" t="inlineStr">
        <is>
          <t>17 (2).tif</t>
        </is>
      </c>
      <c r="C719" t="n">
        <v>514</v>
      </c>
      <c r="D719" t="n">
        <v>462</v>
      </c>
      <c r="E719" t="inlineStr">
        <is>
          <t>456,412,573,513</t>
        </is>
      </c>
      <c r="F719" t="n">
        <v>255</v>
      </c>
      <c r="G719" t="inlineStr">
        <is>
          <t>primary</t>
        </is>
      </c>
      <c r="H719" t="inlineStr">
        <is>
          <t>AUTO_VESSEL</t>
        </is>
      </c>
      <c r="I719" t="inlineStr">
        <is>
          <t>是</t>
        </is>
      </c>
      <c r="J719" t="inlineStr">
        <is>
          <t>纳入</t>
        </is>
      </c>
      <c r="K719" t="n">
        <v>429.867674858223</v>
      </c>
      <c r="L719">
        <f>导管母表_1781!G719</f>
        <v/>
      </c>
      <c r="M719" t="inlineStr">
        <is>
          <t>视野内部</t>
        </is>
      </c>
      <c r="N719" t="inlineStr">
        <is>
          <t>纳入A/D/Dh；若有Pair_ID则纳入CWR</t>
        </is>
      </c>
      <c r="O719" t="inlineStr">
        <is>
          <t>自动管线检出的合格导管腔。</t>
        </is>
      </c>
      <c r="P719" t="inlineStr">
        <is>
          <t>auto_pipeline;review_png_green</t>
        </is>
      </c>
      <c r="Q719" t="inlineStr">
        <is>
          <t>17(2)-P01</t>
        </is>
      </c>
      <c r="R719" t="inlineStr">
        <is>
          <t>样品17</t>
        </is>
      </c>
    </row>
    <row r="720">
      <c r="A720" t="inlineStr">
        <is>
          <t>17(2)-V03</t>
        </is>
      </c>
      <c r="B720" t="inlineStr">
        <is>
          <t>17 (2).tif</t>
        </is>
      </c>
      <c r="C720" t="n">
        <v>684</v>
      </c>
      <c r="D720" t="n">
        <v>379</v>
      </c>
      <c r="E720" t="inlineStr">
        <is>
          <t>647,326,722,433</t>
        </is>
      </c>
      <c r="F720" t="n">
        <v>302</v>
      </c>
      <c r="G720" t="inlineStr">
        <is>
          <t>primary</t>
        </is>
      </c>
      <c r="H720" t="inlineStr">
        <is>
          <t>AUTO_VESSEL</t>
        </is>
      </c>
      <c r="I720" t="inlineStr">
        <is>
          <t>是</t>
        </is>
      </c>
      <c r="J720" t="inlineStr">
        <is>
          <t>纳入</t>
        </is>
      </c>
      <c r="K720" t="n">
        <v>274.4092627599244</v>
      </c>
      <c r="L720">
        <f>导管母表_1781!G720</f>
        <v/>
      </c>
      <c r="M720" t="inlineStr">
        <is>
          <t>视野内部</t>
        </is>
      </c>
      <c r="N720" t="inlineStr">
        <is>
          <t>纳入A/D/Dh；若有Pair_ID则纳入CWR</t>
        </is>
      </c>
      <c r="O720" t="inlineStr">
        <is>
          <t>自动管线检出的合格导管腔。</t>
        </is>
      </c>
      <c r="P720" t="inlineStr">
        <is>
          <t>auto_pipeline;review_png_green</t>
        </is>
      </c>
      <c r="R720" t="inlineStr">
        <is>
          <t>样品17</t>
        </is>
      </c>
    </row>
    <row r="721">
      <c r="A721" t="inlineStr">
        <is>
          <t>17(2)-V04</t>
        </is>
      </c>
      <c r="B721" t="inlineStr">
        <is>
          <t>17 (2).tif</t>
        </is>
      </c>
      <c r="C721" t="n">
        <v>580</v>
      </c>
      <c r="D721" t="n">
        <v>232</v>
      </c>
      <c r="E721" t="inlineStr">
        <is>
          <t>549,206,612,259</t>
        </is>
      </c>
      <c r="F721" t="n">
        <v>206</v>
      </c>
      <c r="G721" t="inlineStr">
        <is>
          <t>primary</t>
        </is>
      </c>
      <c r="H721" t="inlineStr">
        <is>
          <t>AUTO_VESSEL</t>
        </is>
      </c>
      <c r="I721" t="inlineStr">
        <is>
          <t>是</t>
        </is>
      </c>
      <c r="J721" t="inlineStr">
        <is>
          <t>纳入</t>
        </is>
      </c>
      <c r="K721" t="n">
        <v>118.8327032136106</v>
      </c>
      <c r="L721">
        <f>导管母表_1781!G721</f>
        <v/>
      </c>
      <c r="M721" t="inlineStr">
        <is>
          <t>视野内部</t>
        </is>
      </c>
      <c r="N721" t="inlineStr">
        <is>
          <t>纳入A/D/Dh；若有Pair_ID则纳入CWR</t>
        </is>
      </c>
      <c r="O721" t="inlineStr">
        <is>
          <t>自动管线检出的合格导管腔。</t>
        </is>
      </c>
      <c r="P721" t="inlineStr">
        <is>
          <t>auto_pipeline;review_png_green</t>
        </is>
      </c>
      <c r="R721" t="inlineStr">
        <is>
          <t>样品17</t>
        </is>
      </c>
    </row>
    <row r="722">
      <c r="A722" t="inlineStr">
        <is>
          <t>17(2)-V05</t>
        </is>
      </c>
      <c r="B722" t="inlineStr">
        <is>
          <t>17 (2).tif</t>
        </is>
      </c>
      <c r="C722" t="n">
        <v>668</v>
      </c>
      <c r="D722" t="n">
        <v>492</v>
      </c>
      <c r="E722" t="inlineStr">
        <is>
          <t>644,459,693,526</t>
        </is>
      </c>
      <c r="F722" t="n">
        <v>242</v>
      </c>
      <c r="G722" t="inlineStr">
        <is>
          <t>primary</t>
        </is>
      </c>
      <c r="H722" t="inlineStr">
        <is>
          <t>AUTO_VESSEL</t>
        </is>
      </c>
      <c r="I722" t="inlineStr">
        <is>
          <t>是</t>
        </is>
      </c>
      <c r="J722" t="inlineStr">
        <is>
          <t>纳入</t>
        </is>
      </c>
      <c r="K722" t="n">
        <v>117.3913043478261</v>
      </c>
      <c r="L722">
        <f>导管母表_1781!G722</f>
        <v/>
      </c>
      <c r="M722" t="inlineStr">
        <is>
          <t>视野内部</t>
        </is>
      </c>
      <c r="N722" t="inlineStr">
        <is>
          <t>纳入A/D/Dh；若有Pair_ID则纳入CWR</t>
        </is>
      </c>
      <c r="O722" t="inlineStr">
        <is>
          <t>自动管线检出的合格导管腔。</t>
        </is>
      </c>
      <c r="P722" t="inlineStr">
        <is>
          <t>auto_pipeline;review_png_green</t>
        </is>
      </c>
      <c r="R722" t="inlineStr">
        <is>
          <t>样品17</t>
        </is>
      </c>
    </row>
    <row r="723">
      <c r="A723" t="inlineStr">
        <is>
          <t>17(2)-V06</t>
        </is>
      </c>
      <c r="B723" t="inlineStr">
        <is>
          <t>17 (2).tif</t>
        </is>
      </c>
      <c r="C723" t="n">
        <v>564</v>
      </c>
      <c r="D723" t="n">
        <v>149</v>
      </c>
      <c r="E723" t="inlineStr">
        <is>
          <t>540,119,589,180</t>
        </is>
      </c>
      <c r="F723" t="n">
        <v>119</v>
      </c>
      <c r="G723" t="inlineStr">
        <is>
          <t>primary</t>
        </is>
      </c>
      <c r="H723" t="inlineStr">
        <is>
          <t>AUTO_VESSEL</t>
        </is>
      </c>
      <c r="I723" t="inlineStr">
        <is>
          <t>是</t>
        </is>
      </c>
      <c r="J723" t="inlineStr">
        <is>
          <t>纳入</t>
        </is>
      </c>
      <c r="K723" t="n">
        <v>106.2381852551985</v>
      </c>
      <c r="L723">
        <f>导管母表_1781!G723</f>
        <v/>
      </c>
      <c r="M723" t="inlineStr">
        <is>
          <t>视野内部</t>
        </is>
      </c>
      <c r="N723" t="inlineStr">
        <is>
          <t>纳入A/D/Dh；若有Pair_ID则纳入CWR</t>
        </is>
      </c>
      <c r="O723" t="inlineStr">
        <is>
          <t>自动管线检出的合格导管腔。</t>
        </is>
      </c>
      <c r="P723" t="inlineStr">
        <is>
          <t>auto_pipeline;review_png_green</t>
        </is>
      </c>
      <c r="R723" t="inlineStr">
        <is>
          <t>样品17</t>
        </is>
      </c>
    </row>
    <row r="724">
      <c r="A724" t="inlineStr">
        <is>
          <t>17(3)-V01</t>
        </is>
      </c>
      <c r="B724" t="inlineStr">
        <is>
          <t>17 (3).tif</t>
        </is>
      </c>
      <c r="C724" t="n">
        <v>473</v>
      </c>
      <c r="D724" t="n">
        <v>334</v>
      </c>
      <c r="E724" t="inlineStr">
        <is>
          <t>422,300,525,369</t>
        </is>
      </c>
      <c r="F724" t="n">
        <v>300</v>
      </c>
      <c r="G724" t="inlineStr">
        <is>
          <t>primary</t>
        </is>
      </c>
      <c r="H724" t="inlineStr">
        <is>
          <t>AUTO_VESSEL</t>
        </is>
      </c>
      <c r="I724" t="inlineStr">
        <is>
          <t>是</t>
        </is>
      </c>
      <c r="J724" t="inlineStr">
        <is>
          <t>纳入</t>
        </is>
      </c>
      <c r="K724" t="n">
        <v>249.6691871455577</v>
      </c>
      <c r="L724">
        <f>导管母表_1781!G724</f>
        <v/>
      </c>
      <c r="M724" t="inlineStr">
        <is>
          <t>视野内部</t>
        </is>
      </c>
      <c r="N724" t="inlineStr">
        <is>
          <t>纳入A/D/Dh；若有Pair_ID则纳入CWR</t>
        </is>
      </c>
      <c r="O724" t="inlineStr">
        <is>
          <t>自动管线检出的合格导管腔。</t>
        </is>
      </c>
      <c r="P724" t="inlineStr">
        <is>
          <t>auto_pipeline;review_png_green</t>
        </is>
      </c>
      <c r="R724" t="inlineStr">
        <is>
          <t>样品17</t>
        </is>
      </c>
    </row>
    <row r="725">
      <c r="A725" t="inlineStr">
        <is>
          <t>17(3)-V02</t>
        </is>
      </c>
      <c r="B725" t="inlineStr">
        <is>
          <t>17 (3).tif</t>
        </is>
      </c>
      <c r="C725" t="n">
        <v>313</v>
      </c>
      <c r="D725" t="n">
        <v>170</v>
      </c>
      <c r="E725" t="inlineStr">
        <is>
          <t>272,133,355,208</t>
        </is>
      </c>
      <c r="F725" t="n">
        <v>133</v>
      </c>
      <c r="G725" t="inlineStr">
        <is>
          <t>primary</t>
        </is>
      </c>
      <c r="H725" t="inlineStr">
        <is>
          <t>AUTO_VESSEL</t>
        </is>
      </c>
      <c r="I725" t="inlineStr">
        <is>
          <t>是</t>
        </is>
      </c>
      <c r="J725" t="inlineStr">
        <is>
          <t>纳入</t>
        </is>
      </c>
      <c r="K725" t="n">
        <v>217.9584120982987</v>
      </c>
      <c r="L725">
        <f>导管母表_1781!G725</f>
        <v/>
      </c>
      <c r="M725" t="inlineStr">
        <is>
          <t>视野内部</t>
        </is>
      </c>
      <c r="N725" t="inlineStr">
        <is>
          <t>纳入A/D/Dh；若有Pair_ID则纳入CWR</t>
        </is>
      </c>
      <c r="O725" t="inlineStr">
        <is>
          <t>自动管线检出的合格导管腔。</t>
        </is>
      </c>
      <c r="P725" t="inlineStr">
        <is>
          <t>auto_pipeline;review_png_green</t>
        </is>
      </c>
      <c r="R725" t="inlineStr">
        <is>
          <t>样品17</t>
        </is>
      </c>
    </row>
    <row r="726">
      <c r="A726" t="inlineStr">
        <is>
          <t>17(3)-V03</t>
        </is>
      </c>
      <c r="B726" t="inlineStr">
        <is>
          <t>17 (3).tif</t>
        </is>
      </c>
      <c r="C726" t="n">
        <v>521</v>
      </c>
      <c r="D726" t="n">
        <v>412</v>
      </c>
      <c r="E726" t="inlineStr">
        <is>
          <t>480,383,563,442</t>
        </is>
      </c>
      <c r="F726" t="n">
        <v>326</v>
      </c>
      <c r="G726" t="inlineStr">
        <is>
          <t>primary</t>
        </is>
      </c>
      <c r="H726" t="inlineStr">
        <is>
          <t>AUTO_VESSEL</t>
        </is>
      </c>
      <c r="I726" t="inlineStr">
        <is>
          <t>是</t>
        </is>
      </c>
      <c r="J726" t="inlineStr">
        <is>
          <t>纳入</t>
        </is>
      </c>
      <c r="K726" t="n">
        <v>168.4310018903592</v>
      </c>
      <c r="L726">
        <f>导管母表_1781!G726</f>
        <v/>
      </c>
      <c r="M726" t="inlineStr">
        <is>
          <t>视野内部</t>
        </is>
      </c>
      <c r="N726" t="inlineStr">
        <is>
          <t>纳入A/D/Dh；若有Pair_ID则纳入CWR</t>
        </is>
      </c>
      <c r="O726" t="inlineStr">
        <is>
          <t>自动管线检出的合格导管腔。</t>
        </is>
      </c>
      <c r="P726" t="inlineStr">
        <is>
          <t>auto_pipeline;review_png_green</t>
        </is>
      </c>
      <c r="R726" t="inlineStr">
        <is>
          <t>样品17</t>
        </is>
      </c>
    </row>
    <row r="727">
      <c r="A727" t="inlineStr">
        <is>
          <t>17(3)-V04</t>
        </is>
      </c>
      <c r="B727" t="inlineStr">
        <is>
          <t>17 (3).tif</t>
        </is>
      </c>
      <c r="C727" t="n">
        <v>225</v>
      </c>
      <c r="D727" t="n">
        <v>633</v>
      </c>
      <c r="E727" t="inlineStr">
        <is>
          <t>191,598,260,669</t>
        </is>
      </c>
      <c r="F727" t="n">
        <v>99</v>
      </c>
      <c r="G727" t="inlineStr">
        <is>
          <t>primary</t>
        </is>
      </c>
      <c r="H727" t="inlineStr">
        <is>
          <t>AUTO_VESSEL</t>
        </is>
      </c>
      <c r="I727" t="inlineStr">
        <is>
          <t>是</t>
        </is>
      </c>
      <c r="J727" t="inlineStr">
        <is>
          <t>纳入</t>
        </is>
      </c>
      <c r="K727" t="n">
        <v>166.1625708884688</v>
      </c>
      <c r="L727">
        <f>导管母表_1781!G727</f>
        <v/>
      </c>
      <c r="M727" t="inlineStr">
        <is>
          <t>视野内部</t>
        </is>
      </c>
      <c r="N727" t="inlineStr">
        <is>
          <t>纳入A/D/Dh；若有Pair_ID则纳入CWR</t>
        </is>
      </c>
      <c r="O727" t="inlineStr">
        <is>
          <t>自动管线检出的合格导管腔。</t>
        </is>
      </c>
      <c r="P727" t="inlineStr">
        <is>
          <t>auto_pipeline;review_png_green</t>
        </is>
      </c>
      <c r="R727" t="inlineStr">
        <is>
          <t>样品17</t>
        </is>
      </c>
    </row>
    <row r="728">
      <c r="A728" t="inlineStr">
        <is>
          <t>17(3)-V05</t>
        </is>
      </c>
      <c r="B728" t="inlineStr">
        <is>
          <t>17 (3).tif</t>
        </is>
      </c>
      <c r="C728" t="n">
        <v>77</v>
      </c>
      <c r="D728" t="n">
        <v>448</v>
      </c>
      <c r="E728" t="inlineStr">
        <is>
          <t>41,419,114,478</t>
        </is>
      </c>
      <c r="F728" t="n">
        <v>41</v>
      </c>
      <c r="G728" t="inlineStr">
        <is>
          <t>primary</t>
        </is>
      </c>
      <c r="H728" t="inlineStr">
        <is>
          <t>AUTO_VESSEL</t>
        </is>
      </c>
      <c r="I728" t="inlineStr">
        <is>
          <t>是</t>
        </is>
      </c>
      <c r="J728" t="inlineStr">
        <is>
          <t>纳入</t>
        </is>
      </c>
      <c r="K728" t="n">
        <v>146.9754253308129</v>
      </c>
      <c r="L728">
        <f>导管母表_1781!G728</f>
        <v/>
      </c>
      <c r="M728" t="inlineStr">
        <is>
          <t>视野内部</t>
        </is>
      </c>
      <c r="N728" t="inlineStr">
        <is>
          <t>纳入A/D/Dh；若有Pair_ID则纳入CWR</t>
        </is>
      </c>
      <c r="O728" t="inlineStr">
        <is>
          <t>自动管线检出的合格导管腔。</t>
        </is>
      </c>
      <c r="P728" t="inlineStr">
        <is>
          <t>auto_pipeline;review_png_green</t>
        </is>
      </c>
      <c r="R728" t="inlineStr">
        <is>
          <t>样品17</t>
        </is>
      </c>
    </row>
    <row r="729">
      <c r="A729" t="inlineStr">
        <is>
          <t>17(3)-V06</t>
        </is>
      </c>
      <c r="B729" t="inlineStr">
        <is>
          <t>17 (3).tif</t>
        </is>
      </c>
      <c r="C729" t="n">
        <v>99</v>
      </c>
      <c r="D729" t="n">
        <v>167</v>
      </c>
      <c r="E729" t="inlineStr">
        <is>
          <t>68,136,131,199</t>
        </is>
      </c>
      <c r="F729" t="n">
        <v>68</v>
      </c>
      <c r="G729" t="inlineStr">
        <is>
          <t>primary</t>
        </is>
      </c>
      <c r="H729" t="inlineStr">
        <is>
          <t>AUTO_VESSEL</t>
        </is>
      </c>
      <c r="I729" t="inlineStr">
        <is>
          <t>是</t>
        </is>
      </c>
      <c r="J729" t="inlineStr">
        <is>
          <t>纳入</t>
        </is>
      </c>
      <c r="K729" t="n">
        <v>135.1134215500945</v>
      </c>
      <c r="L729">
        <f>导管母表_1781!G729</f>
        <v/>
      </c>
      <c r="M729" t="inlineStr">
        <is>
          <t>视野内部</t>
        </is>
      </c>
      <c r="N729" t="inlineStr">
        <is>
          <t>纳入A/D/Dh；若有Pair_ID则纳入CWR</t>
        </is>
      </c>
      <c r="O729" t="inlineStr">
        <is>
          <t>自动管线检出的合格导管腔。</t>
        </is>
      </c>
      <c r="P729" t="inlineStr">
        <is>
          <t>auto_pipeline;review_png_green</t>
        </is>
      </c>
      <c r="R729" t="inlineStr">
        <is>
          <t>样品17</t>
        </is>
      </c>
    </row>
    <row r="730">
      <c r="A730" t="inlineStr">
        <is>
          <t>17(4)-V01</t>
        </is>
      </c>
      <c r="B730" t="inlineStr">
        <is>
          <t>17 (4).tif</t>
        </is>
      </c>
      <c r="C730" t="n">
        <v>145</v>
      </c>
      <c r="D730" t="n">
        <v>298</v>
      </c>
      <c r="E730" t="inlineStr">
        <is>
          <t>75,268,216,329</t>
        </is>
      </c>
      <c r="F730" t="n">
        <v>75</v>
      </c>
      <c r="G730" t="inlineStr">
        <is>
          <t>primary</t>
        </is>
      </c>
      <c r="H730" t="inlineStr">
        <is>
          <t>AUTO_VESSEL</t>
        </is>
      </c>
      <c r="I730" t="inlineStr">
        <is>
          <t>是</t>
        </is>
      </c>
      <c r="J730" t="inlineStr">
        <is>
          <t>纳入</t>
        </is>
      </c>
      <c r="K730" t="n">
        <v>311.578449905482</v>
      </c>
      <c r="L730">
        <f>导管母表_1781!G730</f>
        <v/>
      </c>
      <c r="M730" t="inlineStr">
        <is>
          <t>视野内部</t>
        </is>
      </c>
      <c r="N730" t="inlineStr">
        <is>
          <t>纳入A/D/Dh；若有Pair_ID则纳入CWR</t>
        </is>
      </c>
      <c r="O730" t="inlineStr">
        <is>
          <t>自动管线检出的合格导管腔。</t>
        </is>
      </c>
      <c r="P730" t="inlineStr">
        <is>
          <t>auto_pipeline;review_png_green</t>
        </is>
      </c>
      <c r="R730" t="inlineStr">
        <is>
          <t>样品17</t>
        </is>
      </c>
    </row>
    <row r="731">
      <c r="A731" t="inlineStr">
        <is>
          <t>17(4)-V02</t>
        </is>
      </c>
      <c r="B731" t="inlineStr">
        <is>
          <t>17 (4).tif</t>
        </is>
      </c>
      <c r="C731" t="n">
        <v>600</v>
      </c>
      <c r="D731" t="n">
        <v>389</v>
      </c>
      <c r="E731" t="inlineStr">
        <is>
          <t>551,349,650,430</t>
        </is>
      </c>
      <c r="F731" t="n">
        <v>338</v>
      </c>
      <c r="G731" t="inlineStr">
        <is>
          <t>primary</t>
        </is>
      </c>
      <c r="H731" t="inlineStr">
        <is>
          <t>AUTO_VESSEL</t>
        </is>
      </c>
      <c r="I731" t="inlineStr">
        <is>
          <t>是</t>
        </is>
      </c>
      <c r="J731" t="inlineStr">
        <is>
          <t>纳入</t>
        </is>
      </c>
      <c r="K731" t="n">
        <v>215.4300567107751</v>
      </c>
      <c r="L731">
        <f>导管母表_1781!G731</f>
        <v/>
      </c>
      <c r="M731" t="inlineStr">
        <is>
          <t>视野内部</t>
        </is>
      </c>
      <c r="N731" t="inlineStr">
        <is>
          <t>纳入A/D/Dh；若有Pair_ID则纳入CWR</t>
        </is>
      </c>
      <c r="O731" t="inlineStr">
        <is>
          <t>自动管线检出的合格导管腔。</t>
        </is>
      </c>
      <c r="P731" t="inlineStr">
        <is>
          <t>auto_pipeline;review_png_green</t>
        </is>
      </c>
      <c r="R731" t="inlineStr">
        <is>
          <t>样品17</t>
        </is>
      </c>
    </row>
    <row r="732">
      <c r="A732" t="inlineStr">
        <is>
          <t>17(4)-V03</t>
        </is>
      </c>
      <c r="B732" t="inlineStr">
        <is>
          <t>17 (4).tif</t>
        </is>
      </c>
      <c r="C732" t="n">
        <v>492</v>
      </c>
      <c r="D732" t="n">
        <v>367</v>
      </c>
      <c r="E732" t="inlineStr">
        <is>
          <t>457,331,528,404</t>
        </is>
      </c>
      <c r="F732" t="n">
        <v>331</v>
      </c>
      <c r="G732" t="inlineStr">
        <is>
          <t>primary</t>
        </is>
      </c>
      <c r="H732" t="inlineStr">
        <is>
          <t>AUTO_VESSEL</t>
        </is>
      </c>
      <c r="I732" t="inlineStr">
        <is>
          <t>是</t>
        </is>
      </c>
      <c r="J732" t="inlineStr">
        <is>
          <t>纳入</t>
        </is>
      </c>
      <c r="K732" t="n">
        <v>187.3109640831758</v>
      </c>
      <c r="L732">
        <f>导管母表_1781!G732</f>
        <v/>
      </c>
      <c r="M732" t="inlineStr">
        <is>
          <t>视野内部</t>
        </is>
      </c>
      <c r="N732" t="inlineStr">
        <is>
          <t>纳入A/D/Dh；若有Pair_ID则纳入CWR</t>
        </is>
      </c>
      <c r="O732" t="inlineStr">
        <is>
          <t>自动管线检出的合格导管腔。</t>
        </is>
      </c>
      <c r="P732" t="inlineStr">
        <is>
          <t>auto_pipeline;review_png_green</t>
        </is>
      </c>
      <c r="R732" t="inlineStr">
        <is>
          <t>样品17</t>
        </is>
      </c>
    </row>
    <row r="733">
      <c r="A733" t="inlineStr">
        <is>
          <t>17(4)-V04</t>
        </is>
      </c>
      <c r="B733" t="inlineStr">
        <is>
          <t>17 (4).tif</t>
        </is>
      </c>
      <c r="C733" t="n">
        <v>949</v>
      </c>
      <c r="D733" t="n">
        <v>411</v>
      </c>
      <c r="E733" t="inlineStr">
        <is>
          <t>918,378,981,445</t>
        </is>
      </c>
      <c r="F733" t="n">
        <v>43</v>
      </c>
      <c r="G733" t="inlineStr">
        <is>
          <t>primary</t>
        </is>
      </c>
      <c r="H733" t="inlineStr">
        <is>
          <t>AUTO_VESSEL</t>
        </is>
      </c>
      <c r="I733" t="inlineStr">
        <is>
          <t>是</t>
        </is>
      </c>
      <c r="J733" t="inlineStr">
        <is>
          <t>纳入</t>
        </is>
      </c>
      <c r="K733" t="n">
        <v>144.3761814744801</v>
      </c>
      <c r="L733">
        <f>导管母表_1781!G733</f>
        <v/>
      </c>
      <c r="M733" t="inlineStr">
        <is>
          <t>视野内部</t>
        </is>
      </c>
      <c r="N733" t="inlineStr">
        <is>
          <t>纳入A/D/Dh；若有Pair_ID则纳入CWR</t>
        </is>
      </c>
      <c r="O733" t="inlineStr">
        <is>
          <t>自动管线检出的合格导管腔。</t>
        </is>
      </c>
      <c r="P733" t="inlineStr">
        <is>
          <t>auto_pipeline;review_png_green</t>
        </is>
      </c>
      <c r="R733" t="inlineStr">
        <is>
          <t>样品17</t>
        </is>
      </c>
    </row>
    <row r="734">
      <c r="A734" t="inlineStr">
        <is>
          <t>17(4)-V05</t>
        </is>
      </c>
      <c r="B734" t="inlineStr">
        <is>
          <t>17 (4).tif</t>
        </is>
      </c>
      <c r="C734" t="n">
        <v>43</v>
      </c>
      <c r="D734" t="n">
        <v>135</v>
      </c>
      <c r="E734" t="inlineStr">
        <is>
          <t>12,110,75,161</t>
        </is>
      </c>
      <c r="F734" t="n">
        <v>12</v>
      </c>
      <c r="G734" t="inlineStr">
        <is>
          <t>primary</t>
        </is>
      </c>
      <c r="H734" t="inlineStr">
        <is>
          <t>AUTO_VESSEL</t>
        </is>
      </c>
      <c r="I734" t="inlineStr">
        <is>
          <t>是</t>
        </is>
      </c>
      <c r="J734" t="inlineStr">
        <is>
          <t>纳入</t>
        </is>
      </c>
      <c r="K734" t="n">
        <v>112.3109640831758</v>
      </c>
      <c r="L734">
        <f>导管母表_1781!G734</f>
        <v/>
      </c>
      <c r="M734" t="inlineStr">
        <is>
          <t>近边缘（&lt;25 px）</t>
        </is>
      </c>
      <c r="N734" t="inlineStr">
        <is>
          <t>纳入A/D/Dh；若有Pair_ID则纳入CWR</t>
        </is>
      </c>
      <c r="O734" t="inlineStr">
        <is>
          <t>自动管线检出的合格导管腔。</t>
        </is>
      </c>
      <c r="P734" t="inlineStr">
        <is>
          <t>auto_pipeline;review_png_green</t>
        </is>
      </c>
      <c r="R734" t="inlineStr">
        <is>
          <t>样品17</t>
        </is>
      </c>
    </row>
    <row r="735">
      <c r="A735" t="inlineStr">
        <is>
          <t>17(5)-V01</t>
        </is>
      </c>
      <c r="B735" t="inlineStr">
        <is>
          <t>17 (5).tif</t>
        </is>
      </c>
      <c r="C735" t="n">
        <v>575</v>
      </c>
      <c r="D735" t="n">
        <v>353</v>
      </c>
      <c r="E735" t="inlineStr">
        <is>
          <t>517,278,634,429</t>
        </is>
      </c>
      <c r="F735" t="n">
        <v>278</v>
      </c>
      <c r="G735" t="inlineStr">
        <is>
          <t>primary</t>
        </is>
      </c>
      <c r="H735" t="inlineStr">
        <is>
          <t>AUTO_VESSEL</t>
        </is>
      </c>
      <c r="I735" t="inlineStr">
        <is>
          <t>是</t>
        </is>
      </c>
      <c r="J735" t="inlineStr">
        <is>
          <t>纳入</t>
        </is>
      </c>
      <c r="K735" t="n">
        <v>645.203213610586</v>
      </c>
      <c r="L735">
        <f>导管母表_1781!G735</f>
        <v/>
      </c>
      <c r="M735" t="inlineStr">
        <is>
          <t>视野内部</t>
        </is>
      </c>
      <c r="N735" t="inlineStr">
        <is>
          <t>纳入A/D/Dh；若有Pair_ID则纳入CWR</t>
        </is>
      </c>
      <c r="O735" t="inlineStr">
        <is>
          <t>自动管线检出的合格导管腔。</t>
        </is>
      </c>
      <c r="P735" t="inlineStr">
        <is>
          <t>auto_pipeline;review_png_green</t>
        </is>
      </c>
      <c r="Q735" t="inlineStr">
        <is>
          <t>17(5)-P01</t>
        </is>
      </c>
      <c r="R735" t="inlineStr">
        <is>
          <t>样品17</t>
        </is>
      </c>
    </row>
    <row r="736">
      <c r="A736" t="inlineStr">
        <is>
          <t>17(5)-V02</t>
        </is>
      </c>
      <c r="B736" t="inlineStr">
        <is>
          <t>17 (5).tif</t>
        </is>
      </c>
      <c r="C736" t="n">
        <v>418</v>
      </c>
      <c r="D736" t="n">
        <v>326</v>
      </c>
      <c r="E736" t="inlineStr">
        <is>
          <t>351,262,486,391</t>
        </is>
      </c>
      <c r="F736" t="n">
        <v>262</v>
      </c>
      <c r="G736" t="inlineStr">
        <is>
          <t>primary</t>
        </is>
      </c>
      <c r="H736" t="inlineStr">
        <is>
          <t>AUTO_VESSEL</t>
        </is>
      </c>
      <c r="I736" t="inlineStr">
        <is>
          <t>是</t>
        </is>
      </c>
      <c r="J736" t="inlineStr">
        <is>
          <t>纳入</t>
        </is>
      </c>
      <c r="K736" t="n">
        <v>620.0614366729678</v>
      </c>
      <c r="L736">
        <f>导管母表_1781!G736</f>
        <v/>
      </c>
      <c r="M736" t="inlineStr">
        <is>
          <t>视野内部</t>
        </is>
      </c>
      <c r="N736" t="inlineStr">
        <is>
          <t>纳入A/D/Dh；若有Pair_ID则纳入CWR</t>
        </is>
      </c>
      <c r="O736" t="inlineStr">
        <is>
          <t>自动管线检出的合格导管腔。</t>
        </is>
      </c>
      <c r="P736" t="inlineStr">
        <is>
          <t>auto_pipeline;review_png_green</t>
        </is>
      </c>
      <c r="Q736" t="inlineStr">
        <is>
          <t>17(5)-P01</t>
        </is>
      </c>
      <c r="R736" t="inlineStr">
        <is>
          <t>样品17</t>
        </is>
      </c>
    </row>
    <row r="737">
      <c r="A737" t="inlineStr">
        <is>
          <t>17(5)-V03</t>
        </is>
      </c>
      <c r="B737" t="inlineStr">
        <is>
          <t>17 (5).tif</t>
        </is>
      </c>
      <c r="C737" t="n">
        <v>829</v>
      </c>
      <c r="D737" t="n">
        <v>120</v>
      </c>
      <c r="E737" t="inlineStr">
        <is>
          <t>774,84,885,157</t>
        </is>
      </c>
      <c r="F737" t="n">
        <v>84</v>
      </c>
      <c r="G737" t="inlineStr">
        <is>
          <t>primary</t>
        </is>
      </c>
      <c r="H737" t="inlineStr">
        <is>
          <t>AUTO_VESSEL</t>
        </is>
      </c>
      <c r="I737" t="inlineStr">
        <is>
          <t>是</t>
        </is>
      </c>
      <c r="J737" t="inlineStr">
        <is>
          <t>纳入</t>
        </is>
      </c>
      <c r="K737" t="n">
        <v>240.5245746691872</v>
      </c>
      <c r="L737">
        <f>导管母表_1781!G737</f>
        <v/>
      </c>
      <c r="M737" t="inlineStr">
        <is>
          <t>视野内部</t>
        </is>
      </c>
      <c r="N737" t="inlineStr">
        <is>
          <t>纳入A/D/Dh；若有Pair_ID则纳入CWR</t>
        </is>
      </c>
      <c r="O737" t="inlineStr">
        <is>
          <t>自动管线检出的合格导管腔。</t>
        </is>
      </c>
      <c r="P737" t="inlineStr">
        <is>
          <t>auto_pipeline;review_png_green</t>
        </is>
      </c>
      <c r="R737" t="inlineStr">
        <is>
          <t>样品17</t>
        </is>
      </c>
    </row>
    <row r="738">
      <c r="A738" t="inlineStr">
        <is>
          <t>17(5)-V04</t>
        </is>
      </c>
      <c r="B738" t="inlineStr">
        <is>
          <t>17 (5).tif</t>
        </is>
      </c>
      <c r="C738" t="n">
        <v>693</v>
      </c>
      <c r="D738" t="n">
        <v>321</v>
      </c>
      <c r="E738" t="inlineStr">
        <is>
          <t>664,274,723,369</t>
        </is>
      </c>
      <c r="F738" t="n">
        <v>274</v>
      </c>
      <c r="G738" t="inlineStr">
        <is>
          <t>primary</t>
        </is>
      </c>
      <c r="H738" t="inlineStr">
        <is>
          <t>AUTO_VESSEL</t>
        </is>
      </c>
      <c r="I738" t="inlineStr">
        <is>
          <t>是</t>
        </is>
      </c>
      <c r="J738" t="inlineStr">
        <is>
          <t>纳入</t>
        </is>
      </c>
      <c r="K738" t="n">
        <v>195.7230623818525</v>
      </c>
      <c r="L738">
        <f>导管母表_1781!G738</f>
        <v/>
      </c>
      <c r="M738" t="inlineStr">
        <is>
          <t>视野内部</t>
        </is>
      </c>
      <c r="N738" t="inlineStr">
        <is>
          <t>纳入A/D/Dh；若有Pair_ID则纳入CWR</t>
        </is>
      </c>
      <c r="O738" t="inlineStr">
        <is>
          <t>自动管线检出的合格导管腔。</t>
        </is>
      </c>
      <c r="P738" t="inlineStr">
        <is>
          <t>auto_pipeline;review_png_green</t>
        </is>
      </c>
      <c r="R738" t="inlineStr">
        <is>
          <t>样品17</t>
        </is>
      </c>
    </row>
    <row r="739">
      <c r="A739" t="inlineStr">
        <is>
          <t>17(5)-V05</t>
        </is>
      </c>
      <c r="B739" t="inlineStr">
        <is>
          <t>17 (5).tif</t>
        </is>
      </c>
      <c r="C739" t="n">
        <v>51</v>
      </c>
      <c r="D739" t="n">
        <v>105</v>
      </c>
      <c r="E739" t="inlineStr">
        <is>
          <t>18,75,85,136</t>
        </is>
      </c>
      <c r="F739" t="n">
        <v>18</v>
      </c>
      <c r="G739" t="inlineStr">
        <is>
          <t>primary</t>
        </is>
      </c>
      <c r="H739" t="inlineStr">
        <is>
          <t>AUTO_VESSEL</t>
        </is>
      </c>
      <c r="I739" t="inlineStr">
        <is>
          <t>是</t>
        </is>
      </c>
      <c r="J739" t="inlineStr">
        <is>
          <t>纳入</t>
        </is>
      </c>
      <c r="K739" t="n">
        <v>131.9943289224953</v>
      </c>
      <c r="L739">
        <f>导管母表_1781!G739</f>
        <v/>
      </c>
      <c r="M739" t="inlineStr">
        <is>
          <t>近边缘（&lt;25 px）</t>
        </is>
      </c>
      <c r="N739" t="inlineStr">
        <is>
          <t>纳入A/D/Dh；若有Pair_ID则纳入CWR</t>
        </is>
      </c>
      <c r="O739" t="inlineStr">
        <is>
          <t>自动管线检出的合格导管腔。</t>
        </is>
      </c>
      <c r="P739" t="inlineStr">
        <is>
          <t>auto_pipeline;review_png_green</t>
        </is>
      </c>
      <c r="R739" t="inlineStr">
        <is>
          <t>样品17</t>
        </is>
      </c>
    </row>
    <row r="740">
      <c r="A740" t="inlineStr">
        <is>
          <t>17(5)-V06</t>
        </is>
      </c>
      <c r="B740" t="inlineStr">
        <is>
          <t>17 (5).tif</t>
        </is>
      </c>
      <c r="C740" t="n">
        <v>82</v>
      </c>
      <c r="D740" t="n">
        <v>296</v>
      </c>
      <c r="E740" t="inlineStr">
        <is>
          <t>49,269,116,324</t>
        </is>
      </c>
      <c r="F740" t="n">
        <v>49</v>
      </c>
      <c r="G740" t="inlineStr">
        <is>
          <t>primary</t>
        </is>
      </c>
      <c r="H740" t="inlineStr">
        <is>
          <t>AUTO_VESSEL</t>
        </is>
      </c>
      <c r="I740" t="inlineStr">
        <is>
          <t>是</t>
        </is>
      </c>
      <c r="J740" t="inlineStr">
        <is>
          <t>纳入</t>
        </is>
      </c>
      <c r="K740" t="n">
        <v>131.5689981096408</v>
      </c>
      <c r="L740">
        <f>导管母表_1781!G740</f>
        <v/>
      </c>
      <c r="M740" t="inlineStr">
        <is>
          <t>视野内部</t>
        </is>
      </c>
      <c r="N740" t="inlineStr">
        <is>
          <t>纳入A/D/Dh；若有Pair_ID则纳入CWR</t>
        </is>
      </c>
      <c r="O740" t="inlineStr">
        <is>
          <t>自动管线检出的合格导管腔。</t>
        </is>
      </c>
      <c r="P740" t="inlineStr">
        <is>
          <t>auto_pipeline;review_png_green</t>
        </is>
      </c>
      <c r="R740" t="inlineStr">
        <is>
          <t>样品17</t>
        </is>
      </c>
    </row>
    <row r="741">
      <c r="A741" t="inlineStr">
        <is>
          <t>17(6)-V01</t>
        </is>
      </c>
      <c r="B741" t="inlineStr">
        <is>
          <t>17 (6).tif</t>
        </is>
      </c>
      <c r="C741" t="n">
        <v>589</v>
      </c>
      <c r="D741" t="n">
        <v>363</v>
      </c>
      <c r="E741" t="inlineStr">
        <is>
          <t>542,292,637,435</t>
        </is>
      </c>
      <c r="F741" t="n">
        <v>292</v>
      </c>
      <c r="G741" t="inlineStr">
        <is>
          <t>primary</t>
        </is>
      </c>
      <c r="H741" t="inlineStr">
        <is>
          <t>AUTO_VESSEL</t>
        </is>
      </c>
      <c r="I741" t="inlineStr">
        <is>
          <t>是</t>
        </is>
      </c>
      <c r="J741" t="inlineStr">
        <is>
          <t>纳入</t>
        </is>
      </c>
      <c r="K741" t="n">
        <v>491.8005671077505</v>
      </c>
      <c r="L741">
        <f>导管母表_1781!G741</f>
        <v/>
      </c>
      <c r="M741" t="inlineStr">
        <is>
          <t>视野内部</t>
        </is>
      </c>
      <c r="N741" t="inlineStr">
        <is>
          <t>纳入A/D/Dh；若有Pair_ID则纳入CWR</t>
        </is>
      </c>
      <c r="O741" t="inlineStr">
        <is>
          <t>自动管线检出的合格导管腔。</t>
        </is>
      </c>
      <c r="P741" t="inlineStr">
        <is>
          <t>auto_pipeline;review_png_green</t>
        </is>
      </c>
      <c r="R741" t="inlineStr">
        <is>
          <t>样品17</t>
        </is>
      </c>
    </row>
    <row r="742">
      <c r="A742" t="inlineStr">
        <is>
          <t>17(6)-V02</t>
        </is>
      </c>
      <c r="B742" t="inlineStr">
        <is>
          <t>17 (6).tif</t>
        </is>
      </c>
      <c r="C742" t="n">
        <v>449</v>
      </c>
      <c r="D742" t="n">
        <v>364</v>
      </c>
      <c r="E742" t="inlineStr">
        <is>
          <t>399,319,500,410</t>
        </is>
      </c>
      <c r="F742" t="n">
        <v>319</v>
      </c>
      <c r="G742" t="inlineStr">
        <is>
          <t>primary</t>
        </is>
      </c>
      <c r="H742" t="inlineStr">
        <is>
          <t>AUTO_VESSEL</t>
        </is>
      </c>
      <c r="I742" t="inlineStr">
        <is>
          <t>是</t>
        </is>
      </c>
      <c r="J742" t="inlineStr">
        <is>
          <t>纳入</t>
        </is>
      </c>
      <c r="K742" t="n">
        <v>328.5680529300567</v>
      </c>
      <c r="L742">
        <f>导管母表_1781!G742</f>
        <v/>
      </c>
      <c r="M742" t="inlineStr">
        <is>
          <t>视野内部</t>
        </is>
      </c>
      <c r="N742" t="inlineStr">
        <is>
          <t>纳入A/D/Dh；若有Pair_ID则纳入CWR</t>
        </is>
      </c>
      <c r="O742" t="inlineStr">
        <is>
          <t>自动管线检出的合格导管腔。</t>
        </is>
      </c>
      <c r="P742" t="inlineStr">
        <is>
          <t>auto_pipeline;review_png_green</t>
        </is>
      </c>
      <c r="R742" t="inlineStr">
        <is>
          <t>样品17</t>
        </is>
      </c>
    </row>
    <row r="743">
      <c r="A743" t="inlineStr">
        <is>
          <t>17(6)-V03</t>
        </is>
      </c>
      <c r="B743" t="inlineStr">
        <is>
          <t>17 (6).tif</t>
        </is>
      </c>
      <c r="C743" t="n">
        <v>705</v>
      </c>
      <c r="D743" t="n">
        <v>321</v>
      </c>
      <c r="E743" t="inlineStr">
        <is>
          <t>657,291,754,352</t>
        </is>
      </c>
      <c r="F743" t="n">
        <v>270</v>
      </c>
      <c r="G743" t="inlineStr">
        <is>
          <t>primary</t>
        </is>
      </c>
      <c r="H743" t="inlineStr">
        <is>
          <t>AUTO_VESSEL</t>
        </is>
      </c>
      <c r="I743" t="inlineStr">
        <is>
          <t>是</t>
        </is>
      </c>
      <c r="J743" t="inlineStr">
        <is>
          <t>纳入</t>
        </is>
      </c>
      <c r="K743" t="n">
        <v>193.3364839319471</v>
      </c>
      <c r="L743">
        <f>导管母表_1781!G743</f>
        <v/>
      </c>
      <c r="M743" t="inlineStr">
        <is>
          <t>视野内部</t>
        </is>
      </c>
      <c r="N743" t="inlineStr">
        <is>
          <t>纳入A/D/Dh；若有Pair_ID则纳入CWR</t>
        </is>
      </c>
      <c r="O743" t="inlineStr">
        <is>
          <t>自动管线检出的合格导管腔。</t>
        </is>
      </c>
      <c r="P743" t="inlineStr">
        <is>
          <t>auto_pipeline;review_png_green</t>
        </is>
      </c>
      <c r="R743" t="inlineStr">
        <is>
          <t>样品17</t>
        </is>
      </c>
    </row>
    <row r="744">
      <c r="A744" t="inlineStr">
        <is>
          <t>17(6)-V04</t>
        </is>
      </c>
      <c r="B744" t="inlineStr">
        <is>
          <t>17 (6).tif</t>
        </is>
      </c>
      <c r="C744" t="n">
        <v>166</v>
      </c>
      <c r="D744" t="n">
        <v>500</v>
      </c>
      <c r="E744" t="inlineStr">
        <is>
          <t>135,468,198,533</t>
        </is>
      </c>
      <c r="F744" t="n">
        <v>135</v>
      </c>
      <c r="G744" t="inlineStr">
        <is>
          <t>primary</t>
        </is>
      </c>
      <c r="H744" t="inlineStr">
        <is>
          <t>AUTO_VESSEL</t>
        </is>
      </c>
      <c r="I744" t="inlineStr">
        <is>
          <t>是</t>
        </is>
      </c>
      <c r="J744" t="inlineStr">
        <is>
          <t>纳入</t>
        </is>
      </c>
      <c r="K744" t="n">
        <v>146.8336483931947</v>
      </c>
      <c r="L744">
        <f>导管母表_1781!G744</f>
        <v/>
      </c>
      <c r="M744" t="inlineStr">
        <is>
          <t>视野内部</t>
        </is>
      </c>
      <c r="N744" t="inlineStr">
        <is>
          <t>纳入A/D/Dh；若有Pair_ID则纳入CWR</t>
        </is>
      </c>
      <c r="O744" t="inlineStr">
        <is>
          <t>自动管线检出的合格导管腔。</t>
        </is>
      </c>
      <c r="P744" t="inlineStr">
        <is>
          <t>auto_pipeline;review_png_green</t>
        </is>
      </c>
      <c r="R744" t="inlineStr">
        <is>
          <t>样品17</t>
        </is>
      </c>
    </row>
    <row r="745">
      <c r="A745" t="inlineStr">
        <is>
          <t>17(7)-V01</t>
        </is>
      </c>
      <c r="B745" t="inlineStr">
        <is>
          <t>17 (7).tif</t>
        </is>
      </c>
      <c r="C745" t="n">
        <v>699</v>
      </c>
      <c r="D745" t="n">
        <v>216</v>
      </c>
      <c r="E745" t="inlineStr">
        <is>
          <t>630,142,769,291</t>
        </is>
      </c>
      <c r="F745" t="n">
        <v>142</v>
      </c>
      <c r="G745" t="inlineStr">
        <is>
          <t>primary</t>
        </is>
      </c>
      <c r="H745" t="inlineStr">
        <is>
          <t>AUTO_VESSEL</t>
        </is>
      </c>
      <c r="I745" t="inlineStr">
        <is>
          <t>是</t>
        </is>
      </c>
      <c r="J745" t="inlineStr">
        <is>
          <t>纳入</t>
        </is>
      </c>
      <c r="K745" t="n">
        <v>757.1124763705104</v>
      </c>
      <c r="L745">
        <f>导管母表_1781!G745</f>
        <v/>
      </c>
      <c r="M745" t="inlineStr">
        <is>
          <t>视野内部</t>
        </is>
      </c>
      <c r="N745" t="inlineStr">
        <is>
          <t>纳入A/D/Dh；若有Pair_ID则纳入CWR</t>
        </is>
      </c>
      <c r="O745" t="inlineStr">
        <is>
          <t>自动管线检出的合格导管腔。</t>
        </is>
      </c>
      <c r="P745" t="inlineStr">
        <is>
          <t>auto_pipeline;review_png_green</t>
        </is>
      </c>
      <c r="R745" t="inlineStr">
        <is>
          <t>样品17</t>
        </is>
      </c>
    </row>
    <row r="746">
      <c r="A746" t="inlineStr">
        <is>
          <t>17(7)-V02</t>
        </is>
      </c>
      <c r="B746" t="inlineStr">
        <is>
          <t>17 (7).tif</t>
        </is>
      </c>
      <c r="C746" t="n">
        <v>579</v>
      </c>
      <c r="D746" t="n">
        <v>338</v>
      </c>
      <c r="E746" t="inlineStr">
        <is>
          <t>520,275,639,402</t>
        </is>
      </c>
      <c r="F746" t="n">
        <v>275</v>
      </c>
      <c r="G746" t="inlineStr">
        <is>
          <t>primary</t>
        </is>
      </c>
      <c r="H746" t="inlineStr">
        <is>
          <t>AUTO_VESSEL</t>
        </is>
      </c>
      <c r="I746" t="inlineStr">
        <is>
          <t>是</t>
        </is>
      </c>
      <c r="J746" t="inlineStr">
        <is>
          <t>纳入</t>
        </is>
      </c>
      <c r="K746" t="n">
        <v>534.640831758034</v>
      </c>
      <c r="L746">
        <f>导管母表_1781!G746</f>
        <v/>
      </c>
      <c r="M746" t="inlineStr">
        <is>
          <t>视野内部</t>
        </is>
      </c>
      <c r="N746" t="inlineStr">
        <is>
          <t>纳入A/D/Dh；若有Pair_ID则纳入CWR</t>
        </is>
      </c>
      <c r="O746" t="inlineStr">
        <is>
          <t>自动管线检出的合格导管腔。</t>
        </is>
      </c>
      <c r="P746" t="inlineStr">
        <is>
          <t>auto_pipeline;review_png_green</t>
        </is>
      </c>
      <c r="Q746" t="inlineStr">
        <is>
          <t>17(7)-P01</t>
        </is>
      </c>
      <c r="R746" t="inlineStr">
        <is>
          <t>样品17</t>
        </is>
      </c>
    </row>
    <row r="747">
      <c r="A747" t="inlineStr">
        <is>
          <t>17(7)-V03</t>
        </is>
      </c>
      <c r="B747" t="inlineStr">
        <is>
          <t>17 (7).tif</t>
        </is>
      </c>
      <c r="C747" t="n">
        <v>450</v>
      </c>
      <c r="D747" t="n">
        <v>402</v>
      </c>
      <c r="E747" t="inlineStr">
        <is>
          <t>393,342,508,463</t>
        </is>
      </c>
      <c r="F747" t="n">
        <v>305</v>
      </c>
      <c r="G747" t="inlineStr">
        <is>
          <t>primary</t>
        </is>
      </c>
      <c r="H747" t="inlineStr">
        <is>
          <t>AUTO_VESSEL</t>
        </is>
      </c>
      <c r="I747" t="inlineStr">
        <is>
          <t>是</t>
        </is>
      </c>
      <c r="J747" t="inlineStr">
        <is>
          <t>纳入</t>
        </is>
      </c>
      <c r="K747" t="n">
        <v>507.703213610586</v>
      </c>
      <c r="L747">
        <f>导管母表_1781!G747</f>
        <v/>
      </c>
      <c r="M747" t="inlineStr">
        <is>
          <t>视野内部</t>
        </is>
      </c>
      <c r="N747" t="inlineStr">
        <is>
          <t>纳入A/D/Dh；若有Pair_ID则纳入CWR</t>
        </is>
      </c>
      <c r="O747" t="inlineStr">
        <is>
          <t>自动管线检出的合格导管腔。</t>
        </is>
      </c>
      <c r="P747" t="inlineStr">
        <is>
          <t>auto_pipeline;review_png_green</t>
        </is>
      </c>
      <c r="Q747" t="inlineStr">
        <is>
          <t>17(7)-P01</t>
        </is>
      </c>
      <c r="R747" t="inlineStr">
        <is>
          <t>样品17</t>
        </is>
      </c>
    </row>
    <row r="748">
      <c r="A748" t="inlineStr">
        <is>
          <t>17(7)-V04</t>
        </is>
      </c>
      <c r="B748" t="inlineStr">
        <is>
          <t>17 (7).tif</t>
        </is>
      </c>
      <c r="C748" t="n">
        <v>76</v>
      </c>
      <c r="D748" t="n">
        <v>491</v>
      </c>
      <c r="E748" t="inlineStr">
        <is>
          <t>20,438,133,545</t>
        </is>
      </c>
      <c r="F748" t="n">
        <v>20</v>
      </c>
      <c r="G748" t="inlineStr">
        <is>
          <t>primary</t>
        </is>
      </c>
      <c r="H748" t="inlineStr">
        <is>
          <t>AUTO_VESSEL</t>
        </is>
      </c>
      <c r="I748" t="inlineStr">
        <is>
          <t>是</t>
        </is>
      </c>
      <c r="J748" t="inlineStr">
        <is>
          <t>纳入</t>
        </is>
      </c>
      <c r="K748" t="n">
        <v>437.6181474480151</v>
      </c>
      <c r="L748">
        <f>导管母表_1781!G748</f>
        <v/>
      </c>
      <c r="M748" t="inlineStr">
        <is>
          <t>近边缘（&lt;25 px）</t>
        </is>
      </c>
      <c r="N748" t="inlineStr">
        <is>
          <t>纳入A/D/Dh；若有Pair_ID则纳入CWR</t>
        </is>
      </c>
      <c r="O748" t="inlineStr">
        <is>
          <t>自动管线检出的合格导管腔。</t>
        </is>
      </c>
      <c r="P748" t="inlineStr">
        <is>
          <t>auto_pipeline;review_png_green</t>
        </is>
      </c>
      <c r="R748" t="inlineStr">
        <is>
          <t>样品17</t>
        </is>
      </c>
    </row>
    <row r="749">
      <c r="A749" t="inlineStr">
        <is>
          <t>17(7)-V05</t>
        </is>
      </c>
      <c r="B749" t="inlineStr">
        <is>
          <t>17 (7).tif</t>
        </is>
      </c>
      <c r="C749" t="n">
        <v>836</v>
      </c>
      <c r="D749" t="n">
        <v>127</v>
      </c>
      <c r="E749" t="inlineStr">
        <is>
          <t>778,83,895,172</t>
        </is>
      </c>
      <c r="F749" t="n">
        <v>83</v>
      </c>
      <c r="G749" t="inlineStr">
        <is>
          <t>primary</t>
        </is>
      </c>
      <c r="H749" t="inlineStr">
        <is>
          <t>AUTO_VESSEL</t>
        </is>
      </c>
      <c r="I749" t="inlineStr">
        <is>
          <t>是</t>
        </is>
      </c>
      <c r="J749" t="inlineStr">
        <is>
          <t>纳入</t>
        </is>
      </c>
      <c r="K749" t="n">
        <v>378.7098298676748</v>
      </c>
      <c r="L749">
        <f>导管母表_1781!G749</f>
        <v/>
      </c>
      <c r="M749" t="inlineStr">
        <is>
          <t>视野内部</t>
        </is>
      </c>
      <c r="N749" t="inlineStr">
        <is>
          <t>纳入A/D/Dh；若有Pair_ID则纳入CWR</t>
        </is>
      </c>
      <c r="O749" t="inlineStr">
        <is>
          <t>自动管线检出的合格导管腔。</t>
        </is>
      </c>
      <c r="P749" t="inlineStr">
        <is>
          <t>auto_pipeline;review_png_green</t>
        </is>
      </c>
      <c r="R749" t="inlineStr">
        <is>
          <t>样品17</t>
        </is>
      </c>
    </row>
    <row r="750">
      <c r="A750" t="inlineStr">
        <is>
          <t>17(7)-V06</t>
        </is>
      </c>
      <c r="B750" t="inlineStr">
        <is>
          <t>17 (7).tif</t>
        </is>
      </c>
      <c r="C750" t="n">
        <v>351</v>
      </c>
      <c r="D750" t="n">
        <v>275</v>
      </c>
      <c r="E750" t="inlineStr">
        <is>
          <t>313,250,390,301</t>
        </is>
      </c>
      <c r="F750" t="n">
        <v>250</v>
      </c>
      <c r="G750" t="inlineStr">
        <is>
          <t>primary</t>
        </is>
      </c>
      <c r="H750" t="inlineStr">
        <is>
          <t>AUTO_VESSEL</t>
        </is>
      </c>
      <c r="I750" t="inlineStr">
        <is>
          <t>是</t>
        </is>
      </c>
      <c r="J750" t="inlineStr">
        <is>
          <t>纳入</t>
        </is>
      </c>
      <c r="K750" t="n">
        <v>127.6701323251418</v>
      </c>
      <c r="L750">
        <f>导管母表_1781!G750</f>
        <v/>
      </c>
      <c r="M750" t="inlineStr">
        <is>
          <t>视野内部</t>
        </is>
      </c>
      <c r="N750" t="inlineStr">
        <is>
          <t>纳入A/D/Dh；若有Pair_ID则纳入CWR</t>
        </is>
      </c>
      <c r="O750" t="inlineStr">
        <is>
          <t>自动管线检出的合格导管腔。</t>
        </is>
      </c>
      <c r="P750" t="inlineStr">
        <is>
          <t>auto_pipeline;review_png_green</t>
        </is>
      </c>
      <c r="R750" t="inlineStr">
        <is>
          <t>样品17</t>
        </is>
      </c>
    </row>
    <row r="751">
      <c r="A751" t="inlineStr">
        <is>
          <t>17(7)-V07</t>
        </is>
      </c>
      <c r="B751" t="inlineStr">
        <is>
          <t>17 (7).tif</t>
        </is>
      </c>
      <c r="C751" t="n">
        <v>225</v>
      </c>
      <c r="D751" t="n">
        <v>75</v>
      </c>
      <c r="E751" t="inlineStr">
        <is>
          <t>197,49,254,102</t>
        </is>
      </c>
      <c r="F751" t="n">
        <v>49</v>
      </c>
      <c r="G751" t="inlineStr">
        <is>
          <t>primary</t>
        </is>
      </c>
      <c r="H751" t="inlineStr">
        <is>
          <t>AUTO_VESSEL</t>
        </is>
      </c>
      <c r="I751" t="inlineStr">
        <is>
          <t>是</t>
        </is>
      </c>
      <c r="J751" t="inlineStr">
        <is>
          <t>纳入</t>
        </is>
      </c>
      <c r="K751" t="n">
        <v>107.9395085066163</v>
      </c>
      <c r="L751">
        <f>导管母表_1781!G751</f>
        <v/>
      </c>
      <c r="M751" t="inlineStr">
        <is>
          <t>视野内部</t>
        </is>
      </c>
      <c r="N751" t="inlineStr">
        <is>
          <t>纳入A/D/Dh；若有Pair_ID则纳入CWR</t>
        </is>
      </c>
      <c r="O751" t="inlineStr">
        <is>
          <t>自动管线检出的合格导管腔。</t>
        </is>
      </c>
      <c r="P751" t="inlineStr">
        <is>
          <t>auto_pipeline;review_png_green</t>
        </is>
      </c>
      <c r="R751" t="inlineStr">
        <is>
          <t>样品17</t>
        </is>
      </c>
    </row>
    <row r="752">
      <c r="A752" t="inlineStr">
        <is>
          <t>18(1)-V01</t>
        </is>
      </c>
      <c r="B752" t="inlineStr">
        <is>
          <t>18 (1).tif</t>
        </is>
      </c>
      <c r="C752" t="n">
        <v>796</v>
      </c>
      <c r="D752" t="n">
        <v>165</v>
      </c>
      <c r="E752" t="inlineStr">
        <is>
          <t>711,88,882,243</t>
        </is>
      </c>
      <c r="F752" t="n">
        <v>88</v>
      </c>
      <c r="G752" t="inlineStr">
        <is>
          <t>primary</t>
        </is>
      </c>
      <c r="H752" t="inlineStr">
        <is>
          <t>AUTO_VESSEL</t>
        </is>
      </c>
      <c r="I752" t="inlineStr">
        <is>
          <t>是</t>
        </is>
      </c>
      <c r="J752" t="inlineStr">
        <is>
          <t>纳入</t>
        </is>
      </c>
      <c r="K752" t="n">
        <v>953.2136105860113</v>
      </c>
      <c r="L752">
        <f>导管母表_1781!G752</f>
        <v/>
      </c>
      <c r="M752" t="inlineStr">
        <is>
          <t>视野内部</t>
        </is>
      </c>
      <c r="N752" t="inlineStr">
        <is>
          <t>纳入A/D/Dh；若有Pair_ID则纳入CWR</t>
        </is>
      </c>
      <c r="O752" t="inlineStr">
        <is>
          <t>自动管线检出的合格导管腔。</t>
        </is>
      </c>
      <c r="P752" t="inlineStr">
        <is>
          <t>auto_pipeline;review_png_green</t>
        </is>
      </c>
      <c r="R752" t="inlineStr">
        <is>
          <t>样品18</t>
        </is>
      </c>
    </row>
    <row r="753">
      <c r="A753" t="inlineStr">
        <is>
          <t>18(1)-V02</t>
        </is>
      </c>
      <c r="B753" t="inlineStr">
        <is>
          <t>18 (1).tif</t>
        </is>
      </c>
      <c r="C753" t="n">
        <v>586</v>
      </c>
      <c r="D753" t="n">
        <v>327</v>
      </c>
      <c r="E753" t="inlineStr">
        <is>
          <t>514,250,659,405</t>
        </is>
      </c>
      <c r="F753" t="n">
        <v>250</v>
      </c>
      <c r="G753" t="inlineStr">
        <is>
          <t>primary</t>
        </is>
      </c>
      <c r="H753" t="inlineStr">
        <is>
          <t>AUTO_VESSEL</t>
        </is>
      </c>
      <c r="I753" t="inlineStr">
        <is>
          <t>是</t>
        </is>
      </c>
      <c r="J753" t="inlineStr">
        <is>
          <t>纳入</t>
        </is>
      </c>
      <c r="K753" t="n">
        <v>819.0217391304348</v>
      </c>
      <c r="L753">
        <f>导管母表_1781!G753</f>
        <v/>
      </c>
      <c r="M753" t="inlineStr">
        <is>
          <t>视野内部</t>
        </is>
      </c>
      <c r="N753" t="inlineStr">
        <is>
          <t>纳入A/D/Dh；若有Pair_ID则纳入CWR</t>
        </is>
      </c>
      <c r="O753" t="inlineStr">
        <is>
          <t>自动管线检出的合格导管腔。</t>
        </is>
      </c>
      <c r="P753" t="inlineStr">
        <is>
          <t>auto_pipeline;review_png_green</t>
        </is>
      </c>
      <c r="R753" t="inlineStr">
        <is>
          <t>样品18</t>
        </is>
      </c>
    </row>
    <row r="754">
      <c r="A754" t="inlineStr">
        <is>
          <t>18(1)-V03</t>
        </is>
      </c>
      <c r="B754" t="inlineStr">
        <is>
          <t>18 (1).tif</t>
        </is>
      </c>
      <c r="C754" t="n">
        <v>453</v>
      </c>
      <c r="D754" t="n">
        <v>436</v>
      </c>
      <c r="E754" t="inlineStr">
        <is>
          <t>403,370,504,503</t>
        </is>
      </c>
      <c r="F754" t="n">
        <v>265</v>
      </c>
      <c r="G754" t="inlineStr">
        <is>
          <t>primary</t>
        </is>
      </c>
      <c r="H754" t="inlineStr">
        <is>
          <t>AUTO_VESSEL</t>
        </is>
      </c>
      <c r="I754" t="inlineStr">
        <is>
          <t>是</t>
        </is>
      </c>
      <c r="J754" t="inlineStr">
        <is>
          <t>纳入</t>
        </is>
      </c>
      <c r="K754" t="n">
        <v>483.4593572778828</v>
      </c>
      <c r="L754">
        <f>导管母表_1781!G754</f>
        <v/>
      </c>
      <c r="M754" t="inlineStr">
        <is>
          <t>视野内部</t>
        </is>
      </c>
      <c r="N754" t="inlineStr">
        <is>
          <t>纳入A/D/Dh；若有Pair_ID则纳入CWR</t>
        </is>
      </c>
      <c r="O754" t="inlineStr">
        <is>
          <t>自动管线检出的合格导管腔。</t>
        </is>
      </c>
      <c r="P754" t="inlineStr">
        <is>
          <t>auto_pipeline;review_png_green</t>
        </is>
      </c>
      <c r="R754" t="inlineStr">
        <is>
          <t>样品18</t>
        </is>
      </c>
    </row>
    <row r="755">
      <c r="A755" t="inlineStr">
        <is>
          <t>18(1)-V04</t>
        </is>
      </c>
      <c r="B755" t="inlineStr">
        <is>
          <t>18 (1).tif</t>
        </is>
      </c>
      <c r="C755" t="n">
        <v>195</v>
      </c>
      <c r="D755" t="n">
        <v>421</v>
      </c>
      <c r="E755" t="inlineStr">
        <is>
          <t>129,378,262,465</t>
        </is>
      </c>
      <c r="F755" t="n">
        <v>129</v>
      </c>
      <c r="G755" t="inlineStr">
        <is>
          <t>primary</t>
        </is>
      </c>
      <c r="H755" t="inlineStr">
        <is>
          <t>AUTO_VESSEL</t>
        </is>
      </c>
      <c r="I755" t="inlineStr">
        <is>
          <t>是</t>
        </is>
      </c>
      <c r="J755" t="inlineStr">
        <is>
          <t>纳入</t>
        </is>
      </c>
      <c r="K755" t="n">
        <v>420.4867674858223</v>
      </c>
      <c r="L755">
        <f>导管母表_1781!G755</f>
        <v/>
      </c>
      <c r="M755" t="inlineStr">
        <is>
          <t>视野内部</t>
        </is>
      </c>
      <c r="N755" t="inlineStr">
        <is>
          <t>纳入A/D/Dh；若有Pair_ID则纳入CWR</t>
        </is>
      </c>
      <c r="O755" t="inlineStr">
        <is>
          <t>自动管线检出的合格导管腔。</t>
        </is>
      </c>
      <c r="P755" t="inlineStr">
        <is>
          <t>auto_pipeline;review_png_green</t>
        </is>
      </c>
      <c r="R755" t="inlineStr">
        <is>
          <t>样品18</t>
        </is>
      </c>
    </row>
    <row r="756">
      <c r="A756" t="inlineStr">
        <is>
          <t>18(1)-V05</t>
        </is>
      </c>
      <c r="B756" t="inlineStr">
        <is>
          <t>18 (1).tif</t>
        </is>
      </c>
      <c r="C756" t="n">
        <v>748</v>
      </c>
      <c r="D756" t="n">
        <v>511</v>
      </c>
      <c r="E756" t="inlineStr">
        <is>
          <t>703,474,794,549</t>
        </is>
      </c>
      <c r="F756" t="n">
        <v>219</v>
      </c>
      <c r="G756" t="inlineStr">
        <is>
          <t>primary</t>
        </is>
      </c>
      <c r="H756" t="inlineStr">
        <is>
          <t>AUTO_VESSEL</t>
        </is>
      </c>
      <c r="I756" t="inlineStr">
        <is>
          <t>是</t>
        </is>
      </c>
      <c r="J756" t="inlineStr">
        <is>
          <t>纳入</t>
        </is>
      </c>
      <c r="K756" t="n">
        <v>184.1446124763705</v>
      </c>
      <c r="L756">
        <f>导管母表_1781!G756</f>
        <v/>
      </c>
      <c r="M756" t="inlineStr">
        <is>
          <t>视野内部</t>
        </is>
      </c>
      <c r="N756" t="inlineStr">
        <is>
          <t>纳入A/D/Dh；若有Pair_ID则纳入CWR</t>
        </is>
      </c>
      <c r="O756" t="inlineStr">
        <is>
          <t>自动管线检出的合格导管腔。</t>
        </is>
      </c>
      <c r="P756" t="inlineStr">
        <is>
          <t>auto_pipeline;review_png_green</t>
        </is>
      </c>
      <c r="R756" t="inlineStr">
        <is>
          <t>样品18</t>
        </is>
      </c>
    </row>
    <row r="757">
      <c r="A757" t="inlineStr">
        <is>
          <t>18(2)-V01</t>
        </is>
      </c>
      <c r="B757" t="inlineStr">
        <is>
          <t>18 (2).tif</t>
        </is>
      </c>
      <c r="C757" t="n">
        <v>511</v>
      </c>
      <c r="D757" t="n">
        <v>376</v>
      </c>
      <c r="E757" t="inlineStr">
        <is>
          <t>398,307,625,446</t>
        </is>
      </c>
      <c r="F757" t="n">
        <v>307</v>
      </c>
      <c r="G757" t="inlineStr">
        <is>
          <t>primary</t>
        </is>
      </c>
      <c r="H757" t="inlineStr">
        <is>
          <t>AUTO_VESSEL</t>
        </is>
      </c>
      <c r="I757" t="inlineStr">
        <is>
          <t>是</t>
        </is>
      </c>
      <c r="J757" t="inlineStr">
        <is>
          <t>纳入</t>
        </is>
      </c>
      <c r="K757" t="n">
        <v>997.4007561436673</v>
      </c>
      <c r="L757">
        <f>导管母表_1781!G757</f>
        <v/>
      </c>
      <c r="M757" t="inlineStr">
        <is>
          <t>视野内部</t>
        </is>
      </c>
      <c r="N757" t="inlineStr">
        <is>
          <t>纳入A/D/Dh；若有Pair_ID则纳入CWR</t>
        </is>
      </c>
      <c r="O757" t="inlineStr">
        <is>
          <t>自动管线检出的合格导管腔。</t>
        </is>
      </c>
      <c r="P757" t="inlineStr">
        <is>
          <t>auto_pipeline;review_png_green</t>
        </is>
      </c>
      <c r="R757" t="inlineStr">
        <is>
          <t>样品18</t>
        </is>
      </c>
    </row>
    <row r="758">
      <c r="A758" t="inlineStr">
        <is>
          <t>18(2)-V02</t>
        </is>
      </c>
      <c r="B758" t="inlineStr">
        <is>
          <t>18 (2).tif</t>
        </is>
      </c>
      <c r="C758" t="n">
        <v>257</v>
      </c>
      <c r="D758" t="n">
        <v>362</v>
      </c>
      <c r="E758" t="inlineStr">
        <is>
          <t>207,306,308,419</t>
        </is>
      </c>
      <c r="F758" t="n">
        <v>207</v>
      </c>
      <c r="G758" t="inlineStr">
        <is>
          <t>primary</t>
        </is>
      </c>
      <c r="H758" t="inlineStr">
        <is>
          <t>AUTO_VESSEL</t>
        </is>
      </c>
      <c r="I758" t="inlineStr">
        <is>
          <t>是</t>
        </is>
      </c>
      <c r="J758" t="inlineStr">
        <is>
          <t>纳入</t>
        </is>
      </c>
      <c r="K758" t="n">
        <v>414.5085066162571</v>
      </c>
      <c r="L758">
        <f>导管母表_1781!G758</f>
        <v/>
      </c>
      <c r="M758" t="inlineStr">
        <is>
          <t>视野内部</t>
        </is>
      </c>
      <c r="N758" t="inlineStr">
        <is>
          <t>纳入A/D/Dh；若有Pair_ID则纳入CWR</t>
        </is>
      </c>
      <c r="O758" t="inlineStr">
        <is>
          <t>自动管线检出的合格导管腔。</t>
        </is>
      </c>
      <c r="P758" t="inlineStr">
        <is>
          <t>auto_pipeline;review_png_green</t>
        </is>
      </c>
      <c r="R758" t="inlineStr">
        <is>
          <t>样品18</t>
        </is>
      </c>
    </row>
    <row r="759">
      <c r="A759" t="inlineStr">
        <is>
          <t>18(2)-V03</t>
        </is>
      </c>
      <c r="B759" t="inlineStr">
        <is>
          <t>18 (2).tif</t>
        </is>
      </c>
      <c r="C759" t="n">
        <v>267</v>
      </c>
      <c r="D759" t="n">
        <v>586</v>
      </c>
      <c r="E759" t="inlineStr">
        <is>
          <t>239,512,296,661</t>
        </is>
      </c>
      <c r="F759" t="n">
        <v>107</v>
      </c>
      <c r="G759" t="inlineStr">
        <is>
          <t>primary</t>
        </is>
      </c>
      <c r="H759" t="inlineStr">
        <is>
          <t>AUTO_VESSEL</t>
        </is>
      </c>
      <c r="I759" t="inlineStr">
        <is>
          <t>是</t>
        </is>
      </c>
      <c r="J759" t="inlineStr">
        <is>
          <t>纳入</t>
        </is>
      </c>
      <c r="K759" t="n">
        <v>299.8582230623819</v>
      </c>
      <c r="L759">
        <f>导管母表_1781!G759</f>
        <v/>
      </c>
      <c r="M759" t="inlineStr">
        <is>
          <t>视野内部</t>
        </is>
      </c>
      <c r="N759" t="inlineStr">
        <is>
          <t>纳入A/D/Dh；若有Pair_ID则纳入CWR</t>
        </is>
      </c>
      <c r="O759" t="inlineStr">
        <is>
          <t>自动管线检出的合格导管腔。</t>
        </is>
      </c>
      <c r="P759" t="inlineStr">
        <is>
          <t>auto_pipeline;review_png_green</t>
        </is>
      </c>
      <c r="R759" t="inlineStr">
        <is>
          <t>样品18</t>
        </is>
      </c>
    </row>
    <row r="760">
      <c r="A760" t="inlineStr">
        <is>
          <t>18(2)-V04</t>
        </is>
      </c>
      <c r="B760" t="inlineStr">
        <is>
          <t>18 (2).tif</t>
        </is>
      </c>
      <c r="C760" t="n">
        <v>475</v>
      </c>
      <c r="D760" t="n">
        <v>240</v>
      </c>
      <c r="E760" t="inlineStr">
        <is>
          <t>435,204,516,277</t>
        </is>
      </c>
      <c r="F760" t="n">
        <v>204</v>
      </c>
      <c r="G760" t="inlineStr">
        <is>
          <t>primary</t>
        </is>
      </c>
      <c r="H760" t="inlineStr">
        <is>
          <t>AUTO_VESSEL</t>
        </is>
      </c>
      <c r="I760" t="inlineStr">
        <is>
          <t>是</t>
        </is>
      </c>
      <c r="J760" t="inlineStr">
        <is>
          <t>纳入</t>
        </is>
      </c>
      <c r="K760" t="n">
        <v>212.1455576559546</v>
      </c>
      <c r="L760">
        <f>导管母表_1781!G760</f>
        <v/>
      </c>
      <c r="M760" t="inlineStr">
        <is>
          <t>视野内部</t>
        </is>
      </c>
      <c r="N760" t="inlineStr">
        <is>
          <t>纳入A/D/Dh；若有Pair_ID则纳入CWR</t>
        </is>
      </c>
      <c r="O760" t="inlineStr">
        <is>
          <t>自动管线检出的合格导管腔。</t>
        </is>
      </c>
      <c r="P760" t="inlineStr">
        <is>
          <t>auto_pipeline;review_png_green</t>
        </is>
      </c>
      <c r="R760" t="inlineStr">
        <is>
          <t>样品18</t>
        </is>
      </c>
    </row>
    <row r="761">
      <c r="A761" t="inlineStr">
        <is>
          <t>18(2)-V05</t>
        </is>
      </c>
      <c r="B761" t="inlineStr">
        <is>
          <t>18 (2).tif</t>
        </is>
      </c>
      <c r="C761" t="n">
        <v>531</v>
      </c>
      <c r="D761" t="n">
        <v>529</v>
      </c>
      <c r="E761" t="inlineStr">
        <is>
          <t>490,480,573,579</t>
        </is>
      </c>
      <c r="F761" t="n">
        <v>189</v>
      </c>
      <c r="G761" t="inlineStr">
        <is>
          <t>primary</t>
        </is>
      </c>
      <c r="H761" t="inlineStr">
        <is>
          <t>AUTO_VESSEL</t>
        </is>
      </c>
      <c r="I761" t="inlineStr">
        <is>
          <t>是</t>
        </is>
      </c>
      <c r="J761" t="inlineStr">
        <is>
          <t>纳入</t>
        </is>
      </c>
      <c r="K761" t="n">
        <v>196.5500945179584</v>
      </c>
      <c r="L761">
        <f>导管母表_1781!G761</f>
        <v/>
      </c>
      <c r="M761" t="inlineStr">
        <is>
          <t>视野内部</t>
        </is>
      </c>
      <c r="N761" t="inlineStr">
        <is>
          <t>纳入A/D/Dh；若有Pair_ID则纳入CWR</t>
        </is>
      </c>
      <c r="O761" t="inlineStr">
        <is>
          <t>自动管线检出的合格导管腔。</t>
        </is>
      </c>
      <c r="P761" t="inlineStr">
        <is>
          <t>auto_pipeline;review_png_green</t>
        </is>
      </c>
      <c r="R761" t="inlineStr">
        <is>
          <t>样品18</t>
        </is>
      </c>
    </row>
    <row r="762">
      <c r="A762" t="inlineStr">
        <is>
          <t>18(3)-V01</t>
        </is>
      </c>
      <c r="B762" t="inlineStr">
        <is>
          <t>18 (3).tif</t>
        </is>
      </c>
      <c r="C762" t="n">
        <v>444</v>
      </c>
      <c r="D762" t="n">
        <v>351</v>
      </c>
      <c r="E762" t="inlineStr">
        <is>
          <t>394,300,495,403</t>
        </is>
      </c>
      <c r="F762" t="n">
        <v>300</v>
      </c>
      <c r="G762" t="inlineStr">
        <is>
          <t>primary</t>
        </is>
      </c>
      <c r="H762" t="inlineStr">
        <is>
          <t>AUTO_VESSEL</t>
        </is>
      </c>
      <c r="I762" t="inlineStr">
        <is>
          <t>是</t>
        </is>
      </c>
      <c r="J762" t="inlineStr">
        <is>
          <t>纳入</t>
        </is>
      </c>
      <c r="K762" t="n">
        <v>375.7088846880907</v>
      </c>
      <c r="L762">
        <f>导管母表_1781!G762</f>
        <v/>
      </c>
      <c r="M762" t="inlineStr">
        <is>
          <t>视野内部</t>
        </is>
      </c>
      <c r="N762" t="inlineStr">
        <is>
          <t>纳入A/D/Dh；若有Pair_ID则纳入CWR</t>
        </is>
      </c>
      <c r="O762" t="inlineStr">
        <is>
          <t>自动管线检出的合格导管腔。</t>
        </is>
      </c>
      <c r="P762" t="inlineStr">
        <is>
          <t>auto_pipeline;review_png_green</t>
        </is>
      </c>
      <c r="R762" t="inlineStr">
        <is>
          <t>样品18</t>
        </is>
      </c>
    </row>
    <row r="763">
      <c r="A763" t="inlineStr">
        <is>
          <t>18(3)-V02</t>
        </is>
      </c>
      <c r="B763" t="inlineStr">
        <is>
          <t>18 (3).tif</t>
        </is>
      </c>
      <c r="C763" t="n">
        <v>620</v>
      </c>
      <c r="D763" t="n">
        <v>334</v>
      </c>
      <c r="E763" t="inlineStr">
        <is>
          <t>566,286,675,383</t>
        </is>
      </c>
      <c r="F763" t="n">
        <v>286</v>
      </c>
      <c r="G763" t="inlineStr">
        <is>
          <t>primary</t>
        </is>
      </c>
      <c r="H763" t="inlineStr">
        <is>
          <t>AUTO_VESSEL</t>
        </is>
      </c>
      <c r="I763" t="inlineStr">
        <is>
          <t>是</t>
        </is>
      </c>
      <c r="J763" t="inlineStr">
        <is>
          <t>纳入</t>
        </is>
      </c>
      <c r="K763" t="n">
        <v>373.8421550094518</v>
      </c>
      <c r="L763">
        <f>导管母表_1781!G763</f>
        <v/>
      </c>
      <c r="M763" t="inlineStr">
        <is>
          <t>视野内部</t>
        </is>
      </c>
      <c r="N763" t="inlineStr">
        <is>
          <t>纳入A/D/Dh；若有Pair_ID则纳入CWR</t>
        </is>
      </c>
      <c r="O763" t="inlineStr">
        <is>
          <t>自动管线检出的合格导管腔。</t>
        </is>
      </c>
      <c r="P763" t="inlineStr">
        <is>
          <t>auto_pipeline;review_png_green</t>
        </is>
      </c>
      <c r="Q763" t="inlineStr">
        <is>
          <t>18(3)-P01</t>
        </is>
      </c>
      <c r="R763" t="inlineStr">
        <is>
          <t>样品18</t>
        </is>
      </c>
    </row>
    <row r="764">
      <c r="A764" t="inlineStr">
        <is>
          <t>18(3)-V03</t>
        </is>
      </c>
      <c r="B764" t="inlineStr">
        <is>
          <t>18 (3).tif</t>
        </is>
      </c>
      <c r="C764" t="n">
        <v>520</v>
      </c>
      <c r="D764" t="n">
        <v>363</v>
      </c>
      <c r="E764" t="inlineStr">
        <is>
          <t>477,311,564,416</t>
        </is>
      </c>
      <c r="F764" t="n">
        <v>311</v>
      </c>
      <c r="G764" t="inlineStr">
        <is>
          <t>primary</t>
        </is>
      </c>
      <c r="H764" t="inlineStr">
        <is>
          <t>AUTO_VESSEL</t>
        </is>
      </c>
      <c r="I764" t="inlineStr">
        <is>
          <t>是</t>
        </is>
      </c>
      <c r="J764" t="inlineStr">
        <is>
          <t>纳入</t>
        </is>
      </c>
      <c r="K764" t="n">
        <v>328.5207939508506</v>
      </c>
      <c r="L764">
        <f>导管母表_1781!G764</f>
        <v/>
      </c>
      <c r="M764" t="inlineStr">
        <is>
          <t>视野内部</t>
        </is>
      </c>
      <c r="N764" t="inlineStr">
        <is>
          <t>纳入A/D/Dh；若有Pair_ID则纳入CWR</t>
        </is>
      </c>
      <c r="O764" t="inlineStr">
        <is>
          <t>自动管线检出的合格导管腔。</t>
        </is>
      </c>
      <c r="P764" t="inlineStr">
        <is>
          <t>auto_pipeline;review_png_green</t>
        </is>
      </c>
      <c r="Q764" t="inlineStr">
        <is>
          <t>18(3)-P01</t>
        </is>
      </c>
      <c r="R764" t="inlineStr">
        <is>
          <t>样品18</t>
        </is>
      </c>
    </row>
    <row r="765">
      <c r="A765" t="inlineStr">
        <is>
          <t>18(3)-V04</t>
        </is>
      </c>
      <c r="B765" t="inlineStr">
        <is>
          <t>18 (3).tif</t>
        </is>
      </c>
      <c r="C765" t="n">
        <v>282</v>
      </c>
      <c r="D765" t="n">
        <v>379</v>
      </c>
      <c r="E765" t="inlineStr">
        <is>
          <t>239,345,326,414</t>
        </is>
      </c>
      <c r="F765" t="n">
        <v>239</v>
      </c>
      <c r="G765" t="inlineStr">
        <is>
          <t>primary</t>
        </is>
      </c>
      <c r="H765" t="inlineStr">
        <is>
          <t>AUTO_VESSEL</t>
        </is>
      </c>
      <c r="I765" t="inlineStr">
        <is>
          <t>是</t>
        </is>
      </c>
      <c r="J765" t="inlineStr">
        <is>
          <t>纳入</t>
        </is>
      </c>
      <c r="K765" t="n">
        <v>215.5482041587902</v>
      </c>
      <c r="L765">
        <f>导管母表_1781!G765</f>
        <v/>
      </c>
      <c r="M765" t="inlineStr">
        <is>
          <t>视野内部</t>
        </is>
      </c>
      <c r="N765" t="inlineStr">
        <is>
          <t>纳入A/D/Dh；若有Pair_ID则纳入CWR</t>
        </is>
      </c>
      <c r="O765" t="inlineStr">
        <is>
          <t>自动管线检出的合格导管腔。</t>
        </is>
      </c>
      <c r="P765" t="inlineStr">
        <is>
          <t>auto_pipeline;review_png_green</t>
        </is>
      </c>
      <c r="R765" t="inlineStr">
        <is>
          <t>样品18</t>
        </is>
      </c>
    </row>
    <row r="766">
      <c r="A766" t="inlineStr">
        <is>
          <t>18(3)-V05</t>
        </is>
      </c>
      <c r="B766" t="inlineStr">
        <is>
          <t>18 (3).tif</t>
        </is>
      </c>
      <c r="C766" t="n">
        <v>922</v>
      </c>
      <c r="D766" t="n">
        <v>422</v>
      </c>
      <c r="E766" t="inlineStr">
        <is>
          <t>877,376,968,469</t>
        </is>
      </c>
      <c r="F766" t="n">
        <v>56</v>
      </c>
      <c r="G766" t="inlineStr">
        <is>
          <t>primary</t>
        </is>
      </c>
      <c r="H766" t="inlineStr">
        <is>
          <t>AUTO_VESSEL</t>
        </is>
      </c>
      <c r="I766" t="inlineStr">
        <is>
          <t>是</t>
        </is>
      </c>
      <c r="J766" t="inlineStr">
        <is>
          <t>纳入</t>
        </is>
      </c>
      <c r="K766" t="n">
        <v>166.304347826087</v>
      </c>
      <c r="L766">
        <f>导管母表_1781!G766</f>
        <v/>
      </c>
      <c r="M766" t="inlineStr">
        <is>
          <t>视野内部</t>
        </is>
      </c>
      <c r="N766" t="inlineStr">
        <is>
          <t>纳入A/D/Dh；若有Pair_ID则纳入CWR</t>
        </is>
      </c>
      <c r="O766" t="inlineStr">
        <is>
          <t>自动管线检出的合格导管腔。</t>
        </is>
      </c>
      <c r="P766" t="inlineStr">
        <is>
          <t>auto_pipeline;review_png_green</t>
        </is>
      </c>
      <c r="R766" t="inlineStr">
        <is>
          <t>样品18</t>
        </is>
      </c>
    </row>
    <row r="767">
      <c r="A767" t="inlineStr">
        <is>
          <t>18(3)-V06</t>
        </is>
      </c>
      <c r="B767" t="inlineStr">
        <is>
          <t>18 (3).tif</t>
        </is>
      </c>
      <c r="C767" t="n">
        <v>844</v>
      </c>
      <c r="D767" t="n">
        <v>114</v>
      </c>
      <c r="E767" t="inlineStr">
        <is>
          <t>810,82,879,147</t>
        </is>
      </c>
      <c r="F767" t="n">
        <v>82</v>
      </c>
      <c r="G767" t="inlineStr">
        <is>
          <t>primary</t>
        </is>
      </c>
      <c r="H767" t="inlineStr">
        <is>
          <t>AUTO_VESSEL</t>
        </is>
      </c>
      <c r="I767" t="inlineStr">
        <is>
          <t>是</t>
        </is>
      </c>
      <c r="J767" t="inlineStr">
        <is>
          <t>纳入</t>
        </is>
      </c>
      <c r="K767" t="n">
        <v>160.8695652173913</v>
      </c>
      <c r="L767">
        <f>导管母表_1781!G767</f>
        <v/>
      </c>
      <c r="M767" t="inlineStr">
        <is>
          <t>视野内部</t>
        </is>
      </c>
      <c r="N767" t="inlineStr">
        <is>
          <t>纳入A/D/Dh；若有Pair_ID则纳入CWR</t>
        </is>
      </c>
      <c r="O767" t="inlineStr">
        <is>
          <t>自动管线检出的合格导管腔。</t>
        </is>
      </c>
      <c r="P767" t="inlineStr">
        <is>
          <t>auto_pipeline;review_png_green</t>
        </is>
      </c>
      <c r="R767" t="inlineStr">
        <is>
          <t>样品18</t>
        </is>
      </c>
    </row>
    <row r="768">
      <c r="A768" t="inlineStr">
        <is>
          <t>18(3)-V07</t>
        </is>
      </c>
      <c r="B768" t="inlineStr">
        <is>
          <t>18 (3).tif</t>
        </is>
      </c>
      <c r="C768" t="n">
        <v>347</v>
      </c>
      <c r="D768" t="n">
        <v>113</v>
      </c>
      <c r="E768" t="inlineStr">
        <is>
          <t>311,84,384,143</t>
        </is>
      </c>
      <c r="F768" t="n">
        <v>84</v>
      </c>
      <c r="G768" t="inlineStr">
        <is>
          <t>primary</t>
        </is>
      </c>
      <c r="H768" t="inlineStr">
        <is>
          <t>AUTO_VESSEL</t>
        </is>
      </c>
      <c r="I768" t="inlineStr">
        <is>
          <t>是</t>
        </is>
      </c>
      <c r="J768" t="inlineStr">
        <is>
          <t>纳入</t>
        </is>
      </c>
      <c r="K768" t="n">
        <v>153.7807183364839</v>
      </c>
      <c r="L768">
        <f>导管母表_1781!G768</f>
        <v/>
      </c>
      <c r="M768" t="inlineStr">
        <is>
          <t>视野内部</t>
        </is>
      </c>
      <c r="N768" t="inlineStr">
        <is>
          <t>纳入A/D/Dh；若有Pair_ID则纳入CWR</t>
        </is>
      </c>
      <c r="O768" t="inlineStr">
        <is>
          <t>自动管线检出的合格导管腔。</t>
        </is>
      </c>
      <c r="P768" t="inlineStr">
        <is>
          <t>auto_pipeline;review_png_green</t>
        </is>
      </c>
      <c r="R768" t="inlineStr">
        <is>
          <t>样品18</t>
        </is>
      </c>
    </row>
    <row r="769">
      <c r="A769" t="inlineStr">
        <is>
          <t>18(3)-V08</t>
        </is>
      </c>
      <c r="B769" t="inlineStr">
        <is>
          <t>18 (3).tif</t>
        </is>
      </c>
      <c r="C769" t="n">
        <v>782</v>
      </c>
      <c r="D769" t="n">
        <v>290</v>
      </c>
      <c r="E769" t="inlineStr">
        <is>
          <t>755,257,810,324</t>
        </is>
      </c>
      <c r="F769" t="n">
        <v>214</v>
      </c>
      <c r="G769" t="inlineStr">
        <is>
          <t>primary</t>
        </is>
      </c>
      <c r="H769" t="inlineStr">
        <is>
          <t>AUTO_VESSEL</t>
        </is>
      </c>
      <c r="I769" t="inlineStr">
        <is>
          <t>是</t>
        </is>
      </c>
      <c r="J769" t="inlineStr">
        <is>
          <t>纳入</t>
        </is>
      </c>
      <c r="K769" t="n">
        <v>131.1909262759924</v>
      </c>
      <c r="L769">
        <f>导管母表_1781!G769</f>
        <v/>
      </c>
      <c r="M769" t="inlineStr">
        <is>
          <t>视野内部</t>
        </is>
      </c>
      <c r="N769" t="inlineStr">
        <is>
          <t>纳入A/D/Dh；若有Pair_ID则纳入CWR</t>
        </is>
      </c>
      <c r="O769" t="inlineStr">
        <is>
          <t>自动管线检出的合格导管腔。</t>
        </is>
      </c>
      <c r="P769" t="inlineStr">
        <is>
          <t>auto_pipeline;review_png_green</t>
        </is>
      </c>
      <c r="R769" t="inlineStr">
        <is>
          <t>样品18</t>
        </is>
      </c>
    </row>
    <row r="770">
      <c r="A770" t="inlineStr">
        <is>
          <t>18(4)-V01</t>
        </is>
      </c>
      <c r="B770" t="inlineStr">
        <is>
          <t>18 (4).tif</t>
        </is>
      </c>
      <c r="C770" t="n">
        <v>729</v>
      </c>
      <c r="D770" t="n">
        <v>403</v>
      </c>
      <c r="E770" t="inlineStr">
        <is>
          <t>687,361,772,446</t>
        </is>
      </c>
      <c r="F770" t="n">
        <v>252</v>
      </c>
      <c r="G770" t="inlineStr">
        <is>
          <t>primary</t>
        </is>
      </c>
      <c r="H770" t="inlineStr">
        <is>
          <t>AUTO_VESSEL</t>
        </is>
      </c>
      <c r="I770" t="inlineStr">
        <is>
          <t>是</t>
        </is>
      </c>
      <c r="J770" t="inlineStr">
        <is>
          <t>纳入</t>
        </is>
      </c>
      <c r="K770" t="n">
        <v>212.3345935727788</v>
      </c>
      <c r="L770">
        <f>导管母表_1781!G770</f>
        <v/>
      </c>
      <c r="M770" t="inlineStr">
        <is>
          <t>视野内部</t>
        </is>
      </c>
      <c r="N770" t="inlineStr">
        <is>
          <t>纳入A/D/Dh；若有Pair_ID则纳入CWR</t>
        </is>
      </c>
      <c r="O770" t="inlineStr">
        <is>
          <t>自动管线检出的合格导管腔。</t>
        </is>
      </c>
      <c r="P770" t="inlineStr">
        <is>
          <t>auto_pipeline;review_png_green</t>
        </is>
      </c>
      <c r="R770" t="inlineStr">
        <is>
          <t>样品18</t>
        </is>
      </c>
    </row>
    <row r="771">
      <c r="A771" t="inlineStr">
        <is>
          <t>18(4)-V02</t>
        </is>
      </c>
      <c r="B771" t="inlineStr">
        <is>
          <t>18 (4).tif</t>
        </is>
      </c>
      <c r="C771" t="n">
        <v>715</v>
      </c>
      <c r="D771" t="n">
        <v>524</v>
      </c>
      <c r="E771" t="inlineStr">
        <is>
          <t>671,491,760,558</t>
        </is>
      </c>
      <c r="F771" t="n">
        <v>210</v>
      </c>
      <c r="G771" t="inlineStr">
        <is>
          <t>primary</t>
        </is>
      </c>
      <c r="H771" t="inlineStr">
        <is>
          <t>AUTO_VESSEL</t>
        </is>
      </c>
      <c r="I771" t="inlineStr">
        <is>
          <t>是</t>
        </is>
      </c>
      <c r="J771" t="inlineStr">
        <is>
          <t>纳入</t>
        </is>
      </c>
      <c r="K771" t="n">
        <v>207.8449905482042</v>
      </c>
      <c r="L771">
        <f>导管母表_1781!G771</f>
        <v/>
      </c>
      <c r="M771" t="inlineStr">
        <is>
          <t>视野内部</t>
        </is>
      </c>
      <c r="N771" t="inlineStr">
        <is>
          <t>纳入A/D/Dh；若有Pair_ID则纳入CWR</t>
        </is>
      </c>
      <c r="O771" t="inlineStr">
        <is>
          <t>自动管线检出的合格导管腔。</t>
        </is>
      </c>
      <c r="P771" t="inlineStr">
        <is>
          <t>auto_pipeline;review_png_green</t>
        </is>
      </c>
      <c r="R771" t="inlineStr">
        <is>
          <t>样品18</t>
        </is>
      </c>
    </row>
    <row r="772">
      <c r="A772" t="inlineStr">
        <is>
          <t>18(4)-V03</t>
        </is>
      </c>
      <c r="B772" t="inlineStr">
        <is>
          <t>18 (4).tif</t>
        </is>
      </c>
      <c r="C772" t="n">
        <v>472</v>
      </c>
      <c r="D772" t="n">
        <v>374</v>
      </c>
      <c r="E772" t="inlineStr">
        <is>
          <t>448,337,497,412</t>
        </is>
      </c>
      <c r="F772" t="n">
        <v>337</v>
      </c>
      <c r="G772" t="inlineStr">
        <is>
          <t>primary</t>
        </is>
      </c>
      <c r="H772" t="inlineStr">
        <is>
          <t>AUTO_VESSEL</t>
        </is>
      </c>
      <c r="I772" t="inlineStr">
        <is>
          <t>是</t>
        </is>
      </c>
      <c r="J772" t="inlineStr">
        <is>
          <t>纳入</t>
        </is>
      </c>
      <c r="K772" t="n">
        <v>132.0415879017013</v>
      </c>
      <c r="L772">
        <f>导管母表_1781!G772</f>
        <v/>
      </c>
      <c r="M772" t="inlineStr">
        <is>
          <t>视野内部</t>
        </is>
      </c>
      <c r="N772" t="inlineStr">
        <is>
          <t>纳入A/D/Dh；若有Pair_ID则纳入CWR</t>
        </is>
      </c>
      <c r="O772" t="inlineStr">
        <is>
          <t>自动管线检出的合格导管腔。</t>
        </is>
      </c>
      <c r="P772" t="inlineStr">
        <is>
          <t>auto_pipeline;review_png_green</t>
        </is>
      </c>
      <c r="R772" t="inlineStr">
        <is>
          <t>样品18</t>
        </is>
      </c>
    </row>
    <row r="773">
      <c r="A773" t="inlineStr">
        <is>
          <t>18(5)-V01</t>
        </is>
      </c>
      <c r="B773" t="inlineStr">
        <is>
          <t>18 (5).tif</t>
        </is>
      </c>
      <c r="C773" t="n">
        <v>346</v>
      </c>
      <c r="D773" t="n">
        <v>285</v>
      </c>
      <c r="E773" t="inlineStr">
        <is>
          <t>261,224,432,347</t>
        </is>
      </c>
      <c r="F773" t="n">
        <v>224</v>
      </c>
      <c r="G773" t="inlineStr">
        <is>
          <t>primary</t>
        </is>
      </c>
      <c r="H773" t="inlineStr">
        <is>
          <t>AUTO_VESSEL</t>
        </is>
      </c>
      <c r="I773" t="inlineStr">
        <is>
          <t>是</t>
        </is>
      </c>
      <c r="J773" t="inlineStr">
        <is>
          <t>纳入</t>
        </is>
      </c>
      <c r="K773" t="n">
        <v>683.3884688090737</v>
      </c>
      <c r="L773">
        <f>导管母表_1781!G773</f>
        <v/>
      </c>
      <c r="M773" t="inlineStr">
        <is>
          <t>视野内部</t>
        </is>
      </c>
      <c r="N773" t="inlineStr">
        <is>
          <t>纳入A/D/Dh；若有Pair_ID则纳入CWR</t>
        </is>
      </c>
      <c r="O773" t="inlineStr">
        <is>
          <t>自动管线检出的合格导管腔。</t>
        </is>
      </c>
      <c r="P773" t="inlineStr">
        <is>
          <t>auto_pipeline;review_png_green</t>
        </is>
      </c>
      <c r="R773" t="inlineStr">
        <is>
          <t>样品18</t>
        </is>
      </c>
    </row>
    <row r="774">
      <c r="A774" t="inlineStr">
        <is>
          <t>18(5)-V02</t>
        </is>
      </c>
      <c r="B774" t="inlineStr">
        <is>
          <t>18 (5).tif</t>
        </is>
      </c>
      <c r="C774" t="n">
        <v>317</v>
      </c>
      <c r="D774" t="n">
        <v>610</v>
      </c>
      <c r="E774" t="inlineStr">
        <is>
          <t>224,558,411,663</t>
        </is>
      </c>
      <c r="F774" t="n">
        <v>105</v>
      </c>
      <c r="G774" t="inlineStr">
        <is>
          <t>primary</t>
        </is>
      </c>
      <c r="H774" t="inlineStr">
        <is>
          <t>AUTO_VESSEL</t>
        </is>
      </c>
      <c r="I774" t="inlineStr">
        <is>
          <t>是</t>
        </is>
      </c>
      <c r="J774" t="inlineStr">
        <is>
          <t>纳入</t>
        </is>
      </c>
      <c r="K774" t="n">
        <v>669.6124763705104</v>
      </c>
      <c r="L774">
        <f>导管母表_1781!G774</f>
        <v/>
      </c>
      <c r="M774" t="inlineStr">
        <is>
          <t>视野内部</t>
        </is>
      </c>
      <c r="N774" t="inlineStr">
        <is>
          <t>纳入A/D/Dh；若有Pair_ID则纳入CWR</t>
        </is>
      </c>
      <c r="O774" t="inlineStr">
        <is>
          <t>自动管线检出的合格导管腔。</t>
        </is>
      </c>
      <c r="P774" t="inlineStr">
        <is>
          <t>auto_pipeline;review_png_green</t>
        </is>
      </c>
      <c r="R774" t="inlineStr">
        <is>
          <t>样品18</t>
        </is>
      </c>
    </row>
    <row r="775">
      <c r="A775" t="inlineStr">
        <is>
          <t>18(5)-V03</t>
        </is>
      </c>
      <c r="B775" t="inlineStr">
        <is>
          <t>18 (5).tif</t>
        </is>
      </c>
      <c r="C775" t="n">
        <v>619</v>
      </c>
      <c r="D775" t="n">
        <v>418</v>
      </c>
      <c r="E775" t="inlineStr">
        <is>
          <t>535,377,704,460</t>
        </is>
      </c>
      <c r="F775" t="n">
        <v>308</v>
      </c>
      <c r="G775" t="inlineStr">
        <is>
          <t>primary</t>
        </is>
      </c>
      <c r="H775" t="inlineStr">
        <is>
          <t>AUTO_VESSEL</t>
        </is>
      </c>
      <c r="I775" t="inlineStr">
        <is>
          <t>是</t>
        </is>
      </c>
      <c r="J775" t="inlineStr">
        <is>
          <t>纳入</t>
        </is>
      </c>
      <c r="K775" t="n">
        <v>504.0406427221172</v>
      </c>
      <c r="L775">
        <f>导管母表_1781!G775</f>
        <v/>
      </c>
      <c r="M775" t="inlineStr">
        <is>
          <t>视野内部</t>
        </is>
      </c>
      <c r="N775" t="inlineStr">
        <is>
          <t>纳入A/D/Dh；若有Pair_ID则纳入CWR</t>
        </is>
      </c>
      <c r="O775" t="inlineStr">
        <is>
          <t>自动管线检出的合格导管腔。</t>
        </is>
      </c>
      <c r="P775" t="inlineStr">
        <is>
          <t>auto_pipeline;review_png_green</t>
        </is>
      </c>
      <c r="Q775" t="inlineStr">
        <is>
          <t>18(5)-P01</t>
        </is>
      </c>
      <c r="R775" t="inlineStr">
        <is>
          <t>样品18</t>
        </is>
      </c>
    </row>
    <row r="776">
      <c r="A776" t="inlineStr">
        <is>
          <t>18(5)-V04</t>
        </is>
      </c>
      <c r="B776" t="inlineStr">
        <is>
          <t>18 (5).tif</t>
        </is>
      </c>
      <c r="C776" t="n">
        <v>489</v>
      </c>
      <c r="D776" t="n">
        <v>342</v>
      </c>
      <c r="E776" t="inlineStr">
        <is>
          <t>431,296,548,389</t>
        </is>
      </c>
      <c r="F776" t="n">
        <v>296</v>
      </c>
      <c r="G776" t="inlineStr">
        <is>
          <t>primary</t>
        </is>
      </c>
      <c r="H776" t="inlineStr">
        <is>
          <t>AUTO_VESSEL</t>
        </is>
      </c>
      <c r="I776" t="inlineStr">
        <is>
          <t>是</t>
        </is>
      </c>
      <c r="J776" t="inlineStr">
        <is>
          <t>纳入</t>
        </is>
      </c>
      <c r="K776" t="n">
        <v>394.0217391304348</v>
      </c>
      <c r="L776">
        <f>导管母表_1781!G776</f>
        <v/>
      </c>
      <c r="M776" t="inlineStr">
        <is>
          <t>视野内部</t>
        </is>
      </c>
      <c r="N776" t="inlineStr">
        <is>
          <t>纳入A/D/Dh；若有Pair_ID则纳入CWR</t>
        </is>
      </c>
      <c r="O776" t="inlineStr">
        <is>
          <t>自动管线检出的合格导管腔。</t>
        </is>
      </c>
      <c r="P776" t="inlineStr">
        <is>
          <t>auto_pipeline;review_png_green</t>
        </is>
      </c>
      <c r="Q776" t="inlineStr">
        <is>
          <t>18(5)-P01</t>
        </is>
      </c>
      <c r="R776" t="inlineStr">
        <is>
          <t>样品18</t>
        </is>
      </c>
    </row>
    <row r="777">
      <c r="A777" t="inlineStr">
        <is>
          <t>18(5)-V05</t>
        </is>
      </c>
      <c r="B777" t="inlineStr">
        <is>
          <t>18 (5).tif</t>
        </is>
      </c>
      <c r="C777" t="n">
        <v>131</v>
      </c>
      <c r="D777" t="n">
        <v>232</v>
      </c>
      <c r="E777" t="inlineStr">
        <is>
          <t>89,210,174,255</t>
        </is>
      </c>
      <c r="F777" t="n">
        <v>89</v>
      </c>
      <c r="G777" t="inlineStr">
        <is>
          <t>primary</t>
        </is>
      </c>
      <c r="H777" t="inlineStr">
        <is>
          <t>AUTO_VESSEL</t>
        </is>
      </c>
      <c r="I777" t="inlineStr">
        <is>
          <t>是</t>
        </is>
      </c>
      <c r="J777" t="inlineStr">
        <is>
          <t>纳入</t>
        </is>
      </c>
      <c r="K777" t="n">
        <v>137.3818525519849</v>
      </c>
      <c r="L777">
        <f>导管母表_1781!G777</f>
        <v/>
      </c>
      <c r="M777" t="inlineStr">
        <is>
          <t>视野内部</t>
        </is>
      </c>
      <c r="N777" t="inlineStr">
        <is>
          <t>纳入A/D/Dh；若有Pair_ID则纳入CWR</t>
        </is>
      </c>
      <c r="O777" t="inlineStr">
        <is>
          <t>自动管线检出的合格导管腔。</t>
        </is>
      </c>
      <c r="P777" t="inlineStr">
        <is>
          <t>auto_pipeline;review_png_green</t>
        </is>
      </c>
      <c r="R777" t="inlineStr">
        <is>
          <t>样品18</t>
        </is>
      </c>
    </row>
    <row r="778">
      <c r="A778" t="inlineStr">
        <is>
          <t>18(6)-V01</t>
        </is>
      </c>
      <c r="B778" t="inlineStr">
        <is>
          <t>18 (6).tif</t>
        </is>
      </c>
      <c r="C778" t="n">
        <v>485</v>
      </c>
      <c r="D778" t="n">
        <v>448</v>
      </c>
      <c r="E778" t="inlineStr">
        <is>
          <t>432,393,539,504</t>
        </is>
      </c>
      <c r="F778" t="n">
        <v>264</v>
      </c>
      <c r="G778" t="inlineStr">
        <is>
          <t>primary</t>
        </is>
      </c>
      <c r="H778" t="inlineStr">
        <is>
          <t>AUTO_VESSEL</t>
        </is>
      </c>
      <c r="I778" t="inlineStr">
        <is>
          <t>是</t>
        </is>
      </c>
      <c r="J778" t="inlineStr">
        <is>
          <t>纳入</t>
        </is>
      </c>
      <c r="K778" t="n">
        <v>417.9584120982987</v>
      </c>
      <c r="L778">
        <f>导管母表_1781!G778</f>
        <v/>
      </c>
      <c r="M778" t="inlineStr">
        <is>
          <t>视野内部</t>
        </is>
      </c>
      <c r="N778" t="inlineStr">
        <is>
          <t>纳入A/D/Dh；若有Pair_ID则纳入CWR</t>
        </is>
      </c>
      <c r="O778" t="inlineStr">
        <is>
          <t>自动管线检出的合格导管腔。</t>
        </is>
      </c>
      <c r="P778" t="inlineStr">
        <is>
          <t>auto_pipeline;review_png_green</t>
        </is>
      </c>
      <c r="Q778" t="inlineStr">
        <is>
          <t>18(6)-P01</t>
        </is>
      </c>
      <c r="R778" t="inlineStr">
        <is>
          <t>样品18</t>
        </is>
      </c>
    </row>
    <row r="779">
      <c r="A779" t="inlineStr">
        <is>
          <t>18(6)-V02</t>
        </is>
      </c>
      <c r="B779" t="inlineStr">
        <is>
          <t>18 (6).tif</t>
        </is>
      </c>
      <c r="C779" t="n">
        <v>466</v>
      </c>
      <c r="D779" t="n">
        <v>319</v>
      </c>
      <c r="E779" t="inlineStr">
        <is>
          <t>415,265,518,374</t>
        </is>
      </c>
      <c r="F779" t="n">
        <v>265</v>
      </c>
      <c r="G779" t="inlineStr">
        <is>
          <t>primary</t>
        </is>
      </c>
      <c r="H779" t="inlineStr">
        <is>
          <t>AUTO_VESSEL</t>
        </is>
      </c>
      <c r="I779" t="inlineStr">
        <is>
          <t>是</t>
        </is>
      </c>
      <c r="J779" t="inlineStr">
        <is>
          <t>纳入</t>
        </is>
      </c>
      <c r="K779" t="n">
        <v>393.9272211720227</v>
      </c>
      <c r="L779">
        <f>导管母表_1781!G779</f>
        <v/>
      </c>
      <c r="M779" t="inlineStr">
        <is>
          <t>视野内部</t>
        </is>
      </c>
      <c r="N779" t="inlineStr">
        <is>
          <t>纳入A/D/Dh；若有Pair_ID则纳入CWR</t>
        </is>
      </c>
      <c r="O779" t="inlineStr">
        <is>
          <t>自动管线检出的合格导管腔。</t>
        </is>
      </c>
      <c r="P779" t="inlineStr">
        <is>
          <t>auto_pipeline;review_png_green</t>
        </is>
      </c>
      <c r="Q779" t="inlineStr">
        <is>
          <t>18(6)-P01</t>
        </is>
      </c>
      <c r="R779" t="inlineStr">
        <is>
          <t>样品18</t>
        </is>
      </c>
    </row>
    <row r="780">
      <c r="A780" t="inlineStr">
        <is>
          <t>18(6)-V03</t>
        </is>
      </c>
      <c r="B780" t="inlineStr">
        <is>
          <t>18 (6).tif</t>
        </is>
      </c>
      <c r="C780" t="n">
        <v>601</v>
      </c>
      <c r="D780" t="n">
        <v>528</v>
      </c>
      <c r="E780" t="inlineStr">
        <is>
          <t>554,483,649,574</t>
        </is>
      </c>
      <c r="F780" t="n">
        <v>194</v>
      </c>
      <c r="G780" t="inlineStr">
        <is>
          <t>primary</t>
        </is>
      </c>
      <c r="H780" t="inlineStr">
        <is>
          <t>AUTO_VESSEL</t>
        </is>
      </c>
      <c r="I780" t="inlineStr">
        <is>
          <t>是</t>
        </is>
      </c>
      <c r="J780" t="inlineStr">
        <is>
          <t>纳入</t>
        </is>
      </c>
      <c r="K780" t="n">
        <v>312.9017013232514</v>
      </c>
      <c r="L780">
        <f>导管母表_1781!G780</f>
        <v/>
      </c>
      <c r="M780" t="inlineStr">
        <is>
          <t>视野内部</t>
        </is>
      </c>
      <c r="N780" t="inlineStr">
        <is>
          <t>纳入A/D/Dh；若有Pair_ID则纳入CWR</t>
        </is>
      </c>
      <c r="O780" t="inlineStr">
        <is>
          <t>自动管线检出的合格导管腔。</t>
        </is>
      </c>
      <c r="P780" t="inlineStr">
        <is>
          <t>auto_pipeline;review_png_green</t>
        </is>
      </c>
      <c r="R780" t="inlineStr">
        <is>
          <t>样品18</t>
        </is>
      </c>
    </row>
    <row r="781">
      <c r="A781" t="inlineStr">
        <is>
          <t>18(7)-V01</t>
        </is>
      </c>
      <c r="B781" t="inlineStr">
        <is>
          <t>18 (7).tif</t>
        </is>
      </c>
      <c r="C781" t="n">
        <v>461</v>
      </c>
      <c r="D781" t="n">
        <v>415</v>
      </c>
      <c r="E781" t="inlineStr">
        <is>
          <t>403,359,520,472</t>
        </is>
      </c>
      <c r="F781" t="n">
        <v>296</v>
      </c>
      <c r="G781" t="inlineStr">
        <is>
          <t>primary</t>
        </is>
      </c>
      <c r="H781" t="inlineStr">
        <is>
          <t>AUTO_VESSEL</t>
        </is>
      </c>
      <c r="I781" t="inlineStr">
        <is>
          <t>是</t>
        </is>
      </c>
      <c r="J781" t="inlineStr">
        <is>
          <t>纳入</t>
        </is>
      </c>
      <c r="K781" t="n">
        <v>481.9470699432893</v>
      </c>
      <c r="L781">
        <f>导管母表_1781!G781</f>
        <v/>
      </c>
      <c r="M781" t="inlineStr">
        <is>
          <t>视野内部</t>
        </is>
      </c>
      <c r="N781" t="inlineStr">
        <is>
          <t>纳入A/D/Dh；若有Pair_ID则纳入CWR</t>
        </is>
      </c>
      <c r="O781" t="inlineStr">
        <is>
          <t>自动管线检出的合格导管腔。</t>
        </is>
      </c>
      <c r="P781" t="inlineStr">
        <is>
          <t>auto_pipeline;review_png_green</t>
        </is>
      </c>
      <c r="Q781" t="inlineStr">
        <is>
          <t>18(7)-P01</t>
        </is>
      </c>
      <c r="R781" t="inlineStr">
        <is>
          <t>样品18</t>
        </is>
      </c>
    </row>
    <row r="782">
      <c r="A782" t="inlineStr">
        <is>
          <t>18(7)-V02</t>
        </is>
      </c>
      <c r="B782" t="inlineStr">
        <is>
          <t>18 (7).tif</t>
        </is>
      </c>
      <c r="C782" t="n">
        <v>101</v>
      </c>
      <c r="D782" t="n">
        <v>189</v>
      </c>
      <c r="E782" t="inlineStr">
        <is>
          <t>50,129,153,250</t>
        </is>
      </c>
      <c r="F782" t="n">
        <v>50</v>
      </c>
      <c r="G782" t="inlineStr">
        <is>
          <t>primary</t>
        </is>
      </c>
      <c r="H782" t="inlineStr">
        <is>
          <t>AUTO_VESSEL</t>
        </is>
      </c>
      <c r="I782" t="inlineStr">
        <is>
          <t>是</t>
        </is>
      </c>
      <c r="J782" t="inlineStr">
        <is>
          <t>纳入</t>
        </is>
      </c>
      <c r="K782" t="n">
        <v>450.8034026465028</v>
      </c>
      <c r="L782">
        <f>导管母表_1781!G782</f>
        <v/>
      </c>
      <c r="M782" t="inlineStr">
        <is>
          <t>视野内部</t>
        </is>
      </c>
      <c r="N782" t="inlineStr">
        <is>
          <t>纳入A/D/Dh；若有Pair_ID则纳入CWR</t>
        </is>
      </c>
      <c r="O782" t="inlineStr">
        <is>
          <t>自动管线检出的合格导管腔。</t>
        </is>
      </c>
      <c r="P782" t="inlineStr">
        <is>
          <t>auto_pipeline;review_png_green</t>
        </is>
      </c>
      <c r="R782" t="inlineStr">
        <is>
          <t>样品18</t>
        </is>
      </c>
    </row>
    <row r="783">
      <c r="A783" t="inlineStr">
        <is>
          <t>18(7)-V03</t>
        </is>
      </c>
      <c r="B783" t="inlineStr">
        <is>
          <t>18 (7).tif</t>
        </is>
      </c>
      <c r="C783" t="n">
        <v>516</v>
      </c>
      <c r="D783" t="n">
        <v>313</v>
      </c>
      <c r="E783" t="inlineStr">
        <is>
          <t>453,271,580,356</t>
        </is>
      </c>
      <c r="F783" t="n">
        <v>271</v>
      </c>
      <c r="G783" t="inlineStr">
        <is>
          <t>primary</t>
        </is>
      </c>
      <c r="H783" t="inlineStr">
        <is>
          <t>AUTO_VESSEL</t>
        </is>
      </c>
      <c r="I783" t="inlineStr">
        <is>
          <t>是</t>
        </is>
      </c>
      <c r="J783" t="inlineStr">
        <is>
          <t>纳入</t>
        </is>
      </c>
      <c r="K783" t="n">
        <v>389.2249527410208</v>
      </c>
      <c r="L783">
        <f>导管母表_1781!G783</f>
        <v/>
      </c>
      <c r="M783" t="inlineStr">
        <is>
          <t>视野内部</t>
        </is>
      </c>
      <c r="N783" t="inlineStr">
        <is>
          <t>纳入A/D/Dh；若有Pair_ID则纳入CWR</t>
        </is>
      </c>
      <c r="O783" t="inlineStr">
        <is>
          <t>自动管线检出的合格导管腔。</t>
        </is>
      </c>
      <c r="P783" t="inlineStr">
        <is>
          <t>auto_pipeline;review_png_green</t>
        </is>
      </c>
      <c r="Q783" t="inlineStr">
        <is>
          <t>18(7)-P01</t>
        </is>
      </c>
      <c r="R783" t="inlineStr">
        <is>
          <t>样品18</t>
        </is>
      </c>
    </row>
    <row r="784">
      <c r="A784" t="inlineStr">
        <is>
          <t>18(7)-V04</t>
        </is>
      </c>
      <c r="B784" t="inlineStr">
        <is>
          <t>18 (7).tif</t>
        </is>
      </c>
      <c r="C784" t="n">
        <v>583</v>
      </c>
      <c r="D784" t="n">
        <v>214</v>
      </c>
      <c r="E784" t="inlineStr">
        <is>
          <t>521,174,646,255</t>
        </is>
      </c>
      <c r="F784" t="n">
        <v>174</v>
      </c>
      <c r="G784" t="inlineStr">
        <is>
          <t>primary</t>
        </is>
      </c>
      <c r="H784" t="inlineStr">
        <is>
          <t>AUTO_VESSEL</t>
        </is>
      </c>
      <c r="I784" t="inlineStr">
        <is>
          <t>是</t>
        </is>
      </c>
      <c r="J784" t="inlineStr">
        <is>
          <t>纳入</t>
        </is>
      </c>
      <c r="K784" t="n">
        <v>351.6776937618147</v>
      </c>
      <c r="L784">
        <f>导管母表_1781!G784</f>
        <v/>
      </c>
      <c r="M784" t="inlineStr">
        <is>
          <t>视野内部</t>
        </is>
      </c>
      <c r="N784" t="inlineStr">
        <is>
          <t>纳入A/D/Dh；若有Pair_ID则纳入CWR</t>
        </is>
      </c>
      <c r="O784" t="inlineStr">
        <is>
          <t>自动管线检出的合格导管腔。</t>
        </is>
      </c>
      <c r="P784" t="inlineStr">
        <is>
          <t>auto_pipeline;review_png_green</t>
        </is>
      </c>
      <c r="R784" t="inlineStr">
        <is>
          <t>样品18</t>
        </is>
      </c>
    </row>
    <row r="785">
      <c r="A785" t="inlineStr">
        <is>
          <t>18(8)-V01</t>
        </is>
      </c>
      <c r="B785" t="inlineStr">
        <is>
          <t>18 (8).tif</t>
        </is>
      </c>
      <c r="C785" t="n">
        <v>565</v>
      </c>
      <c r="D785" t="n">
        <v>363</v>
      </c>
      <c r="E785" t="inlineStr">
        <is>
          <t>494,282,637,445</t>
        </is>
      </c>
      <c r="F785" t="n">
        <v>282</v>
      </c>
      <c r="G785" t="inlineStr">
        <is>
          <t>primary</t>
        </is>
      </c>
      <c r="H785" t="inlineStr">
        <is>
          <t>AUTO_VESSEL</t>
        </is>
      </c>
      <c r="I785" t="inlineStr">
        <is>
          <t>是</t>
        </is>
      </c>
      <c r="J785" t="inlineStr">
        <is>
          <t>纳入</t>
        </is>
      </c>
      <c r="K785" t="n">
        <v>840.4536862003781</v>
      </c>
      <c r="L785">
        <f>导管母表_1781!G785</f>
        <v/>
      </c>
      <c r="M785" t="inlineStr">
        <is>
          <t>视野内部</t>
        </is>
      </c>
      <c r="N785" t="inlineStr">
        <is>
          <t>纳入A/D/Dh；若有Pair_ID则纳入CWR</t>
        </is>
      </c>
      <c r="O785" t="inlineStr">
        <is>
          <t>自动管线检出的合格导管腔。</t>
        </is>
      </c>
      <c r="P785" t="inlineStr">
        <is>
          <t>auto_pipeline;review_png_green</t>
        </is>
      </c>
      <c r="R785" t="inlineStr">
        <is>
          <t>样品18</t>
        </is>
      </c>
    </row>
    <row r="786">
      <c r="A786" t="inlineStr">
        <is>
          <t>18(8)-V02</t>
        </is>
      </c>
      <c r="B786" t="inlineStr">
        <is>
          <t>18 (8).tif</t>
        </is>
      </c>
      <c r="C786" t="n">
        <v>421</v>
      </c>
      <c r="D786" t="n">
        <v>309</v>
      </c>
      <c r="E786" t="inlineStr">
        <is>
          <t>365,254,478,365</t>
        </is>
      </c>
      <c r="F786" t="n">
        <v>254</v>
      </c>
      <c r="G786" t="inlineStr">
        <is>
          <t>primary</t>
        </is>
      </c>
      <c r="H786" t="inlineStr">
        <is>
          <t>AUTO_VESSEL</t>
        </is>
      </c>
      <c r="I786" t="inlineStr">
        <is>
          <t>是</t>
        </is>
      </c>
      <c r="J786" t="inlineStr">
        <is>
          <t>纳入</t>
        </is>
      </c>
      <c r="K786" t="n">
        <v>455.2457466918714</v>
      </c>
      <c r="L786">
        <f>导管母表_1781!G786</f>
        <v/>
      </c>
      <c r="M786" t="inlineStr">
        <is>
          <t>视野内部</t>
        </is>
      </c>
      <c r="N786" t="inlineStr">
        <is>
          <t>纳入A/D/Dh；若有Pair_ID则纳入CWR</t>
        </is>
      </c>
      <c r="O786" t="inlineStr">
        <is>
          <t>自动管线检出的合格导管腔。</t>
        </is>
      </c>
      <c r="P786" t="inlineStr">
        <is>
          <t>auto_pipeline;review_png_green</t>
        </is>
      </c>
      <c r="R786" t="inlineStr">
        <is>
          <t>样品18</t>
        </is>
      </c>
    </row>
    <row r="787">
      <c r="A787" t="inlineStr">
        <is>
          <t>18(8)-V03</t>
        </is>
      </c>
      <c r="B787" t="inlineStr">
        <is>
          <t>18 (8).tif</t>
        </is>
      </c>
      <c r="C787" t="n">
        <v>366</v>
      </c>
      <c r="D787" t="n">
        <v>466</v>
      </c>
      <c r="E787" t="inlineStr">
        <is>
          <t>320,400,413,533</t>
        </is>
      </c>
      <c r="F787" t="n">
        <v>235</v>
      </c>
      <c r="G787" t="inlineStr">
        <is>
          <t>primary</t>
        </is>
      </c>
      <c r="H787" t="inlineStr">
        <is>
          <t>AUTO_VESSEL</t>
        </is>
      </c>
      <c r="I787" t="inlineStr">
        <is>
          <t>是</t>
        </is>
      </c>
      <c r="J787" t="inlineStr">
        <is>
          <t>纳入</t>
        </is>
      </c>
      <c r="K787" t="n">
        <v>416.2334593572779</v>
      </c>
      <c r="L787">
        <f>导管母表_1781!G787</f>
        <v/>
      </c>
      <c r="M787" t="inlineStr">
        <is>
          <t>视野内部</t>
        </is>
      </c>
      <c r="N787" t="inlineStr">
        <is>
          <t>纳入A/D/Dh；若有Pair_ID则纳入CWR</t>
        </is>
      </c>
      <c r="O787" t="inlineStr">
        <is>
          <t>自动管线检出的合格导管腔。</t>
        </is>
      </c>
      <c r="P787" t="inlineStr">
        <is>
          <t>auto_pipeline;review_png_green</t>
        </is>
      </c>
      <c r="R787" t="inlineStr">
        <is>
          <t>样品18</t>
        </is>
      </c>
    </row>
    <row r="788">
      <c r="A788" t="inlineStr">
        <is>
          <t>18(8)-V04</t>
        </is>
      </c>
      <c r="B788" t="inlineStr">
        <is>
          <t>18 (8).tif</t>
        </is>
      </c>
      <c r="C788" t="n">
        <v>760</v>
      </c>
      <c r="D788" t="n">
        <v>208</v>
      </c>
      <c r="E788" t="inlineStr">
        <is>
          <t>723,126,798,291</t>
        </is>
      </c>
      <c r="F788" t="n">
        <v>126</v>
      </c>
      <c r="G788" t="inlineStr">
        <is>
          <t>primary</t>
        </is>
      </c>
      <c r="H788" t="inlineStr">
        <is>
          <t>AUTO_VESSEL</t>
        </is>
      </c>
      <c r="I788" t="inlineStr">
        <is>
          <t>是</t>
        </is>
      </c>
      <c r="J788" t="inlineStr">
        <is>
          <t>纳入</t>
        </is>
      </c>
      <c r="K788" t="n">
        <v>398.7948960302458</v>
      </c>
      <c r="L788">
        <f>导管母表_1781!G788</f>
        <v/>
      </c>
      <c r="M788" t="inlineStr">
        <is>
          <t>视野内部</t>
        </is>
      </c>
      <c r="N788" t="inlineStr">
        <is>
          <t>纳入A/D/Dh；若有Pair_ID则纳入CWR</t>
        </is>
      </c>
      <c r="O788" t="inlineStr">
        <is>
          <t>自动管线检出的合格导管腔。</t>
        </is>
      </c>
      <c r="P788" t="inlineStr">
        <is>
          <t>auto_pipeline;review_png_green</t>
        </is>
      </c>
      <c r="R788" t="inlineStr">
        <is>
          <t>样品18</t>
        </is>
      </c>
    </row>
    <row r="789">
      <c r="A789" t="inlineStr">
        <is>
          <t>18(8)-V05</t>
        </is>
      </c>
      <c r="B789" t="inlineStr">
        <is>
          <t>18 (8).tif</t>
        </is>
      </c>
      <c r="C789" t="n">
        <v>600</v>
      </c>
      <c r="D789" t="n">
        <v>564</v>
      </c>
      <c r="E789" t="inlineStr">
        <is>
          <t>562,542,639,587</t>
        </is>
      </c>
      <c r="F789" t="n">
        <v>181</v>
      </c>
      <c r="G789" t="inlineStr">
        <is>
          <t>primary</t>
        </is>
      </c>
      <c r="H789" t="inlineStr">
        <is>
          <t>AUTO_VESSEL</t>
        </is>
      </c>
      <c r="I789" t="inlineStr">
        <is>
          <t>是</t>
        </is>
      </c>
      <c r="J789" t="inlineStr">
        <is>
          <t>纳入</t>
        </is>
      </c>
      <c r="K789" t="n">
        <v>115.6899810964083</v>
      </c>
      <c r="L789">
        <f>导管母表_1781!G789</f>
        <v/>
      </c>
      <c r="M789" t="inlineStr">
        <is>
          <t>视野内部</t>
        </is>
      </c>
      <c r="N789" t="inlineStr">
        <is>
          <t>纳入A/D/Dh；若有Pair_ID则纳入CWR</t>
        </is>
      </c>
      <c r="O789" t="inlineStr">
        <is>
          <t>自动管线检出的合格导管腔。</t>
        </is>
      </c>
      <c r="P789" t="inlineStr">
        <is>
          <t>auto_pipeline;review_png_green</t>
        </is>
      </c>
      <c r="R789" t="inlineStr">
        <is>
          <t>样品18</t>
        </is>
      </c>
    </row>
    <row r="790">
      <c r="A790" t="inlineStr">
        <is>
          <t>18(9)-V01</t>
        </is>
      </c>
      <c r="B790" t="inlineStr">
        <is>
          <t>18 (9).tif</t>
        </is>
      </c>
      <c r="C790" t="n">
        <v>106</v>
      </c>
      <c r="D790" t="n">
        <v>125</v>
      </c>
      <c r="E790" t="inlineStr">
        <is>
          <t>43,67,170,184</t>
        </is>
      </c>
      <c r="F790" t="n">
        <v>43</v>
      </c>
      <c r="G790" t="inlineStr">
        <is>
          <t>primary</t>
        </is>
      </c>
      <c r="H790" t="inlineStr">
        <is>
          <t>AUTO_VESSEL</t>
        </is>
      </c>
      <c r="I790" t="inlineStr">
        <is>
          <t>是</t>
        </is>
      </c>
      <c r="J790" t="inlineStr">
        <is>
          <t>纳入</t>
        </is>
      </c>
      <c r="K790" t="n">
        <v>541.5879017013233</v>
      </c>
      <c r="L790">
        <f>导管母表_1781!G790</f>
        <v/>
      </c>
      <c r="M790" t="inlineStr">
        <is>
          <t>视野内部</t>
        </is>
      </c>
      <c r="N790" t="inlineStr">
        <is>
          <t>纳入A/D/Dh；若有Pair_ID则纳入CWR</t>
        </is>
      </c>
      <c r="O790" t="inlineStr">
        <is>
          <t>自动管线检出的合格导管腔。</t>
        </is>
      </c>
      <c r="P790" t="inlineStr">
        <is>
          <t>auto_pipeline;review_png_green</t>
        </is>
      </c>
      <c r="Q790" t="inlineStr">
        <is>
          <t>18(9)-P01</t>
        </is>
      </c>
      <c r="R790" t="inlineStr">
        <is>
          <t>样品18</t>
        </is>
      </c>
    </row>
    <row r="791">
      <c r="A791" t="inlineStr">
        <is>
          <t>18(9)-V02</t>
        </is>
      </c>
      <c r="B791" t="inlineStr">
        <is>
          <t>18 (9).tif</t>
        </is>
      </c>
      <c r="C791" t="n">
        <v>566</v>
      </c>
      <c r="D791" t="n">
        <v>318</v>
      </c>
      <c r="E791" t="inlineStr">
        <is>
          <t>509,270,624,367</t>
        </is>
      </c>
      <c r="F791" t="n">
        <v>270</v>
      </c>
      <c r="G791" t="inlineStr">
        <is>
          <t>primary</t>
        </is>
      </c>
      <c r="H791" t="inlineStr">
        <is>
          <t>AUTO_VESSEL</t>
        </is>
      </c>
      <c r="I791" t="inlineStr">
        <is>
          <t>是</t>
        </is>
      </c>
      <c r="J791" t="inlineStr">
        <is>
          <t>纳入</t>
        </is>
      </c>
      <c r="K791" t="n">
        <v>406.0964083175804</v>
      </c>
      <c r="L791">
        <f>导管母表_1781!G791</f>
        <v/>
      </c>
      <c r="M791" t="inlineStr">
        <is>
          <t>视野内部</t>
        </is>
      </c>
      <c r="N791" t="inlineStr">
        <is>
          <t>纳入A/D/Dh；若有Pair_ID则纳入CWR</t>
        </is>
      </c>
      <c r="O791" t="inlineStr">
        <is>
          <t>自动管线检出的合格导管腔。</t>
        </is>
      </c>
      <c r="P791" t="inlineStr">
        <is>
          <t>auto_pipeline;review_png_green</t>
        </is>
      </c>
      <c r="Q791" t="inlineStr">
        <is>
          <t>18(9)-P02</t>
        </is>
      </c>
      <c r="R791" t="inlineStr">
        <is>
          <t>样品18</t>
        </is>
      </c>
    </row>
    <row r="792">
      <c r="A792" t="inlineStr">
        <is>
          <t>18(9)-V03</t>
        </is>
      </c>
      <c r="B792" t="inlineStr">
        <is>
          <t>18 (9).tif</t>
        </is>
      </c>
      <c r="C792" t="n">
        <v>236</v>
      </c>
      <c r="D792" t="n">
        <v>566</v>
      </c>
      <c r="E792" t="inlineStr">
        <is>
          <t>172,523,301,610</t>
        </is>
      </c>
      <c r="F792" t="n">
        <v>158</v>
      </c>
      <c r="G792" t="inlineStr">
        <is>
          <t>primary</t>
        </is>
      </c>
      <c r="H792" t="inlineStr">
        <is>
          <t>AUTO_VESSEL</t>
        </is>
      </c>
      <c r="I792" t="inlineStr">
        <is>
          <t>是</t>
        </is>
      </c>
      <c r="J792" t="inlineStr">
        <is>
          <t>纳入</t>
        </is>
      </c>
      <c r="K792" t="n">
        <v>373.5586011342155</v>
      </c>
      <c r="L792">
        <f>导管母表_1781!G792</f>
        <v/>
      </c>
      <c r="M792" t="inlineStr">
        <is>
          <t>视野内部</t>
        </is>
      </c>
      <c r="N792" t="inlineStr">
        <is>
          <t>纳入A/D/Dh；若有Pair_ID则纳入CWR</t>
        </is>
      </c>
      <c r="O792" t="inlineStr">
        <is>
          <t>自动管线检出的合格导管腔。</t>
        </is>
      </c>
      <c r="P792" t="inlineStr">
        <is>
          <t>auto_pipeline;review_png_green</t>
        </is>
      </c>
      <c r="R792" t="inlineStr">
        <is>
          <t>样品18</t>
        </is>
      </c>
    </row>
    <row r="793">
      <c r="A793" t="inlineStr">
        <is>
          <t>18(9)-V04</t>
        </is>
      </c>
      <c r="B793" t="inlineStr">
        <is>
          <t>18 (9).tif</t>
        </is>
      </c>
      <c r="C793" t="n">
        <v>235</v>
      </c>
      <c r="D793" t="n">
        <v>339</v>
      </c>
      <c r="E793" t="inlineStr">
        <is>
          <t>182,298,289,381</t>
        </is>
      </c>
      <c r="F793" t="n">
        <v>182</v>
      </c>
      <c r="G793" t="inlineStr">
        <is>
          <t>primary</t>
        </is>
      </c>
      <c r="H793" t="inlineStr">
        <is>
          <t>AUTO_VESSEL</t>
        </is>
      </c>
      <c r="I793" t="inlineStr">
        <is>
          <t>是</t>
        </is>
      </c>
      <c r="J793" t="inlineStr">
        <is>
          <t>纳入</t>
        </is>
      </c>
      <c r="K793" t="n">
        <v>322.9678638941399</v>
      </c>
      <c r="L793">
        <f>导管母表_1781!G793</f>
        <v/>
      </c>
      <c r="M793" t="inlineStr">
        <is>
          <t>视野内部</t>
        </is>
      </c>
      <c r="N793" t="inlineStr">
        <is>
          <t>纳入A/D/Dh；若有Pair_ID则纳入CWR</t>
        </is>
      </c>
      <c r="O793" t="inlineStr">
        <is>
          <t>自动管线检出的合格导管腔。</t>
        </is>
      </c>
      <c r="P793" t="inlineStr">
        <is>
          <t>auto_pipeline;review_png_green</t>
        </is>
      </c>
      <c r="R793" t="inlineStr">
        <is>
          <t>样品18</t>
        </is>
      </c>
    </row>
    <row r="794">
      <c r="A794" t="inlineStr">
        <is>
          <t>18(9)-V05</t>
        </is>
      </c>
      <c r="B794" t="inlineStr">
        <is>
          <t>18 (9).tif</t>
        </is>
      </c>
      <c r="C794" t="n">
        <v>202</v>
      </c>
      <c r="D794" t="n">
        <v>63</v>
      </c>
      <c r="E794" t="inlineStr">
        <is>
          <t>142,26,263,101</t>
        </is>
      </c>
      <c r="F794" t="n">
        <v>26</v>
      </c>
      <c r="G794" t="inlineStr">
        <is>
          <t>primary</t>
        </is>
      </c>
      <c r="H794" t="inlineStr">
        <is>
          <t>AUTO_VESSEL</t>
        </is>
      </c>
      <c r="I794" t="inlineStr">
        <is>
          <t>是</t>
        </is>
      </c>
      <c r="J794" t="inlineStr">
        <is>
          <t>纳入</t>
        </is>
      </c>
      <c r="K794" t="n">
        <v>294.5179584120983</v>
      </c>
      <c r="L794">
        <f>导管母表_1781!G794</f>
        <v/>
      </c>
      <c r="M794" t="inlineStr">
        <is>
          <t>视野内部</t>
        </is>
      </c>
      <c r="N794" t="inlineStr">
        <is>
          <t>纳入A/D/Dh；若有Pair_ID则纳入CWR</t>
        </is>
      </c>
      <c r="O794" t="inlineStr">
        <is>
          <t>自动管线检出的合格导管腔。</t>
        </is>
      </c>
      <c r="P794" t="inlineStr">
        <is>
          <t>auto_pipeline;review_png_green</t>
        </is>
      </c>
      <c r="Q794" t="inlineStr">
        <is>
          <t>18(9)-P01</t>
        </is>
      </c>
      <c r="R794" t="inlineStr">
        <is>
          <t>样品18</t>
        </is>
      </c>
    </row>
    <row r="795">
      <c r="A795" t="inlineStr">
        <is>
          <t>18(9)-V06</t>
        </is>
      </c>
      <c r="B795" t="inlineStr">
        <is>
          <t>18 (9).tif</t>
        </is>
      </c>
      <c r="C795" t="n">
        <v>463</v>
      </c>
      <c r="D795" t="n">
        <v>395</v>
      </c>
      <c r="E795" t="inlineStr">
        <is>
          <t>411,358,516,433</t>
        </is>
      </c>
      <c r="F795" t="n">
        <v>335</v>
      </c>
      <c r="G795" t="inlineStr">
        <is>
          <t>primary</t>
        </is>
      </c>
      <c r="H795" t="inlineStr">
        <is>
          <t>AUTO_VESSEL</t>
        </is>
      </c>
      <c r="I795" t="inlineStr">
        <is>
          <t>是</t>
        </is>
      </c>
      <c r="J795" t="inlineStr">
        <is>
          <t>纳入</t>
        </is>
      </c>
      <c r="K795" t="n">
        <v>285.3260869565217</v>
      </c>
      <c r="L795">
        <f>导管母表_1781!G795</f>
        <v/>
      </c>
      <c r="M795" t="inlineStr">
        <is>
          <t>视野内部</t>
        </is>
      </c>
      <c r="N795" t="inlineStr">
        <is>
          <t>纳入A/D/Dh；若有Pair_ID则纳入CWR</t>
        </is>
      </c>
      <c r="O795" t="inlineStr">
        <is>
          <t>自动管线检出的合格导管腔。</t>
        </is>
      </c>
      <c r="P795" t="inlineStr">
        <is>
          <t>auto_pipeline;review_png_green</t>
        </is>
      </c>
      <c r="Q795" t="inlineStr">
        <is>
          <t>18(9)-P02</t>
        </is>
      </c>
      <c r="R795" t="inlineStr">
        <is>
          <t>样品18</t>
        </is>
      </c>
    </row>
    <row r="796">
      <c r="A796" t="inlineStr">
        <is>
          <t>18(10)-V01</t>
        </is>
      </c>
      <c r="B796" t="inlineStr">
        <is>
          <t>18 (10).tif</t>
        </is>
      </c>
      <c r="C796" t="n">
        <v>548</v>
      </c>
      <c r="D796" t="n">
        <v>292</v>
      </c>
      <c r="E796" t="inlineStr">
        <is>
          <t>486,219,611,366</t>
        </is>
      </c>
      <c r="F796" t="n">
        <v>219</v>
      </c>
      <c r="G796" t="inlineStr">
        <is>
          <t>primary</t>
        </is>
      </c>
      <c r="H796" t="inlineStr">
        <is>
          <t>AUTO_VESSEL</t>
        </is>
      </c>
      <c r="I796" t="inlineStr">
        <is>
          <t>是</t>
        </is>
      </c>
      <c r="J796" t="inlineStr">
        <is>
          <t>纳入</t>
        </is>
      </c>
      <c r="K796" t="n">
        <v>634.3336483931947</v>
      </c>
      <c r="L796">
        <f>导管母表_1781!G796</f>
        <v/>
      </c>
      <c r="M796" t="inlineStr">
        <is>
          <t>视野内部</t>
        </is>
      </c>
      <c r="N796" t="inlineStr">
        <is>
          <t>纳入A/D/Dh；若有Pair_ID则纳入CWR</t>
        </is>
      </c>
      <c r="O796" t="inlineStr">
        <is>
          <t>自动管线检出的合格导管腔。</t>
        </is>
      </c>
      <c r="P796" t="inlineStr">
        <is>
          <t>auto_pipeline;review_png_green</t>
        </is>
      </c>
      <c r="Q796" t="inlineStr">
        <is>
          <t>18(10)-P01</t>
        </is>
      </c>
      <c r="R796" t="inlineStr">
        <is>
          <t>样品18</t>
        </is>
      </c>
    </row>
    <row r="797">
      <c r="A797" t="inlineStr">
        <is>
          <t>18(10)-V02</t>
        </is>
      </c>
      <c r="B797" t="inlineStr">
        <is>
          <t>18 (10).tif</t>
        </is>
      </c>
      <c r="C797" t="n">
        <v>435</v>
      </c>
      <c r="D797" t="n">
        <v>414</v>
      </c>
      <c r="E797" t="inlineStr">
        <is>
          <t>386,358,485,471</t>
        </is>
      </c>
      <c r="F797" t="n">
        <v>297</v>
      </c>
      <c r="G797" t="inlineStr">
        <is>
          <t>primary</t>
        </is>
      </c>
      <c r="H797" t="inlineStr">
        <is>
          <t>AUTO_VESSEL</t>
        </is>
      </c>
      <c r="I797" t="inlineStr">
        <is>
          <t>是</t>
        </is>
      </c>
      <c r="J797" t="inlineStr">
        <is>
          <t>纳入</t>
        </is>
      </c>
      <c r="K797" t="n">
        <v>400.7561436672968</v>
      </c>
      <c r="L797">
        <f>导管母表_1781!G797</f>
        <v/>
      </c>
      <c r="M797" t="inlineStr">
        <is>
          <t>视野内部</t>
        </is>
      </c>
      <c r="N797" t="inlineStr">
        <is>
          <t>纳入A/D/Dh；若有Pair_ID则纳入CWR</t>
        </is>
      </c>
      <c r="O797" t="inlineStr">
        <is>
          <t>自动管线检出的合格导管腔。</t>
        </is>
      </c>
      <c r="P797" t="inlineStr">
        <is>
          <t>auto_pipeline;review_png_green</t>
        </is>
      </c>
      <c r="Q797" t="inlineStr">
        <is>
          <t>18(10)-P01</t>
        </is>
      </c>
      <c r="R797" t="inlineStr">
        <is>
          <t>样品18</t>
        </is>
      </c>
    </row>
    <row r="798">
      <c r="A798" t="inlineStr">
        <is>
          <t>19(1)-V01</t>
        </is>
      </c>
      <c r="B798" t="inlineStr">
        <is>
          <t>19 (1).tif</t>
        </is>
      </c>
      <c r="C798" t="n">
        <v>460</v>
      </c>
      <c r="D798" t="n">
        <v>318</v>
      </c>
      <c r="E798" t="inlineStr">
        <is>
          <t>379,246,542,391</t>
        </is>
      </c>
      <c r="F798" t="n">
        <v>246</v>
      </c>
      <c r="G798" t="inlineStr">
        <is>
          <t>primary</t>
        </is>
      </c>
      <c r="H798" t="inlineStr">
        <is>
          <t>AUTO_VESSEL</t>
        </is>
      </c>
      <c r="I798" t="inlineStr">
        <is>
          <t>是</t>
        </is>
      </c>
      <c r="J798" t="inlineStr">
        <is>
          <t>纳入</t>
        </is>
      </c>
      <c r="K798" t="n">
        <v>865.1937618147448</v>
      </c>
      <c r="L798">
        <f>导管母表_1781!G798</f>
        <v/>
      </c>
      <c r="M798" t="inlineStr">
        <is>
          <t>视野内部</t>
        </is>
      </c>
      <c r="N798" t="inlineStr">
        <is>
          <t>纳入A/D/Dh；若有Pair_ID则纳入CWR</t>
        </is>
      </c>
      <c r="O798" t="inlineStr">
        <is>
          <t>自动管线检出的合格导管腔。</t>
        </is>
      </c>
      <c r="P798" t="inlineStr">
        <is>
          <t>auto_pipeline;review_png_green</t>
        </is>
      </c>
      <c r="R798" t="inlineStr">
        <is>
          <t>样品19</t>
        </is>
      </c>
    </row>
    <row r="799">
      <c r="A799" t="inlineStr">
        <is>
          <t>19(1)-V02</t>
        </is>
      </c>
      <c r="B799" t="inlineStr">
        <is>
          <t>19 (1).tif</t>
        </is>
      </c>
      <c r="C799" t="n">
        <v>594</v>
      </c>
      <c r="D799" t="n">
        <v>406</v>
      </c>
      <c r="E799" t="inlineStr">
        <is>
          <t>531,345,658,468</t>
        </is>
      </c>
      <c r="F799" t="n">
        <v>300</v>
      </c>
      <c r="G799" t="inlineStr">
        <is>
          <t>primary</t>
        </is>
      </c>
      <c r="H799" t="inlineStr">
        <is>
          <t>AUTO_VESSEL</t>
        </is>
      </c>
      <c r="I799" t="inlineStr">
        <is>
          <t>是</t>
        </is>
      </c>
      <c r="J799" t="inlineStr">
        <is>
          <t>纳入</t>
        </is>
      </c>
      <c r="K799" t="n">
        <v>570.179584120983</v>
      </c>
      <c r="L799">
        <f>导管母表_1781!G799</f>
        <v/>
      </c>
      <c r="M799" t="inlineStr">
        <is>
          <t>视野内部</t>
        </is>
      </c>
      <c r="N799" t="inlineStr">
        <is>
          <t>纳入A/D/Dh；若有Pair_ID则纳入CWR</t>
        </is>
      </c>
      <c r="O799" t="inlineStr">
        <is>
          <t>自动管线检出的合格导管腔。</t>
        </is>
      </c>
      <c r="P799" t="inlineStr">
        <is>
          <t>auto_pipeline;review_png_green</t>
        </is>
      </c>
      <c r="R799" t="inlineStr">
        <is>
          <t>样品19</t>
        </is>
      </c>
    </row>
    <row r="800">
      <c r="A800" t="inlineStr">
        <is>
          <t>19(1)-V03</t>
        </is>
      </c>
      <c r="B800" t="inlineStr">
        <is>
          <t>19 (1).tif</t>
        </is>
      </c>
      <c r="C800" t="n">
        <v>240</v>
      </c>
      <c r="D800" t="n">
        <v>156</v>
      </c>
      <c r="E800" t="inlineStr">
        <is>
          <t>198,109,283,204</t>
        </is>
      </c>
      <c r="F800" t="n">
        <v>109</v>
      </c>
      <c r="G800" t="inlineStr">
        <is>
          <t>primary</t>
        </is>
      </c>
      <c r="H800" t="inlineStr">
        <is>
          <t>AUTO_VESSEL</t>
        </is>
      </c>
      <c r="I800" t="inlineStr">
        <is>
          <t>是</t>
        </is>
      </c>
      <c r="J800" t="inlineStr">
        <is>
          <t>纳入</t>
        </is>
      </c>
      <c r="K800" t="n">
        <v>282.2306238185255</v>
      </c>
      <c r="L800">
        <f>导管母表_1781!G800</f>
        <v/>
      </c>
      <c r="M800" t="inlineStr">
        <is>
          <t>视野内部</t>
        </is>
      </c>
      <c r="N800" t="inlineStr">
        <is>
          <t>纳入A/D/Dh；若有Pair_ID则纳入CWR</t>
        </is>
      </c>
      <c r="O800" t="inlineStr">
        <is>
          <t>自动管线检出的合格导管腔。</t>
        </is>
      </c>
      <c r="P800" t="inlineStr">
        <is>
          <t>auto_pipeline;review_png_green</t>
        </is>
      </c>
      <c r="R800" t="inlineStr">
        <is>
          <t>样品19</t>
        </is>
      </c>
    </row>
    <row r="801">
      <c r="A801" t="inlineStr">
        <is>
          <t>19(1)-V04</t>
        </is>
      </c>
      <c r="B801" t="inlineStr">
        <is>
          <t>19 (1).tif</t>
        </is>
      </c>
      <c r="C801" t="n">
        <v>129</v>
      </c>
      <c r="D801" t="n">
        <v>68</v>
      </c>
      <c r="E801" t="inlineStr">
        <is>
          <t>81,30,178,107</t>
        </is>
      </c>
      <c r="F801" t="n">
        <v>30</v>
      </c>
      <c r="G801" t="inlineStr">
        <is>
          <t>primary</t>
        </is>
      </c>
      <c r="H801" t="inlineStr">
        <is>
          <t>AUTO_VESSEL</t>
        </is>
      </c>
      <c r="I801" t="inlineStr">
        <is>
          <t>是</t>
        </is>
      </c>
      <c r="J801" t="inlineStr">
        <is>
          <t>纳入</t>
        </is>
      </c>
      <c r="K801" t="n">
        <v>269.3525519848772</v>
      </c>
      <c r="L801">
        <f>导管母表_1781!G801</f>
        <v/>
      </c>
      <c r="M801" t="inlineStr">
        <is>
          <t>视野内部</t>
        </is>
      </c>
      <c r="N801" t="inlineStr">
        <is>
          <t>纳入A/D/Dh；若有Pair_ID则纳入CWR</t>
        </is>
      </c>
      <c r="O801" t="inlineStr">
        <is>
          <t>自动管线检出的合格导管腔。</t>
        </is>
      </c>
      <c r="P801" t="inlineStr">
        <is>
          <t>auto_pipeline;review_png_green</t>
        </is>
      </c>
      <c r="R801" t="inlineStr">
        <is>
          <t>样品19</t>
        </is>
      </c>
    </row>
    <row r="802">
      <c r="A802" t="inlineStr">
        <is>
          <t>19(1)-V05</t>
        </is>
      </c>
      <c r="B802" t="inlineStr">
        <is>
          <t>19 (1).tif</t>
        </is>
      </c>
      <c r="C802" t="n">
        <v>683</v>
      </c>
      <c r="D802" t="n">
        <v>480</v>
      </c>
      <c r="E802" t="inlineStr">
        <is>
          <t>643,454,724,507</t>
        </is>
      </c>
      <c r="F802" t="n">
        <v>261</v>
      </c>
      <c r="G802" t="inlineStr">
        <is>
          <t>primary</t>
        </is>
      </c>
      <c r="H802" t="inlineStr">
        <is>
          <t>AUTO_VESSEL</t>
        </is>
      </c>
      <c r="I802" t="inlineStr">
        <is>
          <t>是</t>
        </is>
      </c>
      <c r="J802" t="inlineStr">
        <is>
          <t>纳入</t>
        </is>
      </c>
      <c r="K802" t="n">
        <v>143.8090737240076</v>
      </c>
      <c r="L802">
        <f>导管母表_1781!G802</f>
        <v/>
      </c>
      <c r="M802" t="inlineStr">
        <is>
          <t>视野内部</t>
        </is>
      </c>
      <c r="N802" t="inlineStr">
        <is>
          <t>纳入A/D/Dh；若有Pair_ID则纳入CWR</t>
        </is>
      </c>
      <c r="O802" t="inlineStr">
        <is>
          <t>自动管线检出的合格导管腔。</t>
        </is>
      </c>
      <c r="P802" t="inlineStr">
        <is>
          <t>auto_pipeline;review_png_green</t>
        </is>
      </c>
      <c r="R802" t="inlineStr">
        <is>
          <t>样品19</t>
        </is>
      </c>
    </row>
    <row r="803">
      <c r="A803" t="inlineStr">
        <is>
          <t>19(1)-V06</t>
        </is>
      </c>
      <c r="B803" t="inlineStr">
        <is>
          <t>19 (1).tif</t>
        </is>
      </c>
      <c r="C803" t="n">
        <v>826</v>
      </c>
      <c r="D803" t="n">
        <v>591</v>
      </c>
      <c r="E803" t="inlineStr">
        <is>
          <t>791,563,862,620</t>
        </is>
      </c>
      <c r="F803" t="n">
        <v>148</v>
      </c>
      <c r="G803" t="inlineStr">
        <is>
          <t>primary</t>
        </is>
      </c>
      <c r="H803" t="inlineStr">
        <is>
          <t>AUTO_VESSEL</t>
        </is>
      </c>
      <c r="I803" t="inlineStr">
        <is>
          <t>是</t>
        </is>
      </c>
      <c r="J803" t="inlineStr">
        <is>
          <t>纳入</t>
        </is>
      </c>
      <c r="K803" t="n">
        <v>124.8345935727788</v>
      </c>
      <c r="L803">
        <f>导管母表_1781!G803</f>
        <v/>
      </c>
      <c r="M803" t="inlineStr">
        <is>
          <t>视野内部</t>
        </is>
      </c>
      <c r="N803" t="inlineStr">
        <is>
          <t>纳入A/D/Dh；若有Pair_ID则纳入CWR</t>
        </is>
      </c>
      <c r="O803" t="inlineStr">
        <is>
          <t>自动管线检出的合格导管腔。</t>
        </is>
      </c>
      <c r="P803" t="inlineStr">
        <is>
          <t>auto_pipeline;review_png_green</t>
        </is>
      </c>
      <c r="R803" t="inlineStr">
        <is>
          <t>样品19</t>
        </is>
      </c>
    </row>
    <row r="804">
      <c r="A804" t="inlineStr">
        <is>
          <t>19(2)-V01</t>
        </is>
      </c>
      <c r="B804" t="inlineStr">
        <is>
          <t>19 (2).tif</t>
        </is>
      </c>
      <c r="C804" t="n">
        <v>514</v>
      </c>
      <c r="D804" t="n">
        <v>309</v>
      </c>
      <c r="E804" t="inlineStr">
        <is>
          <t>445,246,584,373</t>
        </is>
      </c>
      <c r="F804" t="n">
        <v>246</v>
      </c>
      <c r="G804" t="inlineStr">
        <is>
          <t>primary</t>
        </is>
      </c>
      <c r="H804" t="inlineStr">
        <is>
          <t>AUTO_VESSEL</t>
        </is>
      </c>
      <c r="I804" t="inlineStr">
        <is>
          <t>是</t>
        </is>
      </c>
      <c r="J804" t="inlineStr">
        <is>
          <t>纳入</t>
        </is>
      </c>
      <c r="K804" t="n">
        <v>644.7542533081286</v>
      </c>
      <c r="L804">
        <f>导管母表_1781!G804</f>
        <v/>
      </c>
      <c r="M804" t="inlineStr">
        <is>
          <t>视野内部</t>
        </is>
      </c>
      <c r="N804" t="inlineStr">
        <is>
          <t>纳入A/D/Dh；若有Pair_ID则纳入CWR</t>
        </is>
      </c>
      <c r="O804" t="inlineStr">
        <is>
          <t>自动管线检出的合格导管腔。</t>
        </is>
      </c>
      <c r="P804" t="inlineStr">
        <is>
          <t>auto_pipeline;review_png_green</t>
        </is>
      </c>
      <c r="R804" t="inlineStr">
        <is>
          <t>样品19</t>
        </is>
      </c>
    </row>
    <row r="805">
      <c r="A805" t="inlineStr">
        <is>
          <t>19(2)-V02</t>
        </is>
      </c>
      <c r="B805" t="inlineStr">
        <is>
          <t>19 (2).tif</t>
        </is>
      </c>
      <c r="C805" t="n">
        <v>858</v>
      </c>
      <c r="D805" t="n">
        <v>247</v>
      </c>
      <c r="E805" t="inlineStr">
        <is>
          <t>800,179,917,316</t>
        </is>
      </c>
      <c r="F805" t="n">
        <v>107</v>
      </c>
      <c r="G805" t="inlineStr">
        <is>
          <t>primary</t>
        </is>
      </c>
      <c r="H805" t="inlineStr">
        <is>
          <t>AUTO_VESSEL</t>
        </is>
      </c>
      <c r="I805" t="inlineStr">
        <is>
          <t>是</t>
        </is>
      </c>
      <c r="J805" t="inlineStr">
        <is>
          <t>纳入</t>
        </is>
      </c>
      <c r="K805" t="n">
        <v>584.1209829867674</v>
      </c>
      <c r="L805">
        <f>导管母表_1781!G805</f>
        <v/>
      </c>
      <c r="M805" t="inlineStr">
        <is>
          <t>视野内部</t>
        </is>
      </c>
      <c r="N805" t="inlineStr">
        <is>
          <t>纳入A/D/Dh；若有Pair_ID则纳入CWR</t>
        </is>
      </c>
      <c r="O805" t="inlineStr">
        <is>
          <t>自动管线检出的合格导管腔。</t>
        </is>
      </c>
      <c r="P805" t="inlineStr">
        <is>
          <t>auto_pipeline;review_png_green</t>
        </is>
      </c>
      <c r="R805" t="inlineStr">
        <is>
          <t>样品19</t>
        </is>
      </c>
    </row>
    <row r="806">
      <c r="A806" t="inlineStr">
        <is>
          <t>19(2)-V03</t>
        </is>
      </c>
      <c r="B806" t="inlineStr">
        <is>
          <t>19 (2).tif</t>
        </is>
      </c>
      <c r="C806" t="n">
        <v>511</v>
      </c>
      <c r="D806" t="n">
        <v>457</v>
      </c>
      <c r="E806" t="inlineStr">
        <is>
          <t>457,390,566,525</t>
        </is>
      </c>
      <c r="F806" t="n">
        <v>243</v>
      </c>
      <c r="G806" t="inlineStr">
        <is>
          <t>primary</t>
        </is>
      </c>
      <c r="H806" t="inlineStr">
        <is>
          <t>AUTO_VESSEL</t>
        </is>
      </c>
      <c r="I806" t="inlineStr">
        <is>
          <t>是</t>
        </is>
      </c>
      <c r="J806" t="inlineStr">
        <is>
          <t>纳入</t>
        </is>
      </c>
      <c r="K806" t="n">
        <v>537.3818525519849</v>
      </c>
      <c r="L806">
        <f>导管母表_1781!G806</f>
        <v/>
      </c>
      <c r="M806" t="inlineStr">
        <is>
          <t>视野内部</t>
        </is>
      </c>
      <c r="N806" t="inlineStr">
        <is>
          <t>纳入A/D/Dh；若有Pair_ID则纳入CWR</t>
        </is>
      </c>
      <c r="O806" t="inlineStr">
        <is>
          <t>自动管线检出的合格导管腔。</t>
        </is>
      </c>
      <c r="P806" t="inlineStr">
        <is>
          <t>auto_pipeline;review_png_green</t>
        </is>
      </c>
      <c r="R806" t="inlineStr">
        <is>
          <t>样品19</t>
        </is>
      </c>
    </row>
    <row r="807">
      <c r="A807" t="inlineStr">
        <is>
          <t>19(2)-V04</t>
        </is>
      </c>
      <c r="B807" t="inlineStr">
        <is>
          <t>19 (2).tif</t>
        </is>
      </c>
      <c r="C807" t="n">
        <v>145</v>
      </c>
      <c r="D807" t="n">
        <v>295</v>
      </c>
      <c r="E807" t="inlineStr">
        <is>
          <t>96,240,195,351</t>
        </is>
      </c>
      <c r="F807" t="n">
        <v>96</v>
      </c>
      <c r="G807" t="inlineStr">
        <is>
          <t>primary</t>
        </is>
      </c>
      <c r="H807" t="inlineStr">
        <is>
          <t>AUTO_VESSEL</t>
        </is>
      </c>
      <c r="I807" t="inlineStr">
        <is>
          <t>是</t>
        </is>
      </c>
      <c r="J807" t="inlineStr">
        <is>
          <t>纳入</t>
        </is>
      </c>
      <c r="K807" t="n">
        <v>399.5982986767486</v>
      </c>
      <c r="L807">
        <f>导管母表_1781!G807</f>
        <v/>
      </c>
      <c r="M807" t="inlineStr">
        <is>
          <t>视野内部</t>
        </is>
      </c>
      <c r="N807" t="inlineStr">
        <is>
          <t>纳入A/D/Dh；若有Pair_ID则纳入CWR</t>
        </is>
      </c>
      <c r="O807" t="inlineStr">
        <is>
          <t>自动管线检出的合格导管腔。</t>
        </is>
      </c>
      <c r="P807" t="inlineStr">
        <is>
          <t>auto_pipeline;review_png_green</t>
        </is>
      </c>
      <c r="R807" t="inlineStr">
        <is>
          <t>样品19</t>
        </is>
      </c>
    </row>
    <row r="808">
      <c r="A808" t="inlineStr">
        <is>
          <t>19(2)-V05</t>
        </is>
      </c>
      <c r="B808" t="inlineStr">
        <is>
          <t>19 (2).tif</t>
        </is>
      </c>
      <c r="C808" t="n">
        <v>376</v>
      </c>
      <c r="D808" t="n">
        <v>592</v>
      </c>
      <c r="E808" t="inlineStr">
        <is>
          <t>358,543,395,642</t>
        </is>
      </c>
      <c r="F808" t="n">
        <v>126</v>
      </c>
      <c r="G808" t="inlineStr">
        <is>
          <t>primary</t>
        </is>
      </c>
      <c r="H808" t="inlineStr">
        <is>
          <t>AUTO_VESSEL</t>
        </is>
      </c>
      <c r="I808" t="inlineStr">
        <is>
          <t>是</t>
        </is>
      </c>
      <c r="J808" t="inlineStr">
        <is>
          <t>纳入</t>
        </is>
      </c>
      <c r="K808" t="n">
        <v>131.0964083175803</v>
      </c>
      <c r="L808">
        <f>导管母表_1781!G808</f>
        <v/>
      </c>
      <c r="M808" t="inlineStr">
        <is>
          <t>视野内部</t>
        </is>
      </c>
      <c r="N808" t="inlineStr">
        <is>
          <t>纳入A/D/Dh；若有Pair_ID则纳入CWR</t>
        </is>
      </c>
      <c r="O808" t="inlineStr">
        <is>
          <t>自动管线检出的合格导管腔。</t>
        </is>
      </c>
      <c r="P808" t="inlineStr">
        <is>
          <t>auto_pipeline;review_png_green</t>
        </is>
      </c>
      <c r="R808" t="inlineStr">
        <is>
          <t>样品19</t>
        </is>
      </c>
    </row>
    <row r="809">
      <c r="A809" t="inlineStr">
        <is>
          <t>19(3)-V01</t>
        </is>
      </c>
      <c r="B809" t="inlineStr">
        <is>
          <t>19 (3).tif</t>
        </is>
      </c>
      <c r="C809" t="n">
        <v>509</v>
      </c>
      <c r="D809" t="n">
        <v>462</v>
      </c>
      <c r="E809" t="inlineStr">
        <is>
          <t>447,405,572,520</t>
        </is>
      </c>
      <c r="F809" t="n">
        <v>248</v>
      </c>
      <c r="G809" t="inlineStr">
        <is>
          <t>primary</t>
        </is>
      </c>
      <c r="H809" t="inlineStr">
        <is>
          <t>AUTO_VESSEL</t>
        </is>
      </c>
      <c r="I809" t="inlineStr">
        <is>
          <t>是</t>
        </is>
      </c>
      <c r="J809" t="inlineStr">
        <is>
          <t>纳入</t>
        </is>
      </c>
      <c r="K809" t="n">
        <v>504.2769376181474</v>
      </c>
      <c r="L809">
        <f>导管母表_1781!G809</f>
        <v/>
      </c>
      <c r="M809" t="inlineStr">
        <is>
          <t>视野内部</t>
        </is>
      </c>
      <c r="N809" t="inlineStr">
        <is>
          <t>纳入A/D/Dh；若有Pair_ID则纳入CWR</t>
        </is>
      </c>
      <c r="O809" t="inlineStr">
        <is>
          <t>自动管线检出的合格导管腔。</t>
        </is>
      </c>
      <c r="P809" t="inlineStr">
        <is>
          <t>auto_pipeline;review_png_green</t>
        </is>
      </c>
      <c r="Q809" t="inlineStr">
        <is>
          <t>19(3)-P01</t>
        </is>
      </c>
      <c r="R809" t="inlineStr">
        <is>
          <t>样品19</t>
        </is>
      </c>
    </row>
    <row r="810">
      <c r="A810" t="inlineStr">
        <is>
          <t>19(3)-V02</t>
        </is>
      </c>
      <c r="B810" t="inlineStr">
        <is>
          <t>19 (3).tif</t>
        </is>
      </c>
      <c r="C810" t="n">
        <v>512</v>
      </c>
      <c r="D810" t="n">
        <v>350</v>
      </c>
      <c r="E810" t="inlineStr">
        <is>
          <t>462,308,563,393</t>
        </is>
      </c>
      <c r="F810" t="n">
        <v>308</v>
      </c>
      <c r="G810" t="inlineStr">
        <is>
          <t>primary</t>
        </is>
      </c>
      <c r="H810" t="inlineStr">
        <is>
          <t>AUTO_VESSEL</t>
        </is>
      </c>
      <c r="I810" t="inlineStr">
        <is>
          <t>是</t>
        </is>
      </c>
      <c r="J810" t="inlineStr">
        <is>
          <t>纳入</t>
        </is>
      </c>
      <c r="K810" t="n">
        <v>311.578449905482</v>
      </c>
      <c r="L810">
        <f>导管母表_1781!G810</f>
        <v/>
      </c>
      <c r="M810" t="inlineStr">
        <is>
          <t>视野内部</t>
        </is>
      </c>
      <c r="N810" t="inlineStr">
        <is>
          <t>纳入A/D/Dh；若有Pair_ID则纳入CWR</t>
        </is>
      </c>
      <c r="O810" t="inlineStr">
        <is>
          <t>自动管线检出的合格导管腔。</t>
        </is>
      </c>
      <c r="P810" t="inlineStr">
        <is>
          <t>auto_pipeline;review_png_green</t>
        </is>
      </c>
      <c r="Q810" t="inlineStr">
        <is>
          <t>19(3)-P01</t>
        </is>
      </c>
      <c r="R810" t="inlineStr">
        <is>
          <t>样品19</t>
        </is>
      </c>
    </row>
    <row r="811">
      <c r="A811" t="inlineStr">
        <is>
          <t>19(3)-V03</t>
        </is>
      </c>
      <c r="B811" t="inlineStr">
        <is>
          <t>19 (3).tif</t>
        </is>
      </c>
      <c r="C811" t="n">
        <v>932</v>
      </c>
      <c r="D811" t="n">
        <v>82</v>
      </c>
      <c r="E811" t="inlineStr">
        <is>
          <t>894,34,971,131</t>
        </is>
      </c>
      <c r="F811" t="n">
        <v>34</v>
      </c>
      <c r="G811" t="inlineStr">
        <is>
          <t>primary</t>
        </is>
      </c>
      <c r="H811" t="inlineStr">
        <is>
          <t>AUTO_VESSEL</t>
        </is>
      </c>
      <c r="I811" t="inlineStr">
        <is>
          <t>是</t>
        </is>
      </c>
      <c r="J811" t="inlineStr">
        <is>
          <t>纳入</t>
        </is>
      </c>
      <c r="K811" t="n">
        <v>269.4706994328923</v>
      </c>
      <c r="L811">
        <f>导管母表_1781!G811</f>
        <v/>
      </c>
      <c r="M811" t="inlineStr">
        <is>
          <t>视野内部</t>
        </is>
      </c>
      <c r="N811" t="inlineStr">
        <is>
          <t>纳入A/D/Dh；若有Pair_ID则纳入CWR</t>
        </is>
      </c>
      <c r="O811" t="inlineStr">
        <is>
          <t>自动管线检出的合格导管腔。</t>
        </is>
      </c>
      <c r="P811" t="inlineStr">
        <is>
          <t>auto_pipeline;review_png_green</t>
        </is>
      </c>
      <c r="R811" t="inlineStr">
        <is>
          <t>样品19</t>
        </is>
      </c>
    </row>
    <row r="812">
      <c r="A812" t="inlineStr">
        <is>
          <t>19(3)-V04</t>
        </is>
      </c>
      <c r="B812" t="inlineStr">
        <is>
          <t>19 (3).tif</t>
        </is>
      </c>
      <c r="C812" t="n">
        <v>845</v>
      </c>
      <c r="D812" t="n">
        <v>449</v>
      </c>
      <c r="E812" t="inlineStr">
        <is>
          <t>817,418,874,481</t>
        </is>
      </c>
      <c r="F812" t="n">
        <v>150</v>
      </c>
      <c r="G812" t="inlineStr">
        <is>
          <t>primary</t>
        </is>
      </c>
      <c r="H812" t="inlineStr">
        <is>
          <t>AUTO_VESSEL</t>
        </is>
      </c>
      <c r="I812" t="inlineStr">
        <is>
          <t>是</t>
        </is>
      </c>
      <c r="J812" t="inlineStr">
        <is>
          <t>纳入</t>
        </is>
      </c>
      <c r="K812" t="n">
        <v>119.7069943289225</v>
      </c>
      <c r="L812">
        <f>导管母表_1781!G812</f>
        <v/>
      </c>
      <c r="M812" t="inlineStr">
        <is>
          <t>视野内部</t>
        </is>
      </c>
      <c r="N812" t="inlineStr">
        <is>
          <t>纳入A/D/Dh；若有Pair_ID则纳入CWR</t>
        </is>
      </c>
      <c r="O812" t="inlineStr">
        <is>
          <t>自动管线检出的合格导管腔。</t>
        </is>
      </c>
      <c r="P812" t="inlineStr">
        <is>
          <t>auto_pipeline;review_png_green</t>
        </is>
      </c>
      <c r="R812" t="inlineStr">
        <is>
          <t>样品19</t>
        </is>
      </c>
    </row>
    <row r="813">
      <c r="A813" t="inlineStr">
        <is>
          <t>19(3)-V05</t>
        </is>
      </c>
      <c r="B813" t="inlineStr">
        <is>
          <t>19 (3).tif</t>
        </is>
      </c>
      <c r="C813" t="n">
        <v>933</v>
      </c>
      <c r="D813" t="n">
        <v>172</v>
      </c>
      <c r="E813" t="inlineStr">
        <is>
          <t>904,142,963,203</t>
        </is>
      </c>
      <c r="F813" t="n">
        <v>61</v>
      </c>
      <c r="G813" t="inlineStr">
        <is>
          <t>primary</t>
        </is>
      </c>
      <c r="H813" t="inlineStr">
        <is>
          <t>AUTO_VESSEL</t>
        </is>
      </c>
      <c r="I813" t="inlineStr">
        <is>
          <t>是</t>
        </is>
      </c>
      <c r="J813" t="inlineStr">
        <is>
          <t>纳入</t>
        </is>
      </c>
      <c r="K813" t="n">
        <v>117.6275992438563</v>
      </c>
      <c r="L813">
        <f>导管母表_1781!G813</f>
        <v/>
      </c>
      <c r="M813" t="inlineStr">
        <is>
          <t>视野内部</t>
        </is>
      </c>
      <c r="N813" t="inlineStr">
        <is>
          <t>纳入A/D/Dh；若有Pair_ID则纳入CWR</t>
        </is>
      </c>
      <c r="O813" t="inlineStr">
        <is>
          <t>自动管线检出的合格导管腔。</t>
        </is>
      </c>
      <c r="P813" t="inlineStr">
        <is>
          <t>auto_pipeline;review_png_green</t>
        </is>
      </c>
      <c r="R813" t="inlineStr">
        <is>
          <t>样品19</t>
        </is>
      </c>
    </row>
    <row r="814">
      <c r="A814" t="inlineStr">
        <is>
          <t>19(3)-V06</t>
        </is>
      </c>
      <c r="B814" t="inlineStr">
        <is>
          <t>19 (3).tif</t>
        </is>
      </c>
      <c r="C814" t="n">
        <v>772</v>
      </c>
      <c r="D814" t="n">
        <v>407</v>
      </c>
      <c r="E814" t="inlineStr">
        <is>
          <t>741,384,804,431</t>
        </is>
      </c>
      <c r="F814" t="n">
        <v>220</v>
      </c>
      <c r="G814" t="inlineStr">
        <is>
          <t>primary</t>
        </is>
      </c>
      <c r="H814" t="inlineStr">
        <is>
          <t>AUTO_VESSEL</t>
        </is>
      </c>
      <c r="I814" t="inlineStr">
        <is>
          <t>是</t>
        </is>
      </c>
      <c r="J814" t="inlineStr">
        <is>
          <t>纳入</t>
        </is>
      </c>
      <c r="K814" t="n">
        <v>104.3478260869565</v>
      </c>
      <c r="L814">
        <f>导管母表_1781!G814</f>
        <v/>
      </c>
      <c r="M814" t="inlineStr">
        <is>
          <t>视野内部</t>
        </is>
      </c>
      <c r="N814" t="inlineStr">
        <is>
          <t>纳入A/D/Dh；若有Pair_ID则纳入CWR</t>
        </is>
      </c>
      <c r="O814" t="inlineStr">
        <is>
          <t>自动管线检出的合格导管腔。</t>
        </is>
      </c>
      <c r="P814" t="inlineStr">
        <is>
          <t>auto_pipeline;review_png_green</t>
        </is>
      </c>
      <c r="R814" t="inlineStr">
        <is>
          <t>样品19</t>
        </is>
      </c>
    </row>
    <row r="815">
      <c r="A815" t="inlineStr">
        <is>
          <t>19(3)-V07</t>
        </is>
      </c>
      <c r="B815" t="inlineStr">
        <is>
          <t>19 (3).tif</t>
        </is>
      </c>
      <c r="C815" t="n">
        <v>553</v>
      </c>
      <c r="D815" t="n">
        <v>525</v>
      </c>
      <c r="E815" t="inlineStr">
        <is>
          <t>530,495,577,556</t>
        </is>
      </c>
      <c r="F815" t="n">
        <v>212</v>
      </c>
      <c r="G815" t="inlineStr">
        <is>
          <t>primary</t>
        </is>
      </c>
      <c r="H815" t="inlineStr">
        <is>
          <t>AUTO_VESSEL</t>
        </is>
      </c>
      <c r="I815" t="inlineStr">
        <is>
          <t>是</t>
        </is>
      </c>
      <c r="J815" t="inlineStr">
        <is>
          <t>纳入</t>
        </is>
      </c>
      <c r="K815" t="n">
        <v>86.05860113421551</v>
      </c>
      <c r="L815">
        <f>导管母表_1781!G815</f>
        <v/>
      </c>
      <c r="M815" t="inlineStr">
        <is>
          <t>视野内部</t>
        </is>
      </c>
      <c r="N815" t="inlineStr">
        <is>
          <t>纳入A/D/Dh；若有Pair_ID则纳入CWR</t>
        </is>
      </c>
      <c r="O815" t="inlineStr">
        <is>
          <t>自动管线检出的合格导管腔。</t>
        </is>
      </c>
      <c r="P815" t="inlineStr">
        <is>
          <t>auto_pipeline;review_png_green</t>
        </is>
      </c>
      <c r="R815" t="inlineStr">
        <is>
          <t>样品19</t>
        </is>
      </c>
    </row>
    <row r="816">
      <c r="A816" t="inlineStr">
        <is>
          <t>19(4)-V01</t>
        </is>
      </c>
      <c r="B816" t="inlineStr">
        <is>
          <t>19 (4).tif</t>
        </is>
      </c>
      <c r="C816" t="n">
        <v>111</v>
      </c>
      <c r="D816" t="n">
        <v>442</v>
      </c>
      <c r="E816" t="inlineStr">
        <is>
          <t>39,377,184,508</t>
        </is>
      </c>
      <c r="F816" t="n">
        <v>39</v>
      </c>
      <c r="G816" t="inlineStr">
        <is>
          <t>primary</t>
        </is>
      </c>
      <c r="H816" t="inlineStr">
        <is>
          <t>AUTO_VESSEL</t>
        </is>
      </c>
      <c r="I816" t="inlineStr">
        <is>
          <t>是</t>
        </is>
      </c>
      <c r="J816" t="inlineStr">
        <is>
          <t>纳入</t>
        </is>
      </c>
      <c r="K816" t="n">
        <v>690.1701323251418</v>
      </c>
      <c r="L816">
        <f>导管母表_1781!G816</f>
        <v/>
      </c>
      <c r="M816" t="inlineStr">
        <is>
          <t>视野内部</t>
        </is>
      </c>
      <c r="N816" t="inlineStr">
        <is>
          <t>纳入A/D/Dh；若有Pair_ID则纳入CWR</t>
        </is>
      </c>
      <c r="O816" t="inlineStr">
        <is>
          <t>自动管线检出的合格导管腔。</t>
        </is>
      </c>
      <c r="P816" t="inlineStr">
        <is>
          <t>auto_pipeline;review_png_green</t>
        </is>
      </c>
      <c r="Q816" t="inlineStr">
        <is>
          <t>19(4)-P01</t>
        </is>
      </c>
      <c r="R816" t="inlineStr">
        <is>
          <t>样品19</t>
        </is>
      </c>
    </row>
    <row r="817">
      <c r="A817" t="inlineStr">
        <is>
          <t>19(4)-V02</t>
        </is>
      </c>
      <c r="B817" t="inlineStr">
        <is>
          <t>19 (4).tif</t>
        </is>
      </c>
      <c r="C817" t="n">
        <v>455</v>
      </c>
      <c r="D817" t="n">
        <v>441</v>
      </c>
      <c r="E817" t="inlineStr">
        <is>
          <t>396,377,515,506</t>
        </is>
      </c>
      <c r="F817" t="n">
        <v>262</v>
      </c>
      <c r="G817" t="inlineStr">
        <is>
          <t>primary</t>
        </is>
      </c>
      <c r="H817" t="inlineStr">
        <is>
          <t>AUTO_VESSEL</t>
        </is>
      </c>
      <c r="I817" t="inlineStr">
        <is>
          <t>是</t>
        </is>
      </c>
      <c r="J817" t="inlineStr">
        <is>
          <t>纳入</t>
        </is>
      </c>
      <c r="K817" t="n">
        <v>558.6011342155009</v>
      </c>
      <c r="L817">
        <f>导管母表_1781!G817</f>
        <v/>
      </c>
      <c r="M817" t="inlineStr">
        <is>
          <t>视野内部</t>
        </is>
      </c>
      <c r="N817" t="inlineStr">
        <is>
          <t>纳入A/D/Dh；若有Pair_ID则纳入CWR</t>
        </is>
      </c>
      <c r="O817" t="inlineStr">
        <is>
          <t>自动管线检出的合格导管腔。</t>
        </is>
      </c>
      <c r="P817" t="inlineStr">
        <is>
          <t>auto_pipeline;review_png_green</t>
        </is>
      </c>
      <c r="Q817" t="inlineStr">
        <is>
          <t>19(4)-P02</t>
        </is>
      </c>
      <c r="R817" t="inlineStr">
        <is>
          <t>样品19</t>
        </is>
      </c>
    </row>
    <row r="818">
      <c r="A818" t="inlineStr">
        <is>
          <t>19(4)-V03</t>
        </is>
      </c>
      <c r="B818" t="inlineStr">
        <is>
          <t>19 (4).tif</t>
        </is>
      </c>
      <c r="C818" t="n">
        <v>80</v>
      </c>
      <c r="D818" t="n">
        <v>573</v>
      </c>
      <c r="E818" t="inlineStr">
        <is>
          <t>7,522,154,625</t>
        </is>
      </c>
      <c r="F818" t="n">
        <v>7</v>
      </c>
      <c r="G818" t="inlineStr">
        <is>
          <t>primary</t>
        </is>
      </c>
      <c r="H818" t="inlineStr">
        <is>
          <t>AUTO_VESSEL</t>
        </is>
      </c>
      <c r="I818" t="inlineStr">
        <is>
          <t>是</t>
        </is>
      </c>
      <c r="J818" t="inlineStr">
        <is>
          <t>纳入</t>
        </is>
      </c>
      <c r="K818" t="n">
        <v>549.7164461247637</v>
      </c>
      <c r="L818">
        <f>导管母表_1781!G818</f>
        <v/>
      </c>
      <c r="M818" t="inlineStr">
        <is>
          <t>近边缘（&lt;25 px）</t>
        </is>
      </c>
      <c r="N818" t="inlineStr">
        <is>
          <t>纳入A/D/Dh；若有Pair_ID则纳入CWR</t>
        </is>
      </c>
      <c r="O818" t="inlineStr">
        <is>
          <t>自动管线检出的合格导管腔。</t>
        </is>
      </c>
      <c r="P818" t="inlineStr">
        <is>
          <t>auto_pipeline;review_png_green</t>
        </is>
      </c>
      <c r="Q818" t="inlineStr">
        <is>
          <t>19(4)-P01</t>
        </is>
      </c>
      <c r="R818" t="inlineStr">
        <is>
          <t>样品19</t>
        </is>
      </c>
    </row>
    <row r="819">
      <c r="A819" t="inlineStr">
        <is>
          <t>19(4)-V04</t>
        </is>
      </c>
      <c r="B819" t="inlineStr">
        <is>
          <t>19 (4).tif</t>
        </is>
      </c>
      <c r="C819" t="n">
        <v>522</v>
      </c>
      <c r="D819" t="n">
        <v>315</v>
      </c>
      <c r="E819" t="inlineStr">
        <is>
          <t>462,256,583,375</t>
        </is>
      </c>
      <c r="F819" t="n">
        <v>256</v>
      </c>
      <c r="G819" t="inlineStr">
        <is>
          <t>primary</t>
        </is>
      </c>
      <c r="H819" t="inlineStr">
        <is>
          <t>AUTO_VESSEL</t>
        </is>
      </c>
      <c r="I819" t="inlineStr">
        <is>
          <t>是</t>
        </is>
      </c>
      <c r="J819" t="inlineStr">
        <is>
          <t>纳入</t>
        </is>
      </c>
      <c r="K819" t="n">
        <v>525.1890359168242</v>
      </c>
      <c r="L819">
        <f>导管母表_1781!G819</f>
        <v/>
      </c>
      <c r="M819" t="inlineStr">
        <is>
          <t>视野内部</t>
        </is>
      </c>
      <c r="N819" t="inlineStr">
        <is>
          <t>纳入A/D/Dh；若有Pair_ID则纳入CWR</t>
        </is>
      </c>
      <c r="O819" t="inlineStr">
        <is>
          <t>自动管线检出的合格导管腔。</t>
        </is>
      </c>
      <c r="P819" t="inlineStr">
        <is>
          <t>auto_pipeline;review_png_green</t>
        </is>
      </c>
      <c r="Q819" t="inlineStr">
        <is>
          <t>19(4)-P02</t>
        </is>
      </c>
      <c r="R819" t="inlineStr">
        <is>
          <t>样品19</t>
        </is>
      </c>
    </row>
    <row r="820">
      <c r="A820" t="inlineStr">
        <is>
          <t>19(4)-V05</t>
        </is>
      </c>
      <c r="B820" t="inlineStr">
        <is>
          <t>19 (4).tif</t>
        </is>
      </c>
      <c r="C820" t="n">
        <v>843</v>
      </c>
      <c r="D820" t="n">
        <v>282</v>
      </c>
      <c r="E820" t="inlineStr">
        <is>
          <t>801,237,886,328</t>
        </is>
      </c>
      <c r="F820" t="n">
        <v>138</v>
      </c>
      <c r="G820" t="inlineStr">
        <is>
          <t>primary</t>
        </is>
      </c>
      <c r="H820" t="inlineStr">
        <is>
          <t>AUTO_VESSEL</t>
        </is>
      </c>
      <c r="I820" t="inlineStr">
        <is>
          <t>是</t>
        </is>
      </c>
      <c r="J820" t="inlineStr">
        <is>
          <t>纳入</t>
        </is>
      </c>
      <c r="K820" t="n">
        <v>280.9310018903591</v>
      </c>
      <c r="L820">
        <f>导管母表_1781!G820</f>
        <v/>
      </c>
      <c r="M820" t="inlineStr">
        <is>
          <t>视野内部</t>
        </is>
      </c>
      <c r="N820" t="inlineStr">
        <is>
          <t>纳入A/D/Dh；若有Pair_ID则纳入CWR</t>
        </is>
      </c>
      <c r="O820" t="inlineStr">
        <is>
          <t>自动管线检出的合格导管腔。</t>
        </is>
      </c>
      <c r="P820" t="inlineStr">
        <is>
          <t>auto_pipeline;review_png_green</t>
        </is>
      </c>
      <c r="R820" t="inlineStr">
        <is>
          <t>样品19</t>
        </is>
      </c>
    </row>
    <row r="821">
      <c r="A821" t="inlineStr">
        <is>
          <t>19(5)-V01</t>
        </is>
      </c>
      <c r="B821" t="inlineStr">
        <is>
          <t>19 (5).tif</t>
        </is>
      </c>
      <c r="C821" t="n">
        <v>448</v>
      </c>
      <c r="D821" t="n">
        <v>436</v>
      </c>
      <c r="E821" t="inlineStr">
        <is>
          <t>378,360,519,513</t>
        </is>
      </c>
      <c r="F821" t="n">
        <v>255</v>
      </c>
      <c r="G821" t="inlineStr">
        <is>
          <t>primary</t>
        </is>
      </c>
      <c r="H821" t="inlineStr">
        <is>
          <t>AUTO_VESSEL</t>
        </is>
      </c>
      <c r="I821" t="inlineStr">
        <is>
          <t>是</t>
        </is>
      </c>
      <c r="J821" t="inlineStr">
        <is>
          <t>纳入</t>
        </is>
      </c>
      <c r="K821" t="n">
        <v>770.4158790170133</v>
      </c>
      <c r="L821">
        <f>导管母表_1781!G821</f>
        <v/>
      </c>
      <c r="M821" t="inlineStr">
        <is>
          <t>视野内部</t>
        </is>
      </c>
      <c r="N821" t="inlineStr">
        <is>
          <t>纳入A/D/Dh；若有Pair_ID则纳入CWR</t>
        </is>
      </c>
      <c r="O821" t="inlineStr">
        <is>
          <t>自动管线检出的合格导管腔。</t>
        </is>
      </c>
      <c r="P821" t="inlineStr">
        <is>
          <t>auto_pipeline;review_png_green</t>
        </is>
      </c>
      <c r="Q821" t="inlineStr">
        <is>
          <t>19(5)-P01</t>
        </is>
      </c>
      <c r="R821" t="inlineStr">
        <is>
          <t>样品19</t>
        </is>
      </c>
    </row>
    <row r="822">
      <c r="A822" t="inlineStr">
        <is>
          <t>19(5)-V02</t>
        </is>
      </c>
      <c r="B822" t="inlineStr">
        <is>
          <t>19 (5).tif</t>
        </is>
      </c>
      <c r="C822" t="n">
        <v>544</v>
      </c>
      <c r="D822" t="n">
        <v>299</v>
      </c>
      <c r="E822" t="inlineStr">
        <is>
          <t>490,240,599,359</t>
        </is>
      </c>
      <c r="F822" t="n">
        <v>240</v>
      </c>
      <c r="G822" t="inlineStr">
        <is>
          <t>primary</t>
        </is>
      </c>
      <c r="H822" t="inlineStr">
        <is>
          <t>AUTO_VESSEL</t>
        </is>
      </c>
      <c r="I822" t="inlineStr">
        <is>
          <t>是</t>
        </is>
      </c>
      <c r="J822" t="inlineStr">
        <is>
          <t>纳入</t>
        </is>
      </c>
      <c r="K822" t="n">
        <v>472.6843100189036</v>
      </c>
      <c r="L822">
        <f>导管母表_1781!G822</f>
        <v/>
      </c>
      <c r="M822" t="inlineStr">
        <is>
          <t>视野内部</t>
        </is>
      </c>
      <c r="N822" t="inlineStr">
        <is>
          <t>纳入A/D/Dh；若有Pair_ID则纳入CWR</t>
        </is>
      </c>
      <c r="O822" t="inlineStr">
        <is>
          <t>自动管线检出的合格导管腔。</t>
        </is>
      </c>
      <c r="P822" t="inlineStr">
        <is>
          <t>auto_pipeline;review_png_green</t>
        </is>
      </c>
      <c r="Q822" t="inlineStr">
        <is>
          <t>19(5)-P01</t>
        </is>
      </c>
      <c r="R822" t="inlineStr">
        <is>
          <t>样品19</t>
        </is>
      </c>
    </row>
    <row r="823">
      <c r="A823" t="inlineStr">
        <is>
          <t>19(5)-V03</t>
        </is>
      </c>
      <c r="B823" t="inlineStr">
        <is>
          <t>19 (5).tif</t>
        </is>
      </c>
      <c r="C823" t="n">
        <v>610</v>
      </c>
      <c r="D823" t="n">
        <v>215</v>
      </c>
      <c r="E823" t="inlineStr">
        <is>
          <t>580,179,641,252</t>
        </is>
      </c>
      <c r="F823" t="n">
        <v>179</v>
      </c>
      <c r="G823" t="inlineStr">
        <is>
          <t>primary</t>
        </is>
      </c>
      <c r="H823" t="inlineStr">
        <is>
          <t>AUTO_VESSEL</t>
        </is>
      </c>
      <c r="I823" t="inlineStr">
        <is>
          <t>是</t>
        </is>
      </c>
      <c r="J823" t="inlineStr">
        <is>
          <t>纳入</t>
        </is>
      </c>
      <c r="K823" t="n">
        <v>159.0737240075614</v>
      </c>
      <c r="L823">
        <f>导管母表_1781!G823</f>
        <v/>
      </c>
      <c r="M823" t="inlineStr">
        <is>
          <t>视野内部</t>
        </is>
      </c>
      <c r="N823" t="inlineStr">
        <is>
          <t>纳入A/D/Dh；若有Pair_ID则纳入CWR</t>
        </is>
      </c>
      <c r="O823" t="inlineStr">
        <is>
          <t>自动管线检出的合格导管腔。</t>
        </is>
      </c>
      <c r="P823" t="inlineStr">
        <is>
          <t>auto_pipeline;review_png_green</t>
        </is>
      </c>
      <c r="R823" t="inlineStr">
        <is>
          <t>样品19</t>
        </is>
      </c>
    </row>
    <row r="824">
      <c r="A824" t="inlineStr">
        <is>
          <t>19(5)-V04</t>
        </is>
      </c>
      <c r="B824" t="inlineStr">
        <is>
          <t>19 (5).tif</t>
        </is>
      </c>
      <c r="C824" t="n">
        <v>73</v>
      </c>
      <c r="D824" t="n">
        <v>131</v>
      </c>
      <c r="E824" t="inlineStr">
        <is>
          <t>49,93,98,170</t>
        </is>
      </c>
      <c r="F824" t="n">
        <v>49</v>
      </c>
      <c r="G824" t="inlineStr">
        <is>
          <t>primary</t>
        </is>
      </c>
      <c r="H824" t="inlineStr">
        <is>
          <t>AUTO_VESSEL</t>
        </is>
      </c>
      <c r="I824" t="inlineStr">
        <is>
          <t>是</t>
        </is>
      </c>
      <c r="J824" t="inlineStr">
        <is>
          <t>纳入</t>
        </is>
      </c>
      <c r="K824" t="n">
        <v>127.3156899810964</v>
      </c>
      <c r="L824">
        <f>导管母表_1781!G824</f>
        <v/>
      </c>
      <c r="M824" t="inlineStr">
        <is>
          <t>视野内部</t>
        </is>
      </c>
      <c r="N824" t="inlineStr">
        <is>
          <t>纳入A/D/Dh；若有Pair_ID则纳入CWR</t>
        </is>
      </c>
      <c r="O824" t="inlineStr">
        <is>
          <t>自动管线检出的合格导管腔。</t>
        </is>
      </c>
      <c r="P824" t="inlineStr">
        <is>
          <t>auto_pipeline;review_png_green</t>
        </is>
      </c>
      <c r="R824" t="inlineStr">
        <is>
          <t>样品19</t>
        </is>
      </c>
    </row>
    <row r="825">
      <c r="A825" t="inlineStr">
        <is>
          <t>19(5)-V05</t>
        </is>
      </c>
      <c r="B825" t="inlineStr">
        <is>
          <t>19 (5).tif</t>
        </is>
      </c>
      <c r="C825" t="n">
        <v>457</v>
      </c>
      <c r="D825" t="n">
        <v>272</v>
      </c>
      <c r="E825" t="inlineStr">
        <is>
          <t>425,237,490,308</t>
        </is>
      </c>
      <c r="F825" t="n">
        <v>237</v>
      </c>
      <c r="G825" t="inlineStr">
        <is>
          <t>primary</t>
        </is>
      </c>
      <c r="H825" t="inlineStr">
        <is>
          <t>AUTO_VESSEL</t>
        </is>
      </c>
      <c r="I825" t="inlineStr">
        <is>
          <t>是</t>
        </is>
      </c>
      <c r="J825" t="inlineStr">
        <is>
          <t>纳入</t>
        </is>
      </c>
      <c r="K825" t="n">
        <v>117.8875236294896</v>
      </c>
      <c r="L825">
        <f>导管母表_1781!G825</f>
        <v/>
      </c>
      <c r="M825" t="inlineStr">
        <is>
          <t>视野内部</t>
        </is>
      </c>
      <c r="N825" t="inlineStr">
        <is>
          <t>纳入A/D/Dh；若有Pair_ID则纳入CWR</t>
        </is>
      </c>
      <c r="O825" t="inlineStr">
        <is>
          <t>自动管线检出的合格导管腔。</t>
        </is>
      </c>
      <c r="P825" t="inlineStr">
        <is>
          <t>auto_pipeline;review_png_green</t>
        </is>
      </c>
      <c r="R825" t="inlineStr">
        <is>
          <t>样品19</t>
        </is>
      </c>
    </row>
    <row r="826">
      <c r="A826" t="inlineStr">
        <is>
          <t>19(5)-V06</t>
        </is>
      </c>
      <c r="B826" t="inlineStr">
        <is>
          <t>19 (5).tif</t>
        </is>
      </c>
      <c r="C826" t="n">
        <v>184</v>
      </c>
      <c r="D826" t="n">
        <v>50</v>
      </c>
      <c r="E826" t="inlineStr">
        <is>
          <t>157,22,212,79</t>
        </is>
      </c>
      <c r="F826" t="n">
        <v>22</v>
      </c>
      <c r="G826" t="inlineStr">
        <is>
          <t>primary</t>
        </is>
      </c>
      <c r="H826" t="inlineStr">
        <is>
          <t>AUTO_VESSEL</t>
        </is>
      </c>
      <c r="I826" t="inlineStr">
        <is>
          <t>是</t>
        </is>
      </c>
      <c r="J826" t="inlineStr">
        <is>
          <t>纳入</t>
        </is>
      </c>
      <c r="K826" t="n">
        <v>112.523629489603</v>
      </c>
      <c r="L826">
        <f>导管母表_1781!G826</f>
        <v/>
      </c>
      <c r="M826" t="inlineStr">
        <is>
          <t>近边缘（&lt;25 px）</t>
        </is>
      </c>
      <c r="N826" t="inlineStr">
        <is>
          <t>纳入A/D/Dh；若有Pair_ID则纳入CWR</t>
        </is>
      </c>
      <c r="O826" t="inlineStr">
        <is>
          <t>自动管线检出的合格导管腔。</t>
        </is>
      </c>
      <c r="P826" t="inlineStr">
        <is>
          <t>auto_pipeline;review_png_green</t>
        </is>
      </c>
      <c r="R826" t="inlineStr">
        <is>
          <t>样品19</t>
        </is>
      </c>
    </row>
    <row r="827">
      <c r="A827" t="inlineStr">
        <is>
          <t>19(5)-V07</t>
        </is>
      </c>
      <c r="B827" t="inlineStr">
        <is>
          <t>19 (5).tif</t>
        </is>
      </c>
      <c r="C827" t="n">
        <v>71</v>
      </c>
      <c r="D827" t="n">
        <v>571</v>
      </c>
      <c r="E827" t="inlineStr">
        <is>
          <t>41,545,102,598</t>
        </is>
      </c>
      <c r="F827" t="n">
        <v>41</v>
      </c>
      <c r="G827" t="inlineStr">
        <is>
          <t>primary</t>
        </is>
      </c>
      <c r="H827" t="inlineStr">
        <is>
          <t>AUTO_VESSEL</t>
        </is>
      </c>
      <c r="I827" t="inlineStr">
        <is>
          <t>是</t>
        </is>
      </c>
      <c r="J827" t="inlineStr">
        <is>
          <t>纳入</t>
        </is>
      </c>
      <c r="K827" t="n">
        <v>110.3969754253308</v>
      </c>
      <c r="L827">
        <f>导管母表_1781!G827</f>
        <v/>
      </c>
      <c r="M827" t="inlineStr">
        <is>
          <t>视野内部</t>
        </is>
      </c>
      <c r="N827" t="inlineStr">
        <is>
          <t>纳入A/D/Dh；若有Pair_ID则纳入CWR</t>
        </is>
      </c>
      <c r="O827" t="inlineStr">
        <is>
          <t>自动管线检出的合格导管腔。</t>
        </is>
      </c>
      <c r="P827" t="inlineStr">
        <is>
          <t>auto_pipeline;review_png_green</t>
        </is>
      </c>
      <c r="R827" t="inlineStr">
        <is>
          <t>样品19</t>
        </is>
      </c>
    </row>
    <row r="828">
      <c r="A828" t="inlineStr">
        <is>
          <t>19(5)-V08</t>
        </is>
      </c>
      <c r="B828" t="inlineStr">
        <is>
          <t>19 (5).tif</t>
        </is>
      </c>
      <c r="C828" t="n">
        <v>351</v>
      </c>
      <c r="D828" t="n">
        <v>206</v>
      </c>
      <c r="E828" t="inlineStr">
        <is>
          <t>323,177,380,236</t>
        </is>
      </c>
      <c r="F828" t="n">
        <v>177</v>
      </c>
      <c r="G828" t="inlineStr">
        <is>
          <t>primary</t>
        </is>
      </c>
      <c r="H828" t="inlineStr">
        <is>
          <t>AUTO_VESSEL</t>
        </is>
      </c>
      <c r="I828" t="inlineStr">
        <is>
          <t>是</t>
        </is>
      </c>
      <c r="J828" t="inlineStr">
        <is>
          <t>纳入</t>
        </is>
      </c>
      <c r="K828" t="n">
        <v>108.695652173913</v>
      </c>
      <c r="L828">
        <f>导管母表_1781!G828</f>
        <v/>
      </c>
      <c r="M828" t="inlineStr">
        <is>
          <t>视野内部</t>
        </is>
      </c>
      <c r="N828" t="inlineStr">
        <is>
          <t>纳入A/D/Dh；若有Pair_ID则纳入CWR</t>
        </is>
      </c>
      <c r="O828" t="inlineStr">
        <is>
          <t>自动管线检出的合格导管腔。</t>
        </is>
      </c>
      <c r="P828" t="inlineStr">
        <is>
          <t>auto_pipeline;review_png_green</t>
        </is>
      </c>
      <c r="R828" t="inlineStr">
        <is>
          <t>样品19</t>
        </is>
      </c>
    </row>
    <row r="829">
      <c r="A829" t="inlineStr">
        <is>
          <t>19(6)-V01</t>
        </is>
      </c>
      <c r="B829" t="inlineStr">
        <is>
          <t>19 (6).tif</t>
        </is>
      </c>
      <c r="C829" t="n">
        <v>180</v>
      </c>
      <c r="D829" t="n">
        <v>597</v>
      </c>
      <c r="E829" t="inlineStr">
        <is>
          <t>112,530,249,665</t>
        </is>
      </c>
      <c r="F829" t="n">
        <v>103</v>
      </c>
      <c r="G829" t="inlineStr">
        <is>
          <t>primary</t>
        </is>
      </c>
      <c r="H829" t="inlineStr">
        <is>
          <t>AUTO_VESSEL</t>
        </is>
      </c>
      <c r="I829" t="inlineStr">
        <is>
          <t>是</t>
        </is>
      </c>
      <c r="J829" t="inlineStr">
        <is>
          <t>纳入</t>
        </is>
      </c>
      <c r="K829" t="n">
        <v>675.3544423440454</v>
      </c>
      <c r="L829">
        <f>导管母表_1781!G829</f>
        <v/>
      </c>
      <c r="M829" t="inlineStr">
        <is>
          <t>视野内部</t>
        </is>
      </c>
      <c r="N829" t="inlineStr">
        <is>
          <t>纳入A/D/Dh；若有Pair_ID则纳入CWR</t>
        </is>
      </c>
      <c r="O829" t="inlineStr">
        <is>
          <t>自动管线检出的合格导管腔。</t>
        </is>
      </c>
      <c r="P829" t="inlineStr">
        <is>
          <t>auto_pipeline;review_png_green</t>
        </is>
      </c>
      <c r="R829" t="inlineStr">
        <is>
          <t>样品19</t>
        </is>
      </c>
    </row>
    <row r="830">
      <c r="A830" t="inlineStr">
        <is>
          <t>19(6)-V02</t>
        </is>
      </c>
      <c r="B830" t="inlineStr">
        <is>
          <t>19 (6).tif</t>
        </is>
      </c>
      <c r="C830" t="n">
        <v>425</v>
      </c>
      <c r="D830" t="n">
        <v>430</v>
      </c>
      <c r="E830" t="inlineStr">
        <is>
          <t>362,367,489,494</t>
        </is>
      </c>
      <c r="F830" t="n">
        <v>274</v>
      </c>
      <c r="G830" t="inlineStr">
        <is>
          <t>primary</t>
        </is>
      </c>
      <c r="H830" t="inlineStr">
        <is>
          <t>AUTO_VESSEL</t>
        </is>
      </c>
      <c r="I830" t="inlineStr">
        <is>
          <t>是</t>
        </is>
      </c>
      <c r="J830" t="inlineStr">
        <is>
          <t>纳入</t>
        </is>
      </c>
      <c r="K830" t="n">
        <v>588.6105860113422</v>
      </c>
      <c r="L830">
        <f>导管母表_1781!G830</f>
        <v/>
      </c>
      <c r="M830" t="inlineStr">
        <is>
          <t>视野内部</t>
        </is>
      </c>
      <c r="N830" t="inlineStr">
        <is>
          <t>纳入A/D/Dh；若有Pair_ID则纳入CWR</t>
        </is>
      </c>
      <c r="O830" t="inlineStr">
        <is>
          <t>自动管线检出的合格导管腔。</t>
        </is>
      </c>
      <c r="P830" t="inlineStr">
        <is>
          <t>auto_pipeline;review_png_green</t>
        </is>
      </c>
      <c r="Q830" t="inlineStr">
        <is>
          <t>19(6)-P01</t>
        </is>
      </c>
      <c r="R830" t="inlineStr">
        <is>
          <t>样品19</t>
        </is>
      </c>
    </row>
    <row r="831">
      <c r="A831" t="inlineStr">
        <is>
          <t>19(6)-V03</t>
        </is>
      </c>
      <c r="B831" t="inlineStr">
        <is>
          <t>19 (6).tif</t>
        </is>
      </c>
      <c r="C831" t="n">
        <v>522</v>
      </c>
      <c r="D831" t="n">
        <v>321</v>
      </c>
      <c r="E831" t="inlineStr">
        <is>
          <t>464,257,581,386</t>
        </is>
      </c>
      <c r="F831" t="n">
        <v>257</v>
      </c>
      <c r="G831" t="inlineStr">
        <is>
          <t>primary</t>
        </is>
      </c>
      <c r="H831" t="inlineStr">
        <is>
          <t>AUTO_VESSEL</t>
        </is>
      </c>
      <c r="I831" t="inlineStr">
        <is>
          <t>是</t>
        </is>
      </c>
      <c r="J831" t="inlineStr">
        <is>
          <t>纳入</t>
        </is>
      </c>
      <c r="K831" t="n">
        <v>551.5831758034027</v>
      </c>
      <c r="L831">
        <f>导管母表_1781!G831</f>
        <v/>
      </c>
      <c r="M831" t="inlineStr">
        <is>
          <t>视野内部</t>
        </is>
      </c>
      <c r="N831" t="inlineStr">
        <is>
          <t>纳入A/D/Dh；若有Pair_ID则纳入CWR</t>
        </is>
      </c>
      <c r="O831" t="inlineStr">
        <is>
          <t>自动管线检出的合格导管腔。</t>
        </is>
      </c>
      <c r="P831" t="inlineStr">
        <is>
          <t>auto_pipeline;review_png_green</t>
        </is>
      </c>
      <c r="Q831" t="inlineStr">
        <is>
          <t>19(6)-P01</t>
        </is>
      </c>
      <c r="R831" t="inlineStr">
        <is>
          <t>样品19</t>
        </is>
      </c>
    </row>
    <row r="832">
      <c r="A832" t="inlineStr">
        <is>
          <t>19(6)-V04</t>
        </is>
      </c>
      <c r="B832" t="inlineStr">
        <is>
          <t>19 (6).tif</t>
        </is>
      </c>
      <c r="C832" t="n">
        <v>616</v>
      </c>
      <c r="D832" t="n">
        <v>107</v>
      </c>
      <c r="E832" t="inlineStr">
        <is>
          <t>568,56,665,159</t>
        </is>
      </c>
      <c r="F832" t="n">
        <v>56</v>
      </c>
      <c r="G832" t="inlineStr">
        <is>
          <t>primary</t>
        </is>
      </c>
      <c r="H832" t="inlineStr">
        <is>
          <t>AUTO_VESSEL</t>
        </is>
      </c>
      <c r="I832" t="inlineStr">
        <is>
          <t>是</t>
        </is>
      </c>
      <c r="J832" t="inlineStr">
        <is>
          <t>纳入</t>
        </is>
      </c>
      <c r="K832" t="n">
        <v>356.9234404536862</v>
      </c>
      <c r="L832">
        <f>导管母表_1781!G832</f>
        <v/>
      </c>
      <c r="M832" t="inlineStr">
        <is>
          <t>视野内部</t>
        </is>
      </c>
      <c r="N832" t="inlineStr">
        <is>
          <t>纳入A/D/Dh；若有Pair_ID则纳入CWR</t>
        </is>
      </c>
      <c r="O832" t="inlineStr">
        <is>
          <t>自动管线检出的合格导管腔。</t>
        </is>
      </c>
      <c r="P832" t="inlineStr">
        <is>
          <t>auto_pipeline;review_png_green</t>
        </is>
      </c>
      <c r="R832" t="inlineStr">
        <is>
          <t>样品19</t>
        </is>
      </c>
    </row>
    <row r="833">
      <c r="A833" t="inlineStr">
        <is>
          <t>19(6)-V05</t>
        </is>
      </c>
      <c r="B833" t="inlineStr">
        <is>
          <t>19 (6).tif</t>
        </is>
      </c>
      <c r="C833" t="n">
        <v>945</v>
      </c>
      <c r="D833" t="n">
        <v>173</v>
      </c>
      <c r="E833" t="inlineStr">
        <is>
          <t>913,136,978,211</t>
        </is>
      </c>
      <c r="F833" t="n">
        <v>46</v>
      </c>
      <c r="G833" t="inlineStr">
        <is>
          <t>primary</t>
        </is>
      </c>
      <c r="H833" t="inlineStr">
        <is>
          <t>AUTO_VESSEL</t>
        </is>
      </c>
      <c r="I833" t="inlineStr">
        <is>
          <t>是</t>
        </is>
      </c>
      <c r="J833" t="inlineStr">
        <is>
          <t>纳入</t>
        </is>
      </c>
      <c r="K833" t="n">
        <v>155.789224952741</v>
      </c>
      <c r="L833">
        <f>导管母表_1781!G833</f>
        <v/>
      </c>
      <c r="M833" t="inlineStr">
        <is>
          <t>视野内部</t>
        </is>
      </c>
      <c r="N833" t="inlineStr">
        <is>
          <t>纳入A/D/Dh；若有Pair_ID则纳入CWR</t>
        </is>
      </c>
      <c r="O833" t="inlineStr">
        <is>
          <t>自动管线检出的合格导管腔。</t>
        </is>
      </c>
      <c r="P833" t="inlineStr">
        <is>
          <t>auto_pipeline;review_png_green</t>
        </is>
      </c>
      <c r="R833" t="inlineStr">
        <is>
          <t>样品19</t>
        </is>
      </c>
    </row>
    <row r="834">
      <c r="A834" t="inlineStr">
        <is>
          <t>19(6)-V06</t>
        </is>
      </c>
      <c r="B834" t="inlineStr">
        <is>
          <t>19 (6).tif</t>
        </is>
      </c>
      <c r="C834" t="n">
        <v>371</v>
      </c>
      <c r="D834" t="n">
        <v>609</v>
      </c>
      <c r="E834" t="inlineStr">
        <is>
          <t>338,571,405,648</t>
        </is>
      </c>
      <c r="F834" t="n">
        <v>120</v>
      </c>
      <c r="G834" t="inlineStr">
        <is>
          <t>primary</t>
        </is>
      </c>
      <c r="H834" t="inlineStr">
        <is>
          <t>AUTO_VESSEL</t>
        </is>
      </c>
      <c r="I834" t="inlineStr">
        <is>
          <t>是</t>
        </is>
      </c>
      <c r="J834" t="inlineStr">
        <is>
          <t>纳入</t>
        </is>
      </c>
      <c r="K834" t="n">
        <v>147.4716446124764</v>
      </c>
      <c r="L834">
        <f>导管母表_1781!G834</f>
        <v/>
      </c>
      <c r="M834" t="inlineStr">
        <is>
          <t>视野内部</t>
        </is>
      </c>
      <c r="N834" t="inlineStr">
        <is>
          <t>纳入A/D/Dh；若有Pair_ID则纳入CWR</t>
        </is>
      </c>
      <c r="O834" t="inlineStr">
        <is>
          <t>自动管线检出的合格导管腔。</t>
        </is>
      </c>
      <c r="P834" t="inlineStr">
        <is>
          <t>auto_pipeline;review_png_green</t>
        </is>
      </c>
      <c r="R834" t="inlineStr">
        <is>
          <t>样品19</t>
        </is>
      </c>
    </row>
    <row r="835">
      <c r="A835" t="inlineStr">
        <is>
          <t>19(6)-V07</t>
        </is>
      </c>
      <c r="B835" t="inlineStr">
        <is>
          <t>19 (6).tif</t>
        </is>
      </c>
      <c r="C835" t="n">
        <v>884</v>
      </c>
      <c r="D835" t="n">
        <v>262</v>
      </c>
      <c r="E835" t="inlineStr">
        <is>
          <t>848,220,921,305</t>
        </is>
      </c>
      <c r="F835" t="n">
        <v>103</v>
      </c>
      <c r="G835" t="inlineStr">
        <is>
          <t>primary</t>
        </is>
      </c>
      <c r="H835" t="inlineStr">
        <is>
          <t>AUTO_VESSEL</t>
        </is>
      </c>
      <c r="I835" t="inlineStr">
        <is>
          <t>是</t>
        </is>
      </c>
      <c r="J835" t="inlineStr">
        <is>
          <t>纳入</t>
        </is>
      </c>
      <c r="K835" t="n">
        <v>146.8336483931947</v>
      </c>
      <c r="L835">
        <f>导管母表_1781!G835</f>
        <v/>
      </c>
      <c r="M835" t="inlineStr">
        <is>
          <t>视野内部</t>
        </is>
      </c>
      <c r="N835" t="inlineStr">
        <is>
          <t>纳入A/D/Dh；若有Pair_ID则纳入CWR</t>
        </is>
      </c>
      <c r="O835" t="inlineStr">
        <is>
          <t>自动管线检出的合格导管腔。</t>
        </is>
      </c>
      <c r="P835" t="inlineStr">
        <is>
          <t>auto_pipeline;review_png_green</t>
        </is>
      </c>
      <c r="R835" t="inlineStr">
        <is>
          <t>样品19</t>
        </is>
      </c>
    </row>
    <row r="836">
      <c r="A836" t="inlineStr">
        <is>
          <t>19(6)-V08</t>
        </is>
      </c>
      <c r="B836" t="inlineStr">
        <is>
          <t>19 (6).tif</t>
        </is>
      </c>
      <c r="C836" t="n">
        <v>438</v>
      </c>
      <c r="D836" t="n">
        <v>543</v>
      </c>
      <c r="E836" t="inlineStr">
        <is>
          <t>409,509,468,578</t>
        </is>
      </c>
      <c r="F836" t="n">
        <v>190</v>
      </c>
      <c r="G836" t="inlineStr">
        <is>
          <t>primary</t>
        </is>
      </c>
      <c r="H836" t="inlineStr">
        <is>
          <t>AUTO_VESSEL</t>
        </is>
      </c>
      <c r="I836" t="inlineStr">
        <is>
          <t>是</t>
        </is>
      </c>
      <c r="J836" t="inlineStr">
        <is>
          <t>纳入</t>
        </is>
      </c>
      <c r="K836" t="n">
        <v>121.7391304347826</v>
      </c>
      <c r="L836">
        <f>导管母表_1781!G836</f>
        <v/>
      </c>
      <c r="M836" t="inlineStr">
        <is>
          <t>视野内部</t>
        </is>
      </c>
      <c r="N836" t="inlineStr">
        <is>
          <t>纳入A/D/Dh；若有Pair_ID则纳入CWR</t>
        </is>
      </c>
      <c r="O836" t="inlineStr">
        <is>
          <t>自动管线检出的合格导管腔。</t>
        </is>
      </c>
      <c r="P836" t="inlineStr">
        <is>
          <t>auto_pipeline;review_png_green</t>
        </is>
      </c>
      <c r="R836" t="inlineStr">
        <is>
          <t>样品19</t>
        </is>
      </c>
    </row>
    <row r="837">
      <c r="A837" t="inlineStr">
        <is>
          <t>19(7)-V01</t>
        </is>
      </c>
      <c r="B837" t="inlineStr">
        <is>
          <t>19 (7).tif</t>
        </is>
      </c>
      <c r="C837" t="n">
        <v>373</v>
      </c>
      <c r="D837" t="n">
        <v>385</v>
      </c>
      <c r="E837" t="inlineStr">
        <is>
          <t>312,316,435,455</t>
        </is>
      </c>
      <c r="F837" t="n">
        <v>312</v>
      </c>
      <c r="G837" t="inlineStr">
        <is>
          <t>primary</t>
        </is>
      </c>
      <c r="H837" t="inlineStr">
        <is>
          <t>AUTO_VESSEL</t>
        </is>
      </c>
      <c r="I837" t="inlineStr">
        <is>
          <t>是</t>
        </is>
      </c>
      <c r="J837" t="inlineStr">
        <is>
          <t>纳入</t>
        </is>
      </c>
      <c r="K837" t="n">
        <v>625.1417769376181</v>
      </c>
      <c r="L837">
        <f>导管母表_1781!G837</f>
        <v/>
      </c>
      <c r="M837" t="inlineStr">
        <is>
          <t>视野内部</t>
        </is>
      </c>
      <c r="N837" t="inlineStr">
        <is>
          <t>纳入A/D/Dh；若有Pair_ID则纳入CWR</t>
        </is>
      </c>
      <c r="O837" t="inlineStr">
        <is>
          <t>自动管线检出的合格导管腔。</t>
        </is>
      </c>
      <c r="P837" t="inlineStr">
        <is>
          <t>auto_pipeline;review_png_green</t>
        </is>
      </c>
      <c r="Q837" t="inlineStr">
        <is>
          <t>19(7)-P01</t>
        </is>
      </c>
      <c r="R837" t="inlineStr">
        <is>
          <t>样品19</t>
        </is>
      </c>
    </row>
    <row r="838">
      <c r="A838" t="inlineStr">
        <is>
          <t>19(7)-V02</t>
        </is>
      </c>
      <c r="B838" t="inlineStr">
        <is>
          <t>19 (7).tif</t>
        </is>
      </c>
      <c r="C838" t="n">
        <v>599</v>
      </c>
      <c r="D838" t="n">
        <v>199</v>
      </c>
      <c r="E838" t="inlineStr">
        <is>
          <t>534,139,665,260</t>
        </is>
      </c>
      <c r="F838" t="n">
        <v>139</v>
      </c>
      <c r="G838" t="inlineStr">
        <is>
          <t>primary</t>
        </is>
      </c>
      <c r="H838" t="inlineStr">
        <is>
          <t>AUTO_VESSEL</t>
        </is>
      </c>
      <c r="I838" t="inlineStr">
        <is>
          <t>是</t>
        </is>
      </c>
      <c r="J838" t="inlineStr">
        <is>
          <t>纳入</t>
        </is>
      </c>
      <c r="K838" t="n">
        <v>579.3241965973535</v>
      </c>
      <c r="L838">
        <f>导管母表_1781!G838</f>
        <v/>
      </c>
      <c r="M838" t="inlineStr">
        <is>
          <t>视野内部</t>
        </is>
      </c>
      <c r="N838" t="inlineStr">
        <is>
          <t>纳入A/D/Dh；若有Pair_ID则纳入CWR</t>
        </is>
      </c>
      <c r="O838" t="inlineStr">
        <is>
          <t>自动管线检出的合格导管腔。</t>
        </is>
      </c>
      <c r="P838" t="inlineStr">
        <is>
          <t>auto_pipeline;review_png_green</t>
        </is>
      </c>
      <c r="R838" t="inlineStr">
        <is>
          <t>样品19</t>
        </is>
      </c>
    </row>
    <row r="839">
      <c r="A839" t="inlineStr">
        <is>
          <t>19(7)-V03</t>
        </is>
      </c>
      <c r="B839" t="inlineStr">
        <is>
          <t>19 (7).tif</t>
        </is>
      </c>
      <c r="C839" t="n">
        <v>496</v>
      </c>
      <c r="D839" t="n">
        <v>365</v>
      </c>
      <c r="E839" t="inlineStr">
        <is>
          <t>443,305,550,426</t>
        </is>
      </c>
      <c r="F839" t="n">
        <v>305</v>
      </c>
      <c r="G839" t="inlineStr">
        <is>
          <t>primary</t>
        </is>
      </c>
      <c r="H839" t="inlineStr">
        <is>
          <t>AUTO_VESSEL</t>
        </is>
      </c>
      <c r="I839" t="inlineStr">
        <is>
          <t>是</t>
        </is>
      </c>
      <c r="J839" t="inlineStr">
        <is>
          <t>纳入</t>
        </is>
      </c>
      <c r="K839" t="n">
        <v>472.3534971644613</v>
      </c>
      <c r="L839">
        <f>导管母表_1781!G839</f>
        <v/>
      </c>
      <c r="M839" t="inlineStr">
        <is>
          <t>视野内部</t>
        </is>
      </c>
      <c r="N839" t="inlineStr">
        <is>
          <t>纳入A/D/Dh；若有Pair_ID则纳入CWR</t>
        </is>
      </c>
      <c r="O839" t="inlineStr">
        <is>
          <t>自动管线检出的合格导管腔。</t>
        </is>
      </c>
      <c r="P839" t="inlineStr">
        <is>
          <t>auto_pipeline;review_png_green</t>
        </is>
      </c>
      <c r="Q839" t="inlineStr">
        <is>
          <t>19(7)-P01</t>
        </is>
      </c>
      <c r="R839" t="inlineStr">
        <is>
          <t>样品19</t>
        </is>
      </c>
    </row>
    <row r="840">
      <c r="A840" t="inlineStr">
        <is>
          <t>19(7)-V04</t>
        </is>
      </c>
      <c r="B840" t="inlineStr">
        <is>
          <t>19 (7).tif</t>
        </is>
      </c>
      <c r="C840" t="n">
        <v>899</v>
      </c>
      <c r="D840" t="n">
        <v>541</v>
      </c>
      <c r="E840" t="inlineStr">
        <is>
          <t>844,486,955,597</t>
        </is>
      </c>
      <c r="F840" t="n">
        <v>69</v>
      </c>
      <c r="G840" t="inlineStr">
        <is>
          <t>primary</t>
        </is>
      </c>
      <c r="H840" t="inlineStr">
        <is>
          <t>AUTO_VESSEL</t>
        </is>
      </c>
      <c r="I840" t="inlineStr">
        <is>
          <t>是</t>
        </is>
      </c>
      <c r="J840" t="inlineStr">
        <is>
          <t>纳入</t>
        </is>
      </c>
      <c r="K840" t="n">
        <v>449.054820415879</v>
      </c>
      <c r="L840">
        <f>导管母表_1781!G840</f>
        <v/>
      </c>
      <c r="M840" t="inlineStr">
        <is>
          <t>视野内部</t>
        </is>
      </c>
      <c r="N840" t="inlineStr">
        <is>
          <t>纳入A/D/Dh；若有Pair_ID则纳入CWR</t>
        </is>
      </c>
      <c r="O840" t="inlineStr">
        <is>
          <t>自动管线检出的合格导管腔。</t>
        </is>
      </c>
      <c r="P840" t="inlineStr">
        <is>
          <t>auto_pipeline;review_png_green</t>
        </is>
      </c>
      <c r="R840" t="inlineStr">
        <is>
          <t>样品19</t>
        </is>
      </c>
    </row>
    <row r="841">
      <c r="A841" t="inlineStr">
        <is>
          <t>19(7)-V05</t>
        </is>
      </c>
      <c r="B841" t="inlineStr">
        <is>
          <t>19 (7).tif</t>
        </is>
      </c>
      <c r="C841" t="n">
        <v>114</v>
      </c>
      <c r="D841" t="n">
        <v>328</v>
      </c>
      <c r="E841" t="inlineStr">
        <is>
          <t>71,303,158,354</t>
        </is>
      </c>
      <c r="F841" t="n">
        <v>71</v>
      </c>
      <c r="G841" t="inlineStr">
        <is>
          <t>primary</t>
        </is>
      </c>
      <c r="H841" t="inlineStr">
        <is>
          <t>AUTO_VESSEL</t>
        </is>
      </c>
      <c r="I841" t="inlineStr">
        <is>
          <t>是</t>
        </is>
      </c>
      <c r="J841" t="inlineStr">
        <is>
          <t>纳入</t>
        </is>
      </c>
      <c r="K841" t="n">
        <v>149.8582230623819</v>
      </c>
      <c r="L841">
        <f>导管母表_1781!G841</f>
        <v/>
      </c>
      <c r="M841" t="inlineStr">
        <is>
          <t>视野内部</t>
        </is>
      </c>
      <c r="N841" t="inlineStr">
        <is>
          <t>纳入A/D/Dh；若有Pair_ID则纳入CWR</t>
        </is>
      </c>
      <c r="O841" t="inlineStr">
        <is>
          <t>自动管线检出的合格导管腔。</t>
        </is>
      </c>
      <c r="P841" t="inlineStr">
        <is>
          <t>auto_pipeline;review_png_green</t>
        </is>
      </c>
      <c r="R841" t="inlineStr">
        <is>
          <t>样品19</t>
        </is>
      </c>
    </row>
    <row r="842">
      <c r="A842" t="inlineStr">
        <is>
          <t>19(7)-V06</t>
        </is>
      </c>
      <c r="B842" t="inlineStr">
        <is>
          <t>19 (7).tif</t>
        </is>
      </c>
      <c r="C842" t="n">
        <v>201</v>
      </c>
      <c r="D842" t="n">
        <v>157</v>
      </c>
      <c r="E842" t="inlineStr">
        <is>
          <t>160,129,243,186</t>
        </is>
      </c>
      <c r="F842" t="n">
        <v>129</v>
      </c>
      <c r="G842" t="inlineStr">
        <is>
          <t>primary</t>
        </is>
      </c>
      <c r="H842" t="inlineStr">
        <is>
          <t>AUTO_VESSEL</t>
        </is>
      </c>
      <c r="I842" t="inlineStr">
        <is>
          <t>是</t>
        </is>
      </c>
      <c r="J842" t="inlineStr">
        <is>
          <t>纳入</t>
        </is>
      </c>
      <c r="K842" t="n">
        <v>140.8317580340265</v>
      </c>
      <c r="L842">
        <f>导管母表_1781!G842</f>
        <v/>
      </c>
      <c r="M842" t="inlineStr">
        <is>
          <t>视野内部</t>
        </is>
      </c>
      <c r="N842" t="inlineStr">
        <is>
          <t>纳入A/D/Dh；若有Pair_ID则纳入CWR</t>
        </is>
      </c>
      <c r="O842" t="inlineStr">
        <is>
          <t>自动管线检出的合格导管腔。</t>
        </is>
      </c>
      <c r="P842" t="inlineStr">
        <is>
          <t>auto_pipeline;review_png_green</t>
        </is>
      </c>
      <c r="R842" t="inlineStr">
        <is>
          <t>样品19</t>
        </is>
      </c>
    </row>
    <row r="843">
      <c r="A843" t="inlineStr">
        <is>
          <t>19(7)-V07</t>
        </is>
      </c>
      <c r="B843" t="inlineStr">
        <is>
          <t>19 (7).tif</t>
        </is>
      </c>
      <c r="C843" t="n">
        <v>442</v>
      </c>
      <c r="D843" t="n">
        <v>199</v>
      </c>
      <c r="E843" t="inlineStr">
        <is>
          <t>403,172,482,227</t>
        </is>
      </c>
      <c r="F843" t="n">
        <v>172</v>
      </c>
      <c r="G843" t="inlineStr">
        <is>
          <t>primary</t>
        </is>
      </c>
      <c r="H843" t="inlineStr">
        <is>
          <t>AUTO_VESSEL</t>
        </is>
      </c>
      <c r="I843" t="inlineStr">
        <is>
          <t>是</t>
        </is>
      </c>
      <c r="J843" t="inlineStr">
        <is>
          <t>纳入</t>
        </is>
      </c>
      <c r="K843" t="n">
        <v>137.523629489603</v>
      </c>
      <c r="L843">
        <f>导管母表_1781!G843</f>
        <v/>
      </c>
      <c r="M843" t="inlineStr">
        <is>
          <t>视野内部</t>
        </is>
      </c>
      <c r="N843" t="inlineStr">
        <is>
          <t>纳入A/D/Dh；若有Pair_ID则纳入CWR</t>
        </is>
      </c>
      <c r="O843" t="inlineStr">
        <is>
          <t>自动管线检出的合格导管腔。</t>
        </is>
      </c>
      <c r="P843" t="inlineStr">
        <is>
          <t>auto_pipeline;review_png_green</t>
        </is>
      </c>
      <c r="R843" t="inlineStr">
        <is>
          <t>样品19</t>
        </is>
      </c>
    </row>
    <row r="844">
      <c r="A844" t="inlineStr">
        <is>
          <t>19(7)-V08</t>
        </is>
      </c>
      <c r="B844" t="inlineStr">
        <is>
          <t>19 (7).tif</t>
        </is>
      </c>
      <c r="C844" t="n">
        <v>74</v>
      </c>
      <c r="D844" t="n">
        <v>408</v>
      </c>
      <c r="E844" t="inlineStr">
        <is>
          <t>44,381,105,436</t>
        </is>
      </c>
      <c r="F844" t="n">
        <v>44</v>
      </c>
      <c r="G844" t="inlineStr">
        <is>
          <t>primary</t>
        </is>
      </c>
      <c r="H844" t="inlineStr">
        <is>
          <t>AUTO_VESSEL</t>
        </is>
      </c>
      <c r="I844" t="inlineStr">
        <is>
          <t>是</t>
        </is>
      </c>
      <c r="J844" t="inlineStr">
        <is>
          <t>纳入</t>
        </is>
      </c>
      <c r="K844" t="n">
        <v>120.5576559546314</v>
      </c>
      <c r="L844">
        <f>导管母表_1781!G844</f>
        <v/>
      </c>
      <c r="M844" t="inlineStr">
        <is>
          <t>视野内部</t>
        </is>
      </c>
      <c r="N844" t="inlineStr">
        <is>
          <t>纳入A/D/Dh；若有Pair_ID则纳入CWR</t>
        </is>
      </c>
      <c r="O844" t="inlineStr">
        <is>
          <t>自动管线检出的合格导管腔。</t>
        </is>
      </c>
      <c r="P844" t="inlineStr">
        <is>
          <t>auto_pipeline;review_png_green</t>
        </is>
      </c>
      <c r="R844" t="inlineStr">
        <is>
          <t>样品19</t>
        </is>
      </c>
    </row>
    <row r="845">
      <c r="A845" t="inlineStr">
        <is>
          <t>19(8)-V01</t>
        </is>
      </c>
      <c r="B845" t="inlineStr">
        <is>
          <t>19 (8).tif</t>
        </is>
      </c>
      <c r="C845" t="n">
        <v>523</v>
      </c>
      <c r="D845" t="n">
        <v>387</v>
      </c>
      <c r="E845" t="inlineStr">
        <is>
          <t>418,267,629,508</t>
        </is>
      </c>
      <c r="F845" t="n">
        <v>260</v>
      </c>
      <c r="G845" t="inlineStr">
        <is>
          <t>primary</t>
        </is>
      </c>
      <c r="H845" t="inlineStr">
        <is>
          <t>AUTO_VESSEL</t>
        </is>
      </c>
      <c r="I845" t="inlineStr">
        <is>
          <t>是</t>
        </is>
      </c>
      <c r="J845" t="inlineStr">
        <is>
          <t>纳入</t>
        </is>
      </c>
      <c r="K845" t="n">
        <v>1599.2202268431</v>
      </c>
      <c r="L845">
        <f>导管母表_1781!G845</f>
        <v/>
      </c>
      <c r="M845" t="inlineStr">
        <is>
          <t>视野内部</t>
        </is>
      </c>
      <c r="N845" t="inlineStr">
        <is>
          <t>纳入A/D/Dh；若有Pair_ID则纳入CWR</t>
        </is>
      </c>
      <c r="O845" t="inlineStr">
        <is>
          <t>自动管线检出的合格导管腔。</t>
        </is>
      </c>
      <c r="P845" t="inlineStr">
        <is>
          <t>auto_pipeline;review_png_green</t>
        </is>
      </c>
      <c r="R845" t="inlineStr">
        <is>
          <t>样品19</t>
        </is>
      </c>
    </row>
    <row r="846">
      <c r="A846" t="inlineStr">
        <is>
          <t>19(8)-V02</t>
        </is>
      </c>
      <c r="B846" t="inlineStr">
        <is>
          <t>19 (8).tif</t>
        </is>
      </c>
      <c r="C846" t="n">
        <v>120</v>
      </c>
      <c r="D846" t="n">
        <v>604</v>
      </c>
      <c r="E846" t="inlineStr">
        <is>
          <t>20,569,221,640</t>
        </is>
      </c>
      <c r="F846" t="n">
        <v>20</v>
      </c>
      <c r="G846" t="inlineStr">
        <is>
          <t>primary</t>
        </is>
      </c>
      <c r="H846" t="inlineStr">
        <is>
          <t>AUTO_VESSEL</t>
        </is>
      </c>
      <c r="I846" t="inlineStr">
        <is>
          <t>是</t>
        </is>
      </c>
      <c r="J846" t="inlineStr">
        <is>
          <t>纳入</t>
        </is>
      </c>
      <c r="K846" t="n">
        <v>519.5415879017013</v>
      </c>
      <c r="L846">
        <f>导管母表_1781!G846</f>
        <v/>
      </c>
      <c r="M846" t="inlineStr">
        <is>
          <t>近边缘（&lt;25 px）</t>
        </is>
      </c>
      <c r="N846" t="inlineStr">
        <is>
          <t>纳入A/D/Dh；若有Pair_ID则纳入CWR</t>
        </is>
      </c>
      <c r="O846" t="inlineStr">
        <is>
          <t>自动管线检出的合格导管腔。</t>
        </is>
      </c>
      <c r="P846" t="inlineStr">
        <is>
          <t>auto_pipeline;review_png_green</t>
        </is>
      </c>
      <c r="R846" t="inlineStr">
        <is>
          <t>样品19</t>
        </is>
      </c>
    </row>
    <row r="847">
      <c r="A847" t="inlineStr">
        <is>
          <t>19(8)-V03</t>
        </is>
      </c>
      <c r="B847" t="inlineStr">
        <is>
          <t>19 (8).tif</t>
        </is>
      </c>
      <c r="C847" t="n">
        <v>683</v>
      </c>
      <c r="D847" t="n">
        <v>95</v>
      </c>
      <c r="E847" t="inlineStr">
        <is>
          <t>620,42,747,149</t>
        </is>
      </c>
      <c r="F847" t="n">
        <v>42</v>
      </c>
      <c r="G847" t="inlineStr">
        <is>
          <t>primary</t>
        </is>
      </c>
      <c r="H847" t="inlineStr">
        <is>
          <t>AUTO_VESSEL</t>
        </is>
      </c>
      <c r="I847" t="inlineStr">
        <is>
          <t>是</t>
        </is>
      </c>
      <c r="J847" t="inlineStr">
        <is>
          <t>纳入</t>
        </is>
      </c>
      <c r="K847" t="n">
        <v>495.7939508506616</v>
      </c>
      <c r="L847">
        <f>导管母表_1781!G847</f>
        <v/>
      </c>
      <c r="M847" t="inlineStr">
        <is>
          <t>视野内部</t>
        </is>
      </c>
      <c r="N847" t="inlineStr">
        <is>
          <t>纳入A/D/Dh；若有Pair_ID则纳入CWR</t>
        </is>
      </c>
      <c r="O847" t="inlineStr">
        <is>
          <t>自动管线检出的合格导管腔。</t>
        </is>
      </c>
      <c r="P847" t="inlineStr">
        <is>
          <t>auto_pipeline;review_png_green</t>
        </is>
      </c>
      <c r="R847" t="inlineStr">
        <is>
          <t>样品19</t>
        </is>
      </c>
    </row>
    <row r="848">
      <c r="A848" t="inlineStr">
        <is>
          <t>19(8)-V04</t>
        </is>
      </c>
      <c r="B848" t="inlineStr">
        <is>
          <t>19 (8).tif</t>
        </is>
      </c>
      <c r="C848" t="n">
        <v>403</v>
      </c>
      <c r="D848" t="n">
        <v>510</v>
      </c>
      <c r="E848" t="inlineStr">
        <is>
          <t>294,484,513,537</t>
        </is>
      </c>
      <c r="F848" t="n">
        <v>231</v>
      </c>
      <c r="G848" t="inlineStr">
        <is>
          <t>primary</t>
        </is>
      </c>
      <c r="H848" t="inlineStr">
        <is>
          <t>AUTO_VESSEL</t>
        </is>
      </c>
      <c r="I848" t="inlineStr">
        <is>
          <t>是</t>
        </is>
      </c>
      <c r="J848" t="inlineStr">
        <is>
          <t>纳入</t>
        </is>
      </c>
      <c r="K848" t="n">
        <v>374.3856332703214</v>
      </c>
      <c r="L848">
        <f>导管母表_1781!G848</f>
        <v/>
      </c>
      <c r="M848" t="inlineStr">
        <is>
          <t>视野内部</t>
        </is>
      </c>
      <c r="N848" t="inlineStr">
        <is>
          <t>纳入A/D/Dh；若有Pair_ID则纳入CWR</t>
        </is>
      </c>
      <c r="O848" t="inlineStr">
        <is>
          <t>自动管线检出的合格导管腔。</t>
        </is>
      </c>
      <c r="P848" t="inlineStr">
        <is>
          <t>auto_pipeline;review_png_green</t>
        </is>
      </c>
      <c r="R848" t="inlineStr">
        <is>
          <t>样品19</t>
        </is>
      </c>
    </row>
    <row r="849">
      <c r="A849" t="inlineStr">
        <is>
          <t>19(9)-V01</t>
        </is>
      </c>
      <c r="B849" t="inlineStr">
        <is>
          <t>19 (9).tif</t>
        </is>
      </c>
      <c r="C849" t="n">
        <v>581</v>
      </c>
      <c r="D849" t="n">
        <v>359</v>
      </c>
      <c r="E849" t="inlineStr">
        <is>
          <t>488,262,675,457</t>
        </is>
      </c>
      <c r="F849" t="n">
        <v>262</v>
      </c>
      <c r="G849" t="inlineStr">
        <is>
          <t>primary</t>
        </is>
      </c>
      <c r="H849" t="inlineStr">
        <is>
          <t>AUTO_VESSEL</t>
        </is>
      </c>
      <c r="I849" t="inlineStr">
        <is>
          <t>是</t>
        </is>
      </c>
      <c r="J849" t="inlineStr">
        <is>
          <t>纳入</t>
        </is>
      </c>
      <c r="K849" t="n">
        <v>1318.950850661626</v>
      </c>
      <c r="L849">
        <f>导管母表_1781!G849</f>
        <v/>
      </c>
      <c r="M849" t="inlineStr">
        <is>
          <t>视野内部</t>
        </is>
      </c>
      <c r="N849" t="inlineStr">
        <is>
          <t>纳入A/D/Dh；若有Pair_ID则纳入CWR</t>
        </is>
      </c>
      <c r="O849" t="inlineStr">
        <is>
          <t>自动管线检出的合格导管腔。</t>
        </is>
      </c>
      <c r="P849" t="inlineStr">
        <is>
          <t>auto_pipeline;review_png_green</t>
        </is>
      </c>
      <c r="Q849" t="inlineStr">
        <is>
          <t>19(9)-P01</t>
        </is>
      </c>
      <c r="R849" t="inlineStr">
        <is>
          <t>样品19</t>
        </is>
      </c>
    </row>
    <row r="850">
      <c r="A850" t="inlineStr">
        <is>
          <t>19(9)-V02</t>
        </is>
      </c>
      <c r="B850" t="inlineStr">
        <is>
          <t>19 (9).tif</t>
        </is>
      </c>
      <c r="C850" t="n">
        <v>405</v>
      </c>
      <c r="D850" t="n">
        <v>315</v>
      </c>
      <c r="E850" t="inlineStr">
        <is>
          <t>321,228,490,403</t>
        </is>
      </c>
      <c r="F850" t="n">
        <v>228</v>
      </c>
      <c r="G850" t="inlineStr">
        <is>
          <t>primary</t>
        </is>
      </c>
      <c r="H850" t="inlineStr">
        <is>
          <t>AUTO_VESSEL</t>
        </is>
      </c>
      <c r="I850" t="inlineStr">
        <is>
          <t>是</t>
        </is>
      </c>
      <c r="J850" t="inlineStr">
        <is>
          <t>纳入</t>
        </is>
      </c>
      <c r="K850" t="n">
        <v>1084.499054820416</v>
      </c>
      <c r="L850">
        <f>导管母表_1781!G850</f>
        <v/>
      </c>
      <c r="M850" t="inlineStr">
        <is>
          <t>视野内部</t>
        </is>
      </c>
      <c r="N850" t="inlineStr">
        <is>
          <t>纳入A/D/Dh；若有Pair_ID则纳入CWR</t>
        </is>
      </c>
      <c r="O850" t="inlineStr">
        <is>
          <t>自动管线检出的合格导管腔。</t>
        </is>
      </c>
      <c r="P850" t="inlineStr">
        <is>
          <t>auto_pipeline;review_png_green</t>
        </is>
      </c>
      <c r="Q850" t="inlineStr">
        <is>
          <t>19(9)-P01</t>
        </is>
      </c>
      <c r="R850" t="inlineStr">
        <is>
          <t>样品19</t>
        </is>
      </c>
    </row>
    <row r="851">
      <c r="A851" t="inlineStr">
        <is>
          <t>19(9)-V03</t>
        </is>
      </c>
      <c r="B851" t="inlineStr">
        <is>
          <t>19 (9).tif</t>
        </is>
      </c>
      <c r="C851" t="n">
        <v>324</v>
      </c>
      <c r="D851" t="n">
        <v>54</v>
      </c>
      <c r="E851" t="inlineStr">
        <is>
          <t>249,6,400,103</t>
        </is>
      </c>
      <c r="F851" t="n">
        <v>6</v>
      </c>
      <c r="G851" t="inlineStr">
        <is>
          <t>primary</t>
        </is>
      </c>
      <c r="H851" t="inlineStr">
        <is>
          <t>AUTO_VESSEL</t>
        </is>
      </c>
      <c r="I851" t="inlineStr">
        <is>
          <t>是</t>
        </is>
      </c>
      <c r="J851" t="inlineStr">
        <is>
          <t>纳入</t>
        </is>
      </c>
      <c r="K851" t="n">
        <v>514.6030245746692</v>
      </c>
      <c r="L851">
        <f>导管母表_1781!G851</f>
        <v/>
      </c>
      <c r="M851" t="inlineStr">
        <is>
          <t>近边缘（&lt;25 px）</t>
        </is>
      </c>
      <c r="N851" t="inlineStr">
        <is>
          <t>纳入A/D/Dh；若有Pair_ID则纳入CWR</t>
        </is>
      </c>
      <c r="O851" t="inlineStr">
        <is>
          <t>自动管线检出的合格导管腔。</t>
        </is>
      </c>
      <c r="P851" t="inlineStr">
        <is>
          <t>auto_pipeline;review_png_green</t>
        </is>
      </c>
      <c r="R851" t="inlineStr">
        <is>
          <t>样品19</t>
        </is>
      </c>
    </row>
    <row r="852">
      <c r="A852" t="inlineStr">
        <is>
          <t>19(10)-V01</t>
        </is>
      </c>
      <c r="B852" t="inlineStr">
        <is>
          <t>19 (10).tif</t>
        </is>
      </c>
      <c r="C852" t="n">
        <v>284</v>
      </c>
      <c r="D852" t="n">
        <v>464</v>
      </c>
      <c r="E852" t="inlineStr">
        <is>
          <t>210,404,359,525</t>
        </is>
      </c>
      <c r="F852" t="n">
        <v>210</v>
      </c>
      <c r="G852" t="inlineStr">
        <is>
          <t>primary</t>
        </is>
      </c>
      <c r="H852" t="inlineStr">
        <is>
          <t>AUTO_VESSEL</t>
        </is>
      </c>
      <c r="I852" t="inlineStr">
        <is>
          <t>是</t>
        </is>
      </c>
      <c r="J852" t="inlineStr">
        <is>
          <t>纳入</t>
        </is>
      </c>
      <c r="K852" t="n">
        <v>656.0018903591682</v>
      </c>
      <c r="L852">
        <f>导管母表_1781!G852</f>
        <v/>
      </c>
      <c r="M852" t="inlineStr">
        <is>
          <t>视野内部</t>
        </is>
      </c>
      <c r="N852" t="inlineStr">
        <is>
          <t>纳入A/D/Dh；若有Pair_ID则纳入CWR</t>
        </is>
      </c>
      <c r="O852" t="inlineStr">
        <is>
          <t>自动管线检出的合格导管腔。</t>
        </is>
      </c>
      <c r="P852" t="inlineStr">
        <is>
          <t>auto_pipeline;review_png_green</t>
        </is>
      </c>
      <c r="R852" t="inlineStr">
        <is>
          <t>样品19</t>
        </is>
      </c>
    </row>
    <row r="853">
      <c r="A853" t="inlineStr">
        <is>
          <t>19(10)-V02</t>
        </is>
      </c>
      <c r="B853" t="inlineStr">
        <is>
          <t>19 (10).tif</t>
        </is>
      </c>
      <c r="C853" t="n">
        <v>416</v>
      </c>
      <c r="D853" t="n">
        <v>324</v>
      </c>
      <c r="E853" t="inlineStr">
        <is>
          <t>355,261,478,388</t>
        </is>
      </c>
      <c r="F853" t="n">
        <v>261</v>
      </c>
      <c r="G853" t="inlineStr">
        <is>
          <t>primary</t>
        </is>
      </c>
      <c r="H853" t="inlineStr">
        <is>
          <t>AUTO_VESSEL</t>
        </is>
      </c>
      <c r="I853" t="inlineStr">
        <is>
          <t>是</t>
        </is>
      </c>
      <c r="J853" t="inlineStr">
        <is>
          <t>纳入</t>
        </is>
      </c>
      <c r="K853" t="n">
        <v>569.6597353497165</v>
      </c>
      <c r="L853">
        <f>导管母表_1781!G853</f>
        <v/>
      </c>
      <c r="M853" t="inlineStr">
        <is>
          <t>视野内部</t>
        </is>
      </c>
      <c r="N853" t="inlineStr">
        <is>
          <t>纳入A/D/Dh；若有Pair_ID则纳入CWR</t>
        </is>
      </c>
      <c r="O853" t="inlineStr">
        <is>
          <t>自动管线检出的合格导管腔。</t>
        </is>
      </c>
      <c r="P853" t="inlineStr">
        <is>
          <t>auto_pipeline;review_png_green</t>
        </is>
      </c>
      <c r="R853" t="inlineStr">
        <is>
          <t>样品19</t>
        </is>
      </c>
    </row>
    <row r="854">
      <c r="A854" t="inlineStr">
        <is>
          <t>19(10)-V03</t>
        </is>
      </c>
      <c r="B854" t="inlineStr">
        <is>
          <t>19 (10).tif</t>
        </is>
      </c>
      <c r="C854" t="n">
        <v>699</v>
      </c>
      <c r="D854" t="n">
        <v>539</v>
      </c>
      <c r="E854" t="inlineStr">
        <is>
          <t>639,488,760,591</t>
        </is>
      </c>
      <c r="F854" t="n">
        <v>177</v>
      </c>
      <c r="G854" t="inlineStr">
        <is>
          <t>primary</t>
        </is>
      </c>
      <c r="H854" t="inlineStr">
        <is>
          <t>AUTO_VESSEL</t>
        </is>
      </c>
      <c r="I854" t="inlineStr">
        <is>
          <t>是</t>
        </is>
      </c>
      <c r="J854" t="inlineStr">
        <is>
          <t>纳入</t>
        </is>
      </c>
      <c r="K854" t="n">
        <v>417.34404536862</v>
      </c>
      <c r="L854">
        <f>导管母表_1781!G854</f>
        <v/>
      </c>
      <c r="M854" t="inlineStr">
        <is>
          <t>视野内部</t>
        </is>
      </c>
      <c r="N854" t="inlineStr">
        <is>
          <t>纳入A/D/Dh；若有Pair_ID则纳入CWR</t>
        </is>
      </c>
      <c r="O854" t="inlineStr">
        <is>
          <t>自动管线检出的合格导管腔。</t>
        </is>
      </c>
      <c r="P854" t="inlineStr">
        <is>
          <t>auto_pipeline;review_png_green</t>
        </is>
      </c>
      <c r="R854" t="inlineStr">
        <is>
          <t>样品19</t>
        </is>
      </c>
    </row>
    <row r="855">
      <c r="A855" t="inlineStr">
        <is>
          <t>19(10)-V04</t>
        </is>
      </c>
      <c r="B855" t="inlineStr">
        <is>
          <t>19 (10).tif</t>
        </is>
      </c>
      <c r="C855" t="n">
        <v>818</v>
      </c>
      <c r="D855" t="n">
        <v>385</v>
      </c>
      <c r="E855" t="inlineStr">
        <is>
          <t>763,336,874,435</t>
        </is>
      </c>
      <c r="F855" t="n">
        <v>150</v>
      </c>
      <c r="G855" t="inlineStr">
        <is>
          <t>primary</t>
        </is>
      </c>
      <c r="H855" t="inlineStr">
        <is>
          <t>AUTO_VESSEL</t>
        </is>
      </c>
      <c r="I855" t="inlineStr">
        <is>
          <t>是</t>
        </is>
      </c>
      <c r="J855" t="inlineStr">
        <is>
          <t>纳入</t>
        </is>
      </c>
      <c r="K855" t="n">
        <v>397.9206049149338</v>
      </c>
      <c r="L855">
        <f>导管母表_1781!G855</f>
        <v/>
      </c>
      <c r="M855" t="inlineStr">
        <is>
          <t>视野内部</t>
        </is>
      </c>
      <c r="N855" t="inlineStr">
        <is>
          <t>纳入A/D/Dh；若有Pair_ID则纳入CWR</t>
        </is>
      </c>
      <c r="O855" t="inlineStr">
        <is>
          <t>自动管线检出的合格导管腔。</t>
        </is>
      </c>
      <c r="P855" t="inlineStr">
        <is>
          <t>auto_pipeline;review_png_green</t>
        </is>
      </c>
      <c r="R855" t="inlineStr">
        <is>
          <t>样品19</t>
        </is>
      </c>
    </row>
    <row r="856">
      <c r="A856" t="inlineStr">
        <is>
          <t>19(10)-V05</t>
        </is>
      </c>
      <c r="B856" t="inlineStr">
        <is>
          <t>19 (10).tif</t>
        </is>
      </c>
      <c r="C856" t="n">
        <v>913</v>
      </c>
      <c r="D856" t="n">
        <v>485</v>
      </c>
      <c r="E856" t="inlineStr">
        <is>
          <t>862,450,965,521</t>
        </is>
      </c>
      <c r="F856" t="n">
        <v>59</v>
      </c>
      <c r="G856" t="inlineStr">
        <is>
          <t>primary</t>
        </is>
      </c>
      <c r="H856" t="inlineStr">
        <is>
          <t>AUTO_VESSEL</t>
        </is>
      </c>
      <c r="I856" t="inlineStr">
        <is>
          <t>是</t>
        </is>
      </c>
      <c r="J856" t="inlineStr">
        <is>
          <t>纳入</t>
        </is>
      </c>
      <c r="K856" t="n">
        <v>262.476370510397</v>
      </c>
      <c r="L856">
        <f>导管母表_1781!G856</f>
        <v/>
      </c>
      <c r="M856" t="inlineStr">
        <is>
          <t>视野内部</t>
        </is>
      </c>
      <c r="N856" t="inlineStr">
        <is>
          <t>纳入A/D/Dh；若有Pair_ID则纳入CWR</t>
        </is>
      </c>
      <c r="O856" t="inlineStr">
        <is>
          <t>自动管线检出的合格导管腔。</t>
        </is>
      </c>
      <c r="P856" t="inlineStr">
        <is>
          <t>auto_pipeline;review_png_green</t>
        </is>
      </c>
      <c r="R856" t="inlineStr">
        <is>
          <t>样品19</t>
        </is>
      </c>
    </row>
    <row r="857">
      <c r="A857" t="inlineStr">
        <is>
          <t>19(10)-V06</t>
        </is>
      </c>
      <c r="B857" t="inlineStr">
        <is>
          <t>19 (10).tif</t>
        </is>
      </c>
      <c r="C857" t="n">
        <v>922</v>
      </c>
      <c r="D857" t="n">
        <v>336</v>
      </c>
      <c r="E857" t="inlineStr">
        <is>
          <t>874,298,971,375</t>
        </is>
      </c>
      <c r="F857" t="n">
        <v>53</v>
      </c>
      <c r="G857" t="inlineStr">
        <is>
          <t>primary</t>
        </is>
      </c>
      <c r="H857" t="inlineStr">
        <is>
          <t>AUTO_VESSEL</t>
        </is>
      </c>
      <c r="I857" t="inlineStr">
        <is>
          <t>是</t>
        </is>
      </c>
      <c r="J857" t="inlineStr">
        <is>
          <t>纳入</t>
        </is>
      </c>
      <c r="K857" t="n">
        <v>244.234404536862</v>
      </c>
      <c r="L857">
        <f>导管母表_1781!G857</f>
        <v/>
      </c>
      <c r="M857" t="inlineStr">
        <is>
          <t>视野内部</t>
        </is>
      </c>
      <c r="N857" t="inlineStr">
        <is>
          <t>纳入A/D/Dh；若有Pair_ID则纳入CWR</t>
        </is>
      </c>
      <c r="O857" t="inlineStr">
        <is>
          <t>自动管线检出的合格导管腔。</t>
        </is>
      </c>
      <c r="P857" t="inlineStr">
        <is>
          <t>auto_pipeline;review_png_green</t>
        </is>
      </c>
      <c r="R857" t="inlineStr">
        <is>
          <t>样品19</t>
        </is>
      </c>
    </row>
    <row r="858">
      <c r="A858" t="inlineStr">
        <is>
          <t>19(11)-V01</t>
        </is>
      </c>
      <c r="B858" t="inlineStr">
        <is>
          <t>19 (11).tif</t>
        </is>
      </c>
      <c r="C858" t="n">
        <v>361</v>
      </c>
      <c r="D858" t="n">
        <v>299</v>
      </c>
      <c r="E858" t="inlineStr">
        <is>
          <t>285,205,438,394</t>
        </is>
      </c>
      <c r="F858" t="n">
        <v>205</v>
      </c>
      <c r="G858" t="inlineStr">
        <is>
          <t>primary</t>
        </is>
      </c>
      <c r="H858" t="inlineStr">
        <is>
          <t>AUTO_VESSEL</t>
        </is>
      </c>
      <c r="I858" t="inlineStr">
        <is>
          <t>是</t>
        </is>
      </c>
      <c r="J858" t="inlineStr">
        <is>
          <t>纳入</t>
        </is>
      </c>
      <c r="K858" t="n">
        <v>1031.332703213611</v>
      </c>
      <c r="L858">
        <f>导管母表_1781!G858</f>
        <v/>
      </c>
      <c r="M858" t="inlineStr">
        <is>
          <t>视野内部</t>
        </is>
      </c>
      <c r="N858" t="inlineStr">
        <is>
          <t>纳入A/D/Dh；若有Pair_ID则纳入CWR</t>
        </is>
      </c>
      <c r="O858" t="inlineStr">
        <is>
          <t>自动管线检出的合格导管腔。</t>
        </is>
      </c>
      <c r="P858" t="inlineStr">
        <is>
          <t>auto_pipeline;review_png_green</t>
        </is>
      </c>
      <c r="Q858" t="inlineStr">
        <is>
          <t>19(11)-P01</t>
        </is>
      </c>
      <c r="R858" t="inlineStr">
        <is>
          <t>样品19</t>
        </is>
      </c>
    </row>
    <row r="859">
      <c r="A859" t="inlineStr">
        <is>
          <t>19(11)-V02</t>
        </is>
      </c>
      <c r="B859" t="inlineStr">
        <is>
          <t>19 (11).tif</t>
        </is>
      </c>
      <c r="C859" t="n">
        <v>610</v>
      </c>
      <c r="D859" t="n">
        <v>385</v>
      </c>
      <c r="E859" t="inlineStr">
        <is>
          <t>541,325,680,446</t>
        </is>
      </c>
      <c r="F859" t="n">
        <v>322</v>
      </c>
      <c r="G859" t="inlineStr">
        <is>
          <t>primary</t>
        </is>
      </c>
      <c r="H859" t="inlineStr">
        <is>
          <t>AUTO_VESSEL</t>
        </is>
      </c>
      <c r="I859" t="inlineStr">
        <is>
          <t>是</t>
        </is>
      </c>
      <c r="J859" t="inlineStr">
        <is>
          <t>纳入</t>
        </is>
      </c>
      <c r="K859" t="n">
        <v>614.366729678639</v>
      </c>
      <c r="L859">
        <f>导管母表_1781!G859</f>
        <v/>
      </c>
      <c r="M859" t="inlineStr">
        <is>
          <t>视野内部</t>
        </is>
      </c>
      <c r="N859" t="inlineStr">
        <is>
          <t>纳入A/D/Dh；若有Pair_ID则纳入CWR</t>
        </is>
      </c>
      <c r="O859" t="inlineStr">
        <is>
          <t>自动管线检出的合格导管腔。</t>
        </is>
      </c>
      <c r="P859" t="inlineStr">
        <is>
          <t>auto_pipeline;review_png_green</t>
        </is>
      </c>
      <c r="R859" t="inlineStr">
        <is>
          <t>样品19</t>
        </is>
      </c>
    </row>
    <row r="860">
      <c r="A860" t="inlineStr">
        <is>
          <t>19(11)-V03</t>
        </is>
      </c>
      <c r="B860" t="inlineStr">
        <is>
          <t>19 (11).tif</t>
        </is>
      </c>
      <c r="C860" t="n">
        <v>478</v>
      </c>
      <c r="D860" t="n">
        <v>365</v>
      </c>
      <c r="E860" t="inlineStr">
        <is>
          <t>430,310,527,421</t>
        </is>
      </c>
      <c r="F860" t="n">
        <v>310</v>
      </c>
      <c r="G860" t="inlineStr">
        <is>
          <t>primary</t>
        </is>
      </c>
      <c r="H860" t="inlineStr">
        <is>
          <t>AUTO_VESSEL</t>
        </is>
      </c>
      <c r="I860" t="inlineStr">
        <is>
          <t>是</t>
        </is>
      </c>
      <c r="J860" t="inlineStr">
        <is>
          <t>纳入</t>
        </is>
      </c>
      <c r="K860" t="n">
        <v>390.8553875236295</v>
      </c>
      <c r="L860">
        <f>导管母表_1781!G860</f>
        <v/>
      </c>
      <c r="M860" t="inlineStr">
        <is>
          <t>视野内部</t>
        </is>
      </c>
      <c r="N860" t="inlineStr">
        <is>
          <t>纳入A/D/Dh；若有Pair_ID则纳入CWR</t>
        </is>
      </c>
      <c r="O860" t="inlineStr">
        <is>
          <t>自动管线检出的合格导管腔。</t>
        </is>
      </c>
      <c r="P860" t="inlineStr">
        <is>
          <t>auto_pipeline;review_png_green</t>
        </is>
      </c>
      <c r="Q860" t="inlineStr">
        <is>
          <t>19(11)-P01</t>
        </is>
      </c>
      <c r="R860" t="inlineStr">
        <is>
          <t>样品19</t>
        </is>
      </c>
    </row>
    <row r="861">
      <c r="A861" t="inlineStr">
        <is>
          <t>19(11)-V04</t>
        </is>
      </c>
      <c r="B861" t="inlineStr">
        <is>
          <t>19 (11).tif</t>
        </is>
      </c>
      <c r="C861" t="n">
        <v>517</v>
      </c>
      <c r="D861" t="n">
        <v>277</v>
      </c>
      <c r="E861" t="inlineStr">
        <is>
          <t>483,251,552,304</t>
        </is>
      </c>
      <c r="F861" t="n">
        <v>251</v>
      </c>
      <c r="G861" t="inlineStr">
        <is>
          <t>primary</t>
        </is>
      </c>
      <c r="H861" t="inlineStr">
        <is>
          <t>AUTO_VESSEL</t>
        </is>
      </c>
      <c r="I861" t="inlineStr">
        <is>
          <t>是</t>
        </is>
      </c>
      <c r="J861" t="inlineStr">
        <is>
          <t>纳入</t>
        </is>
      </c>
      <c r="K861" t="n">
        <v>117.34404536862</v>
      </c>
      <c r="L861">
        <f>导管母表_1781!G861</f>
        <v/>
      </c>
      <c r="M861" t="inlineStr">
        <is>
          <t>视野内部</t>
        </is>
      </c>
      <c r="N861" t="inlineStr">
        <is>
          <t>纳入A/D/Dh；若有Pair_ID则纳入CWR</t>
        </is>
      </c>
      <c r="O861" t="inlineStr">
        <is>
          <t>自动管线检出的合格导管腔。</t>
        </is>
      </c>
      <c r="P861" t="inlineStr">
        <is>
          <t>auto_pipeline;review_png_green</t>
        </is>
      </c>
      <c r="R861" t="inlineStr">
        <is>
          <t>样品19</t>
        </is>
      </c>
    </row>
    <row r="862">
      <c r="A862" t="inlineStr">
        <is>
          <t>19(11)-V05</t>
        </is>
      </c>
      <c r="B862" t="inlineStr">
        <is>
          <t>19 (11).tif</t>
        </is>
      </c>
      <c r="C862" t="n">
        <v>958</v>
      </c>
      <c r="D862" t="n">
        <v>278</v>
      </c>
      <c r="E862" t="inlineStr">
        <is>
          <t>927,253,990,304</t>
        </is>
      </c>
      <c r="F862" t="n">
        <v>34</v>
      </c>
      <c r="G862" t="inlineStr">
        <is>
          <t>primary</t>
        </is>
      </c>
      <c r="H862" t="inlineStr">
        <is>
          <t>AUTO_VESSEL</t>
        </is>
      </c>
      <c r="I862" t="inlineStr">
        <is>
          <t>是</t>
        </is>
      </c>
      <c r="J862" t="inlineStr">
        <is>
          <t>纳入</t>
        </is>
      </c>
      <c r="K862" t="n">
        <v>113.8468809073724</v>
      </c>
      <c r="L862">
        <f>导管母表_1781!G862</f>
        <v/>
      </c>
      <c r="M862" t="inlineStr">
        <is>
          <t>视野内部</t>
        </is>
      </c>
      <c r="N862" t="inlineStr">
        <is>
          <t>纳入A/D/Dh；若有Pair_ID则纳入CWR</t>
        </is>
      </c>
      <c r="O862" t="inlineStr">
        <is>
          <t>自动管线检出的合格导管腔。</t>
        </is>
      </c>
      <c r="P862" t="inlineStr">
        <is>
          <t>auto_pipeline;review_png_green</t>
        </is>
      </c>
      <c r="R862" t="inlineStr">
        <is>
          <t>样品19</t>
        </is>
      </c>
    </row>
    <row r="863">
      <c r="A863" t="inlineStr">
        <is>
          <t>19(12)-V01</t>
        </is>
      </c>
      <c r="B863" t="inlineStr">
        <is>
          <t>19 (12).tif</t>
        </is>
      </c>
      <c r="C863" t="n">
        <v>572</v>
      </c>
      <c r="D863" t="n">
        <v>418</v>
      </c>
      <c r="E863" t="inlineStr">
        <is>
          <t>491,348,654,489</t>
        </is>
      </c>
      <c r="F863" t="n">
        <v>279</v>
      </c>
      <c r="G863" t="inlineStr">
        <is>
          <t>primary</t>
        </is>
      </c>
      <c r="H863" t="inlineStr">
        <is>
          <t>AUTO_VESSEL</t>
        </is>
      </c>
      <c r="I863" t="inlineStr">
        <is>
          <t>是</t>
        </is>
      </c>
      <c r="J863" t="inlineStr">
        <is>
          <t>纳入</t>
        </is>
      </c>
      <c r="K863" t="n">
        <v>839.2722117202269</v>
      </c>
      <c r="L863">
        <f>导管母表_1781!G863</f>
        <v/>
      </c>
      <c r="M863" t="inlineStr">
        <is>
          <t>视野内部</t>
        </is>
      </c>
      <c r="N863" t="inlineStr">
        <is>
          <t>纳入A/D/Dh；若有Pair_ID则纳入CWR</t>
        </is>
      </c>
      <c r="O863" t="inlineStr">
        <is>
          <t>自动管线检出的合格导管腔。</t>
        </is>
      </c>
      <c r="P863" t="inlineStr">
        <is>
          <t>auto_pipeline;review_png_green</t>
        </is>
      </c>
      <c r="R863" t="inlineStr">
        <is>
          <t>样品19</t>
        </is>
      </c>
    </row>
    <row r="864">
      <c r="A864" t="inlineStr">
        <is>
          <t>19(12)-V02</t>
        </is>
      </c>
      <c r="B864" t="inlineStr">
        <is>
          <t>19 (12).tif</t>
        </is>
      </c>
      <c r="C864" t="n">
        <v>421</v>
      </c>
      <c r="D864" t="n">
        <v>332</v>
      </c>
      <c r="E864" t="inlineStr">
        <is>
          <t>366,253,477,412</t>
        </is>
      </c>
      <c r="F864" t="n">
        <v>253</v>
      </c>
      <c r="G864" t="inlineStr">
        <is>
          <t>primary</t>
        </is>
      </c>
      <c r="H864" t="inlineStr">
        <is>
          <t>AUTO_VESSEL</t>
        </is>
      </c>
      <c r="I864" t="inlineStr">
        <is>
          <t>是</t>
        </is>
      </c>
      <c r="J864" t="inlineStr">
        <is>
          <t>纳入</t>
        </is>
      </c>
      <c r="K864" t="n">
        <v>641.3988657844991</v>
      </c>
      <c r="L864">
        <f>导管母表_1781!G864</f>
        <v/>
      </c>
      <c r="M864" t="inlineStr">
        <is>
          <t>视野内部</t>
        </is>
      </c>
      <c r="N864" t="inlineStr">
        <is>
          <t>纳入A/D/Dh；若有Pair_ID则纳入CWR</t>
        </is>
      </c>
      <c r="O864" t="inlineStr">
        <is>
          <t>自动管线检出的合格导管腔。</t>
        </is>
      </c>
      <c r="P864" t="inlineStr">
        <is>
          <t>auto_pipeline;review_png_green</t>
        </is>
      </c>
      <c r="R864" t="inlineStr">
        <is>
          <t>样品19</t>
        </is>
      </c>
    </row>
    <row r="865">
      <c r="A865" t="inlineStr">
        <is>
          <t>19(12)-V03</t>
        </is>
      </c>
      <c r="B865" t="inlineStr">
        <is>
          <t>19 (12).tif</t>
        </is>
      </c>
      <c r="C865" t="n">
        <v>669</v>
      </c>
      <c r="D865" t="n">
        <v>166</v>
      </c>
      <c r="E865" t="inlineStr">
        <is>
          <t>630,139,709,194</t>
        </is>
      </c>
      <c r="F865" t="n">
        <v>139</v>
      </c>
      <c r="G865" t="inlineStr">
        <is>
          <t>primary</t>
        </is>
      </c>
      <c r="H865" t="inlineStr">
        <is>
          <t>AUTO_VESSEL</t>
        </is>
      </c>
      <c r="I865" t="inlineStr">
        <is>
          <t>是</t>
        </is>
      </c>
      <c r="J865" t="inlineStr">
        <is>
          <t>纳入</t>
        </is>
      </c>
      <c r="K865" t="n">
        <v>137.1928166351607</v>
      </c>
      <c r="L865">
        <f>导管母表_1781!G865</f>
        <v/>
      </c>
      <c r="M865" t="inlineStr">
        <is>
          <t>视野内部</t>
        </is>
      </c>
      <c r="N865" t="inlineStr">
        <is>
          <t>纳入A/D/Dh；若有Pair_ID则纳入CWR</t>
        </is>
      </c>
      <c r="O865" t="inlineStr">
        <is>
          <t>自动管线检出的合格导管腔。</t>
        </is>
      </c>
      <c r="P865" t="inlineStr">
        <is>
          <t>auto_pipeline;review_png_green</t>
        </is>
      </c>
      <c r="R865" t="inlineStr">
        <is>
          <t>样品19</t>
        </is>
      </c>
    </row>
    <row r="866">
      <c r="A866" t="inlineStr">
        <is>
          <t>19(12)-V04</t>
        </is>
      </c>
      <c r="B866" t="inlineStr">
        <is>
          <t>19 (12).tif</t>
        </is>
      </c>
      <c r="C866" t="n">
        <v>144</v>
      </c>
      <c r="D866" t="n">
        <v>442</v>
      </c>
      <c r="E866" t="inlineStr">
        <is>
          <t>109,419,180,466</t>
        </is>
      </c>
      <c r="F866" t="n">
        <v>109</v>
      </c>
      <c r="G866" t="inlineStr">
        <is>
          <t>primary</t>
        </is>
      </c>
      <c r="H866" t="inlineStr">
        <is>
          <t>AUTO_VESSEL</t>
        </is>
      </c>
      <c r="I866" t="inlineStr">
        <is>
          <t>是</t>
        </is>
      </c>
      <c r="J866" t="inlineStr">
        <is>
          <t>纳入</t>
        </is>
      </c>
      <c r="K866" t="n">
        <v>117.320415879017</v>
      </c>
      <c r="L866">
        <f>导管母表_1781!G866</f>
        <v/>
      </c>
      <c r="M866" t="inlineStr">
        <is>
          <t>视野内部</t>
        </is>
      </c>
      <c r="N866" t="inlineStr">
        <is>
          <t>纳入A/D/Dh；若有Pair_ID则纳入CWR</t>
        </is>
      </c>
      <c r="O866" t="inlineStr">
        <is>
          <t>自动管线检出的合格导管腔。</t>
        </is>
      </c>
      <c r="P866" t="inlineStr">
        <is>
          <t>auto_pipeline;review_png_green</t>
        </is>
      </c>
      <c r="R866" t="inlineStr">
        <is>
          <t>样品19</t>
        </is>
      </c>
    </row>
    <row r="867">
      <c r="A867" t="inlineStr">
        <is>
          <t>19(12)-V05</t>
        </is>
      </c>
      <c r="B867" t="inlineStr">
        <is>
          <t>19 (12).tif</t>
        </is>
      </c>
      <c r="C867" t="n">
        <v>592</v>
      </c>
      <c r="D867" t="n">
        <v>127</v>
      </c>
      <c r="E867" t="inlineStr">
        <is>
          <t>558,103,627,152</t>
        </is>
      </c>
      <c r="F867" t="n">
        <v>103</v>
      </c>
      <c r="G867" t="inlineStr">
        <is>
          <t>primary</t>
        </is>
      </c>
      <c r="H867" t="inlineStr">
        <is>
          <t>AUTO_VESSEL</t>
        </is>
      </c>
      <c r="I867" t="inlineStr">
        <is>
          <t>是</t>
        </is>
      </c>
      <c r="J867" t="inlineStr">
        <is>
          <t>纳入</t>
        </is>
      </c>
      <c r="K867" t="n">
        <v>107.1361058601134</v>
      </c>
      <c r="L867">
        <f>导管母表_1781!G867</f>
        <v/>
      </c>
      <c r="M867" t="inlineStr">
        <is>
          <t>视野内部</t>
        </is>
      </c>
      <c r="N867" t="inlineStr">
        <is>
          <t>纳入A/D/Dh；若有Pair_ID则纳入CWR</t>
        </is>
      </c>
      <c r="O867" t="inlineStr">
        <is>
          <t>自动管线检出的合格导管腔。</t>
        </is>
      </c>
      <c r="P867" t="inlineStr">
        <is>
          <t>auto_pipeline;review_png_green</t>
        </is>
      </c>
      <c r="R867" t="inlineStr">
        <is>
          <t>样品19</t>
        </is>
      </c>
    </row>
    <row r="868">
      <c r="A868" t="inlineStr">
        <is>
          <t>19(12)-V06</t>
        </is>
      </c>
      <c r="B868" t="inlineStr">
        <is>
          <t>19 (12).tif</t>
        </is>
      </c>
      <c r="C868" t="n">
        <v>766</v>
      </c>
      <c r="D868" t="n">
        <v>214</v>
      </c>
      <c r="E868" t="inlineStr">
        <is>
          <t>729,187,804,242</t>
        </is>
      </c>
      <c r="F868" t="n">
        <v>187</v>
      </c>
      <c r="G868" t="inlineStr">
        <is>
          <t>primary</t>
        </is>
      </c>
      <c r="H868" t="inlineStr">
        <is>
          <t>AUTO_VESSEL</t>
        </is>
      </c>
      <c r="I868" t="inlineStr">
        <is>
          <t>是</t>
        </is>
      </c>
      <c r="J868" t="inlineStr">
        <is>
          <t>纳入</t>
        </is>
      </c>
      <c r="K868" t="n">
        <v>106.0727788279773</v>
      </c>
      <c r="L868">
        <f>导管母表_1781!G868</f>
        <v/>
      </c>
      <c r="M868" t="inlineStr">
        <is>
          <t>视野内部</t>
        </is>
      </c>
      <c r="N868" t="inlineStr">
        <is>
          <t>纳入A/D/Dh；若有Pair_ID则纳入CWR</t>
        </is>
      </c>
      <c r="O868" t="inlineStr">
        <is>
          <t>自动管线检出的合格导管腔。</t>
        </is>
      </c>
      <c r="P868" t="inlineStr">
        <is>
          <t>auto_pipeline;review_png_green</t>
        </is>
      </c>
      <c r="R868" t="inlineStr">
        <is>
          <t>样品19</t>
        </is>
      </c>
    </row>
    <row r="869">
      <c r="A869" t="inlineStr">
        <is>
          <t>19(13)-V01</t>
        </is>
      </c>
      <c r="B869" t="inlineStr">
        <is>
          <t>19 (13).tif</t>
        </is>
      </c>
      <c r="C869" t="n">
        <v>94</v>
      </c>
      <c r="D869" t="n">
        <v>472</v>
      </c>
      <c r="E869" t="inlineStr">
        <is>
          <t>11,408,178,537</t>
        </is>
      </c>
      <c r="F869" t="n">
        <v>11</v>
      </c>
      <c r="G869" t="inlineStr">
        <is>
          <t>primary</t>
        </is>
      </c>
      <c r="H869" t="inlineStr">
        <is>
          <t>AUTO_VESSEL</t>
        </is>
      </c>
      <c r="I869" t="inlineStr">
        <is>
          <t>是</t>
        </is>
      </c>
      <c r="J869" t="inlineStr">
        <is>
          <t>纳入</t>
        </is>
      </c>
      <c r="K869" t="n">
        <v>784.8771266540642</v>
      </c>
      <c r="L869">
        <f>导管母表_1781!G869</f>
        <v/>
      </c>
      <c r="M869" t="inlineStr">
        <is>
          <t>近边缘（&lt;25 px）</t>
        </is>
      </c>
      <c r="N869" t="inlineStr">
        <is>
          <t>纳入A/D/Dh；若有Pair_ID则纳入CWR</t>
        </is>
      </c>
      <c r="O869" t="inlineStr">
        <is>
          <t>自动管线检出的合格导管腔。</t>
        </is>
      </c>
      <c r="P869" t="inlineStr">
        <is>
          <t>auto_pipeline;review_png_green</t>
        </is>
      </c>
      <c r="R869" t="inlineStr">
        <is>
          <t>样品19</t>
        </is>
      </c>
    </row>
    <row r="870">
      <c r="A870" t="inlineStr">
        <is>
          <t>19(13)-V02</t>
        </is>
      </c>
      <c r="B870" t="inlineStr">
        <is>
          <t>19 (13).tif</t>
        </is>
      </c>
      <c r="C870" t="n">
        <v>925</v>
      </c>
      <c r="D870" t="n">
        <v>596</v>
      </c>
      <c r="E870" t="inlineStr">
        <is>
          <t>861,540,990,653</t>
        </is>
      </c>
      <c r="F870" t="n">
        <v>34</v>
      </c>
      <c r="G870" t="inlineStr">
        <is>
          <t>primary</t>
        </is>
      </c>
      <c r="H870" t="inlineStr">
        <is>
          <t>AUTO_VESSEL</t>
        </is>
      </c>
      <c r="I870" t="inlineStr">
        <is>
          <t>是</t>
        </is>
      </c>
      <c r="J870" t="inlineStr">
        <is>
          <t>纳入</t>
        </is>
      </c>
      <c r="K870" t="n">
        <v>514.9574669187145</v>
      </c>
      <c r="L870">
        <f>导管母表_1781!G870</f>
        <v/>
      </c>
      <c r="M870" t="inlineStr">
        <is>
          <t>视野内部</t>
        </is>
      </c>
      <c r="N870" t="inlineStr">
        <is>
          <t>纳入A/D/Dh；若有Pair_ID则纳入CWR</t>
        </is>
      </c>
      <c r="O870" t="inlineStr">
        <is>
          <t>自动管线检出的合格导管腔。</t>
        </is>
      </c>
      <c r="P870" t="inlineStr">
        <is>
          <t>auto_pipeline;review_png_green</t>
        </is>
      </c>
      <c r="R870" t="inlineStr">
        <is>
          <t>样品19</t>
        </is>
      </c>
    </row>
    <row r="871">
      <c r="A871" t="inlineStr">
        <is>
          <t>19(13)-V03</t>
        </is>
      </c>
      <c r="B871" t="inlineStr">
        <is>
          <t>19 (13).tif</t>
        </is>
      </c>
      <c r="C871" t="n">
        <v>636</v>
      </c>
      <c r="D871" t="n">
        <v>88</v>
      </c>
      <c r="E871" t="inlineStr">
        <is>
          <t>583,52,690,125</t>
        </is>
      </c>
      <c r="F871" t="n">
        <v>52</v>
      </c>
      <c r="G871" t="inlineStr">
        <is>
          <t>primary</t>
        </is>
      </c>
      <c r="H871" t="inlineStr">
        <is>
          <t>AUTO_VESSEL</t>
        </is>
      </c>
      <c r="I871" t="inlineStr">
        <is>
          <t>是</t>
        </is>
      </c>
      <c r="J871" t="inlineStr">
        <is>
          <t>纳入</t>
        </is>
      </c>
      <c r="K871" t="n">
        <v>128.9933837429112</v>
      </c>
      <c r="L871">
        <f>导管母表_1781!G871</f>
        <v/>
      </c>
      <c r="M871" t="inlineStr">
        <is>
          <t>视野内部</t>
        </is>
      </c>
      <c r="N871" t="inlineStr">
        <is>
          <t>纳入A/D/Dh；若有Pair_ID则纳入CWR</t>
        </is>
      </c>
      <c r="O871" t="inlineStr">
        <is>
          <t>自动管线检出的合格导管腔。</t>
        </is>
      </c>
      <c r="P871" t="inlineStr">
        <is>
          <t>auto_pipeline;review_png_green</t>
        </is>
      </c>
      <c r="R871" t="inlineStr">
        <is>
          <t>样品19</t>
        </is>
      </c>
    </row>
    <row r="872">
      <c r="A872" t="inlineStr">
        <is>
          <t>19(13)-V04</t>
        </is>
      </c>
      <c r="B872" t="inlineStr">
        <is>
          <t>19 (13).tif</t>
        </is>
      </c>
      <c r="C872" t="n">
        <v>813</v>
      </c>
      <c r="D872" t="n">
        <v>189</v>
      </c>
      <c r="E872" t="inlineStr">
        <is>
          <t>774,163,853,216</t>
        </is>
      </c>
      <c r="F872" t="n">
        <v>163</v>
      </c>
      <c r="G872" t="inlineStr">
        <is>
          <t>primary</t>
        </is>
      </c>
      <c r="H872" t="inlineStr">
        <is>
          <t>AUTO_VESSEL</t>
        </is>
      </c>
      <c r="I872" t="inlineStr">
        <is>
          <t>是</t>
        </is>
      </c>
      <c r="J872" t="inlineStr">
        <is>
          <t>纳入</t>
        </is>
      </c>
      <c r="K872" t="n">
        <v>104.5132325141777</v>
      </c>
      <c r="L872">
        <f>导管母表_1781!G872</f>
        <v/>
      </c>
      <c r="M872" t="inlineStr">
        <is>
          <t>视野内部</t>
        </is>
      </c>
      <c r="N872" t="inlineStr">
        <is>
          <t>纳入A/D/Dh；若有Pair_ID则纳入CWR</t>
        </is>
      </c>
      <c r="O872" t="inlineStr">
        <is>
          <t>自动管线检出的合格导管腔。</t>
        </is>
      </c>
      <c r="P872" t="inlineStr">
        <is>
          <t>auto_pipeline;review_png_green</t>
        </is>
      </c>
      <c r="R872" t="inlineStr">
        <is>
          <t>样品19</t>
        </is>
      </c>
    </row>
    <row r="873">
      <c r="A873" t="inlineStr">
        <is>
          <t>19(14)-V01</t>
        </is>
      </c>
      <c r="B873" t="inlineStr">
        <is>
          <t>19 (14).tif</t>
        </is>
      </c>
      <c r="C873" t="n">
        <v>415</v>
      </c>
      <c r="D873" t="n">
        <v>346</v>
      </c>
      <c r="E873" t="inlineStr">
        <is>
          <t>338,268,493,425</t>
        </is>
      </c>
      <c r="F873" t="n">
        <v>268</v>
      </c>
      <c r="G873" t="inlineStr">
        <is>
          <t>primary</t>
        </is>
      </c>
      <c r="H873" t="inlineStr">
        <is>
          <t>AUTO_VESSEL</t>
        </is>
      </c>
      <c r="I873" t="inlineStr">
        <is>
          <t>是</t>
        </is>
      </c>
      <c r="J873" t="inlineStr">
        <is>
          <t>纳入</t>
        </is>
      </c>
      <c r="K873" t="n">
        <v>869.5888468809073</v>
      </c>
      <c r="L873">
        <f>导管母表_1781!G873</f>
        <v/>
      </c>
      <c r="M873" t="inlineStr">
        <is>
          <t>视野内部</t>
        </is>
      </c>
      <c r="N873" t="inlineStr">
        <is>
          <t>纳入A/D/Dh；若有Pair_ID则纳入CWR</t>
        </is>
      </c>
      <c r="O873" t="inlineStr">
        <is>
          <t>自动管线检出的合格导管腔。</t>
        </is>
      </c>
      <c r="P873" t="inlineStr">
        <is>
          <t>auto_pipeline;review_png_green</t>
        </is>
      </c>
      <c r="Q873" t="inlineStr">
        <is>
          <t>19(14)-P01</t>
        </is>
      </c>
      <c r="R873" t="inlineStr">
        <is>
          <t>样品19</t>
        </is>
      </c>
    </row>
    <row r="874">
      <c r="A874" t="inlineStr">
        <is>
          <t>19(14)-V02</t>
        </is>
      </c>
      <c r="B874" t="inlineStr">
        <is>
          <t>19 (14).tif</t>
        </is>
      </c>
      <c r="C874" t="n">
        <v>575</v>
      </c>
      <c r="D874" t="n">
        <v>459</v>
      </c>
      <c r="E874" t="inlineStr">
        <is>
          <t>502,388,649,531</t>
        </is>
      </c>
      <c r="F874" t="n">
        <v>237</v>
      </c>
      <c r="G874" t="inlineStr">
        <is>
          <t>primary</t>
        </is>
      </c>
      <c r="H874" t="inlineStr">
        <is>
          <t>AUTO_VESSEL</t>
        </is>
      </c>
      <c r="I874" t="inlineStr">
        <is>
          <t>是</t>
        </is>
      </c>
      <c r="J874" t="inlineStr">
        <is>
          <t>纳入</t>
        </is>
      </c>
      <c r="K874" t="n">
        <v>754.9149338374291</v>
      </c>
      <c r="L874">
        <f>导管母表_1781!G874</f>
        <v/>
      </c>
      <c r="M874" t="inlineStr">
        <is>
          <t>视野内部</t>
        </is>
      </c>
      <c r="N874" t="inlineStr">
        <is>
          <t>纳入A/D/Dh；若有Pair_ID则纳入CWR</t>
        </is>
      </c>
      <c r="O874" t="inlineStr">
        <is>
          <t>自动管线检出的合格导管腔。</t>
        </is>
      </c>
      <c r="P874" t="inlineStr">
        <is>
          <t>auto_pipeline;review_png_green</t>
        </is>
      </c>
      <c r="Q874" t="inlineStr">
        <is>
          <t>19(14)-P01</t>
        </is>
      </c>
      <c r="R874" t="inlineStr">
        <is>
          <t>样品19</t>
        </is>
      </c>
    </row>
    <row r="875">
      <c r="A875" t="inlineStr">
        <is>
          <t>19(14)-V03</t>
        </is>
      </c>
      <c r="B875" t="inlineStr">
        <is>
          <t>19 (14).tif</t>
        </is>
      </c>
      <c r="C875" t="n">
        <v>92</v>
      </c>
      <c r="D875" t="n">
        <v>140</v>
      </c>
      <c r="E875" t="inlineStr">
        <is>
          <t>26,78,159,203</t>
        </is>
      </c>
      <c r="F875" t="n">
        <v>26</v>
      </c>
      <c r="G875" t="inlineStr">
        <is>
          <t>primary</t>
        </is>
      </c>
      <c r="H875" t="inlineStr">
        <is>
          <t>AUTO_VESSEL</t>
        </is>
      </c>
      <c r="I875" t="inlineStr">
        <is>
          <t>是</t>
        </is>
      </c>
      <c r="J875" t="inlineStr">
        <is>
          <t>纳入</t>
        </is>
      </c>
      <c r="K875" t="n">
        <v>603.9933837429112</v>
      </c>
      <c r="L875">
        <f>导管母表_1781!G875</f>
        <v/>
      </c>
      <c r="M875" t="inlineStr">
        <is>
          <t>视野内部</t>
        </is>
      </c>
      <c r="N875" t="inlineStr">
        <is>
          <t>纳入A/D/Dh；若有Pair_ID则纳入CWR</t>
        </is>
      </c>
      <c r="O875" t="inlineStr">
        <is>
          <t>自动管线检出的合格导管腔。</t>
        </is>
      </c>
      <c r="P875" t="inlineStr">
        <is>
          <t>auto_pipeline;review_png_green</t>
        </is>
      </c>
      <c r="R875" t="inlineStr">
        <is>
          <t>样品19</t>
        </is>
      </c>
    </row>
    <row r="876">
      <c r="A876" t="inlineStr">
        <is>
          <t>19(14)-V04</t>
        </is>
      </c>
      <c r="B876" t="inlineStr">
        <is>
          <t>19 (14).tif</t>
        </is>
      </c>
      <c r="C876" t="n">
        <v>911</v>
      </c>
      <c r="D876" t="n">
        <v>505</v>
      </c>
      <c r="E876" t="inlineStr">
        <is>
          <t>873,471,950,540</t>
        </is>
      </c>
      <c r="F876" t="n">
        <v>74</v>
      </c>
      <c r="G876" t="inlineStr">
        <is>
          <t>primary</t>
        </is>
      </c>
      <c r="H876" t="inlineStr">
        <is>
          <t>AUTO_VESSEL</t>
        </is>
      </c>
      <c r="I876" t="inlineStr">
        <is>
          <t>是</t>
        </is>
      </c>
      <c r="J876" t="inlineStr">
        <is>
          <t>纳入</t>
        </is>
      </c>
      <c r="K876" t="n">
        <v>191.1625708884688</v>
      </c>
      <c r="L876">
        <f>导管母表_1781!G876</f>
        <v/>
      </c>
      <c r="M876" t="inlineStr">
        <is>
          <t>视野内部</t>
        </is>
      </c>
      <c r="N876" t="inlineStr">
        <is>
          <t>纳入A/D/Dh；若有Pair_ID则纳入CWR</t>
        </is>
      </c>
      <c r="O876" t="inlineStr">
        <is>
          <t>自动管线检出的合格导管腔。</t>
        </is>
      </c>
      <c r="P876" t="inlineStr">
        <is>
          <t>auto_pipeline;review_png_green</t>
        </is>
      </c>
      <c r="R876" t="inlineStr">
        <is>
          <t>样品19</t>
        </is>
      </c>
    </row>
    <row r="877">
      <c r="A877" t="inlineStr">
        <is>
          <t>19(14)-V05</t>
        </is>
      </c>
      <c r="B877" t="inlineStr">
        <is>
          <t>19 (14).tif</t>
        </is>
      </c>
      <c r="C877" t="n">
        <v>515</v>
      </c>
      <c r="D877" t="n">
        <v>62</v>
      </c>
      <c r="E877" t="inlineStr">
        <is>
          <t>472,29,559,96</t>
        </is>
      </c>
      <c r="F877" t="n">
        <v>29</v>
      </c>
      <c r="G877" t="inlineStr">
        <is>
          <t>primary</t>
        </is>
      </c>
      <c r="H877" t="inlineStr">
        <is>
          <t>AUTO_VESSEL</t>
        </is>
      </c>
      <c r="I877" t="inlineStr">
        <is>
          <t>是</t>
        </is>
      </c>
      <c r="J877" t="inlineStr">
        <is>
          <t>纳入</t>
        </is>
      </c>
      <c r="K877" t="n">
        <v>174.6691871455577</v>
      </c>
      <c r="L877">
        <f>导管母表_1781!G877</f>
        <v/>
      </c>
      <c r="M877" t="inlineStr">
        <is>
          <t>视野内部</t>
        </is>
      </c>
      <c r="N877" t="inlineStr">
        <is>
          <t>纳入A/D/Dh；若有Pair_ID则纳入CWR</t>
        </is>
      </c>
      <c r="O877" t="inlineStr">
        <is>
          <t>自动管线检出的合格导管腔。</t>
        </is>
      </c>
      <c r="P877" t="inlineStr">
        <is>
          <t>auto_pipeline;review_png_green</t>
        </is>
      </c>
      <c r="R877" t="inlineStr">
        <is>
          <t>样品19</t>
        </is>
      </c>
    </row>
    <row r="878">
      <c r="A878" t="inlineStr">
        <is>
          <t>19(14)-V06</t>
        </is>
      </c>
      <c r="B878" t="inlineStr">
        <is>
          <t>19 (14).tif</t>
        </is>
      </c>
      <c r="C878" t="n">
        <v>224</v>
      </c>
      <c r="D878" t="n">
        <v>238</v>
      </c>
      <c r="E878" t="inlineStr">
        <is>
          <t>196,206,253,271</t>
        </is>
      </c>
      <c r="F878" t="n">
        <v>196</v>
      </c>
      <c r="G878" t="inlineStr">
        <is>
          <t>primary</t>
        </is>
      </c>
      <c r="H878" t="inlineStr">
        <is>
          <t>AUTO_VESSEL</t>
        </is>
      </c>
      <c r="I878" t="inlineStr">
        <is>
          <t>是</t>
        </is>
      </c>
      <c r="J878" t="inlineStr">
        <is>
          <t>纳入</t>
        </is>
      </c>
      <c r="K878" t="n">
        <v>124.8109640831758</v>
      </c>
      <c r="L878">
        <f>导管母表_1781!G878</f>
        <v/>
      </c>
      <c r="M878" t="inlineStr">
        <is>
          <t>视野内部</t>
        </is>
      </c>
      <c r="N878" t="inlineStr">
        <is>
          <t>纳入A/D/Dh；若有Pair_ID则纳入CWR</t>
        </is>
      </c>
      <c r="O878" t="inlineStr">
        <is>
          <t>自动管线检出的合格导管腔。</t>
        </is>
      </c>
      <c r="P878" t="inlineStr">
        <is>
          <t>auto_pipeline;review_png_green</t>
        </is>
      </c>
      <c r="R878" t="inlineStr">
        <is>
          <t>样品19</t>
        </is>
      </c>
    </row>
    <row r="879">
      <c r="A879" t="inlineStr">
        <is>
          <t>19(14)-V07</t>
        </is>
      </c>
      <c r="B879" t="inlineStr">
        <is>
          <t>19 (14).tif</t>
        </is>
      </c>
      <c r="C879" t="n">
        <v>367</v>
      </c>
      <c r="D879" t="n">
        <v>555</v>
      </c>
      <c r="E879" t="inlineStr">
        <is>
          <t>316,522,419,589</t>
        </is>
      </c>
      <c r="F879" t="n">
        <v>179</v>
      </c>
      <c r="G879" t="inlineStr">
        <is>
          <t>primary</t>
        </is>
      </c>
      <c r="H879" t="inlineStr">
        <is>
          <t>AUTO_VESSEL</t>
        </is>
      </c>
      <c r="I879" t="inlineStr">
        <is>
          <t>是</t>
        </is>
      </c>
      <c r="J879" t="inlineStr">
        <is>
          <t>纳入</t>
        </is>
      </c>
      <c r="K879" t="n">
        <v>122.6843100189036</v>
      </c>
      <c r="L879">
        <f>导管母表_1781!G879</f>
        <v/>
      </c>
      <c r="M879" t="inlineStr">
        <is>
          <t>视野内部</t>
        </is>
      </c>
      <c r="N879" t="inlineStr">
        <is>
          <t>纳入A/D/Dh；若有Pair_ID则纳入CWR</t>
        </is>
      </c>
      <c r="O879" t="inlineStr">
        <is>
          <t>自动管线检出的合格导管腔。</t>
        </is>
      </c>
      <c r="P879" t="inlineStr">
        <is>
          <t>auto_pipeline;review_png_green</t>
        </is>
      </c>
      <c r="R879" t="inlineStr">
        <is>
          <t>样品19</t>
        </is>
      </c>
    </row>
    <row r="880">
      <c r="A880" t="inlineStr">
        <is>
          <t>19(14)-V08</t>
        </is>
      </c>
      <c r="B880" t="inlineStr">
        <is>
          <t>19 (14).tif</t>
        </is>
      </c>
      <c r="C880" t="n">
        <v>543</v>
      </c>
      <c r="D880" t="n">
        <v>654</v>
      </c>
      <c r="E880" t="inlineStr">
        <is>
          <t>503,628,584,681</t>
        </is>
      </c>
      <c r="F880" t="n">
        <v>87</v>
      </c>
      <c r="G880" t="inlineStr">
        <is>
          <t>primary</t>
        </is>
      </c>
      <c r="H880" t="inlineStr">
        <is>
          <t>AUTO_VESSEL</t>
        </is>
      </c>
      <c r="I880" t="inlineStr">
        <is>
          <t>是</t>
        </is>
      </c>
      <c r="J880" t="inlineStr">
        <is>
          <t>纳入</t>
        </is>
      </c>
      <c r="K880" t="n">
        <v>107.2306238185255</v>
      </c>
      <c r="L880">
        <f>导管母表_1781!G880</f>
        <v/>
      </c>
      <c r="M880" t="inlineStr">
        <is>
          <t>视野内部</t>
        </is>
      </c>
      <c r="N880" t="inlineStr">
        <is>
          <t>纳入A/D/Dh；若有Pair_ID则纳入CWR</t>
        </is>
      </c>
      <c r="O880" t="inlineStr">
        <is>
          <t>自动管线检出的合格导管腔。</t>
        </is>
      </c>
      <c r="P880" t="inlineStr">
        <is>
          <t>auto_pipeline;review_png_green</t>
        </is>
      </c>
      <c r="R880" t="inlineStr">
        <is>
          <t>样品19</t>
        </is>
      </c>
    </row>
    <row r="881">
      <c r="A881" t="inlineStr">
        <is>
          <t>19(15)-V01</t>
        </is>
      </c>
      <c r="B881" t="inlineStr">
        <is>
          <t>19 (15).tif</t>
        </is>
      </c>
      <c r="C881" t="n">
        <v>431</v>
      </c>
      <c r="D881" t="n">
        <v>339</v>
      </c>
      <c r="E881" t="inlineStr">
        <is>
          <t>305,245,558,434</t>
        </is>
      </c>
      <c r="F881" t="n">
        <v>245</v>
      </c>
      <c r="G881" t="inlineStr">
        <is>
          <t>primary</t>
        </is>
      </c>
      <c r="H881" t="inlineStr">
        <is>
          <t>AUTO_VESSEL</t>
        </is>
      </c>
      <c r="I881" t="inlineStr">
        <is>
          <t>是</t>
        </is>
      </c>
      <c r="J881" t="inlineStr">
        <is>
          <t>纳入</t>
        </is>
      </c>
      <c r="K881" t="n">
        <v>1649.054820415879</v>
      </c>
      <c r="L881">
        <f>导管母表_1781!G881</f>
        <v/>
      </c>
      <c r="M881" t="inlineStr">
        <is>
          <t>视野内部</t>
        </is>
      </c>
      <c r="N881" t="inlineStr">
        <is>
          <t>纳入A/D/Dh；若有Pair_ID则纳入CWR</t>
        </is>
      </c>
      <c r="O881" t="inlineStr">
        <is>
          <t>自动管线检出的合格导管腔。</t>
        </is>
      </c>
      <c r="P881" t="inlineStr">
        <is>
          <t>auto_pipeline;review_png_green</t>
        </is>
      </c>
      <c r="R881" t="inlineStr">
        <is>
          <t>样品19</t>
        </is>
      </c>
    </row>
    <row r="882">
      <c r="A882" t="inlineStr">
        <is>
          <t>19(16)-V01</t>
        </is>
      </c>
      <c r="B882" t="inlineStr">
        <is>
          <t>19 (16).tif</t>
        </is>
      </c>
      <c r="C882" t="n">
        <v>543</v>
      </c>
      <c r="D882" t="n">
        <v>459</v>
      </c>
      <c r="E882" t="inlineStr">
        <is>
          <t>459,370,628,549</t>
        </is>
      </c>
      <c r="F882" t="n">
        <v>219</v>
      </c>
      <c r="G882" t="inlineStr">
        <is>
          <t>primary</t>
        </is>
      </c>
      <c r="H882" t="inlineStr">
        <is>
          <t>AUTO_VESSEL</t>
        </is>
      </c>
      <c r="I882" t="inlineStr">
        <is>
          <t>是</t>
        </is>
      </c>
      <c r="J882" t="inlineStr">
        <is>
          <t>纳入</t>
        </is>
      </c>
      <c r="K882" t="n">
        <v>1108.199432892249</v>
      </c>
      <c r="L882">
        <f>导管母表_1781!G882</f>
        <v/>
      </c>
      <c r="M882" t="inlineStr">
        <is>
          <t>视野内部</t>
        </is>
      </c>
      <c r="N882" t="inlineStr">
        <is>
          <t>纳入A/D/Dh；若有Pair_ID则纳入CWR</t>
        </is>
      </c>
      <c r="O882" t="inlineStr">
        <is>
          <t>自动管线检出的合格导管腔。</t>
        </is>
      </c>
      <c r="P882" t="inlineStr">
        <is>
          <t>auto_pipeline;review_png_green</t>
        </is>
      </c>
      <c r="Q882" t="inlineStr">
        <is>
          <t>19(16)-P01</t>
        </is>
      </c>
      <c r="R882" t="inlineStr">
        <is>
          <t>样品19</t>
        </is>
      </c>
    </row>
    <row r="883">
      <c r="A883" t="inlineStr">
        <is>
          <t>19(16)-V02</t>
        </is>
      </c>
      <c r="B883" t="inlineStr">
        <is>
          <t>19 (16).tif</t>
        </is>
      </c>
      <c r="C883" t="n">
        <v>488</v>
      </c>
      <c r="D883" t="n">
        <v>286</v>
      </c>
      <c r="E883" t="inlineStr">
        <is>
          <t>408,207,569,366</t>
        </is>
      </c>
      <c r="F883" t="n">
        <v>207</v>
      </c>
      <c r="G883" t="inlineStr">
        <is>
          <t>primary</t>
        </is>
      </c>
      <c r="H883" t="inlineStr">
        <is>
          <t>AUTO_VESSEL</t>
        </is>
      </c>
      <c r="I883" t="inlineStr">
        <is>
          <t>是</t>
        </is>
      </c>
      <c r="J883" t="inlineStr">
        <is>
          <t>纳入</t>
        </is>
      </c>
      <c r="K883" t="n">
        <v>920.9357277882798</v>
      </c>
      <c r="L883">
        <f>导管母表_1781!G883</f>
        <v/>
      </c>
      <c r="M883" t="inlineStr">
        <is>
          <t>视野内部</t>
        </is>
      </c>
      <c r="N883" t="inlineStr">
        <is>
          <t>纳入A/D/Dh；若有Pair_ID则纳入CWR</t>
        </is>
      </c>
      <c r="O883" t="inlineStr">
        <is>
          <t>自动管线检出的合格导管腔。</t>
        </is>
      </c>
      <c r="P883" t="inlineStr">
        <is>
          <t>auto_pipeline;review_png_green</t>
        </is>
      </c>
      <c r="Q883" t="inlineStr">
        <is>
          <t>19(16)-P01</t>
        </is>
      </c>
      <c r="R883" t="inlineStr">
        <is>
          <t>样品19</t>
        </is>
      </c>
    </row>
    <row r="884">
      <c r="A884" t="inlineStr">
        <is>
          <t>19(16)-V03</t>
        </is>
      </c>
      <c r="B884" t="inlineStr">
        <is>
          <t>19 (16).tif</t>
        </is>
      </c>
      <c r="C884" t="n">
        <v>942</v>
      </c>
      <c r="D884" t="n">
        <v>154</v>
      </c>
      <c r="E884" t="inlineStr">
        <is>
          <t>889,86,996,223</t>
        </is>
      </c>
      <c r="F884" t="n">
        <v>28</v>
      </c>
      <c r="G884" t="inlineStr">
        <is>
          <t>primary</t>
        </is>
      </c>
      <c r="H884" t="inlineStr">
        <is>
          <t>AUTO_VESSEL</t>
        </is>
      </c>
      <c r="I884" t="inlineStr">
        <is>
          <t>是</t>
        </is>
      </c>
      <c r="J884" t="inlineStr">
        <is>
          <t>纳入</t>
        </is>
      </c>
      <c r="K884" t="n">
        <v>417.5803402646503</v>
      </c>
      <c r="L884">
        <f>导管母表_1781!G884</f>
        <v/>
      </c>
      <c r="M884" t="inlineStr">
        <is>
          <t>视野内部</t>
        </is>
      </c>
      <c r="N884" t="inlineStr">
        <is>
          <t>纳入A/D/Dh；若有Pair_ID则纳入CWR</t>
        </is>
      </c>
      <c r="O884" t="inlineStr">
        <is>
          <t>自动管线检出的合格导管腔。</t>
        </is>
      </c>
      <c r="P884" t="inlineStr">
        <is>
          <t>auto_pipeline;review_png_green</t>
        </is>
      </c>
      <c r="R884" t="inlineStr">
        <is>
          <t>样品19</t>
        </is>
      </c>
    </row>
    <row r="885">
      <c r="A885" t="inlineStr">
        <is>
          <t>19(17)-V01</t>
        </is>
      </c>
      <c r="B885" t="inlineStr">
        <is>
          <t>19 (17).tif</t>
        </is>
      </c>
      <c r="C885" t="n">
        <v>465</v>
      </c>
      <c r="D885" t="n">
        <v>314</v>
      </c>
      <c r="E885" t="inlineStr">
        <is>
          <t>379,236,552,393</t>
        </is>
      </c>
      <c r="F885" t="n">
        <v>236</v>
      </c>
      <c r="G885" t="inlineStr">
        <is>
          <t>primary</t>
        </is>
      </c>
      <c r="H885" t="inlineStr">
        <is>
          <t>AUTO_VESSEL</t>
        </is>
      </c>
      <c r="I885" t="inlineStr">
        <is>
          <t>是</t>
        </is>
      </c>
      <c r="J885" t="inlineStr">
        <is>
          <t>纳入</t>
        </is>
      </c>
      <c r="K885" t="n">
        <v>985.0189035916824</v>
      </c>
      <c r="L885">
        <f>导管母表_1781!G885</f>
        <v/>
      </c>
      <c r="M885" t="inlineStr">
        <is>
          <t>视野内部</t>
        </is>
      </c>
      <c r="N885" t="inlineStr">
        <is>
          <t>纳入A/D/Dh；若有Pair_ID则纳入CWR</t>
        </is>
      </c>
      <c r="O885" t="inlineStr">
        <is>
          <t>自动管线检出的合格导管腔。</t>
        </is>
      </c>
      <c r="P885" t="inlineStr">
        <is>
          <t>auto_pipeline;review_png_green</t>
        </is>
      </c>
      <c r="Q885" t="inlineStr">
        <is>
          <t>19(17)-P01</t>
        </is>
      </c>
      <c r="R885" t="inlineStr">
        <is>
          <t>样品19</t>
        </is>
      </c>
    </row>
    <row r="886">
      <c r="A886" t="inlineStr">
        <is>
          <t>19(17)-V02</t>
        </is>
      </c>
      <c r="B886" t="inlineStr">
        <is>
          <t>19 (17).tif</t>
        </is>
      </c>
      <c r="C886" t="n">
        <v>532</v>
      </c>
      <c r="D886" t="n">
        <v>472</v>
      </c>
      <c r="E886" t="inlineStr">
        <is>
          <t>453,390,612,555</t>
        </is>
      </c>
      <c r="F886" t="n">
        <v>213</v>
      </c>
      <c r="G886" t="inlineStr">
        <is>
          <t>primary</t>
        </is>
      </c>
      <c r="H886" t="inlineStr">
        <is>
          <t>AUTO_VESSEL</t>
        </is>
      </c>
      <c r="I886" t="inlineStr">
        <is>
          <t>是</t>
        </is>
      </c>
      <c r="J886" t="inlineStr">
        <is>
          <t>纳入</t>
        </is>
      </c>
      <c r="K886" t="n">
        <v>959.0500945179584</v>
      </c>
      <c r="L886">
        <f>导管母表_1781!G886</f>
        <v/>
      </c>
      <c r="M886" t="inlineStr">
        <is>
          <t>视野内部</t>
        </is>
      </c>
      <c r="N886" t="inlineStr">
        <is>
          <t>纳入A/D/Dh；若有Pair_ID则纳入CWR</t>
        </is>
      </c>
      <c r="O886" t="inlineStr">
        <is>
          <t>自动管线检出的合格导管腔。</t>
        </is>
      </c>
      <c r="P886" t="inlineStr">
        <is>
          <t>auto_pipeline;review_png_green</t>
        </is>
      </c>
      <c r="Q886" t="inlineStr">
        <is>
          <t>19(17)-P01</t>
        </is>
      </c>
      <c r="R886" t="inlineStr">
        <is>
          <t>样品19</t>
        </is>
      </c>
    </row>
    <row r="887">
      <c r="A887" t="inlineStr">
        <is>
          <t>19(17)-V03</t>
        </is>
      </c>
      <c r="B887" t="inlineStr">
        <is>
          <t>19 (17).tif</t>
        </is>
      </c>
      <c r="C887" t="n">
        <v>121</v>
      </c>
      <c r="D887" t="n">
        <v>245</v>
      </c>
      <c r="E887" t="inlineStr">
        <is>
          <t>53,165,190,326</t>
        </is>
      </c>
      <c r="F887" t="n">
        <v>53</v>
      </c>
      <c r="G887" t="inlineStr">
        <is>
          <t>primary</t>
        </is>
      </c>
      <c r="H887" t="inlineStr">
        <is>
          <t>AUTO_VESSEL</t>
        </is>
      </c>
      <c r="I887" t="inlineStr">
        <is>
          <t>是</t>
        </is>
      </c>
      <c r="J887" t="inlineStr">
        <is>
          <t>纳入</t>
        </is>
      </c>
      <c r="K887" t="n">
        <v>808.0340264650283</v>
      </c>
      <c r="L887">
        <f>导管母表_1781!G887</f>
        <v/>
      </c>
      <c r="M887" t="inlineStr">
        <is>
          <t>视野内部</t>
        </is>
      </c>
      <c r="N887" t="inlineStr">
        <is>
          <t>纳入A/D/Dh；若有Pair_ID则纳入CWR</t>
        </is>
      </c>
      <c r="O887" t="inlineStr">
        <is>
          <t>自动管线检出的合格导管腔。</t>
        </is>
      </c>
      <c r="P887" t="inlineStr">
        <is>
          <t>auto_pipeline;review_png_green</t>
        </is>
      </c>
      <c r="R887" t="inlineStr">
        <is>
          <t>样品19</t>
        </is>
      </c>
    </row>
    <row r="888">
      <c r="A888" t="inlineStr">
        <is>
          <t>19(17)-V04</t>
        </is>
      </c>
      <c r="B888" t="inlineStr">
        <is>
          <t>19 (17).tif</t>
        </is>
      </c>
      <c r="C888" t="n">
        <v>851</v>
      </c>
      <c r="D888" t="n">
        <v>219</v>
      </c>
      <c r="E888" t="inlineStr">
        <is>
          <t>783,147,920,292</t>
        </is>
      </c>
      <c r="F888" t="n">
        <v>104</v>
      </c>
      <c r="G888" t="inlineStr">
        <is>
          <t>primary</t>
        </is>
      </c>
      <c r="H888" t="inlineStr">
        <is>
          <t>AUTO_VESSEL</t>
        </is>
      </c>
      <c r="I888" t="inlineStr">
        <is>
          <t>是</t>
        </is>
      </c>
      <c r="J888" t="inlineStr">
        <is>
          <t>纳入</t>
        </is>
      </c>
      <c r="K888" t="n">
        <v>706.1909262759924</v>
      </c>
      <c r="L888">
        <f>导管母表_1781!G888</f>
        <v/>
      </c>
      <c r="M888" t="inlineStr">
        <is>
          <t>视野内部</t>
        </is>
      </c>
      <c r="N888" t="inlineStr">
        <is>
          <t>纳入A/D/Dh；若有Pair_ID则纳入CWR</t>
        </is>
      </c>
      <c r="O888" t="inlineStr">
        <is>
          <t>自动管线检出的合格导管腔。</t>
        </is>
      </c>
      <c r="P888" t="inlineStr">
        <is>
          <t>auto_pipeline;review_png_green</t>
        </is>
      </c>
      <c r="R888" t="inlineStr">
        <is>
          <t>样品19</t>
        </is>
      </c>
    </row>
    <row r="889">
      <c r="A889" t="inlineStr">
        <is>
          <t>19(17)-V05</t>
        </is>
      </c>
      <c r="B889" t="inlineStr">
        <is>
          <t>19 (17).tif</t>
        </is>
      </c>
      <c r="C889" t="n">
        <v>439</v>
      </c>
      <c r="D889" t="n">
        <v>619</v>
      </c>
      <c r="E889" t="inlineStr">
        <is>
          <t>395,578,484,661</t>
        </is>
      </c>
      <c r="F889" t="n">
        <v>107</v>
      </c>
      <c r="G889" t="inlineStr">
        <is>
          <t>primary</t>
        </is>
      </c>
      <c r="H889" t="inlineStr">
        <is>
          <t>AUTO_VESSEL</t>
        </is>
      </c>
      <c r="I889" t="inlineStr">
        <is>
          <t>是</t>
        </is>
      </c>
      <c r="J889" t="inlineStr">
        <is>
          <t>纳入</t>
        </is>
      </c>
      <c r="K889" t="n">
        <v>258.0340264650284</v>
      </c>
      <c r="L889">
        <f>导管母表_1781!G889</f>
        <v/>
      </c>
      <c r="M889" t="inlineStr">
        <is>
          <t>视野内部</t>
        </is>
      </c>
      <c r="N889" t="inlineStr">
        <is>
          <t>纳入A/D/Dh；若有Pair_ID则纳入CWR</t>
        </is>
      </c>
      <c r="O889" t="inlineStr">
        <is>
          <t>自动管线检出的合格导管腔。</t>
        </is>
      </c>
      <c r="P889" t="inlineStr">
        <is>
          <t>auto_pipeline;review_png_green</t>
        </is>
      </c>
      <c r="R889" t="inlineStr">
        <is>
          <t>样品19</t>
        </is>
      </c>
    </row>
    <row r="890">
      <c r="A890" t="inlineStr">
        <is>
          <t>19(17)-V06</t>
        </is>
      </c>
      <c r="B890" t="inlineStr">
        <is>
          <t>19 (17).tif</t>
        </is>
      </c>
      <c r="C890" t="n">
        <v>689</v>
      </c>
      <c r="D890" t="n">
        <v>364</v>
      </c>
      <c r="E890" t="inlineStr">
        <is>
          <t>656,321,723,408</t>
        </is>
      </c>
      <c r="F890" t="n">
        <v>301</v>
      </c>
      <c r="G890" t="inlineStr">
        <is>
          <t>primary</t>
        </is>
      </c>
      <c r="H890" t="inlineStr">
        <is>
          <t>AUTO_VESSEL</t>
        </is>
      </c>
      <c r="I890" t="inlineStr">
        <is>
          <t>是</t>
        </is>
      </c>
      <c r="J890" t="inlineStr">
        <is>
          <t>纳入</t>
        </is>
      </c>
      <c r="K890" t="n">
        <v>210.6332703213611</v>
      </c>
      <c r="L890">
        <f>导管母表_1781!G890</f>
        <v/>
      </c>
      <c r="M890" t="inlineStr">
        <is>
          <t>视野内部</t>
        </is>
      </c>
      <c r="N890" t="inlineStr">
        <is>
          <t>纳入A/D/Dh；若有Pair_ID则纳入CWR</t>
        </is>
      </c>
      <c r="O890" t="inlineStr">
        <is>
          <t>自动管线检出的合格导管腔。</t>
        </is>
      </c>
      <c r="P890" t="inlineStr">
        <is>
          <t>auto_pipeline;review_png_green</t>
        </is>
      </c>
      <c r="R890" t="inlineStr">
        <is>
          <t>样品19</t>
        </is>
      </c>
    </row>
    <row r="891">
      <c r="A891" t="inlineStr">
        <is>
          <t>19(17)-V07</t>
        </is>
      </c>
      <c r="B891" t="inlineStr">
        <is>
          <t>19 (17).tif</t>
        </is>
      </c>
      <c r="C891" t="n">
        <v>825</v>
      </c>
      <c r="D891" t="n">
        <v>335</v>
      </c>
      <c r="E891" t="inlineStr">
        <is>
          <t>795,306,856,365</t>
        </is>
      </c>
      <c r="F891" t="n">
        <v>168</v>
      </c>
      <c r="G891" t="inlineStr">
        <is>
          <t>primary</t>
        </is>
      </c>
      <c r="H891" t="inlineStr">
        <is>
          <t>AUTO_VESSEL</t>
        </is>
      </c>
      <c r="I891" t="inlineStr">
        <is>
          <t>是</t>
        </is>
      </c>
      <c r="J891" t="inlineStr">
        <is>
          <t>纳入</t>
        </is>
      </c>
      <c r="K891" t="n">
        <v>128.3553875236295</v>
      </c>
      <c r="L891">
        <f>导管母表_1781!G891</f>
        <v/>
      </c>
      <c r="M891" t="inlineStr">
        <is>
          <t>视野内部</t>
        </is>
      </c>
      <c r="N891" t="inlineStr">
        <is>
          <t>纳入A/D/Dh；若有Pair_ID则纳入CWR</t>
        </is>
      </c>
      <c r="O891" t="inlineStr">
        <is>
          <t>自动管线检出的合格导管腔。</t>
        </is>
      </c>
      <c r="P891" t="inlineStr">
        <is>
          <t>auto_pipeline;review_png_green</t>
        </is>
      </c>
      <c r="R891" t="inlineStr">
        <is>
          <t>样品19</t>
        </is>
      </c>
    </row>
    <row r="892">
      <c r="A892" t="inlineStr">
        <is>
          <t>19(17)-V08</t>
        </is>
      </c>
      <c r="B892" t="inlineStr">
        <is>
          <t>19 (17).tif</t>
        </is>
      </c>
      <c r="C892" t="n">
        <v>291</v>
      </c>
      <c r="D892" t="n">
        <v>607</v>
      </c>
      <c r="E892" t="inlineStr">
        <is>
          <t>266,569,317,646</t>
        </is>
      </c>
      <c r="F892" t="n">
        <v>122</v>
      </c>
      <c r="G892" t="inlineStr">
        <is>
          <t>primary</t>
        </is>
      </c>
      <c r="H892" t="inlineStr">
        <is>
          <t>AUTO_VESSEL</t>
        </is>
      </c>
      <c r="I892" t="inlineStr">
        <is>
          <t>是</t>
        </is>
      </c>
      <c r="J892" t="inlineStr">
        <is>
          <t>纳入</t>
        </is>
      </c>
      <c r="K892" t="n">
        <v>121.4555765595463</v>
      </c>
      <c r="L892">
        <f>导管母表_1781!G892</f>
        <v/>
      </c>
      <c r="M892" t="inlineStr">
        <is>
          <t>视野内部</t>
        </is>
      </c>
      <c r="N892" t="inlineStr">
        <is>
          <t>纳入A/D/Dh；若有Pair_ID则纳入CWR</t>
        </is>
      </c>
      <c r="O892" t="inlineStr">
        <is>
          <t>自动管线检出的合格导管腔。</t>
        </is>
      </c>
      <c r="P892" t="inlineStr">
        <is>
          <t>auto_pipeline;review_png_green</t>
        </is>
      </c>
      <c r="R892" t="inlineStr">
        <is>
          <t>样品19</t>
        </is>
      </c>
    </row>
    <row r="893">
      <c r="A893" t="inlineStr">
        <is>
          <t>20(1)-V01</t>
        </is>
      </c>
      <c r="B893" t="inlineStr">
        <is>
          <t>20 (1).tif</t>
        </is>
      </c>
      <c r="C893" t="n">
        <v>612</v>
      </c>
      <c r="D893" t="n">
        <v>364</v>
      </c>
      <c r="E893" t="inlineStr">
        <is>
          <t>548,298,677,431</t>
        </is>
      </c>
      <c r="F893" t="n">
        <v>298</v>
      </c>
      <c r="G893" t="inlineStr">
        <is>
          <t>primary</t>
        </is>
      </c>
      <c r="H893" t="inlineStr">
        <is>
          <t>AUTO_VESSEL</t>
        </is>
      </c>
      <c r="I893" t="inlineStr">
        <is>
          <t>是</t>
        </is>
      </c>
      <c r="J893" t="inlineStr">
        <is>
          <t>纳入</t>
        </is>
      </c>
      <c r="K893" t="n">
        <v>625.1417769376181</v>
      </c>
      <c r="L893">
        <f>导管母表_1781!G893</f>
        <v/>
      </c>
      <c r="M893" t="inlineStr">
        <is>
          <t>视野内部</t>
        </is>
      </c>
      <c r="N893" t="inlineStr">
        <is>
          <t>纳入A/D/Dh；若有Pair_ID则纳入CWR</t>
        </is>
      </c>
      <c r="O893" t="inlineStr">
        <is>
          <t>自动管线检出的合格导管腔。</t>
        </is>
      </c>
      <c r="P893" t="inlineStr">
        <is>
          <t>auto_pipeline;review_png_green</t>
        </is>
      </c>
      <c r="R893" t="inlineStr">
        <is>
          <t>样品20</t>
        </is>
      </c>
    </row>
    <row r="894">
      <c r="A894" t="inlineStr">
        <is>
          <t>20(1)-V02</t>
        </is>
      </c>
      <c r="B894" t="inlineStr">
        <is>
          <t>20 (1).tif</t>
        </is>
      </c>
      <c r="C894" t="n">
        <v>385</v>
      </c>
      <c r="D894" t="n">
        <v>356</v>
      </c>
      <c r="E894" t="inlineStr">
        <is>
          <t>319,300,452,413</t>
        </is>
      </c>
      <c r="F894" t="n">
        <v>300</v>
      </c>
      <c r="G894" t="inlineStr">
        <is>
          <t>primary</t>
        </is>
      </c>
      <c r="H894" t="inlineStr">
        <is>
          <t>AUTO_VESSEL</t>
        </is>
      </c>
      <c r="I894" t="inlineStr">
        <is>
          <t>是</t>
        </is>
      </c>
      <c r="J894" t="inlineStr">
        <is>
          <t>纳入</t>
        </is>
      </c>
      <c r="K894" t="n">
        <v>548.8657844990548</v>
      </c>
      <c r="L894">
        <f>导管母表_1781!G894</f>
        <v/>
      </c>
      <c r="M894" t="inlineStr">
        <is>
          <t>视野内部</t>
        </is>
      </c>
      <c r="N894" t="inlineStr">
        <is>
          <t>纳入A/D/Dh；若有Pair_ID则纳入CWR</t>
        </is>
      </c>
      <c r="O894" t="inlineStr">
        <is>
          <t>自动管线检出的合格导管腔。</t>
        </is>
      </c>
      <c r="P894" t="inlineStr">
        <is>
          <t>auto_pipeline;review_png_green</t>
        </is>
      </c>
      <c r="R894" t="inlineStr">
        <is>
          <t>样品20</t>
        </is>
      </c>
    </row>
    <row r="895">
      <c r="A895" t="inlineStr">
        <is>
          <t>20(1)-V03</t>
        </is>
      </c>
      <c r="B895" t="inlineStr">
        <is>
          <t>20 (1).tif</t>
        </is>
      </c>
      <c r="C895" t="n">
        <v>213</v>
      </c>
      <c r="D895" t="n">
        <v>268</v>
      </c>
      <c r="E895" t="inlineStr">
        <is>
          <t>161,245,266,292</t>
        </is>
      </c>
      <c r="F895" t="n">
        <v>161</v>
      </c>
      <c r="G895" t="inlineStr">
        <is>
          <t>primary</t>
        </is>
      </c>
      <c r="H895" t="inlineStr">
        <is>
          <t>AUTO_VESSEL</t>
        </is>
      </c>
      <c r="I895" t="inlineStr">
        <is>
          <t>是</t>
        </is>
      </c>
      <c r="J895" t="inlineStr">
        <is>
          <t>纳入</t>
        </is>
      </c>
      <c r="K895" t="n">
        <v>177.7882797731569</v>
      </c>
      <c r="L895">
        <f>导管母表_1781!G895</f>
        <v/>
      </c>
      <c r="M895" t="inlineStr">
        <is>
          <t>视野内部</t>
        </is>
      </c>
      <c r="N895" t="inlineStr">
        <is>
          <t>纳入A/D/Dh；若有Pair_ID则纳入CWR</t>
        </is>
      </c>
      <c r="O895" t="inlineStr">
        <is>
          <t>自动管线检出的合格导管腔。</t>
        </is>
      </c>
      <c r="P895" t="inlineStr">
        <is>
          <t>auto_pipeline;review_png_green</t>
        </is>
      </c>
      <c r="R895" t="inlineStr">
        <is>
          <t>样品20</t>
        </is>
      </c>
    </row>
    <row r="896">
      <c r="A896" t="inlineStr">
        <is>
          <t>20(1)-V04</t>
        </is>
      </c>
      <c r="B896" t="inlineStr">
        <is>
          <t>20 (1).tif</t>
        </is>
      </c>
      <c r="C896" t="n">
        <v>143</v>
      </c>
      <c r="D896" t="n">
        <v>506</v>
      </c>
      <c r="E896" t="inlineStr">
        <is>
          <t>105,484,182,529</t>
        </is>
      </c>
      <c r="F896" t="n">
        <v>105</v>
      </c>
      <c r="G896" t="inlineStr">
        <is>
          <t>primary</t>
        </is>
      </c>
      <c r="H896" t="inlineStr">
        <is>
          <t>AUTO_VESSEL</t>
        </is>
      </c>
      <c r="I896" t="inlineStr">
        <is>
          <t>是</t>
        </is>
      </c>
      <c r="J896" t="inlineStr">
        <is>
          <t>纳入</t>
        </is>
      </c>
      <c r="K896" t="n">
        <v>116.1389413988658</v>
      </c>
      <c r="L896">
        <f>导管母表_1781!G896</f>
        <v/>
      </c>
      <c r="M896" t="inlineStr">
        <is>
          <t>视野内部</t>
        </is>
      </c>
      <c r="N896" t="inlineStr">
        <is>
          <t>纳入A/D/Dh；若有Pair_ID则纳入CWR</t>
        </is>
      </c>
      <c r="O896" t="inlineStr">
        <is>
          <t>自动管线检出的合格导管腔。</t>
        </is>
      </c>
      <c r="P896" t="inlineStr">
        <is>
          <t>auto_pipeline;review_png_green</t>
        </is>
      </c>
      <c r="R896" t="inlineStr">
        <is>
          <t>样品20</t>
        </is>
      </c>
    </row>
    <row r="897">
      <c r="A897" t="inlineStr">
        <is>
          <t>20(1)-V05</t>
        </is>
      </c>
      <c r="B897" t="inlineStr">
        <is>
          <t>20 (1).tif</t>
        </is>
      </c>
      <c r="C897" t="n">
        <v>784</v>
      </c>
      <c r="D897" t="n">
        <v>222</v>
      </c>
      <c r="E897" t="inlineStr">
        <is>
          <t>747,202,822,243</t>
        </is>
      </c>
      <c r="F897" t="n">
        <v>202</v>
      </c>
      <c r="G897" t="inlineStr">
        <is>
          <t>primary</t>
        </is>
      </c>
      <c r="H897" t="inlineStr">
        <is>
          <t>AUTO_VESSEL</t>
        </is>
      </c>
      <c r="I897" t="inlineStr">
        <is>
          <t>是</t>
        </is>
      </c>
      <c r="J897" t="inlineStr">
        <is>
          <t>纳入</t>
        </is>
      </c>
      <c r="K897" t="n">
        <v>109.664461247637</v>
      </c>
      <c r="L897">
        <f>导管母表_1781!G897</f>
        <v/>
      </c>
      <c r="M897" t="inlineStr">
        <is>
          <t>视野内部</t>
        </is>
      </c>
      <c r="N897" t="inlineStr">
        <is>
          <t>纳入A/D/Dh；若有Pair_ID则纳入CWR</t>
        </is>
      </c>
      <c r="O897" t="inlineStr">
        <is>
          <t>自动管线检出的合格导管腔。</t>
        </is>
      </c>
      <c r="P897" t="inlineStr">
        <is>
          <t>auto_pipeline;review_png_green</t>
        </is>
      </c>
      <c r="R897" t="inlineStr">
        <is>
          <t>样品20</t>
        </is>
      </c>
    </row>
    <row r="898">
      <c r="A898" t="inlineStr">
        <is>
          <t>20(2)-V01</t>
        </is>
      </c>
      <c r="B898" t="inlineStr">
        <is>
          <t>20 (2).tif</t>
        </is>
      </c>
      <c r="C898" t="n">
        <v>542</v>
      </c>
      <c r="D898" t="n">
        <v>439</v>
      </c>
      <c r="E898" t="inlineStr">
        <is>
          <t>485,374,600,505</t>
        </is>
      </c>
      <c r="F898" t="n">
        <v>263</v>
      </c>
      <c r="G898" t="inlineStr">
        <is>
          <t>primary</t>
        </is>
      </c>
      <c r="H898" t="inlineStr">
        <is>
          <t>AUTO_VESSEL</t>
        </is>
      </c>
      <c r="I898" t="inlineStr">
        <is>
          <t>是</t>
        </is>
      </c>
      <c r="J898" t="inlineStr">
        <is>
          <t>纳入</t>
        </is>
      </c>
      <c r="K898" t="n">
        <v>550</v>
      </c>
      <c r="L898">
        <f>导管母表_1781!G898</f>
        <v/>
      </c>
      <c r="M898" t="inlineStr">
        <is>
          <t>视野内部</t>
        </is>
      </c>
      <c r="N898" t="inlineStr">
        <is>
          <t>纳入A/D/Dh；若有Pair_ID则纳入CWR</t>
        </is>
      </c>
      <c r="O898" t="inlineStr">
        <is>
          <t>自动管线检出的合格导管腔。</t>
        </is>
      </c>
      <c r="P898" t="inlineStr">
        <is>
          <t>auto_pipeline;review_png_green</t>
        </is>
      </c>
      <c r="R898" t="inlineStr">
        <is>
          <t>样品20</t>
        </is>
      </c>
    </row>
    <row r="899">
      <c r="A899" t="inlineStr">
        <is>
          <t>20(2)-V02</t>
        </is>
      </c>
      <c r="B899" t="inlineStr">
        <is>
          <t>20 (2).tif</t>
        </is>
      </c>
      <c r="C899" t="n">
        <v>461</v>
      </c>
      <c r="D899" t="n">
        <v>330</v>
      </c>
      <c r="E899" t="inlineStr">
        <is>
          <t>407,287,516,374</t>
        </is>
      </c>
      <c r="F899" t="n">
        <v>287</v>
      </c>
      <c r="G899" t="inlineStr">
        <is>
          <t>primary</t>
        </is>
      </c>
      <c r="H899" t="inlineStr">
        <is>
          <t>AUTO_VESSEL</t>
        </is>
      </c>
      <c r="I899" t="inlineStr">
        <is>
          <t>是</t>
        </is>
      </c>
      <c r="J899" t="inlineStr">
        <is>
          <t>纳入</t>
        </is>
      </c>
      <c r="K899" t="n">
        <v>344.7778827977316</v>
      </c>
      <c r="L899">
        <f>导管母表_1781!G899</f>
        <v/>
      </c>
      <c r="M899" t="inlineStr">
        <is>
          <t>视野内部</t>
        </is>
      </c>
      <c r="N899" t="inlineStr">
        <is>
          <t>纳入A/D/Dh；若有Pair_ID则纳入CWR</t>
        </is>
      </c>
      <c r="O899" t="inlineStr">
        <is>
          <t>自动管线检出的合格导管腔。</t>
        </is>
      </c>
      <c r="P899" t="inlineStr">
        <is>
          <t>auto_pipeline;review_png_green</t>
        </is>
      </c>
      <c r="R899" t="inlineStr">
        <is>
          <t>样品20</t>
        </is>
      </c>
    </row>
    <row r="900">
      <c r="A900" t="inlineStr">
        <is>
          <t>20(2)-V03</t>
        </is>
      </c>
      <c r="B900" t="inlineStr">
        <is>
          <t>20 (2).tif</t>
        </is>
      </c>
      <c r="C900" t="n">
        <v>525</v>
      </c>
      <c r="D900" t="n">
        <v>172</v>
      </c>
      <c r="E900" t="inlineStr">
        <is>
          <t>491,121,560,224</t>
        </is>
      </c>
      <c r="F900" t="n">
        <v>121</v>
      </c>
      <c r="G900" t="inlineStr">
        <is>
          <t>primary</t>
        </is>
      </c>
      <c r="H900" t="inlineStr">
        <is>
          <t>AUTO_VESSEL</t>
        </is>
      </c>
      <c r="I900" t="inlineStr">
        <is>
          <t>是</t>
        </is>
      </c>
      <c r="J900" t="inlineStr">
        <is>
          <t>纳入</t>
        </is>
      </c>
      <c r="K900" t="n">
        <v>254.6786389413989</v>
      </c>
      <c r="L900">
        <f>导管母表_1781!G900</f>
        <v/>
      </c>
      <c r="M900" t="inlineStr">
        <is>
          <t>视野内部</t>
        </is>
      </c>
      <c r="N900" t="inlineStr">
        <is>
          <t>纳入A/D/Dh；若有Pair_ID则纳入CWR</t>
        </is>
      </c>
      <c r="O900" t="inlineStr">
        <is>
          <t>自动管线检出的合格导管腔。</t>
        </is>
      </c>
      <c r="P900" t="inlineStr">
        <is>
          <t>auto_pipeline;review_png_green</t>
        </is>
      </c>
      <c r="R900" t="inlineStr">
        <is>
          <t>样品20</t>
        </is>
      </c>
    </row>
    <row r="901">
      <c r="A901" t="inlineStr">
        <is>
          <t>20(3)-V01</t>
        </is>
      </c>
      <c r="B901" t="inlineStr">
        <is>
          <t>20 (3).tif</t>
        </is>
      </c>
      <c r="C901" t="n">
        <v>470</v>
      </c>
      <c r="D901" t="n">
        <v>415</v>
      </c>
      <c r="E901" t="inlineStr">
        <is>
          <t>425,363,516,468</t>
        </is>
      </c>
      <c r="F901" t="n">
        <v>300</v>
      </c>
      <c r="G901" t="inlineStr">
        <is>
          <t>primary</t>
        </is>
      </c>
      <c r="H901" t="inlineStr">
        <is>
          <t>AUTO_VESSEL</t>
        </is>
      </c>
      <c r="I901" t="inlineStr">
        <is>
          <t>是</t>
        </is>
      </c>
      <c r="J901" t="inlineStr">
        <is>
          <t>纳入</t>
        </is>
      </c>
      <c r="K901" t="n">
        <v>342.7693761814745</v>
      </c>
      <c r="L901">
        <f>导管母表_1781!G901</f>
        <v/>
      </c>
      <c r="M901" t="inlineStr">
        <is>
          <t>视野内部</t>
        </is>
      </c>
      <c r="N901" t="inlineStr">
        <is>
          <t>纳入A/D/Dh；若有Pair_ID则纳入CWR</t>
        </is>
      </c>
      <c r="O901" t="inlineStr">
        <is>
          <t>自动管线检出的合格导管腔。</t>
        </is>
      </c>
      <c r="P901" t="inlineStr">
        <is>
          <t>auto_pipeline;review_png_green</t>
        </is>
      </c>
      <c r="R901" t="inlineStr">
        <is>
          <t>样品20</t>
        </is>
      </c>
    </row>
    <row r="902">
      <c r="A902" t="inlineStr">
        <is>
          <t>20(3)-V02</t>
        </is>
      </c>
      <c r="B902" t="inlineStr">
        <is>
          <t>20 (3).tif</t>
        </is>
      </c>
      <c r="C902" t="n">
        <v>555</v>
      </c>
      <c r="D902" t="n">
        <v>317</v>
      </c>
      <c r="E902" t="inlineStr">
        <is>
          <t>517,276,594,359</t>
        </is>
      </c>
      <c r="F902" t="n">
        <v>276</v>
      </c>
      <c r="G902" t="inlineStr">
        <is>
          <t>primary</t>
        </is>
      </c>
      <c r="H902" t="inlineStr">
        <is>
          <t>AUTO_VESSEL</t>
        </is>
      </c>
      <c r="I902" t="inlineStr">
        <is>
          <t>是</t>
        </is>
      </c>
      <c r="J902" t="inlineStr">
        <is>
          <t>纳入</t>
        </is>
      </c>
      <c r="K902" t="n">
        <v>231.8525519848771</v>
      </c>
      <c r="L902">
        <f>导管母表_1781!G902</f>
        <v/>
      </c>
      <c r="M902" t="inlineStr">
        <is>
          <t>视野内部</t>
        </is>
      </c>
      <c r="N902" t="inlineStr">
        <is>
          <t>纳入A/D/Dh；若有Pair_ID则纳入CWR</t>
        </is>
      </c>
      <c r="O902" t="inlineStr">
        <is>
          <t>自动管线检出的合格导管腔。</t>
        </is>
      </c>
      <c r="P902" t="inlineStr">
        <is>
          <t>auto_pipeline;review_png_green</t>
        </is>
      </c>
      <c r="R902" t="inlineStr">
        <is>
          <t>样品20</t>
        </is>
      </c>
    </row>
    <row r="903">
      <c r="A903" t="inlineStr">
        <is>
          <t>20(3)-V03</t>
        </is>
      </c>
      <c r="B903" t="inlineStr">
        <is>
          <t>20 (3).tif</t>
        </is>
      </c>
      <c r="C903" t="n">
        <v>837</v>
      </c>
      <c r="D903" t="n">
        <v>258</v>
      </c>
      <c r="E903" t="inlineStr">
        <is>
          <t>796,223,879,294</t>
        </is>
      </c>
      <c r="F903" t="n">
        <v>145</v>
      </c>
      <c r="G903" t="inlineStr">
        <is>
          <t>primary</t>
        </is>
      </c>
      <c r="H903" t="inlineStr">
        <is>
          <t>AUTO_VESSEL</t>
        </is>
      </c>
      <c r="I903" t="inlineStr">
        <is>
          <t>是</t>
        </is>
      </c>
      <c r="J903" t="inlineStr">
        <is>
          <t>纳入</t>
        </is>
      </c>
      <c r="K903" t="n">
        <v>200.2835538752363</v>
      </c>
      <c r="L903">
        <f>导管母表_1781!G903</f>
        <v/>
      </c>
      <c r="M903" t="inlineStr">
        <is>
          <t>视野内部</t>
        </is>
      </c>
      <c r="N903" t="inlineStr">
        <is>
          <t>纳入A/D/Dh；若有Pair_ID则纳入CWR</t>
        </is>
      </c>
      <c r="O903" t="inlineStr">
        <is>
          <t>自动管线检出的合格导管腔。</t>
        </is>
      </c>
      <c r="P903" t="inlineStr">
        <is>
          <t>auto_pipeline;review_png_green</t>
        </is>
      </c>
      <c r="R903" t="inlineStr">
        <is>
          <t>样品20</t>
        </is>
      </c>
    </row>
    <row r="904">
      <c r="A904" t="inlineStr">
        <is>
          <t>20(4)-V01</t>
        </is>
      </c>
      <c r="B904" t="inlineStr">
        <is>
          <t>20 (4).tif</t>
        </is>
      </c>
      <c r="C904" t="n">
        <v>600</v>
      </c>
      <c r="D904" t="n">
        <v>283</v>
      </c>
      <c r="E904" t="inlineStr">
        <is>
          <t>515,213,686,354</t>
        </is>
      </c>
      <c r="F904" t="n">
        <v>213</v>
      </c>
      <c r="G904" t="inlineStr">
        <is>
          <t>primary</t>
        </is>
      </c>
      <c r="H904" t="inlineStr">
        <is>
          <t>AUTO_VESSEL</t>
        </is>
      </c>
      <c r="I904" t="inlineStr">
        <is>
          <t>是</t>
        </is>
      </c>
      <c r="J904" t="inlineStr">
        <is>
          <t>纳入</t>
        </is>
      </c>
      <c r="K904" t="n">
        <v>876.866729678639</v>
      </c>
      <c r="L904">
        <f>导管母表_1781!G904</f>
        <v/>
      </c>
      <c r="M904" t="inlineStr">
        <is>
          <t>视野内部</t>
        </is>
      </c>
      <c r="N904" t="inlineStr">
        <is>
          <t>纳入A/D/Dh；若有Pair_ID则纳入CWR</t>
        </is>
      </c>
      <c r="O904" t="inlineStr">
        <is>
          <t>自动管线检出的合格导管腔。</t>
        </is>
      </c>
      <c r="P904" t="inlineStr">
        <is>
          <t>auto_pipeline;review_png_green</t>
        </is>
      </c>
      <c r="Q904" t="inlineStr">
        <is>
          <t>20(4)-P01</t>
        </is>
      </c>
      <c r="R904" t="inlineStr">
        <is>
          <t>样品20</t>
        </is>
      </c>
    </row>
    <row r="905">
      <c r="A905" t="inlineStr">
        <is>
          <t>20(4)-V02</t>
        </is>
      </c>
      <c r="B905" t="inlineStr">
        <is>
          <t>20 (4).tif</t>
        </is>
      </c>
      <c r="C905" t="n">
        <v>512</v>
      </c>
      <c r="D905" t="n">
        <v>409</v>
      </c>
      <c r="E905" t="inlineStr">
        <is>
          <t>446,360,579,459</t>
        </is>
      </c>
      <c r="F905" t="n">
        <v>309</v>
      </c>
      <c r="G905" t="inlineStr">
        <is>
          <t>primary</t>
        </is>
      </c>
      <c r="H905" t="inlineStr">
        <is>
          <t>AUTO_VESSEL</t>
        </is>
      </c>
      <c r="I905" t="inlineStr">
        <is>
          <t>是</t>
        </is>
      </c>
      <c r="J905" t="inlineStr">
        <is>
          <t>纳入</t>
        </is>
      </c>
      <c r="K905" t="n">
        <v>480.6474480151228</v>
      </c>
      <c r="L905">
        <f>导管母表_1781!G905</f>
        <v/>
      </c>
      <c r="M905" t="inlineStr">
        <is>
          <t>视野内部</t>
        </is>
      </c>
      <c r="N905" t="inlineStr">
        <is>
          <t>纳入A/D/Dh；若有Pair_ID则纳入CWR</t>
        </is>
      </c>
      <c r="O905" t="inlineStr">
        <is>
          <t>自动管线检出的合格导管腔。</t>
        </is>
      </c>
      <c r="P905" t="inlineStr">
        <is>
          <t>auto_pipeline;review_png_green</t>
        </is>
      </c>
      <c r="Q905" t="inlineStr">
        <is>
          <t>20(4)-P01</t>
        </is>
      </c>
      <c r="R905" t="inlineStr">
        <is>
          <t>样品20</t>
        </is>
      </c>
    </row>
    <row r="906">
      <c r="A906" t="inlineStr">
        <is>
          <t>20(4)-V03</t>
        </is>
      </c>
      <c r="B906" t="inlineStr">
        <is>
          <t>20 (4).tif</t>
        </is>
      </c>
      <c r="C906" t="n">
        <v>452</v>
      </c>
      <c r="D906" t="n">
        <v>264</v>
      </c>
      <c r="E906" t="inlineStr">
        <is>
          <t>420,223,485,306</t>
        </is>
      </c>
      <c r="F906" t="n">
        <v>223</v>
      </c>
      <c r="G906" t="inlineStr">
        <is>
          <t>primary</t>
        </is>
      </c>
      <c r="H906" t="inlineStr">
        <is>
          <t>AUTO_VESSEL</t>
        </is>
      </c>
      <c r="I906" t="inlineStr">
        <is>
          <t>是</t>
        </is>
      </c>
      <c r="J906" t="inlineStr">
        <is>
          <t>纳入</t>
        </is>
      </c>
      <c r="K906" t="n">
        <v>193.6672967863894</v>
      </c>
      <c r="L906">
        <f>导管母表_1781!G906</f>
        <v/>
      </c>
      <c r="M906" t="inlineStr">
        <is>
          <t>视野内部</t>
        </is>
      </c>
      <c r="N906" t="inlineStr">
        <is>
          <t>纳入A/D/Dh；若有Pair_ID则纳入CWR</t>
        </is>
      </c>
      <c r="O906" t="inlineStr">
        <is>
          <t>自动管线检出的合格导管腔。</t>
        </is>
      </c>
      <c r="P906" t="inlineStr">
        <is>
          <t>auto_pipeline;review_png_green</t>
        </is>
      </c>
      <c r="R906" t="inlineStr">
        <is>
          <t>样品20</t>
        </is>
      </c>
    </row>
    <row r="907">
      <c r="A907" t="inlineStr">
        <is>
          <t>20(5)-V01</t>
        </is>
      </c>
      <c r="B907" t="inlineStr">
        <is>
          <t>20 (5).tif</t>
        </is>
      </c>
      <c r="C907" t="n">
        <v>192</v>
      </c>
      <c r="D907" t="n">
        <v>127</v>
      </c>
      <c r="E907" t="inlineStr">
        <is>
          <t>100,54,285,201</t>
        </is>
      </c>
      <c r="F907" t="n">
        <v>54</v>
      </c>
      <c r="G907" t="inlineStr">
        <is>
          <t>primary</t>
        </is>
      </c>
      <c r="H907" t="inlineStr">
        <is>
          <t>AUTO_VESSEL</t>
        </is>
      </c>
      <c r="I907" t="inlineStr">
        <is>
          <t>是</t>
        </is>
      </c>
      <c r="J907" t="inlineStr">
        <is>
          <t>纳入</t>
        </is>
      </c>
      <c r="K907" t="n">
        <v>980.4584120982987</v>
      </c>
      <c r="L907">
        <f>导管母表_1781!G907</f>
        <v/>
      </c>
      <c r="M907" t="inlineStr">
        <is>
          <t>视野内部</t>
        </is>
      </c>
      <c r="N907" t="inlineStr">
        <is>
          <t>纳入A/D/Dh；若有Pair_ID则纳入CWR</t>
        </is>
      </c>
      <c r="O907" t="inlineStr">
        <is>
          <t>自动管线检出的合格导管腔。</t>
        </is>
      </c>
      <c r="P907" t="inlineStr">
        <is>
          <t>auto_pipeline;review_png_green</t>
        </is>
      </c>
      <c r="R907" t="inlineStr">
        <is>
          <t>样品20</t>
        </is>
      </c>
    </row>
    <row r="908">
      <c r="A908" t="inlineStr">
        <is>
          <t>20(5)-V02</t>
        </is>
      </c>
      <c r="B908" t="inlineStr">
        <is>
          <t>20 (5).tif</t>
        </is>
      </c>
      <c r="C908" t="n">
        <v>420</v>
      </c>
      <c r="D908" t="n">
        <v>388</v>
      </c>
      <c r="E908" t="inlineStr">
        <is>
          <t>349,325,492,452</t>
        </is>
      </c>
      <c r="F908" t="n">
        <v>316</v>
      </c>
      <c r="G908" t="inlineStr">
        <is>
          <t>primary</t>
        </is>
      </c>
      <c r="H908" t="inlineStr">
        <is>
          <t>AUTO_VESSEL</t>
        </is>
      </c>
      <c r="I908" t="inlineStr">
        <is>
          <t>是</t>
        </is>
      </c>
      <c r="J908" t="inlineStr">
        <is>
          <t>纳入</t>
        </is>
      </c>
      <c r="K908" t="n">
        <v>646.4319470699432</v>
      </c>
      <c r="L908">
        <f>导管母表_1781!G908</f>
        <v/>
      </c>
      <c r="M908" t="inlineStr">
        <is>
          <t>视野内部</t>
        </is>
      </c>
      <c r="N908" t="inlineStr">
        <is>
          <t>纳入A/D/Dh；若有Pair_ID则纳入CWR</t>
        </is>
      </c>
      <c r="O908" t="inlineStr">
        <is>
          <t>自动管线检出的合格导管腔。</t>
        </is>
      </c>
      <c r="P908" t="inlineStr">
        <is>
          <t>auto_pipeline;review_png_green</t>
        </is>
      </c>
      <c r="R908" t="inlineStr">
        <is>
          <t>样品20</t>
        </is>
      </c>
    </row>
    <row r="909">
      <c r="A909" t="inlineStr">
        <is>
          <t>20(5)-V03</t>
        </is>
      </c>
      <c r="B909" t="inlineStr">
        <is>
          <t>20 (5).tif</t>
        </is>
      </c>
      <c r="C909" t="n">
        <v>552</v>
      </c>
      <c r="D909" t="n">
        <v>331</v>
      </c>
      <c r="E909" t="inlineStr">
        <is>
          <t>496,273,609,390</t>
        </is>
      </c>
      <c r="F909" t="n">
        <v>273</v>
      </c>
      <c r="G909" t="inlineStr">
        <is>
          <t>primary</t>
        </is>
      </c>
      <c r="H909" t="inlineStr">
        <is>
          <t>AUTO_VESSEL</t>
        </is>
      </c>
      <c r="I909" t="inlineStr">
        <is>
          <t>是</t>
        </is>
      </c>
      <c r="J909" t="inlineStr">
        <is>
          <t>纳入</t>
        </is>
      </c>
      <c r="K909" t="n">
        <v>481.8289224952741</v>
      </c>
      <c r="L909">
        <f>导管母表_1781!G909</f>
        <v/>
      </c>
      <c r="M909" t="inlineStr">
        <is>
          <t>视野内部</t>
        </is>
      </c>
      <c r="N909" t="inlineStr">
        <is>
          <t>纳入A/D/Dh；若有Pair_ID则纳入CWR</t>
        </is>
      </c>
      <c r="O909" t="inlineStr">
        <is>
          <t>自动管线检出的合格导管腔。</t>
        </is>
      </c>
      <c r="P909" t="inlineStr">
        <is>
          <t>auto_pipeline;review_png_green</t>
        </is>
      </c>
      <c r="R909" t="inlineStr">
        <is>
          <t>样品20</t>
        </is>
      </c>
    </row>
    <row r="910">
      <c r="A910" t="inlineStr">
        <is>
          <t>20(5)-V04</t>
        </is>
      </c>
      <c r="B910" t="inlineStr">
        <is>
          <t>20 (5).tif</t>
        </is>
      </c>
      <c r="C910" t="n">
        <v>169</v>
      </c>
      <c r="D910" t="n">
        <v>373</v>
      </c>
      <c r="E910" t="inlineStr">
        <is>
          <t>111,335,228,412</t>
        </is>
      </c>
      <c r="F910" t="n">
        <v>111</v>
      </c>
      <c r="G910" t="inlineStr">
        <is>
          <t>primary</t>
        </is>
      </c>
      <c r="H910" t="inlineStr">
        <is>
          <t>AUTO_VESSEL</t>
        </is>
      </c>
      <c r="I910" t="inlineStr">
        <is>
          <t>是</t>
        </is>
      </c>
      <c r="J910" t="inlineStr">
        <is>
          <t>纳入</t>
        </is>
      </c>
      <c r="K910" t="n">
        <v>323.6767485822306</v>
      </c>
      <c r="L910">
        <f>导管母表_1781!G910</f>
        <v/>
      </c>
      <c r="M910" t="inlineStr">
        <is>
          <t>视野内部</t>
        </is>
      </c>
      <c r="N910" t="inlineStr">
        <is>
          <t>纳入A/D/Dh；若有Pair_ID则纳入CWR</t>
        </is>
      </c>
      <c r="O910" t="inlineStr">
        <is>
          <t>自动管线检出的合格导管腔。</t>
        </is>
      </c>
      <c r="P910" t="inlineStr">
        <is>
          <t>auto_pipeline;review_png_green</t>
        </is>
      </c>
      <c r="R910" t="inlineStr">
        <is>
          <t>样品20</t>
        </is>
      </c>
    </row>
    <row r="911">
      <c r="A911" t="inlineStr">
        <is>
          <t>20(5)-V05</t>
        </is>
      </c>
      <c r="B911" t="inlineStr">
        <is>
          <t>20 (5).tif</t>
        </is>
      </c>
      <c r="C911" t="n">
        <v>585</v>
      </c>
      <c r="D911" t="n">
        <v>96</v>
      </c>
      <c r="E911" t="inlineStr">
        <is>
          <t>533,57,638,136</t>
        </is>
      </c>
      <c r="F911" t="n">
        <v>57</v>
      </c>
      <c r="G911" t="inlineStr">
        <is>
          <t>primary</t>
        </is>
      </c>
      <c r="H911" t="inlineStr">
        <is>
          <t>AUTO_VESSEL</t>
        </is>
      </c>
      <c r="I911" t="inlineStr">
        <is>
          <t>是</t>
        </is>
      </c>
      <c r="J911" t="inlineStr">
        <is>
          <t>纳入</t>
        </is>
      </c>
      <c r="K911" t="n">
        <v>298.9366729678639</v>
      </c>
      <c r="L911">
        <f>导管母表_1781!G911</f>
        <v/>
      </c>
      <c r="M911" t="inlineStr">
        <is>
          <t>视野内部</t>
        </is>
      </c>
      <c r="N911" t="inlineStr">
        <is>
          <t>纳入A/D/Dh；若有Pair_ID则纳入CWR</t>
        </is>
      </c>
      <c r="O911" t="inlineStr">
        <is>
          <t>自动管线检出的合格导管腔。</t>
        </is>
      </c>
      <c r="P911" t="inlineStr">
        <is>
          <t>auto_pipeline;review_png_green</t>
        </is>
      </c>
      <c r="R911" t="inlineStr">
        <is>
          <t>样品20</t>
        </is>
      </c>
    </row>
    <row r="912">
      <c r="A912" t="inlineStr">
        <is>
          <t>20(5)-V06</t>
        </is>
      </c>
      <c r="B912" t="inlineStr">
        <is>
          <t>20 (5).tif</t>
        </is>
      </c>
      <c r="C912" t="n">
        <v>697</v>
      </c>
      <c r="D912" t="n">
        <v>591</v>
      </c>
      <c r="E912" t="inlineStr">
        <is>
          <t>658,558,737,625</t>
        </is>
      </c>
      <c r="F912" t="n">
        <v>143</v>
      </c>
      <c r="G912" t="inlineStr">
        <is>
          <t>primary</t>
        </is>
      </c>
      <c r="H912" t="inlineStr">
        <is>
          <t>AUTO_VESSEL</t>
        </is>
      </c>
      <c r="I912" t="inlineStr">
        <is>
          <t>是</t>
        </is>
      </c>
      <c r="J912" t="inlineStr">
        <is>
          <t>纳入</t>
        </is>
      </c>
      <c r="K912" t="n">
        <v>170.179584120983</v>
      </c>
      <c r="L912">
        <f>导管母表_1781!G912</f>
        <v/>
      </c>
      <c r="M912" t="inlineStr">
        <is>
          <t>视野内部</t>
        </is>
      </c>
      <c r="N912" t="inlineStr">
        <is>
          <t>纳入A/D/Dh；若有Pair_ID则纳入CWR</t>
        </is>
      </c>
      <c r="O912" t="inlineStr">
        <is>
          <t>自动管线检出的合格导管腔。</t>
        </is>
      </c>
      <c r="P912" t="inlineStr">
        <is>
          <t>auto_pipeline;review_png_green</t>
        </is>
      </c>
      <c r="R912" t="inlineStr">
        <is>
          <t>样品20</t>
        </is>
      </c>
    </row>
    <row r="913">
      <c r="A913" t="inlineStr">
        <is>
          <t>20(6)-V01</t>
        </is>
      </c>
      <c r="B913" t="inlineStr">
        <is>
          <t>20 (6).tif</t>
        </is>
      </c>
      <c r="C913" t="n">
        <v>441</v>
      </c>
      <c r="D913" t="n">
        <v>357</v>
      </c>
      <c r="E913" t="inlineStr">
        <is>
          <t>378,300,505,415</t>
        </is>
      </c>
      <c r="F913" t="n">
        <v>300</v>
      </c>
      <c r="G913" t="inlineStr">
        <is>
          <t>primary</t>
        </is>
      </c>
      <c r="H913" t="inlineStr">
        <is>
          <t>AUTO_VESSEL</t>
        </is>
      </c>
      <c r="I913" t="inlineStr">
        <is>
          <t>是</t>
        </is>
      </c>
      <c r="J913" t="inlineStr">
        <is>
          <t>纳入</t>
        </is>
      </c>
      <c r="K913" t="n">
        <v>530.9310018903592</v>
      </c>
      <c r="L913">
        <f>导管母表_1781!G913</f>
        <v/>
      </c>
      <c r="M913" t="inlineStr">
        <is>
          <t>视野内部</t>
        </is>
      </c>
      <c r="N913" t="inlineStr">
        <is>
          <t>纳入A/D/Dh；若有Pair_ID则纳入CWR</t>
        </is>
      </c>
      <c r="O913" t="inlineStr">
        <is>
          <t>自动管线检出的合格导管腔。</t>
        </is>
      </c>
      <c r="P913" t="inlineStr">
        <is>
          <t>auto_pipeline;review_png_green</t>
        </is>
      </c>
      <c r="R913" t="inlineStr">
        <is>
          <t>样品20</t>
        </is>
      </c>
    </row>
    <row r="914">
      <c r="A914" t="inlineStr">
        <is>
          <t>20(6)-V02</t>
        </is>
      </c>
      <c r="B914" t="inlineStr">
        <is>
          <t>20 (6).tif</t>
        </is>
      </c>
      <c r="C914" t="n">
        <v>602</v>
      </c>
      <c r="D914" t="n">
        <v>347</v>
      </c>
      <c r="E914" t="inlineStr">
        <is>
          <t>544,295,661,400</t>
        </is>
      </c>
      <c r="F914" t="n">
        <v>295</v>
      </c>
      <c r="G914" t="inlineStr">
        <is>
          <t>primary</t>
        </is>
      </c>
      <c r="H914" t="inlineStr">
        <is>
          <t>AUTO_VESSEL</t>
        </is>
      </c>
      <c r="I914" t="inlineStr">
        <is>
          <t>是</t>
        </is>
      </c>
      <c r="J914" t="inlineStr">
        <is>
          <t>纳入</t>
        </is>
      </c>
      <c r="K914" t="n">
        <v>434.6880907372401</v>
      </c>
      <c r="L914">
        <f>导管母表_1781!G914</f>
        <v/>
      </c>
      <c r="M914" t="inlineStr">
        <is>
          <t>视野内部</t>
        </is>
      </c>
      <c r="N914" t="inlineStr">
        <is>
          <t>纳入A/D/Dh；若有Pair_ID则纳入CWR</t>
        </is>
      </c>
      <c r="O914" t="inlineStr">
        <is>
          <t>自动管线检出的合格导管腔。</t>
        </is>
      </c>
      <c r="P914" t="inlineStr">
        <is>
          <t>auto_pipeline;review_png_green</t>
        </is>
      </c>
      <c r="R914" t="inlineStr">
        <is>
          <t>样品20</t>
        </is>
      </c>
    </row>
    <row r="915">
      <c r="A915" t="inlineStr">
        <is>
          <t>20(6)-V03</t>
        </is>
      </c>
      <c r="B915" t="inlineStr">
        <is>
          <t>20 (6).tif</t>
        </is>
      </c>
      <c r="C915" t="n">
        <v>778</v>
      </c>
      <c r="D915" t="n">
        <v>333</v>
      </c>
      <c r="E915" t="inlineStr">
        <is>
          <t>721,287,836,380</t>
        </is>
      </c>
      <c r="F915" t="n">
        <v>188</v>
      </c>
      <c r="G915" t="inlineStr">
        <is>
          <t>primary</t>
        </is>
      </c>
      <c r="H915" t="inlineStr">
        <is>
          <t>AUTO_VESSEL</t>
        </is>
      </c>
      <c r="I915" t="inlineStr">
        <is>
          <t>是</t>
        </is>
      </c>
      <c r="J915" t="inlineStr">
        <is>
          <t>纳入</t>
        </is>
      </c>
      <c r="K915" t="n">
        <v>389.8393194706994</v>
      </c>
      <c r="L915">
        <f>导管母表_1781!G915</f>
        <v/>
      </c>
      <c r="M915" t="inlineStr">
        <is>
          <t>视野内部</t>
        </is>
      </c>
      <c r="N915" t="inlineStr">
        <is>
          <t>纳入A/D/Dh；若有Pair_ID则纳入CWR</t>
        </is>
      </c>
      <c r="O915" t="inlineStr">
        <is>
          <t>自动管线检出的合格导管腔。</t>
        </is>
      </c>
      <c r="P915" t="inlineStr">
        <is>
          <t>auto_pipeline;review_png_green</t>
        </is>
      </c>
      <c r="R915" t="inlineStr">
        <is>
          <t>样品20</t>
        </is>
      </c>
    </row>
    <row r="916">
      <c r="A916" t="inlineStr">
        <is>
          <t>20(6)-V04</t>
        </is>
      </c>
      <c r="B916" t="inlineStr">
        <is>
          <t>20 (6).tif</t>
        </is>
      </c>
      <c r="C916" t="n">
        <v>603</v>
      </c>
      <c r="D916" t="n">
        <v>44</v>
      </c>
      <c r="E916" t="inlineStr">
        <is>
          <t>537,12,670,77</t>
        </is>
      </c>
      <c r="F916" t="n">
        <v>12</v>
      </c>
      <c r="G916" t="inlineStr">
        <is>
          <t>primary</t>
        </is>
      </c>
      <c r="H916" t="inlineStr">
        <is>
          <t>AUTO_VESSEL</t>
        </is>
      </c>
      <c r="I916" t="inlineStr">
        <is>
          <t>是</t>
        </is>
      </c>
      <c r="J916" t="inlineStr">
        <is>
          <t>纳入</t>
        </is>
      </c>
      <c r="K916" t="n">
        <v>288.9413988657845</v>
      </c>
      <c r="L916">
        <f>导管母表_1781!G916</f>
        <v/>
      </c>
      <c r="M916" t="inlineStr">
        <is>
          <t>近边缘（&lt;25 px）</t>
        </is>
      </c>
      <c r="N916" t="inlineStr">
        <is>
          <t>纳入A/D/Dh；若有Pair_ID则纳入CWR</t>
        </is>
      </c>
      <c r="O916" t="inlineStr">
        <is>
          <t>自动管线检出的合格导管腔。</t>
        </is>
      </c>
      <c r="P916" t="inlineStr">
        <is>
          <t>auto_pipeline;review_png_green</t>
        </is>
      </c>
      <c r="R916" t="inlineStr">
        <is>
          <t>样品20</t>
        </is>
      </c>
    </row>
    <row r="917">
      <c r="A917" t="inlineStr">
        <is>
          <t>20(6)-V05</t>
        </is>
      </c>
      <c r="B917" t="inlineStr">
        <is>
          <t>20 (6).tif</t>
        </is>
      </c>
      <c r="C917" t="n">
        <v>207</v>
      </c>
      <c r="D917" t="n">
        <v>425</v>
      </c>
      <c r="E917" t="inlineStr">
        <is>
          <t>158,408,257,443</t>
        </is>
      </c>
      <c r="F917" t="n">
        <v>158</v>
      </c>
      <c r="G917" t="inlineStr">
        <is>
          <t>primary</t>
        </is>
      </c>
      <c r="H917" t="inlineStr">
        <is>
          <t>AUTO_VESSEL</t>
        </is>
      </c>
      <c r="I917" t="inlineStr">
        <is>
          <t>是</t>
        </is>
      </c>
      <c r="J917" t="inlineStr">
        <is>
          <t>纳入</t>
        </is>
      </c>
      <c r="K917" t="n">
        <v>116.3988657844991</v>
      </c>
      <c r="L917">
        <f>导管母表_1781!G917</f>
        <v/>
      </c>
      <c r="M917" t="inlineStr">
        <is>
          <t>视野内部</t>
        </is>
      </c>
      <c r="N917" t="inlineStr">
        <is>
          <t>纳入A/D/Dh；若有Pair_ID则纳入CWR</t>
        </is>
      </c>
      <c r="O917" t="inlineStr">
        <is>
          <t>自动管线检出的合格导管腔。</t>
        </is>
      </c>
      <c r="P917" t="inlineStr">
        <is>
          <t>auto_pipeline;review_png_green</t>
        </is>
      </c>
      <c r="R917" t="inlineStr">
        <is>
          <t>样品20</t>
        </is>
      </c>
    </row>
    <row r="918">
      <c r="A918" t="inlineStr">
        <is>
          <t>20(7)-V01</t>
        </is>
      </c>
      <c r="B918" t="inlineStr">
        <is>
          <t>20 (7).tif</t>
        </is>
      </c>
      <c r="C918" t="n">
        <v>616</v>
      </c>
      <c r="D918" t="n">
        <v>380</v>
      </c>
      <c r="E918" t="inlineStr">
        <is>
          <t>550,318,683,443</t>
        </is>
      </c>
      <c r="F918" t="n">
        <v>318</v>
      </c>
      <c r="G918" t="inlineStr">
        <is>
          <t>primary</t>
        </is>
      </c>
      <c r="H918" t="inlineStr">
        <is>
          <t>AUTO_VESSEL</t>
        </is>
      </c>
      <c r="I918" t="inlineStr">
        <is>
          <t>是</t>
        </is>
      </c>
      <c r="J918" t="inlineStr">
        <is>
          <t>纳入</t>
        </is>
      </c>
      <c r="K918" t="n">
        <v>606.5217391304348</v>
      </c>
      <c r="L918">
        <f>导管母表_1781!G918</f>
        <v/>
      </c>
      <c r="M918" t="inlineStr">
        <is>
          <t>视野内部</t>
        </is>
      </c>
      <c r="N918" t="inlineStr">
        <is>
          <t>纳入A/D/Dh；若有Pair_ID则纳入CWR</t>
        </is>
      </c>
      <c r="O918" t="inlineStr">
        <is>
          <t>自动管线检出的合格导管腔。</t>
        </is>
      </c>
      <c r="P918" t="inlineStr">
        <is>
          <t>auto_pipeline;review_png_green</t>
        </is>
      </c>
      <c r="Q918" t="inlineStr">
        <is>
          <t>20(7)-P01</t>
        </is>
      </c>
      <c r="R918" t="inlineStr">
        <is>
          <t>样品20</t>
        </is>
      </c>
    </row>
    <row r="919">
      <c r="A919" t="inlineStr">
        <is>
          <t>20(7)-V02</t>
        </is>
      </c>
      <c r="B919" t="inlineStr">
        <is>
          <t>20 (7).tif</t>
        </is>
      </c>
      <c r="C919" t="n">
        <v>473</v>
      </c>
      <c r="D919" t="n">
        <v>333</v>
      </c>
      <c r="E919" t="inlineStr">
        <is>
          <t>410,277,537,390</t>
        </is>
      </c>
      <c r="F919" t="n">
        <v>277</v>
      </c>
      <c r="G919" t="inlineStr">
        <is>
          <t>primary</t>
        </is>
      </c>
      <c r="H919" t="inlineStr">
        <is>
          <t>AUTO_VESSEL</t>
        </is>
      </c>
      <c r="I919" t="inlineStr">
        <is>
          <t>是</t>
        </is>
      </c>
      <c r="J919" t="inlineStr">
        <is>
          <t>纳入</t>
        </is>
      </c>
      <c r="K919" t="n">
        <v>523.7476370510396</v>
      </c>
      <c r="L919">
        <f>导管母表_1781!G919</f>
        <v/>
      </c>
      <c r="M919" t="inlineStr">
        <is>
          <t>视野内部</t>
        </is>
      </c>
      <c r="N919" t="inlineStr">
        <is>
          <t>纳入A/D/Dh；若有Pair_ID则纳入CWR</t>
        </is>
      </c>
      <c r="O919" t="inlineStr">
        <is>
          <t>自动管线检出的合格导管腔。</t>
        </is>
      </c>
      <c r="P919" t="inlineStr">
        <is>
          <t>auto_pipeline;review_png_green</t>
        </is>
      </c>
      <c r="Q919" t="inlineStr">
        <is>
          <t>20(7)-P01</t>
        </is>
      </c>
      <c r="R919" t="inlineStr">
        <is>
          <t>样品20</t>
        </is>
      </c>
    </row>
    <row r="920">
      <c r="A920" t="inlineStr">
        <is>
          <t>20(7)-V03</t>
        </is>
      </c>
      <c r="B920" t="inlineStr">
        <is>
          <t>20 (7).tif</t>
        </is>
      </c>
      <c r="C920" t="n">
        <v>842</v>
      </c>
      <c r="D920" t="n">
        <v>395</v>
      </c>
      <c r="E920" t="inlineStr">
        <is>
          <t>782,341,903,450</t>
        </is>
      </c>
      <c r="F920" t="n">
        <v>121</v>
      </c>
      <c r="G920" t="inlineStr">
        <is>
          <t>primary</t>
        </is>
      </c>
      <c r="H920" t="inlineStr">
        <is>
          <t>AUTO_VESSEL</t>
        </is>
      </c>
      <c r="I920" t="inlineStr">
        <is>
          <t>是</t>
        </is>
      </c>
      <c r="J920" t="inlineStr">
        <is>
          <t>纳入</t>
        </is>
      </c>
      <c r="K920" t="n">
        <v>479.7731568998109</v>
      </c>
      <c r="L920">
        <f>导管母表_1781!G920</f>
        <v/>
      </c>
      <c r="M920" t="inlineStr">
        <is>
          <t>视野内部</t>
        </is>
      </c>
      <c r="N920" t="inlineStr">
        <is>
          <t>纳入A/D/Dh；若有Pair_ID则纳入CWR</t>
        </is>
      </c>
      <c r="O920" t="inlineStr">
        <is>
          <t>自动管线检出的合格导管腔。</t>
        </is>
      </c>
      <c r="P920" t="inlineStr">
        <is>
          <t>auto_pipeline;review_png_green</t>
        </is>
      </c>
      <c r="R920" t="inlineStr">
        <is>
          <t>样品20</t>
        </is>
      </c>
    </row>
    <row r="921">
      <c r="A921" t="inlineStr">
        <is>
          <t>20(7)-V04</t>
        </is>
      </c>
      <c r="B921" t="inlineStr">
        <is>
          <t>20 (7).tif</t>
        </is>
      </c>
      <c r="C921" t="n">
        <v>368</v>
      </c>
      <c r="D921" t="n">
        <v>576</v>
      </c>
      <c r="E921" t="inlineStr">
        <is>
          <t>290,535,447,618</t>
        </is>
      </c>
      <c r="F921" t="n">
        <v>150</v>
      </c>
      <c r="G921" t="inlineStr">
        <is>
          <t>primary</t>
        </is>
      </c>
      <c r="H921" t="inlineStr">
        <is>
          <t>AUTO_VESSEL</t>
        </is>
      </c>
      <c r="I921" t="inlineStr">
        <is>
          <t>是</t>
        </is>
      </c>
      <c r="J921" t="inlineStr">
        <is>
          <t>纳入</t>
        </is>
      </c>
      <c r="K921" t="n">
        <v>401.5122873345936</v>
      </c>
      <c r="L921">
        <f>导管母表_1781!G921</f>
        <v/>
      </c>
      <c r="M921" t="inlineStr">
        <is>
          <t>视野内部</t>
        </is>
      </c>
      <c r="N921" t="inlineStr">
        <is>
          <t>纳入A/D/Dh；若有Pair_ID则纳入CWR</t>
        </is>
      </c>
      <c r="O921" t="inlineStr">
        <is>
          <t>自动管线检出的合格导管腔。</t>
        </is>
      </c>
      <c r="P921" t="inlineStr">
        <is>
          <t>auto_pipeline;review_png_green</t>
        </is>
      </c>
      <c r="R921" t="inlineStr">
        <is>
          <t>样品20</t>
        </is>
      </c>
    </row>
    <row r="922">
      <c r="A922" t="inlineStr">
        <is>
          <t>20(7)-V05</t>
        </is>
      </c>
      <c r="B922" t="inlineStr">
        <is>
          <t>20 (7).tif</t>
        </is>
      </c>
      <c r="C922" t="n">
        <v>795</v>
      </c>
      <c r="D922" t="n">
        <v>181</v>
      </c>
      <c r="E922" t="inlineStr">
        <is>
          <t>736,137,855,226</t>
        </is>
      </c>
      <c r="F922" t="n">
        <v>137</v>
      </c>
      <c r="G922" t="inlineStr">
        <is>
          <t>primary</t>
        </is>
      </c>
      <c r="H922" t="inlineStr">
        <is>
          <t>AUTO_VESSEL</t>
        </is>
      </c>
      <c r="I922" t="inlineStr">
        <is>
          <t>是</t>
        </is>
      </c>
      <c r="J922" t="inlineStr">
        <is>
          <t>纳入</t>
        </is>
      </c>
      <c r="K922" t="n">
        <v>346.2192816635161</v>
      </c>
      <c r="L922">
        <f>导管母表_1781!G922</f>
        <v/>
      </c>
      <c r="M922" t="inlineStr">
        <is>
          <t>视野内部</t>
        </is>
      </c>
      <c r="N922" t="inlineStr">
        <is>
          <t>纳入A/D/Dh；若有Pair_ID则纳入CWR</t>
        </is>
      </c>
      <c r="O922" t="inlineStr">
        <is>
          <t>自动管线检出的合格导管腔。</t>
        </is>
      </c>
      <c r="P922" t="inlineStr">
        <is>
          <t>auto_pipeline;review_png_green</t>
        </is>
      </c>
      <c r="R922" t="inlineStr">
        <is>
          <t>样品20</t>
        </is>
      </c>
    </row>
    <row r="923">
      <c r="A923" t="inlineStr">
        <is>
          <t>20(7)-V06</t>
        </is>
      </c>
      <c r="B923" t="inlineStr">
        <is>
          <t>20 (7).tif</t>
        </is>
      </c>
      <c r="C923" t="n">
        <v>968</v>
      </c>
      <c r="D923" t="n">
        <v>570</v>
      </c>
      <c r="E923" t="inlineStr">
        <is>
          <t>924,538,1013,603</t>
        </is>
      </c>
      <c r="F923" t="n">
        <v>11</v>
      </c>
      <c r="G923" t="inlineStr">
        <is>
          <t>primary</t>
        </is>
      </c>
      <c r="H923" t="inlineStr">
        <is>
          <t>AUTO_VESSEL</t>
        </is>
      </c>
      <c r="I923" t="inlineStr">
        <is>
          <t>是</t>
        </is>
      </c>
      <c r="J923" t="inlineStr">
        <is>
          <t>纳入</t>
        </is>
      </c>
      <c r="K923" t="n">
        <v>200.6143667296786</v>
      </c>
      <c r="L923">
        <f>导管母表_1781!G923</f>
        <v/>
      </c>
      <c r="M923" t="inlineStr">
        <is>
          <t>近边缘（&lt;25 px）</t>
        </is>
      </c>
      <c r="N923" t="inlineStr">
        <is>
          <t>纳入A/D/Dh；若有Pair_ID则纳入CWR</t>
        </is>
      </c>
      <c r="O923" t="inlineStr">
        <is>
          <t>自动管线检出的合格导管腔。</t>
        </is>
      </c>
      <c r="P923" t="inlineStr">
        <is>
          <t>auto_pipeline;review_png_green</t>
        </is>
      </c>
      <c r="R923" t="inlineStr">
        <is>
          <t>样品20</t>
        </is>
      </c>
    </row>
    <row r="924">
      <c r="A924" t="inlineStr">
        <is>
          <t>20(7)-V07</t>
        </is>
      </c>
      <c r="B924" t="inlineStr">
        <is>
          <t>20 (7).tif</t>
        </is>
      </c>
      <c r="C924" t="n">
        <v>880</v>
      </c>
      <c r="D924" t="n">
        <v>540</v>
      </c>
      <c r="E924" t="inlineStr">
        <is>
          <t>841,513,920,568</t>
        </is>
      </c>
      <c r="F924" t="n">
        <v>104</v>
      </c>
      <c r="G924" t="inlineStr">
        <is>
          <t>primary</t>
        </is>
      </c>
      <c r="H924" t="inlineStr">
        <is>
          <t>AUTO_VESSEL</t>
        </is>
      </c>
      <c r="I924" t="inlineStr">
        <is>
          <t>是</t>
        </is>
      </c>
      <c r="J924" t="inlineStr">
        <is>
          <t>纳入</t>
        </is>
      </c>
      <c r="K924" t="n">
        <v>154.796786389414</v>
      </c>
      <c r="L924">
        <f>导管母表_1781!G924</f>
        <v/>
      </c>
      <c r="M924" t="inlineStr">
        <is>
          <t>视野内部</t>
        </is>
      </c>
      <c r="N924" t="inlineStr">
        <is>
          <t>纳入A/D/Dh；若有Pair_ID则纳入CWR</t>
        </is>
      </c>
      <c r="O924" t="inlineStr">
        <is>
          <t>自动管线检出的合格导管腔。</t>
        </is>
      </c>
      <c r="P924" t="inlineStr">
        <is>
          <t>auto_pipeline;review_png_green</t>
        </is>
      </c>
      <c r="R924" t="inlineStr">
        <is>
          <t>样品20</t>
        </is>
      </c>
    </row>
    <row r="925">
      <c r="A925" t="inlineStr">
        <is>
          <t>20(8)-V01</t>
        </is>
      </c>
      <c r="B925" t="inlineStr">
        <is>
          <t>20 (8).tif</t>
        </is>
      </c>
      <c r="C925" t="n">
        <v>457</v>
      </c>
      <c r="D925" t="n">
        <v>312</v>
      </c>
      <c r="E925" t="inlineStr">
        <is>
          <t>401,263,514,362</t>
        </is>
      </c>
      <c r="F925" t="n">
        <v>263</v>
      </c>
      <c r="G925" t="inlineStr">
        <is>
          <t>primary</t>
        </is>
      </c>
      <c r="H925" t="inlineStr">
        <is>
          <t>AUTO_VESSEL</t>
        </is>
      </c>
      <c r="I925" t="inlineStr">
        <is>
          <t>是</t>
        </is>
      </c>
      <c r="J925" t="inlineStr">
        <is>
          <t>纳入</t>
        </is>
      </c>
      <c r="K925" t="n">
        <v>402.8119092627599</v>
      </c>
      <c r="L925">
        <f>导管母表_1781!G925</f>
        <v/>
      </c>
      <c r="M925" t="inlineStr">
        <is>
          <t>视野内部</t>
        </is>
      </c>
      <c r="N925" t="inlineStr">
        <is>
          <t>纳入A/D/Dh；若有Pair_ID则纳入CWR</t>
        </is>
      </c>
      <c r="O925" t="inlineStr">
        <is>
          <t>自动管线检出的合格导管腔。</t>
        </is>
      </c>
      <c r="P925" t="inlineStr">
        <is>
          <t>auto_pipeline;review_png_green</t>
        </is>
      </c>
      <c r="R925" t="inlineStr">
        <is>
          <t>样品20</t>
        </is>
      </c>
    </row>
    <row r="926">
      <c r="A926" t="inlineStr">
        <is>
          <t>20(8)-V02</t>
        </is>
      </c>
      <c r="B926" t="inlineStr">
        <is>
          <t>20 (8).tif</t>
        </is>
      </c>
      <c r="C926" t="n">
        <v>563</v>
      </c>
      <c r="D926" t="n">
        <v>410</v>
      </c>
      <c r="E926" t="inlineStr">
        <is>
          <t>511,360,616,461</t>
        </is>
      </c>
      <c r="F926" t="n">
        <v>307</v>
      </c>
      <c r="G926" t="inlineStr">
        <is>
          <t>primary</t>
        </is>
      </c>
      <c r="H926" t="inlineStr">
        <is>
          <t>AUTO_VESSEL</t>
        </is>
      </c>
      <c r="I926" t="inlineStr">
        <is>
          <t>是</t>
        </is>
      </c>
      <c r="J926" t="inlineStr">
        <is>
          <t>纳入</t>
        </is>
      </c>
      <c r="K926" t="n">
        <v>382.4432892249528</v>
      </c>
      <c r="L926">
        <f>导管母表_1781!G926</f>
        <v/>
      </c>
      <c r="M926" t="inlineStr">
        <is>
          <t>视野内部</t>
        </is>
      </c>
      <c r="N926" t="inlineStr">
        <is>
          <t>纳入A/D/Dh；若有Pair_ID则纳入CWR</t>
        </is>
      </c>
      <c r="O926" t="inlineStr">
        <is>
          <t>自动管线检出的合格导管腔。</t>
        </is>
      </c>
      <c r="P926" t="inlineStr">
        <is>
          <t>auto_pipeline;review_png_green</t>
        </is>
      </c>
      <c r="R926" t="inlineStr">
        <is>
          <t>样品20</t>
        </is>
      </c>
    </row>
    <row r="927">
      <c r="A927" t="inlineStr">
        <is>
          <t>20(8)-V03</t>
        </is>
      </c>
      <c r="B927" t="inlineStr">
        <is>
          <t>20 (8).tif</t>
        </is>
      </c>
      <c r="C927" t="n">
        <v>754</v>
      </c>
      <c r="D927" t="n">
        <v>506</v>
      </c>
      <c r="E927" t="inlineStr">
        <is>
          <t>711,460,798,553</t>
        </is>
      </c>
      <c r="F927" t="n">
        <v>215</v>
      </c>
      <c r="G927" t="inlineStr">
        <is>
          <t>primary</t>
        </is>
      </c>
      <c r="H927" t="inlineStr">
        <is>
          <t>AUTO_VESSEL</t>
        </is>
      </c>
      <c r="I927" t="inlineStr">
        <is>
          <t>是</t>
        </is>
      </c>
      <c r="J927" t="inlineStr">
        <is>
          <t>纳入</t>
        </is>
      </c>
      <c r="K927" t="n">
        <v>224.2911153119093</v>
      </c>
      <c r="L927">
        <f>导管母表_1781!G927</f>
        <v/>
      </c>
      <c r="M927" t="inlineStr">
        <is>
          <t>视野内部</t>
        </is>
      </c>
      <c r="N927" t="inlineStr">
        <is>
          <t>纳入A/D/Dh；若有Pair_ID则纳入CWR</t>
        </is>
      </c>
      <c r="O927" t="inlineStr">
        <is>
          <t>自动管线检出的合格导管腔。</t>
        </is>
      </c>
      <c r="P927" t="inlineStr">
        <is>
          <t>auto_pipeline;review_png_green</t>
        </is>
      </c>
      <c r="R927" t="inlineStr">
        <is>
          <t>样品20</t>
        </is>
      </c>
    </row>
    <row r="928">
      <c r="A928" t="inlineStr">
        <is>
          <t>20(8)-V04</t>
        </is>
      </c>
      <c r="B928" t="inlineStr">
        <is>
          <t>20 (8).tif</t>
        </is>
      </c>
      <c r="C928" t="n">
        <v>181</v>
      </c>
      <c r="D928" t="n">
        <v>583</v>
      </c>
      <c r="E928" t="inlineStr">
        <is>
          <t>141,551,222,616</t>
        </is>
      </c>
      <c r="F928" t="n">
        <v>141</v>
      </c>
      <c r="G928" t="inlineStr">
        <is>
          <t>primary</t>
        </is>
      </c>
      <c r="H928" t="inlineStr">
        <is>
          <t>AUTO_VESSEL</t>
        </is>
      </c>
      <c r="I928" t="inlineStr">
        <is>
          <t>是</t>
        </is>
      </c>
      <c r="J928" t="inlineStr">
        <is>
          <t>纳入</t>
        </is>
      </c>
      <c r="K928" t="n">
        <v>180.6947069943289</v>
      </c>
      <c r="L928">
        <f>导管母表_1781!G928</f>
        <v/>
      </c>
      <c r="M928" t="inlineStr">
        <is>
          <t>视野内部</t>
        </is>
      </c>
      <c r="N928" t="inlineStr">
        <is>
          <t>纳入A/D/Dh；若有Pair_ID则纳入CWR</t>
        </is>
      </c>
      <c r="O928" t="inlineStr">
        <is>
          <t>自动管线检出的合格导管腔。</t>
        </is>
      </c>
      <c r="P928" t="inlineStr">
        <is>
          <t>auto_pipeline;review_png_green</t>
        </is>
      </c>
      <c r="R928" t="inlineStr">
        <is>
          <t>样品20</t>
        </is>
      </c>
    </row>
    <row r="929">
      <c r="A929" t="inlineStr">
        <is>
          <t>20(8)-V05</t>
        </is>
      </c>
      <c r="B929" t="inlineStr">
        <is>
          <t>20 (8).tif</t>
        </is>
      </c>
      <c r="C929" t="n">
        <v>537</v>
      </c>
      <c r="D929" t="n">
        <v>273</v>
      </c>
      <c r="E929" t="inlineStr">
        <is>
          <t>503,244,572,303</t>
        </is>
      </c>
      <c r="F929" t="n">
        <v>244</v>
      </c>
      <c r="G929" t="inlineStr">
        <is>
          <t>primary</t>
        </is>
      </c>
      <c r="H929" t="inlineStr">
        <is>
          <t>AUTO_VESSEL</t>
        </is>
      </c>
      <c r="I929" t="inlineStr">
        <is>
          <t>是</t>
        </is>
      </c>
      <c r="J929" t="inlineStr">
        <is>
          <t>纳入</t>
        </is>
      </c>
      <c r="K929" t="n">
        <v>135.8223062381853</v>
      </c>
      <c r="L929">
        <f>导管母表_1781!G929</f>
        <v/>
      </c>
      <c r="M929" t="inlineStr">
        <is>
          <t>视野内部</t>
        </is>
      </c>
      <c r="N929" t="inlineStr">
        <is>
          <t>纳入A/D/Dh；若有Pair_ID则纳入CWR</t>
        </is>
      </c>
      <c r="O929" t="inlineStr">
        <is>
          <t>自动管线检出的合格导管腔。</t>
        </is>
      </c>
      <c r="P929" t="inlineStr">
        <is>
          <t>auto_pipeline;review_png_green</t>
        </is>
      </c>
      <c r="R929" t="inlineStr">
        <is>
          <t>样品20</t>
        </is>
      </c>
    </row>
    <row r="930">
      <c r="A930" t="inlineStr">
        <is>
          <t>20(8)-V06</t>
        </is>
      </c>
      <c r="B930" t="inlineStr">
        <is>
          <t>20 (8).tif</t>
        </is>
      </c>
      <c r="C930" t="n">
        <v>725</v>
      </c>
      <c r="D930" t="n">
        <v>349</v>
      </c>
      <c r="E930" t="inlineStr">
        <is>
          <t>678,316,773,383</t>
        </is>
      </c>
      <c r="F930" t="n">
        <v>251</v>
      </c>
      <c r="G930" t="inlineStr">
        <is>
          <t>primary</t>
        </is>
      </c>
      <c r="H930" t="inlineStr">
        <is>
          <t>AUTO_VESSEL</t>
        </is>
      </c>
      <c r="I930" t="inlineStr">
        <is>
          <t>是</t>
        </is>
      </c>
      <c r="J930" t="inlineStr">
        <is>
          <t>纳入</t>
        </is>
      </c>
      <c r="K930" t="n">
        <v>116.9187145557656</v>
      </c>
      <c r="L930">
        <f>导管母表_1781!G930</f>
        <v/>
      </c>
      <c r="M930" t="inlineStr">
        <is>
          <t>视野内部</t>
        </is>
      </c>
      <c r="N930" t="inlineStr">
        <is>
          <t>纳入A/D/Dh；若有Pair_ID则纳入CWR</t>
        </is>
      </c>
      <c r="O930" t="inlineStr">
        <is>
          <t>自动管线检出的合格导管腔。</t>
        </is>
      </c>
      <c r="P930" t="inlineStr">
        <is>
          <t>auto_pipeline;review_png_green</t>
        </is>
      </c>
      <c r="R930" t="inlineStr">
        <is>
          <t>样品20</t>
        </is>
      </c>
    </row>
    <row r="931">
      <c r="A931" t="inlineStr">
        <is>
          <t>21(1)-V01</t>
        </is>
      </c>
      <c r="B931" t="inlineStr">
        <is>
          <t>21 (1).tif</t>
        </is>
      </c>
      <c r="C931" t="n">
        <v>593</v>
      </c>
      <c r="D931" t="n">
        <v>394</v>
      </c>
      <c r="E931" t="inlineStr">
        <is>
          <t>523,331,664,458</t>
        </is>
      </c>
      <c r="F931" t="n">
        <v>310</v>
      </c>
      <c r="G931" t="inlineStr">
        <is>
          <t>primary</t>
        </is>
      </c>
      <c r="H931" t="inlineStr">
        <is>
          <t>AUTO_VESSEL</t>
        </is>
      </c>
      <c r="I931" t="inlineStr">
        <is>
          <t>是</t>
        </is>
      </c>
      <c r="J931" t="inlineStr">
        <is>
          <t>纳入</t>
        </is>
      </c>
      <c r="K931" t="n">
        <v>652.6701323251418</v>
      </c>
      <c r="L931">
        <f>导管母表_1781!G931</f>
        <v/>
      </c>
      <c r="M931" t="inlineStr">
        <is>
          <t>视野内部</t>
        </is>
      </c>
      <c r="N931" t="inlineStr">
        <is>
          <t>纳入A/D/Dh；若有Pair_ID则纳入CWR</t>
        </is>
      </c>
      <c r="O931" t="inlineStr">
        <is>
          <t>自动管线检出的合格导管腔。</t>
        </is>
      </c>
      <c r="P931" t="inlineStr">
        <is>
          <t>auto_pipeline;review_png_green</t>
        </is>
      </c>
      <c r="Q931" t="inlineStr">
        <is>
          <t>21(1)-P01</t>
        </is>
      </c>
      <c r="R931" t="inlineStr">
        <is>
          <t>样品21</t>
        </is>
      </c>
    </row>
    <row r="932">
      <c r="A932" t="inlineStr">
        <is>
          <t>21(1)-V02</t>
        </is>
      </c>
      <c r="B932" t="inlineStr">
        <is>
          <t>21 (1).tif</t>
        </is>
      </c>
      <c r="C932" t="n">
        <v>459</v>
      </c>
      <c r="D932" t="n">
        <v>333</v>
      </c>
      <c r="E932" t="inlineStr">
        <is>
          <t>404,267,515,400</t>
        </is>
      </c>
      <c r="F932" t="n">
        <v>267</v>
      </c>
      <c r="G932" t="inlineStr">
        <is>
          <t>primary</t>
        </is>
      </c>
      <c r="H932" t="inlineStr">
        <is>
          <t>AUTO_VESSEL</t>
        </is>
      </c>
      <c r="I932" t="inlineStr">
        <is>
          <t>是</t>
        </is>
      </c>
      <c r="J932" t="inlineStr">
        <is>
          <t>纳入</t>
        </is>
      </c>
      <c r="K932" t="n">
        <v>525.6852551984878</v>
      </c>
      <c r="L932">
        <f>导管母表_1781!G932</f>
        <v/>
      </c>
      <c r="M932" t="inlineStr">
        <is>
          <t>视野内部</t>
        </is>
      </c>
      <c r="N932" t="inlineStr">
        <is>
          <t>纳入A/D/Dh；若有Pair_ID则纳入CWR</t>
        </is>
      </c>
      <c r="O932" t="inlineStr">
        <is>
          <t>自动管线检出的合格导管腔。</t>
        </is>
      </c>
      <c r="P932" t="inlineStr">
        <is>
          <t>auto_pipeline;review_png_green</t>
        </is>
      </c>
      <c r="Q932" t="inlineStr">
        <is>
          <t>21(1)-P01</t>
        </is>
      </c>
      <c r="R932" t="inlineStr">
        <is>
          <t>样品21</t>
        </is>
      </c>
    </row>
    <row r="933">
      <c r="A933" t="inlineStr">
        <is>
          <t>21(1)-V03</t>
        </is>
      </c>
      <c r="B933" t="inlineStr">
        <is>
          <t>21 (1).tif</t>
        </is>
      </c>
      <c r="C933" t="n">
        <v>511</v>
      </c>
      <c r="D933" t="n">
        <v>143</v>
      </c>
      <c r="E933" t="inlineStr">
        <is>
          <t>454,99,569,188</t>
        </is>
      </c>
      <c r="F933" t="n">
        <v>99</v>
      </c>
      <c r="G933" t="inlineStr">
        <is>
          <t>primary</t>
        </is>
      </c>
      <c r="H933" t="inlineStr">
        <is>
          <t>AUTO_VESSEL</t>
        </is>
      </c>
      <c r="I933" t="inlineStr">
        <is>
          <t>是</t>
        </is>
      </c>
      <c r="J933" t="inlineStr">
        <is>
          <t>纳入</t>
        </is>
      </c>
      <c r="K933" t="n">
        <v>371.9754253308129</v>
      </c>
      <c r="L933">
        <f>导管母表_1781!G933</f>
        <v/>
      </c>
      <c r="M933" t="inlineStr">
        <is>
          <t>视野内部</t>
        </is>
      </c>
      <c r="N933" t="inlineStr">
        <is>
          <t>纳入A/D/Dh；若有Pair_ID则纳入CWR</t>
        </is>
      </c>
      <c r="O933" t="inlineStr">
        <is>
          <t>自动管线检出的合格导管腔。</t>
        </is>
      </c>
      <c r="P933" t="inlineStr">
        <is>
          <t>auto_pipeline;review_png_green</t>
        </is>
      </c>
      <c r="R933" t="inlineStr">
        <is>
          <t>样品21</t>
        </is>
      </c>
    </row>
    <row r="934">
      <c r="A934" t="inlineStr">
        <is>
          <t>21(1)-V04</t>
        </is>
      </c>
      <c r="B934" t="inlineStr">
        <is>
          <t>21 (1).tif</t>
        </is>
      </c>
      <c r="C934" t="n">
        <v>76</v>
      </c>
      <c r="D934" t="n">
        <v>567</v>
      </c>
      <c r="E934" t="inlineStr">
        <is>
          <t>40,535,113,600</t>
        </is>
      </c>
      <c r="F934" t="n">
        <v>40</v>
      </c>
      <c r="G934" t="inlineStr">
        <is>
          <t>primary</t>
        </is>
      </c>
      <c r="H934" t="inlineStr">
        <is>
          <t>AUTO_VESSEL</t>
        </is>
      </c>
      <c r="I934" t="inlineStr">
        <is>
          <t>是</t>
        </is>
      </c>
      <c r="J934" t="inlineStr">
        <is>
          <t>纳入</t>
        </is>
      </c>
      <c r="K934" t="n">
        <v>149.7164461247637</v>
      </c>
      <c r="L934">
        <f>导管母表_1781!G934</f>
        <v/>
      </c>
      <c r="M934" t="inlineStr">
        <is>
          <t>视野内部</t>
        </is>
      </c>
      <c r="N934" t="inlineStr">
        <is>
          <t>纳入A/D/Dh；若有Pair_ID则纳入CWR</t>
        </is>
      </c>
      <c r="O934" t="inlineStr">
        <is>
          <t>自动管线检出的合格导管腔。</t>
        </is>
      </c>
      <c r="P934" t="inlineStr">
        <is>
          <t>auto_pipeline;review_png_green</t>
        </is>
      </c>
      <c r="R934" t="inlineStr">
        <is>
          <t>样品21</t>
        </is>
      </c>
    </row>
    <row r="935">
      <c r="A935" t="inlineStr">
        <is>
          <t>21(2)-V01</t>
        </is>
      </c>
      <c r="B935" t="inlineStr">
        <is>
          <t>21 (2).tif</t>
        </is>
      </c>
      <c r="C935" t="n">
        <v>576</v>
      </c>
      <c r="D935" t="n">
        <v>351</v>
      </c>
      <c r="E935" t="inlineStr">
        <is>
          <t>525,286,628,417</t>
        </is>
      </c>
      <c r="F935" t="n">
        <v>286</v>
      </c>
      <c r="G935" t="inlineStr">
        <is>
          <t>primary</t>
        </is>
      </c>
      <c r="H935" t="inlineStr">
        <is>
          <t>AUTO_VESSEL</t>
        </is>
      </c>
      <c r="I935" t="inlineStr">
        <is>
          <t>是</t>
        </is>
      </c>
      <c r="J935" t="inlineStr">
        <is>
          <t>纳入</t>
        </is>
      </c>
      <c r="K935" t="n">
        <v>492.0132325141777</v>
      </c>
      <c r="L935">
        <f>导管母表_1781!G935</f>
        <v/>
      </c>
      <c r="M935" t="inlineStr">
        <is>
          <t>视野内部</t>
        </is>
      </c>
      <c r="N935" t="inlineStr">
        <is>
          <t>纳入A/D/Dh；若有Pair_ID则纳入CWR</t>
        </is>
      </c>
      <c r="O935" t="inlineStr">
        <is>
          <t>自动管线检出的合格导管腔。</t>
        </is>
      </c>
      <c r="P935" t="inlineStr">
        <is>
          <t>auto_pipeline;review_png_green</t>
        </is>
      </c>
      <c r="Q935" t="inlineStr">
        <is>
          <t>21(2)-P01</t>
        </is>
      </c>
      <c r="R935" t="inlineStr">
        <is>
          <t>样品21</t>
        </is>
      </c>
    </row>
    <row r="936">
      <c r="A936" t="inlineStr">
        <is>
          <t>21(2)-V02</t>
        </is>
      </c>
      <c r="B936" t="inlineStr">
        <is>
          <t>21 (2).tif</t>
        </is>
      </c>
      <c r="C936" t="n">
        <v>448</v>
      </c>
      <c r="D936" t="n">
        <v>384</v>
      </c>
      <c r="E936" t="inlineStr">
        <is>
          <t>399,318,498,451</t>
        </is>
      </c>
      <c r="F936" t="n">
        <v>317</v>
      </c>
      <c r="G936" t="inlineStr">
        <is>
          <t>primary</t>
        </is>
      </c>
      <c r="H936" t="inlineStr">
        <is>
          <t>AUTO_VESSEL</t>
        </is>
      </c>
      <c r="I936" t="inlineStr">
        <is>
          <t>是</t>
        </is>
      </c>
      <c r="J936" t="inlineStr">
        <is>
          <t>纳入</t>
        </is>
      </c>
      <c r="K936" t="n">
        <v>479.7258979206049</v>
      </c>
      <c r="L936">
        <f>导管母表_1781!G936</f>
        <v/>
      </c>
      <c r="M936" t="inlineStr">
        <is>
          <t>视野内部</t>
        </is>
      </c>
      <c r="N936" t="inlineStr">
        <is>
          <t>纳入A/D/Dh；若有Pair_ID则纳入CWR</t>
        </is>
      </c>
      <c r="O936" t="inlineStr">
        <is>
          <t>自动管线检出的合格导管腔。</t>
        </is>
      </c>
      <c r="P936" t="inlineStr">
        <is>
          <t>auto_pipeline;review_png_green</t>
        </is>
      </c>
      <c r="Q936" t="inlineStr">
        <is>
          <t>21(2)-P01</t>
        </is>
      </c>
      <c r="R936" t="inlineStr">
        <is>
          <t>样品21</t>
        </is>
      </c>
    </row>
    <row r="937">
      <c r="A937" t="inlineStr">
        <is>
          <t>21(2)-V03</t>
        </is>
      </c>
      <c r="B937" t="inlineStr">
        <is>
          <t>21 (2).tif</t>
        </is>
      </c>
      <c r="C937" t="n">
        <v>830</v>
      </c>
      <c r="D937" t="n">
        <v>548</v>
      </c>
      <c r="E937" t="inlineStr">
        <is>
          <t>784,485,877,612</t>
        </is>
      </c>
      <c r="F937" t="n">
        <v>147</v>
      </c>
      <c r="G937" t="inlineStr">
        <is>
          <t>primary</t>
        </is>
      </c>
      <c r="H937" t="inlineStr">
        <is>
          <t>AUTO_VESSEL</t>
        </is>
      </c>
      <c r="I937" t="inlineStr">
        <is>
          <t>是</t>
        </is>
      </c>
      <c r="J937" t="inlineStr">
        <is>
          <t>纳入</t>
        </is>
      </c>
      <c r="K937" t="n">
        <v>430.3638941398866</v>
      </c>
      <c r="L937">
        <f>导管母表_1781!G937</f>
        <v/>
      </c>
      <c r="M937" t="inlineStr">
        <is>
          <t>视野内部</t>
        </is>
      </c>
      <c r="N937" t="inlineStr">
        <is>
          <t>纳入A/D/Dh；若有Pair_ID则纳入CWR</t>
        </is>
      </c>
      <c r="O937" t="inlineStr">
        <is>
          <t>自动管线检出的合格导管腔。</t>
        </is>
      </c>
      <c r="P937" t="inlineStr">
        <is>
          <t>auto_pipeline;review_png_green</t>
        </is>
      </c>
      <c r="R937" t="inlineStr">
        <is>
          <t>样品21</t>
        </is>
      </c>
    </row>
    <row r="938">
      <c r="A938" t="inlineStr">
        <is>
          <t>21(2)-V04</t>
        </is>
      </c>
      <c r="B938" t="inlineStr">
        <is>
          <t>21 (2).tif</t>
        </is>
      </c>
      <c r="C938" t="n">
        <v>806</v>
      </c>
      <c r="D938" t="n">
        <v>275</v>
      </c>
      <c r="E938" t="inlineStr">
        <is>
          <t>751,224,862,327</t>
        </is>
      </c>
      <c r="F938" t="n">
        <v>162</v>
      </c>
      <c r="G938" t="inlineStr">
        <is>
          <t>primary</t>
        </is>
      </c>
      <c r="H938" t="inlineStr">
        <is>
          <t>AUTO_VESSEL</t>
        </is>
      </c>
      <c r="I938" t="inlineStr">
        <is>
          <t>是</t>
        </is>
      </c>
      <c r="J938" t="inlineStr">
        <is>
          <t>纳入</t>
        </is>
      </c>
      <c r="K938" t="n">
        <v>411.6965973534972</v>
      </c>
      <c r="L938">
        <f>导管母表_1781!G938</f>
        <v/>
      </c>
      <c r="M938" t="inlineStr">
        <is>
          <t>视野内部</t>
        </is>
      </c>
      <c r="N938" t="inlineStr">
        <is>
          <t>纳入A/D/Dh；若有Pair_ID则纳入CWR</t>
        </is>
      </c>
      <c r="O938" t="inlineStr">
        <is>
          <t>自动管线检出的合格导管腔。</t>
        </is>
      </c>
      <c r="P938" t="inlineStr">
        <is>
          <t>auto_pipeline;review_png_green</t>
        </is>
      </c>
      <c r="R938" t="inlineStr">
        <is>
          <t>样品21</t>
        </is>
      </c>
    </row>
    <row r="939">
      <c r="A939" t="inlineStr">
        <is>
          <t>21(2)-V05</t>
        </is>
      </c>
      <c r="B939" t="inlineStr">
        <is>
          <t>21 (2).tif</t>
        </is>
      </c>
      <c r="C939" t="n">
        <v>169</v>
      </c>
      <c r="D939" t="n">
        <v>599</v>
      </c>
      <c r="E939" t="inlineStr">
        <is>
          <t>128,562,211,637</t>
        </is>
      </c>
      <c r="F939" t="n">
        <v>128</v>
      </c>
      <c r="G939" t="inlineStr">
        <is>
          <t>primary</t>
        </is>
      </c>
      <c r="H939" t="inlineStr">
        <is>
          <t>AUTO_VESSEL</t>
        </is>
      </c>
      <c r="I939" t="inlineStr">
        <is>
          <t>是</t>
        </is>
      </c>
      <c r="J939" t="inlineStr">
        <is>
          <t>纳入</t>
        </is>
      </c>
      <c r="K939" t="n">
        <v>218.265595463138</v>
      </c>
      <c r="L939">
        <f>导管母表_1781!G939</f>
        <v/>
      </c>
      <c r="M939" t="inlineStr">
        <is>
          <t>视野内部</t>
        </is>
      </c>
      <c r="N939" t="inlineStr">
        <is>
          <t>纳入A/D/Dh；若有Pair_ID则纳入CWR</t>
        </is>
      </c>
      <c r="O939" t="inlineStr">
        <is>
          <t>自动管线检出的合格导管腔。</t>
        </is>
      </c>
      <c r="P939" t="inlineStr">
        <is>
          <t>auto_pipeline;review_png_green</t>
        </is>
      </c>
      <c r="R939" t="inlineStr">
        <is>
          <t>样品21</t>
        </is>
      </c>
    </row>
    <row r="940">
      <c r="A940" t="inlineStr">
        <is>
          <t>21(2)-V06</t>
        </is>
      </c>
      <c r="B940" t="inlineStr">
        <is>
          <t>21 (2).tif</t>
        </is>
      </c>
      <c r="C940" t="n">
        <v>906</v>
      </c>
      <c r="D940" t="n">
        <v>447</v>
      </c>
      <c r="E940" t="inlineStr">
        <is>
          <t>878,418,935,477</t>
        </is>
      </c>
      <c r="F940" t="n">
        <v>89</v>
      </c>
      <c r="G940" t="inlineStr">
        <is>
          <t>primary</t>
        </is>
      </c>
      <c r="H940" t="inlineStr">
        <is>
          <t>AUTO_VESSEL</t>
        </is>
      </c>
      <c r="I940" t="inlineStr">
        <is>
          <t>是</t>
        </is>
      </c>
      <c r="J940" t="inlineStr">
        <is>
          <t>纳入</t>
        </is>
      </c>
      <c r="K940" t="n">
        <v>120.3449905482042</v>
      </c>
      <c r="L940">
        <f>导管母表_1781!G940</f>
        <v/>
      </c>
      <c r="M940" t="inlineStr">
        <is>
          <t>视野内部</t>
        </is>
      </c>
      <c r="N940" t="inlineStr">
        <is>
          <t>纳入A/D/Dh；若有Pair_ID则纳入CWR</t>
        </is>
      </c>
      <c r="O940" t="inlineStr">
        <is>
          <t>自动管线检出的合格导管腔。</t>
        </is>
      </c>
      <c r="P940" t="inlineStr">
        <is>
          <t>auto_pipeline;review_png_green</t>
        </is>
      </c>
      <c r="R940" t="inlineStr">
        <is>
          <t>样品21</t>
        </is>
      </c>
    </row>
    <row r="941">
      <c r="A941" t="inlineStr">
        <is>
          <t>21(3)-V01</t>
        </is>
      </c>
      <c r="B941" t="inlineStr">
        <is>
          <t>21 (3).tif</t>
        </is>
      </c>
      <c r="C941" t="n">
        <v>480</v>
      </c>
      <c r="D941" t="n">
        <v>295</v>
      </c>
      <c r="E941" t="inlineStr">
        <is>
          <t>430,239,531,352</t>
        </is>
      </c>
      <c r="F941" t="n">
        <v>239</v>
      </c>
      <c r="G941" t="inlineStr">
        <is>
          <t>primary</t>
        </is>
      </c>
      <c r="H941" t="inlineStr">
        <is>
          <t>AUTO_VESSEL</t>
        </is>
      </c>
      <c r="I941" t="inlineStr">
        <is>
          <t>是</t>
        </is>
      </c>
      <c r="J941" t="inlineStr">
        <is>
          <t>纳入</t>
        </is>
      </c>
      <c r="K941" t="n">
        <v>414.8865784499055</v>
      </c>
      <c r="L941">
        <f>导管母表_1781!G941</f>
        <v/>
      </c>
      <c r="M941" t="inlineStr">
        <is>
          <t>视野内部</t>
        </is>
      </c>
      <c r="N941" t="inlineStr">
        <is>
          <t>纳入A/D/Dh；若有Pair_ID则纳入CWR</t>
        </is>
      </c>
      <c r="O941" t="inlineStr">
        <is>
          <t>自动管线检出的合格导管腔。</t>
        </is>
      </c>
      <c r="P941" t="inlineStr">
        <is>
          <t>auto_pipeline;review_png_green</t>
        </is>
      </c>
      <c r="Q941" t="inlineStr">
        <is>
          <t>21(3)-P01</t>
        </is>
      </c>
      <c r="R941" t="inlineStr">
        <is>
          <t>样品21</t>
        </is>
      </c>
    </row>
    <row r="942">
      <c r="A942" t="inlineStr">
        <is>
          <t>21(3)-V02</t>
        </is>
      </c>
      <c r="B942" t="inlineStr">
        <is>
          <t>21 (3).tif</t>
        </is>
      </c>
      <c r="C942" t="n">
        <v>627</v>
      </c>
      <c r="D942" t="n">
        <v>256</v>
      </c>
      <c r="E942" t="inlineStr">
        <is>
          <t>579,198,676,315</t>
        </is>
      </c>
      <c r="F942" t="n">
        <v>198</v>
      </c>
      <c r="G942" t="inlineStr">
        <is>
          <t>primary</t>
        </is>
      </c>
      <c r="H942" t="inlineStr">
        <is>
          <t>AUTO_VESSEL</t>
        </is>
      </c>
      <c r="I942" t="inlineStr">
        <is>
          <t>是</t>
        </is>
      </c>
      <c r="J942" t="inlineStr">
        <is>
          <t>纳入</t>
        </is>
      </c>
      <c r="K942" t="n">
        <v>411.8620037807183</v>
      </c>
      <c r="L942">
        <f>导管母表_1781!G942</f>
        <v/>
      </c>
      <c r="M942" t="inlineStr">
        <is>
          <t>视野内部</t>
        </is>
      </c>
      <c r="N942" t="inlineStr">
        <is>
          <t>纳入A/D/Dh；若有Pair_ID则纳入CWR</t>
        </is>
      </c>
      <c r="O942" t="inlineStr">
        <is>
          <t>自动管线检出的合格导管腔。</t>
        </is>
      </c>
      <c r="P942" t="inlineStr">
        <is>
          <t>auto_pipeline;review_png_green</t>
        </is>
      </c>
      <c r="R942" t="inlineStr">
        <is>
          <t>样品21</t>
        </is>
      </c>
    </row>
    <row r="943">
      <c r="A943" t="inlineStr">
        <is>
          <t>21(3)-V03</t>
        </is>
      </c>
      <c r="B943" t="inlineStr">
        <is>
          <t>21 (3).tif</t>
        </is>
      </c>
      <c r="C943" t="n">
        <v>768</v>
      </c>
      <c r="D943" t="n">
        <v>156</v>
      </c>
      <c r="E943" t="inlineStr">
        <is>
          <t>731,88,806,225</t>
        </is>
      </c>
      <c r="F943" t="n">
        <v>88</v>
      </c>
      <c r="G943" t="inlineStr">
        <is>
          <t>primary</t>
        </is>
      </c>
      <c r="H943" t="inlineStr">
        <is>
          <t>AUTO_VESSEL</t>
        </is>
      </c>
      <c r="I943" t="inlineStr">
        <is>
          <t>是</t>
        </is>
      </c>
      <c r="J943" t="inlineStr">
        <is>
          <t>纳入</t>
        </is>
      </c>
      <c r="K943" t="n">
        <v>374.5274102079395</v>
      </c>
      <c r="L943">
        <f>导管母表_1781!G943</f>
        <v/>
      </c>
      <c r="M943" t="inlineStr">
        <is>
          <t>视野内部</t>
        </is>
      </c>
      <c r="N943" t="inlineStr">
        <is>
          <t>纳入A/D/Dh；若有Pair_ID则纳入CWR</t>
        </is>
      </c>
      <c r="O943" t="inlineStr">
        <is>
          <t>自动管线检出的合格导管腔。</t>
        </is>
      </c>
      <c r="P943" t="inlineStr">
        <is>
          <t>auto_pipeline;review_png_green</t>
        </is>
      </c>
      <c r="R943" t="inlineStr">
        <is>
          <t>样品21</t>
        </is>
      </c>
    </row>
    <row r="944">
      <c r="A944" t="inlineStr">
        <is>
          <t>21(3)-V04</t>
        </is>
      </c>
      <c r="B944" t="inlineStr">
        <is>
          <t>21 (3).tif</t>
        </is>
      </c>
      <c r="C944" t="n">
        <v>476</v>
      </c>
      <c r="D944" t="n">
        <v>429</v>
      </c>
      <c r="E944" t="inlineStr">
        <is>
          <t>432,379,521,480</t>
        </is>
      </c>
      <c r="F944" t="n">
        <v>288</v>
      </c>
      <c r="G944" t="inlineStr">
        <is>
          <t>primary</t>
        </is>
      </c>
      <c r="H944" t="inlineStr">
        <is>
          <t>AUTO_VESSEL</t>
        </is>
      </c>
      <c r="I944" t="inlineStr">
        <is>
          <t>是</t>
        </is>
      </c>
      <c r="J944" t="inlineStr">
        <is>
          <t>纳入</t>
        </is>
      </c>
      <c r="K944" t="n">
        <v>317.8875236294896</v>
      </c>
      <c r="L944">
        <f>导管母表_1781!G944</f>
        <v/>
      </c>
      <c r="M944" t="inlineStr">
        <is>
          <t>视野内部</t>
        </is>
      </c>
      <c r="N944" t="inlineStr">
        <is>
          <t>纳入A/D/Dh；若有Pair_ID则纳入CWR</t>
        </is>
      </c>
      <c r="O944" t="inlineStr">
        <is>
          <t>自动管线检出的合格导管腔。</t>
        </is>
      </c>
      <c r="P944" t="inlineStr">
        <is>
          <t>auto_pipeline;review_png_green</t>
        </is>
      </c>
      <c r="Q944" t="inlineStr">
        <is>
          <t>21(3)-P01</t>
        </is>
      </c>
      <c r="R944" t="inlineStr">
        <is>
          <t>样品21</t>
        </is>
      </c>
    </row>
    <row r="945">
      <c r="A945" t="inlineStr">
        <is>
          <t>21(3)-V05</t>
        </is>
      </c>
      <c r="B945" t="inlineStr">
        <is>
          <t>21 (3).tif</t>
        </is>
      </c>
      <c r="C945" t="n">
        <v>253</v>
      </c>
      <c r="D945" t="n">
        <v>606</v>
      </c>
      <c r="E945" t="inlineStr">
        <is>
          <t>215,557,292,656</t>
        </is>
      </c>
      <c r="F945" t="n">
        <v>112</v>
      </c>
      <c r="G945" t="inlineStr">
        <is>
          <t>primary</t>
        </is>
      </c>
      <c r="H945" t="inlineStr">
        <is>
          <t>AUTO_VESSEL</t>
        </is>
      </c>
      <c r="I945" t="inlineStr">
        <is>
          <t>是</t>
        </is>
      </c>
      <c r="J945" t="inlineStr">
        <is>
          <t>纳入</t>
        </is>
      </c>
      <c r="K945" t="n">
        <v>276.0396975425331</v>
      </c>
      <c r="L945">
        <f>导管母表_1781!G945</f>
        <v/>
      </c>
      <c r="M945" t="inlineStr">
        <is>
          <t>视野内部</t>
        </is>
      </c>
      <c r="N945" t="inlineStr">
        <is>
          <t>纳入A/D/Dh；若有Pair_ID则纳入CWR</t>
        </is>
      </c>
      <c r="O945" t="inlineStr">
        <is>
          <t>自动管线检出的合格导管腔。</t>
        </is>
      </c>
      <c r="P945" t="inlineStr">
        <is>
          <t>auto_pipeline;review_png_green</t>
        </is>
      </c>
      <c r="R945" t="inlineStr">
        <is>
          <t>样品21</t>
        </is>
      </c>
    </row>
    <row r="946">
      <c r="A946" t="inlineStr">
        <is>
          <t>21(3)-V06</t>
        </is>
      </c>
      <c r="B946" t="inlineStr">
        <is>
          <t>21 (3).tif</t>
        </is>
      </c>
      <c r="C946" t="n">
        <v>384</v>
      </c>
      <c r="D946" t="n">
        <v>275</v>
      </c>
      <c r="E946" t="inlineStr">
        <is>
          <t>358,239,411,312</t>
        </is>
      </c>
      <c r="F946" t="n">
        <v>239</v>
      </c>
      <c r="G946" t="inlineStr">
        <is>
          <t>primary</t>
        </is>
      </c>
      <c r="H946" t="inlineStr">
        <is>
          <t>AUTO_VESSEL</t>
        </is>
      </c>
      <c r="I946" t="inlineStr">
        <is>
          <t>是</t>
        </is>
      </c>
      <c r="J946" t="inlineStr">
        <is>
          <t>纳入</t>
        </is>
      </c>
      <c r="K946" t="n">
        <v>127.6465028355388</v>
      </c>
      <c r="L946">
        <f>导管母表_1781!G946</f>
        <v/>
      </c>
      <c r="M946" t="inlineStr">
        <is>
          <t>视野内部</t>
        </is>
      </c>
      <c r="N946" t="inlineStr">
        <is>
          <t>纳入A/D/Dh；若有Pair_ID则纳入CWR</t>
        </is>
      </c>
      <c r="O946" t="inlineStr">
        <is>
          <t>自动管线检出的合格导管腔。</t>
        </is>
      </c>
      <c r="P946" t="inlineStr">
        <is>
          <t>auto_pipeline;review_png_green</t>
        </is>
      </c>
      <c r="R946" t="inlineStr">
        <is>
          <t>样品21</t>
        </is>
      </c>
    </row>
    <row r="947">
      <c r="A947" t="inlineStr">
        <is>
          <t>21(4)-V01</t>
        </is>
      </c>
      <c r="B947" t="inlineStr">
        <is>
          <t>21 (4).tif</t>
        </is>
      </c>
      <c r="C947" t="n">
        <v>558</v>
      </c>
      <c r="D947" t="n">
        <v>288</v>
      </c>
      <c r="E947" t="inlineStr">
        <is>
          <t>491,219,626,358</t>
        </is>
      </c>
      <c r="F947" t="n">
        <v>219</v>
      </c>
      <c r="G947" t="inlineStr">
        <is>
          <t>primary</t>
        </is>
      </c>
      <c r="H947" t="inlineStr">
        <is>
          <t>AUTO_VESSEL</t>
        </is>
      </c>
      <c r="I947" t="inlineStr">
        <is>
          <t>是</t>
        </is>
      </c>
      <c r="J947" t="inlineStr">
        <is>
          <t>纳入</t>
        </is>
      </c>
      <c r="K947" t="n">
        <v>682.3015122873346</v>
      </c>
      <c r="L947">
        <f>导管母表_1781!G947</f>
        <v/>
      </c>
      <c r="M947" t="inlineStr">
        <is>
          <t>视野内部</t>
        </is>
      </c>
      <c r="N947" t="inlineStr">
        <is>
          <t>纳入A/D/Dh；若有Pair_ID则纳入CWR</t>
        </is>
      </c>
      <c r="O947" t="inlineStr">
        <is>
          <t>自动管线检出的合格导管腔。</t>
        </is>
      </c>
      <c r="P947" t="inlineStr">
        <is>
          <t>auto_pipeline;review_png_green</t>
        </is>
      </c>
      <c r="R947" t="inlineStr">
        <is>
          <t>样品21</t>
        </is>
      </c>
    </row>
    <row r="948">
      <c r="A948" t="inlineStr">
        <is>
          <t>21(4)-V02</t>
        </is>
      </c>
      <c r="B948" t="inlineStr">
        <is>
          <t>21 (4).tif</t>
        </is>
      </c>
      <c r="C948" t="n">
        <v>479</v>
      </c>
      <c r="D948" t="n">
        <v>427</v>
      </c>
      <c r="E948" t="inlineStr">
        <is>
          <t>425,381,534,474</t>
        </is>
      </c>
      <c r="F948" t="n">
        <v>294</v>
      </c>
      <c r="G948" t="inlineStr">
        <is>
          <t>primary</t>
        </is>
      </c>
      <c r="H948" t="inlineStr">
        <is>
          <t>AUTO_VESSEL</t>
        </is>
      </c>
      <c r="I948" t="inlineStr">
        <is>
          <t>是</t>
        </is>
      </c>
      <c r="J948" t="inlineStr">
        <is>
          <t>纳入</t>
        </is>
      </c>
      <c r="K948" t="n">
        <v>365.0519848771266</v>
      </c>
      <c r="L948">
        <f>导管母表_1781!G948</f>
        <v/>
      </c>
      <c r="M948" t="inlineStr">
        <is>
          <t>视野内部</t>
        </is>
      </c>
      <c r="N948" t="inlineStr">
        <is>
          <t>纳入A/D/Dh；若有Pair_ID则纳入CWR</t>
        </is>
      </c>
      <c r="O948" t="inlineStr">
        <is>
          <t>自动管线检出的合格导管腔。</t>
        </is>
      </c>
      <c r="P948" t="inlineStr">
        <is>
          <t>auto_pipeline;review_png_green</t>
        </is>
      </c>
      <c r="R948" t="inlineStr">
        <is>
          <t>样品21</t>
        </is>
      </c>
    </row>
    <row r="949">
      <c r="A949" t="inlineStr">
        <is>
          <t>21(4)-V03</t>
        </is>
      </c>
      <c r="B949" t="inlineStr">
        <is>
          <t>21 (4).tif</t>
        </is>
      </c>
      <c r="C949" t="n">
        <v>915</v>
      </c>
      <c r="D949" t="n">
        <v>326</v>
      </c>
      <c r="E949" t="inlineStr">
        <is>
          <t>868,285,963,368</t>
        </is>
      </c>
      <c r="F949" t="n">
        <v>61</v>
      </c>
      <c r="G949" t="inlineStr">
        <is>
          <t>primary</t>
        </is>
      </c>
      <c r="H949" t="inlineStr">
        <is>
          <t>AUTO_VESSEL</t>
        </is>
      </c>
      <c r="I949" t="inlineStr">
        <is>
          <t>是</t>
        </is>
      </c>
      <c r="J949" t="inlineStr">
        <is>
          <t>纳入</t>
        </is>
      </c>
      <c r="K949" t="n">
        <v>286.6257088846881</v>
      </c>
      <c r="L949">
        <f>导管母表_1781!G949</f>
        <v/>
      </c>
      <c r="M949" t="inlineStr">
        <is>
          <t>视野内部</t>
        </is>
      </c>
      <c r="N949" t="inlineStr">
        <is>
          <t>纳入A/D/Dh；若有Pair_ID则纳入CWR</t>
        </is>
      </c>
      <c r="O949" t="inlineStr">
        <is>
          <t>自动管线检出的合格导管腔。</t>
        </is>
      </c>
      <c r="P949" t="inlineStr">
        <is>
          <t>auto_pipeline;review_png_green</t>
        </is>
      </c>
      <c r="R949" t="inlineStr">
        <is>
          <t>样品21</t>
        </is>
      </c>
    </row>
    <row r="950">
      <c r="A950" t="inlineStr">
        <is>
          <t>21(4)-V04</t>
        </is>
      </c>
      <c r="B950" t="inlineStr">
        <is>
          <t>21 (4).tif</t>
        </is>
      </c>
      <c r="C950" t="n">
        <v>94</v>
      </c>
      <c r="D950" t="n">
        <v>336</v>
      </c>
      <c r="E950" t="inlineStr">
        <is>
          <t>50,293,139,380</t>
        </is>
      </c>
      <c r="F950" t="n">
        <v>50</v>
      </c>
      <c r="G950" t="inlineStr">
        <is>
          <t>primary</t>
        </is>
      </c>
      <c r="H950" t="inlineStr">
        <is>
          <t>AUTO_VESSEL</t>
        </is>
      </c>
      <c r="I950" t="inlineStr">
        <is>
          <t>是</t>
        </is>
      </c>
      <c r="J950" t="inlineStr">
        <is>
          <t>纳入</t>
        </is>
      </c>
      <c r="K950" t="n">
        <v>275.6616257088847</v>
      </c>
      <c r="L950">
        <f>导管母表_1781!G950</f>
        <v/>
      </c>
      <c r="M950" t="inlineStr">
        <is>
          <t>视野内部</t>
        </is>
      </c>
      <c r="N950" t="inlineStr">
        <is>
          <t>纳入A/D/Dh；若有Pair_ID则纳入CWR</t>
        </is>
      </c>
      <c r="O950" t="inlineStr">
        <is>
          <t>自动管线检出的合格导管腔。</t>
        </is>
      </c>
      <c r="P950" t="inlineStr">
        <is>
          <t>auto_pipeline;review_png_green</t>
        </is>
      </c>
      <c r="R950" t="inlineStr">
        <is>
          <t>样品21</t>
        </is>
      </c>
    </row>
    <row r="951">
      <c r="A951" t="inlineStr">
        <is>
          <t>21(4)-V05</t>
        </is>
      </c>
      <c r="B951" t="inlineStr">
        <is>
          <t>21 (4).tif</t>
        </is>
      </c>
      <c r="C951" t="n">
        <v>199</v>
      </c>
      <c r="D951" t="n">
        <v>114</v>
      </c>
      <c r="E951" t="inlineStr">
        <is>
          <t>152,72,247,157</t>
        </is>
      </c>
      <c r="F951" t="n">
        <v>72</v>
      </c>
      <c r="G951" t="inlineStr">
        <is>
          <t>primary</t>
        </is>
      </c>
      <c r="H951" t="inlineStr">
        <is>
          <t>AUTO_VESSEL</t>
        </is>
      </c>
      <c r="I951" t="inlineStr">
        <is>
          <t>是</t>
        </is>
      </c>
      <c r="J951" t="inlineStr">
        <is>
          <t>纳入</t>
        </is>
      </c>
      <c r="K951" t="n">
        <v>253.804347826087</v>
      </c>
      <c r="L951">
        <f>导管母表_1781!G951</f>
        <v/>
      </c>
      <c r="M951" t="inlineStr">
        <is>
          <t>视野内部</t>
        </is>
      </c>
      <c r="N951" t="inlineStr">
        <is>
          <t>纳入A/D/Dh；若有Pair_ID则纳入CWR</t>
        </is>
      </c>
      <c r="O951" t="inlineStr">
        <is>
          <t>自动管线检出的合格导管腔。</t>
        </is>
      </c>
      <c r="P951" t="inlineStr">
        <is>
          <t>auto_pipeline;review_png_green</t>
        </is>
      </c>
      <c r="R951" t="inlineStr">
        <is>
          <t>样品21</t>
        </is>
      </c>
    </row>
    <row r="952">
      <c r="A952" t="inlineStr">
        <is>
          <t>21(4)-V06</t>
        </is>
      </c>
      <c r="B952" t="inlineStr">
        <is>
          <t>21 (4).tif</t>
        </is>
      </c>
      <c r="C952" t="n">
        <v>377</v>
      </c>
      <c r="D952" t="n">
        <v>238</v>
      </c>
      <c r="E952" t="inlineStr">
        <is>
          <t>345,200,410,277</t>
        </is>
      </c>
      <c r="F952" t="n">
        <v>200</v>
      </c>
      <c r="G952" t="inlineStr">
        <is>
          <t>primary</t>
        </is>
      </c>
      <c r="H952" t="inlineStr">
        <is>
          <t>AUTO_VESSEL</t>
        </is>
      </c>
      <c r="I952" t="inlineStr">
        <is>
          <t>是</t>
        </is>
      </c>
      <c r="J952" t="inlineStr">
        <is>
          <t>纳入</t>
        </is>
      </c>
      <c r="K952" t="n">
        <v>133.3884688090737</v>
      </c>
      <c r="L952">
        <f>导管母表_1781!G952</f>
        <v/>
      </c>
      <c r="M952" t="inlineStr">
        <is>
          <t>视野内部</t>
        </is>
      </c>
      <c r="N952" t="inlineStr">
        <is>
          <t>纳入A/D/Dh；若有Pair_ID则纳入CWR</t>
        </is>
      </c>
      <c r="O952" t="inlineStr">
        <is>
          <t>自动管线检出的合格导管腔。</t>
        </is>
      </c>
      <c r="P952" t="inlineStr">
        <is>
          <t>auto_pipeline;review_png_green</t>
        </is>
      </c>
      <c r="R952" t="inlineStr">
        <is>
          <t>样品21</t>
        </is>
      </c>
    </row>
    <row r="953">
      <c r="A953" t="inlineStr">
        <is>
          <t>21(5)-V01</t>
        </is>
      </c>
      <c r="B953" t="inlineStr">
        <is>
          <t>21 (5).tif</t>
        </is>
      </c>
      <c r="C953" t="n">
        <v>418</v>
      </c>
      <c r="D953" t="n">
        <v>278</v>
      </c>
      <c r="E953" t="inlineStr">
        <is>
          <t>349,205,488,352</t>
        </is>
      </c>
      <c r="F953" t="n">
        <v>205</v>
      </c>
      <c r="G953" t="inlineStr">
        <is>
          <t>primary</t>
        </is>
      </c>
      <c r="H953" t="inlineStr">
        <is>
          <t>AUTO_VESSEL</t>
        </is>
      </c>
      <c r="I953" t="inlineStr">
        <is>
          <t>是</t>
        </is>
      </c>
      <c r="J953" t="inlineStr">
        <is>
          <t>纳入</t>
        </is>
      </c>
      <c r="K953" t="n">
        <v>746.0775047258979</v>
      </c>
      <c r="L953">
        <f>导管母表_1781!G953</f>
        <v/>
      </c>
      <c r="M953" t="inlineStr">
        <is>
          <t>视野内部</t>
        </is>
      </c>
      <c r="N953" t="inlineStr">
        <is>
          <t>纳入A/D/Dh；若有Pair_ID则纳入CWR</t>
        </is>
      </c>
      <c r="O953" t="inlineStr">
        <is>
          <t>自动管线检出的合格导管腔。</t>
        </is>
      </c>
      <c r="P953" t="inlineStr">
        <is>
          <t>auto_pipeline;review_png_green</t>
        </is>
      </c>
      <c r="R953" t="inlineStr">
        <is>
          <t>样品21</t>
        </is>
      </c>
    </row>
    <row r="954">
      <c r="A954" t="inlineStr">
        <is>
          <t>21(5)-V02</t>
        </is>
      </c>
      <c r="B954" t="inlineStr">
        <is>
          <t>21 (5).tif</t>
        </is>
      </c>
      <c r="C954" t="n">
        <v>283</v>
      </c>
      <c r="D954" t="n">
        <v>587</v>
      </c>
      <c r="E954" t="inlineStr">
        <is>
          <t>223,501,344,674</t>
        </is>
      </c>
      <c r="F954" t="n">
        <v>94</v>
      </c>
      <c r="G954" t="inlineStr">
        <is>
          <t>primary</t>
        </is>
      </c>
      <c r="H954" t="inlineStr">
        <is>
          <t>AUTO_VESSEL</t>
        </is>
      </c>
      <c r="I954" t="inlineStr">
        <is>
          <t>是</t>
        </is>
      </c>
      <c r="J954" t="inlineStr">
        <is>
          <t>纳入</t>
        </is>
      </c>
      <c r="K954" t="n">
        <v>739.7211720226843</v>
      </c>
      <c r="L954">
        <f>导管母表_1781!G954</f>
        <v/>
      </c>
      <c r="M954" t="inlineStr">
        <is>
          <t>视野内部</t>
        </is>
      </c>
      <c r="N954" t="inlineStr">
        <is>
          <t>纳入A/D/Dh；若有Pair_ID则纳入CWR</t>
        </is>
      </c>
      <c r="O954" t="inlineStr">
        <is>
          <t>自动管线检出的合格导管腔。</t>
        </is>
      </c>
      <c r="P954" t="inlineStr">
        <is>
          <t>auto_pipeline;review_png_green</t>
        </is>
      </c>
      <c r="R954" t="inlineStr">
        <is>
          <t>样品21</t>
        </is>
      </c>
    </row>
    <row r="955">
      <c r="A955" t="inlineStr">
        <is>
          <t>21(5)-V03</t>
        </is>
      </c>
      <c r="B955" t="inlineStr">
        <is>
          <t>21 (5).tif</t>
        </is>
      </c>
      <c r="C955" t="n">
        <v>557</v>
      </c>
      <c r="D955" t="n">
        <v>135</v>
      </c>
      <c r="E955" t="inlineStr">
        <is>
          <t>491,68,624,203</t>
        </is>
      </c>
      <c r="F955" t="n">
        <v>68</v>
      </c>
      <c r="G955" t="inlineStr">
        <is>
          <t>primary</t>
        </is>
      </c>
      <c r="H955" t="inlineStr">
        <is>
          <t>AUTO_VESSEL</t>
        </is>
      </c>
      <c r="I955" t="inlineStr">
        <is>
          <t>是</t>
        </is>
      </c>
      <c r="J955" t="inlineStr">
        <is>
          <t>纳入</t>
        </is>
      </c>
      <c r="K955" t="n">
        <v>642.4385633270322</v>
      </c>
      <c r="L955">
        <f>导管母表_1781!G955</f>
        <v/>
      </c>
      <c r="M955" t="inlineStr">
        <is>
          <t>视野内部</t>
        </is>
      </c>
      <c r="N955" t="inlineStr">
        <is>
          <t>纳入A/D/Dh；若有Pair_ID则纳入CWR</t>
        </is>
      </c>
      <c r="O955" t="inlineStr">
        <is>
          <t>自动管线检出的合格导管腔。</t>
        </is>
      </c>
      <c r="P955" t="inlineStr">
        <is>
          <t>auto_pipeline;review_png_green</t>
        </is>
      </c>
      <c r="R955" t="inlineStr">
        <is>
          <t>样品21</t>
        </is>
      </c>
    </row>
    <row r="956">
      <c r="A956" t="inlineStr">
        <is>
          <t>21(5)-V04</t>
        </is>
      </c>
      <c r="B956" t="inlineStr">
        <is>
          <t>21 (5).tif</t>
        </is>
      </c>
      <c r="C956" t="n">
        <v>583</v>
      </c>
      <c r="D956" t="n">
        <v>332</v>
      </c>
      <c r="E956" t="inlineStr">
        <is>
          <t>521,275,646,390</t>
        </is>
      </c>
      <c r="F956" t="n">
        <v>275</v>
      </c>
      <c r="G956" t="inlineStr">
        <is>
          <t>primary</t>
        </is>
      </c>
      <c r="H956" t="inlineStr">
        <is>
          <t>AUTO_VESSEL</t>
        </is>
      </c>
      <c r="I956" t="inlineStr">
        <is>
          <t>是</t>
        </is>
      </c>
      <c r="J956" t="inlineStr">
        <is>
          <t>纳入</t>
        </is>
      </c>
      <c r="K956" t="n">
        <v>523.3931947069943</v>
      </c>
      <c r="L956">
        <f>导管母表_1781!G956</f>
        <v/>
      </c>
      <c r="M956" t="inlineStr">
        <is>
          <t>视野内部</t>
        </is>
      </c>
      <c r="N956" t="inlineStr">
        <is>
          <t>纳入A/D/Dh；若有Pair_ID则纳入CWR</t>
        </is>
      </c>
      <c r="O956" t="inlineStr">
        <is>
          <t>自动管线检出的合格导管腔。</t>
        </is>
      </c>
      <c r="P956" t="inlineStr">
        <is>
          <t>auto_pipeline;review_png_green</t>
        </is>
      </c>
      <c r="R956" t="inlineStr">
        <is>
          <t>样品21</t>
        </is>
      </c>
    </row>
    <row r="957">
      <c r="A957" t="inlineStr">
        <is>
          <t>21(5)-V05</t>
        </is>
      </c>
      <c r="B957" t="inlineStr">
        <is>
          <t>21 (5).tif</t>
        </is>
      </c>
      <c r="C957" t="n">
        <v>485</v>
      </c>
      <c r="D957" t="n">
        <v>430</v>
      </c>
      <c r="E957" t="inlineStr">
        <is>
          <t>427,383,544,478</t>
        </is>
      </c>
      <c r="F957" t="n">
        <v>290</v>
      </c>
      <c r="G957" t="inlineStr">
        <is>
          <t>primary</t>
        </is>
      </c>
      <c r="H957" t="inlineStr">
        <is>
          <t>AUTO_VESSEL</t>
        </is>
      </c>
      <c r="I957" t="inlineStr">
        <is>
          <t>是</t>
        </is>
      </c>
      <c r="J957" t="inlineStr">
        <is>
          <t>纳入</t>
        </is>
      </c>
      <c r="K957" t="n">
        <v>402.4574669187145</v>
      </c>
      <c r="L957">
        <f>导管母表_1781!G957</f>
        <v/>
      </c>
      <c r="M957" t="inlineStr">
        <is>
          <t>视野内部</t>
        </is>
      </c>
      <c r="N957" t="inlineStr">
        <is>
          <t>纳入A/D/Dh；若有Pair_ID则纳入CWR</t>
        </is>
      </c>
      <c r="O957" t="inlineStr">
        <is>
          <t>自动管线检出的合格导管腔。</t>
        </is>
      </c>
      <c r="P957" t="inlineStr">
        <is>
          <t>auto_pipeline;review_png_green</t>
        </is>
      </c>
      <c r="R957" t="inlineStr">
        <is>
          <t>样品21</t>
        </is>
      </c>
    </row>
    <row r="958">
      <c r="A958" t="inlineStr">
        <is>
          <t>21(6)-V01</t>
        </is>
      </c>
      <c r="B958" t="inlineStr">
        <is>
          <t>21 (6).tif</t>
        </is>
      </c>
      <c r="C958" t="n">
        <v>573</v>
      </c>
      <c r="D958" t="n">
        <v>327</v>
      </c>
      <c r="E958" t="inlineStr">
        <is>
          <t>508,258,639,397</t>
        </is>
      </c>
      <c r="F958" t="n">
        <v>258</v>
      </c>
      <c r="G958" t="inlineStr">
        <is>
          <t>primary</t>
        </is>
      </c>
      <c r="H958" t="inlineStr">
        <is>
          <t>AUTO_VESSEL</t>
        </is>
      </c>
      <c r="I958" t="inlineStr">
        <is>
          <t>是</t>
        </is>
      </c>
      <c r="J958" t="inlineStr">
        <is>
          <t>纳入</t>
        </is>
      </c>
      <c r="K958" t="n">
        <v>651.913988657845</v>
      </c>
      <c r="L958">
        <f>导管母表_1781!G958</f>
        <v/>
      </c>
      <c r="M958" t="inlineStr">
        <is>
          <t>视野内部</t>
        </is>
      </c>
      <c r="N958" t="inlineStr">
        <is>
          <t>纳入A/D/Dh；若有Pair_ID则纳入CWR</t>
        </is>
      </c>
      <c r="O958" t="inlineStr">
        <is>
          <t>自动管线检出的合格导管腔。</t>
        </is>
      </c>
      <c r="P958" t="inlineStr">
        <is>
          <t>auto_pipeline;review_png_green</t>
        </is>
      </c>
      <c r="R958" t="inlineStr">
        <is>
          <t>样品21</t>
        </is>
      </c>
    </row>
    <row r="959">
      <c r="A959" t="inlineStr">
        <is>
          <t>21(6)-V02</t>
        </is>
      </c>
      <c r="B959" t="inlineStr">
        <is>
          <t>21 (6).tif</t>
        </is>
      </c>
      <c r="C959" t="n">
        <v>131</v>
      </c>
      <c r="D959" t="n">
        <v>252</v>
      </c>
      <c r="E959" t="inlineStr">
        <is>
          <t>51,181,212,324</t>
        </is>
      </c>
      <c r="F959" t="n">
        <v>51</v>
      </c>
      <c r="G959" t="inlineStr">
        <is>
          <t>primary</t>
        </is>
      </c>
      <c r="H959" t="inlineStr">
        <is>
          <t>AUTO_VESSEL</t>
        </is>
      </c>
      <c r="I959" t="inlineStr">
        <is>
          <t>是</t>
        </is>
      </c>
      <c r="J959" t="inlineStr">
        <is>
          <t>纳入</t>
        </is>
      </c>
      <c r="K959" t="n">
        <v>617.8166351606806</v>
      </c>
      <c r="L959">
        <f>导管母表_1781!G959</f>
        <v/>
      </c>
      <c r="M959" t="inlineStr">
        <is>
          <t>视野内部</t>
        </is>
      </c>
      <c r="N959" t="inlineStr">
        <is>
          <t>纳入A/D/Dh；若有Pair_ID则纳入CWR</t>
        </is>
      </c>
      <c r="O959" t="inlineStr">
        <is>
          <t>自动管线检出的合格导管腔。</t>
        </is>
      </c>
      <c r="P959" t="inlineStr">
        <is>
          <t>auto_pipeline;review_png_green</t>
        </is>
      </c>
      <c r="R959" t="inlineStr">
        <is>
          <t>样品21</t>
        </is>
      </c>
    </row>
    <row r="960">
      <c r="A960" t="inlineStr">
        <is>
          <t>21(6)-V03</t>
        </is>
      </c>
      <c r="B960" t="inlineStr">
        <is>
          <t>21 (6).tif</t>
        </is>
      </c>
      <c r="C960" t="n">
        <v>391</v>
      </c>
      <c r="D960" t="n">
        <v>53</v>
      </c>
      <c r="E960" t="inlineStr">
        <is>
          <t>341,29,442,78</t>
        </is>
      </c>
      <c r="F960" t="n">
        <v>29</v>
      </c>
      <c r="G960" t="inlineStr">
        <is>
          <t>primary</t>
        </is>
      </c>
      <c r="H960" t="inlineStr">
        <is>
          <t>AUTO_VESSEL</t>
        </is>
      </c>
      <c r="I960" t="inlineStr">
        <is>
          <t>是</t>
        </is>
      </c>
      <c r="J960" t="inlineStr">
        <is>
          <t>纳入</t>
        </is>
      </c>
      <c r="K960" t="n">
        <v>153.9224952741021</v>
      </c>
      <c r="L960">
        <f>导管母表_1781!G960</f>
        <v/>
      </c>
      <c r="M960" t="inlineStr">
        <is>
          <t>视野内部</t>
        </is>
      </c>
      <c r="N960" t="inlineStr">
        <is>
          <t>纳入A/D/Dh；若有Pair_ID则纳入CWR</t>
        </is>
      </c>
      <c r="O960" t="inlineStr">
        <is>
          <t>自动管线检出的合格导管腔。</t>
        </is>
      </c>
      <c r="P960" t="inlineStr">
        <is>
          <t>auto_pipeline;review_png_green</t>
        </is>
      </c>
      <c r="R960" t="inlineStr">
        <is>
          <t>样品21</t>
        </is>
      </c>
    </row>
    <row r="961">
      <c r="A961" t="inlineStr">
        <is>
          <t>21(6)-V04</t>
        </is>
      </c>
      <c r="B961" t="inlineStr">
        <is>
          <t>21 (6).tif</t>
        </is>
      </c>
      <c r="C961" t="n">
        <v>212</v>
      </c>
      <c r="D961" t="n">
        <v>48</v>
      </c>
      <c r="E961" t="inlineStr">
        <is>
          <t>166,25,259,72</t>
        </is>
      </c>
      <c r="F961" t="n">
        <v>25</v>
      </c>
      <c r="G961" t="inlineStr">
        <is>
          <t>primary</t>
        </is>
      </c>
      <c r="H961" t="inlineStr">
        <is>
          <t>AUTO_VESSEL</t>
        </is>
      </c>
      <c r="I961" t="inlineStr">
        <is>
          <t>是</t>
        </is>
      </c>
      <c r="J961" t="inlineStr">
        <is>
          <t>纳入</t>
        </is>
      </c>
      <c r="K961" t="n">
        <v>146.9281663516068</v>
      </c>
      <c r="L961">
        <f>导管母表_1781!G961</f>
        <v/>
      </c>
      <c r="M961" t="inlineStr">
        <is>
          <t>视野内部</t>
        </is>
      </c>
      <c r="N961" t="inlineStr">
        <is>
          <t>纳入A/D/Dh；若有Pair_ID则纳入CWR</t>
        </is>
      </c>
      <c r="O961" t="inlineStr">
        <is>
          <t>自动管线检出的合格导管腔。</t>
        </is>
      </c>
      <c r="P961" t="inlineStr">
        <is>
          <t>auto_pipeline;review_png_green</t>
        </is>
      </c>
      <c r="R961" t="inlineStr">
        <is>
          <t>样品21</t>
        </is>
      </c>
    </row>
    <row r="962">
      <c r="A962" t="inlineStr">
        <is>
          <t>21(6)-V05</t>
        </is>
      </c>
      <c r="B962" t="inlineStr">
        <is>
          <t>21 (6).tif</t>
        </is>
      </c>
      <c r="C962" t="n">
        <v>938</v>
      </c>
      <c r="D962" t="n">
        <v>68</v>
      </c>
      <c r="E962" t="inlineStr">
        <is>
          <t>895,44,982,93</t>
        </is>
      </c>
      <c r="F962" t="n">
        <v>42</v>
      </c>
      <c r="G962" t="inlineStr">
        <is>
          <t>primary</t>
        </is>
      </c>
      <c r="H962" t="inlineStr">
        <is>
          <t>AUTO_VESSEL</t>
        </is>
      </c>
      <c r="I962" t="inlineStr">
        <is>
          <t>是</t>
        </is>
      </c>
      <c r="J962" t="inlineStr">
        <is>
          <t>纳入</t>
        </is>
      </c>
      <c r="K962" t="n">
        <v>133.5302457466919</v>
      </c>
      <c r="L962">
        <f>导管母表_1781!G962</f>
        <v/>
      </c>
      <c r="M962" t="inlineStr">
        <is>
          <t>视野内部</t>
        </is>
      </c>
      <c r="N962" t="inlineStr">
        <is>
          <t>纳入A/D/Dh；若有Pair_ID则纳入CWR</t>
        </is>
      </c>
      <c r="O962" t="inlineStr">
        <is>
          <t>自动管线检出的合格导管腔。</t>
        </is>
      </c>
      <c r="P962" t="inlineStr">
        <is>
          <t>auto_pipeline;review_png_green</t>
        </is>
      </c>
      <c r="R962" t="inlineStr">
        <is>
          <t>样品21</t>
        </is>
      </c>
    </row>
    <row r="963">
      <c r="A963" t="inlineStr">
        <is>
          <t>21(7)-V01</t>
        </is>
      </c>
      <c r="B963" t="inlineStr">
        <is>
          <t>21 (7).tif</t>
        </is>
      </c>
      <c r="C963" t="n">
        <v>831</v>
      </c>
      <c r="D963" t="n">
        <v>78</v>
      </c>
      <c r="E963" t="inlineStr">
        <is>
          <t>764,29,899,128</t>
        </is>
      </c>
      <c r="F963" t="n">
        <v>29</v>
      </c>
      <c r="G963" t="inlineStr">
        <is>
          <t>primary</t>
        </is>
      </c>
      <c r="H963" t="inlineStr">
        <is>
          <t>AUTO_VESSEL</t>
        </is>
      </c>
      <c r="I963" t="inlineStr">
        <is>
          <t>是</t>
        </is>
      </c>
      <c r="J963" t="inlineStr">
        <is>
          <t>纳入</t>
        </is>
      </c>
      <c r="K963" t="n">
        <v>453.4026465028355</v>
      </c>
      <c r="L963">
        <f>导管母表_1781!G963</f>
        <v/>
      </c>
      <c r="M963" t="inlineStr">
        <is>
          <t>视野内部</t>
        </is>
      </c>
      <c r="N963" t="inlineStr">
        <is>
          <t>纳入A/D/Dh；若有Pair_ID则纳入CWR</t>
        </is>
      </c>
      <c r="O963" t="inlineStr">
        <is>
          <t>自动管线检出的合格导管腔。</t>
        </is>
      </c>
      <c r="P963" t="inlineStr">
        <is>
          <t>auto_pipeline;review_png_green</t>
        </is>
      </c>
      <c r="R963" t="inlineStr">
        <is>
          <t>样品21</t>
        </is>
      </c>
    </row>
    <row r="964">
      <c r="A964" t="inlineStr">
        <is>
          <t>21(7)-V02</t>
        </is>
      </c>
      <c r="B964" t="inlineStr">
        <is>
          <t>21 (7).tif</t>
        </is>
      </c>
      <c r="C964" t="n">
        <v>561</v>
      </c>
      <c r="D964" t="n">
        <v>423</v>
      </c>
      <c r="E964" t="inlineStr">
        <is>
          <t>501,374,622,473</t>
        </is>
      </c>
      <c r="F964" t="n">
        <v>295</v>
      </c>
      <c r="G964" t="inlineStr">
        <is>
          <t>primary</t>
        </is>
      </c>
      <c r="H964" t="inlineStr">
        <is>
          <t>AUTO_VESSEL</t>
        </is>
      </c>
      <c r="I964" t="inlineStr">
        <is>
          <t>是</t>
        </is>
      </c>
      <c r="J964" t="inlineStr">
        <is>
          <t>纳入</t>
        </is>
      </c>
      <c r="K964" t="n">
        <v>437.0510396975425</v>
      </c>
      <c r="L964">
        <f>导管母表_1781!G964</f>
        <v/>
      </c>
      <c r="M964" t="inlineStr">
        <is>
          <t>视野内部</t>
        </is>
      </c>
      <c r="N964" t="inlineStr">
        <is>
          <t>纳入A/D/Dh；若有Pair_ID则纳入CWR</t>
        </is>
      </c>
      <c r="O964" t="inlineStr">
        <is>
          <t>自动管线检出的合格导管腔。</t>
        </is>
      </c>
      <c r="P964" t="inlineStr">
        <is>
          <t>auto_pipeline;review_png_green</t>
        </is>
      </c>
      <c r="Q964" t="inlineStr">
        <is>
          <t>21(7)-P01</t>
        </is>
      </c>
      <c r="R964" t="inlineStr">
        <is>
          <t>样品21</t>
        </is>
      </c>
    </row>
    <row r="965">
      <c r="A965" t="inlineStr">
        <is>
          <t>21(7)-V03</t>
        </is>
      </c>
      <c r="B965" t="inlineStr">
        <is>
          <t>21 (7).tif</t>
        </is>
      </c>
      <c r="C965" t="n">
        <v>473</v>
      </c>
      <c r="D965" t="n">
        <v>332</v>
      </c>
      <c r="E965" t="inlineStr">
        <is>
          <t>405,290,542,375</t>
        </is>
      </c>
      <c r="F965" t="n">
        <v>290</v>
      </c>
      <c r="G965" t="inlineStr">
        <is>
          <t>primary</t>
        </is>
      </c>
      <c r="H965" t="inlineStr">
        <is>
          <t>AUTO_VESSEL</t>
        </is>
      </c>
      <c r="I965" t="inlineStr">
        <is>
          <t>是</t>
        </is>
      </c>
      <c r="J965" t="inlineStr">
        <is>
          <t>纳入</t>
        </is>
      </c>
      <c r="K965" t="n">
        <v>424.1020793950851</v>
      </c>
      <c r="L965">
        <f>导管母表_1781!G965</f>
        <v/>
      </c>
      <c r="M965" t="inlineStr">
        <is>
          <t>视野内部</t>
        </is>
      </c>
      <c r="N965" t="inlineStr">
        <is>
          <t>纳入A/D/Dh；若有Pair_ID则纳入CWR</t>
        </is>
      </c>
      <c r="O965" t="inlineStr">
        <is>
          <t>自动管线检出的合格导管腔。</t>
        </is>
      </c>
      <c r="P965" t="inlineStr">
        <is>
          <t>auto_pipeline;review_png_green</t>
        </is>
      </c>
      <c r="Q965" t="inlineStr">
        <is>
          <t>21(7)-P01</t>
        </is>
      </c>
      <c r="R965" t="inlineStr">
        <is>
          <t>样品21</t>
        </is>
      </c>
    </row>
    <row r="966">
      <c r="A966" t="inlineStr">
        <is>
          <t>21(7)-V04</t>
        </is>
      </c>
      <c r="B966" t="inlineStr">
        <is>
          <t>21 (7).tif</t>
        </is>
      </c>
      <c r="C966" t="n">
        <v>733</v>
      </c>
      <c r="D966" t="n">
        <v>591</v>
      </c>
      <c r="E966" t="inlineStr">
        <is>
          <t>686,552,781,631</t>
        </is>
      </c>
      <c r="F966" t="n">
        <v>137</v>
      </c>
      <c r="G966" t="inlineStr">
        <is>
          <t>primary</t>
        </is>
      </c>
      <c r="H966" t="inlineStr">
        <is>
          <t>AUTO_VESSEL</t>
        </is>
      </c>
      <c r="I966" t="inlineStr">
        <is>
          <t>是</t>
        </is>
      </c>
      <c r="J966" t="inlineStr">
        <is>
          <t>纳入</t>
        </is>
      </c>
      <c r="K966" t="n">
        <v>270.1086956521739</v>
      </c>
      <c r="L966">
        <f>导管母表_1781!G966</f>
        <v/>
      </c>
      <c r="M966" t="inlineStr">
        <is>
          <t>视野内部</t>
        </is>
      </c>
      <c r="N966" t="inlineStr">
        <is>
          <t>纳入A/D/Dh；若有Pair_ID则纳入CWR</t>
        </is>
      </c>
      <c r="O966" t="inlineStr">
        <is>
          <t>自动管线检出的合格导管腔。</t>
        </is>
      </c>
      <c r="P966" t="inlineStr">
        <is>
          <t>auto_pipeline;review_png_green</t>
        </is>
      </c>
      <c r="R966" t="inlineStr">
        <is>
          <t>样品21</t>
        </is>
      </c>
    </row>
    <row r="967">
      <c r="A967" t="inlineStr">
        <is>
          <t>21(7)-V05</t>
        </is>
      </c>
      <c r="B967" t="inlineStr">
        <is>
          <t>21 (7).tif</t>
        </is>
      </c>
      <c r="C967" t="n">
        <v>630</v>
      </c>
      <c r="D967" t="n">
        <v>498</v>
      </c>
      <c r="E967" t="inlineStr">
        <is>
          <t>599,471,662,526</t>
        </is>
      </c>
      <c r="F967" t="n">
        <v>242</v>
      </c>
      <c r="G967" t="inlineStr">
        <is>
          <t>primary</t>
        </is>
      </c>
      <c r="H967" t="inlineStr">
        <is>
          <t>AUTO_VESSEL</t>
        </is>
      </c>
      <c r="I967" t="inlineStr">
        <is>
          <t>是</t>
        </is>
      </c>
      <c r="J967" t="inlineStr">
        <is>
          <t>纳入</t>
        </is>
      </c>
      <c r="K967" t="n">
        <v>124.9054820415879</v>
      </c>
      <c r="L967">
        <f>导管母表_1781!G967</f>
        <v/>
      </c>
      <c r="M967" t="inlineStr">
        <is>
          <t>视野内部</t>
        </is>
      </c>
      <c r="N967" t="inlineStr">
        <is>
          <t>纳入A/D/Dh；若有Pair_ID则纳入CWR</t>
        </is>
      </c>
      <c r="O967" t="inlineStr">
        <is>
          <t>自动管线检出的合格导管腔。</t>
        </is>
      </c>
      <c r="P967" t="inlineStr">
        <is>
          <t>auto_pipeline;review_png_green</t>
        </is>
      </c>
      <c r="R967" t="inlineStr">
        <is>
          <t>样品21</t>
        </is>
      </c>
    </row>
    <row r="968">
      <c r="A968" t="inlineStr">
        <is>
          <t>21(8)-V01</t>
        </is>
      </c>
      <c r="B968" t="inlineStr">
        <is>
          <t>21 (8).tif</t>
        </is>
      </c>
      <c r="C968" t="n">
        <v>546</v>
      </c>
      <c r="D968" t="n">
        <v>313</v>
      </c>
      <c r="E968" t="inlineStr">
        <is>
          <t>469,240,624,387</t>
        </is>
      </c>
      <c r="F968" t="n">
        <v>240</v>
      </c>
      <c r="G968" t="inlineStr">
        <is>
          <t>primary</t>
        </is>
      </c>
      <c r="H968" t="inlineStr">
        <is>
          <t>AUTO_VESSEL</t>
        </is>
      </c>
      <c r="I968" t="inlineStr">
        <is>
          <t>是</t>
        </is>
      </c>
      <c r="J968" t="inlineStr">
        <is>
          <t>纳入</t>
        </is>
      </c>
      <c r="K968" t="n">
        <v>833.0103969754254</v>
      </c>
      <c r="L968">
        <f>导管母表_1781!G968</f>
        <v/>
      </c>
      <c r="M968" t="inlineStr">
        <is>
          <t>视野内部</t>
        </is>
      </c>
      <c r="N968" t="inlineStr">
        <is>
          <t>纳入A/D/Dh；若有Pair_ID则纳入CWR</t>
        </is>
      </c>
      <c r="O968" t="inlineStr">
        <is>
          <t>自动管线检出的合格导管腔。</t>
        </is>
      </c>
      <c r="P968" t="inlineStr">
        <is>
          <t>auto_pipeline;review_png_green</t>
        </is>
      </c>
      <c r="R968" t="inlineStr">
        <is>
          <t>样品21</t>
        </is>
      </c>
    </row>
    <row r="969">
      <c r="A969" t="inlineStr">
        <is>
          <t>21(8)-V02</t>
        </is>
      </c>
      <c r="B969" t="inlineStr">
        <is>
          <t>21 (8).tif</t>
        </is>
      </c>
      <c r="C969" t="n">
        <v>463</v>
      </c>
      <c r="D969" t="n">
        <v>442</v>
      </c>
      <c r="E969" t="inlineStr">
        <is>
          <t>389,376,538,509</t>
        </is>
      </c>
      <c r="F969" t="n">
        <v>259</v>
      </c>
      <c r="G969" t="inlineStr">
        <is>
          <t>primary</t>
        </is>
      </c>
      <c r="H969" t="inlineStr">
        <is>
          <t>AUTO_VESSEL</t>
        </is>
      </c>
      <c r="I969" t="inlineStr">
        <is>
          <t>是</t>
        </is>
      </c>
      <c r="J969" t="inlineStr">
        <is>
          <t>纳入</t>
        </is>
      </c>
      <c r="K969" t="n">
        <v>717.5330812854443</v>
      </c>
      <c r="L969">
        <f>导管母表_1781!G969</f>
        <v/>
      </c>
      <c r="M969" t="inlineStr">
        <is>
          <t>视野内部</t>
        </is>
      </c>
      <c r="N969" t="inlineStr">
        <is>
          <t>纳入A/D/Dh；若有Pair_ID则纳入CWR</t>
        </is>
      </c>
      <c r="O969" t="inlineStr">
        <is>
          <t>自动管线检出的合格导管腔。</t>
        </is>
      </c>
      <c r="P969" t="inlineStr">
        <is>
          <t>auto_pipeline;review_png_green</t>
        </is>
      </c>
      <c r="R969" t="inlineStr">
        <is>
          <t>样品21</t>
        </is>
      </c>
    </row>
    <row r="970">
      <c r="A970" t="inlineStr">
        <is>
          <t>21(8)-V03</t>
        </is>
      </c>
      <c r="B970" t="inlineStr">
        <is>
          <t>21 (8).tif</t>
        </is>
      </c>
      <c r="C970" t="n">
        <v>592</v>
      </c>
      <c r="D970" t="n">
        <v>453</v>
      </c>
      <c r="E970" t="inlineStr">
        <is>
          <t>546,393,639,514</t>
        </is>
      </c>
      <c r="F970" t="n">
        <v>254</v>
      </c>
      <c r="G970" t="inlineStr">
        <is>
          <t>primary</t>
        </is>
      </c>
      <c r="H970" t="inlineStr">
        <is>
          <t>AUTO_VESSEL</t>
        </is>
      </c>
      <c r="I970" t="inlineStr">
        <is>
          <t>是</t>
        </is>
      </c>
      <c r="J970" t="inlineStr">
        <is>
          <t>纳入</t>
        </is>
      </c>
      <c r="K970" t="n">
        <v>225.3071833648393</v>
      </c>
      <c r="L970">
        <f>导管母表_1781!G970</f>
        <v/>
      </c>
      <c r="M970" t="inlineStr">
        <is>
          <t>视野内部</t>
        </is>
      </c>
      <c r="N970" t="inlineStr">
        <is>
          <t>纳入A/D/Dh；若有Pair_ID则纳入CWR</t>
        </is>
      </c>
      <c r="O970" t="inlineStr">
        <is>
          <t>自动管线检出的合格导管腔。</t>
        </is>
      </c>
      <c r="P970" t="inlineStr">
        <is>
          <t>auto_pipeline;review_png_green</t>
        </is>
      </c>
      <c r="R970" t="inlineStr">
        <is>
          <t>样品21</t>
        </is>
      </c>
    </row>
    <row r="971">
      <c r="A971" t="inlineStr">
        <is>
          <t>21(8)-V04</t>
        </is>
      </c>
      <c r="B971" t="inlineStr">
        <is>
          <t>21 (8).tif</t>
        </is>
      </c>
      <c r="C971" t="n">
        <v>40</v>
      </c>
      <c r="D971" t="n">
        <v>365</v>
      </c>
      <c r="E971" t="inlineStr">
        <is>
          <t>0,325,81,406</t>
        </is>
      </c>
      <c r="F971" t="n">
        <v>0</v>
      </c>
      <c r="G971" t="inlineStr">
        <is>
          <t>primary</t>
        </is>
      </c>
      <c r="H971" t="inlineStr">
        <is>
          <t>AUTO_VESSEL</t>
        </is>
      </c>
      <c r="I971" t="inlineStr">
        <is>
          <t>是</t>
        </is>
      </c>
      <c r="J971" t="inlineStr">
        <is>
          <t>纳入</t>
        </is>
      </c>
      <c r="K971" t="n">
        <v>200.6143667296786</v>
      </c>
      <c r="L971">
        <f>导管母表_1781!G971</f>
        <v/>
      </c>
      <c r="M971" t="inlineStr">
        <is>
          <t>近边缘（&lt;25 px）</t>
        </is>
      </c>
      <c r="N971" t="inlineStr">
        <is>
          <t>纳入A/D/Dh；若有Pair_ID则纳入CWR</t>
        </is>
      </c>
      <c r="O971" t="inlineStr">
        <is>
          <t>自动管线检出的合格导管腔。</t>
        </is>
      </c>
      <c r="P971" t="inlineStr">
        <is>
          <t>auto_pipeline;review_png_green</t>
        </is>
      </c>
      <c r="R971" t="inlineStr">
        <is>
          <t>样品21</t>
        </is>
      </c>
    </row>
    <row r="972">
      <c r="A972" t="inlineStr">
        <is>
          <t>21(8)-V05</t>
        </is>
      </c>
      <c r="B972" t="inlineStr">
        <is>
          <t>21 (8).tif</t>
        </is>
      </c>
      <c r="C972" t="n">
        <v>951</v>
      </c>
      <c r="D972" t="n">
        <v>152</v>
      </c>
      <c r="E972" t="inlineStr">
        <is>
          <t>929,114,974,191</t>
        </is>
      </c>
      <c r="F972" t="n">
        <v>50</v>
      </c>
      <c r="G972" t="inlineStr">
        <is>
          <t>primary</t>
        </is>
      </c>
      <c r="H972" t="inlineStr">
        <is>
          <t>AUTO_VESSEL</t>
        </is>
      </c>
      <c r="I972" t="inlineStr">
        <is>
          <t>是</t>
        </is>
      </c>
      <c r="J972" t="inlineStr">
        <is>
          <t>纳入</t>
        </is>
      </c>
      <c r="K972" t="n">
        <v>115.4536862003781</v>
      </c>
      <c r="L972">
        <f>导管母表_1781!G972</f>
        <v/>
      </c>
      <c r="M972" t="inlineStr">
        <is>
          <t>视野内部</t>
        </is>
      </c>
      <c r="N972" t="inlineStr">
        <is>
          <t>纳入A/D/Dh；若有Pair_ID则纳入CWR</t>
        </is>
      </c>
      <c r="O972" t="inlineStr">
        <is>
          <t>自动管线检出的合格导管腔。</t>
        </is>
      </c>
      <c r="P972" t="inlineStr">
        <is>
          <t>auto_pipeline;review_png_green</t>
        </is>
      </c>
      <c r="R972" t="inlineStr">
        <is>
          <t>样品21</t>
        </is>
      </c>
    </row>
    <row r="973">
      <c r="A973" t="inlineStr">
        <is>
          <t>22(1)-V01</t>
        </is>
      </c>
      <c r="B973" t="inlineStr">
        <is>
          <t>22 (1).tif</t>
        </is>
      </c>
      <c r="C973" t="n">
        <v>433</v>
      </c>
      <c r="D973" t="n">
        <v>410</v>
      </c>
      <c r="E973" t="inlineStr">
        <is>
          <t>359,334,508,487</t>
        </is>
      </c>
      <c r="F973" t="n">
        <v>281</v>
      </c>
      <c r="G973" t="inlineStr">
        <is>
          <t>primary</t>
        </is>
      </c>
      <c r="H973" t="inlineStr">
        <is>
          <t>AUTO_VESSEL</t>
        </is>
      </c>
      <c r="I973" t="inlineStr">
        <is>
          <t>是</t>
        </is>
      </c>
      <c r="J973" t="inlineStr">
        <is>
          <t>纳入</t>
        </is>
      </c>
      <c r="K973" t="n">
        <v>832.1597353497165</v>
      </c>
      <c r="L973">
        <f>导管母表_1781!G973</f>
        <v/>
      </c>
      <c r="M973" t="inlineStr">
        <is>
          <t>视野内部</t>
        </is>
      </c>
      <c r="N973" t="inlineStr">
        <is>
          <t>纳入A/D/Dh；若有Pair_ID则纳入CWR</t>
        </is>
      </c>
      <c r="O973" t="inlineStr">
        <is>
          <t>自动管线检出的合格导管腔。</t>
        </is>
      </c>
      <c r="P973" t="inlineStr">
        <is>
          <t>auto_pipeline;review_png_green</t>
        </is>
      </c>
      <c r="R973" t="inlineStr">
        <is>
          <t>样品22</t>
        </is>
      </c>
    </row>
    <row r="974">
      <c r="A974" t="inlineStr">
        <is>
          <t>22(1)-V02</t>
        </is>
      </c>
      <c r="B974" t="inlineStr">
        <is>
          <t>22 (1).tif</t>
        </is>
      </c>
      <c r="C974" t="n">
        <v>558</v>
      </c>
      <c r="D974" t="n">
        <v>330</v>
      </c>
      <c r="E974" t="inlineStr">
        <is>
          <t>513,259,604,402</t>
        </is>
      </c>
      <c r="F974" t="n">
        <v>259</v>
      </c>
      <c r="G974" t="inlineStr">
        <is>
          <t>primary</t>
        </is>
      </c>
      <c r="H974" t="inlineStr">
        <is>
          <t>AUTO_VESSEL</t>
        </is>
      </c>
      <c r="I974" t="inlineStr">
        <is>
          <t>是</t>
        </is>
      </c>
      <c r="J974" t="inlineStr">
        <is>
          <t>纳入</t>
        </is>
      </c>
      <c r="K974" t="n">
        <v>463.3034026465028</v>
      </c>
      <c r="L974">
        <f>导管母表_1781!G974</f>
        <v/>
      </c>
      <c r="M974" t="inlineStr">
        <is>
          <t>视野内部</t>
        </is>
      </c>
      <c r="N974" t="inlineStr">
        <is>
          <t>纳入A/D/Dh；若有Pair_ID则纳入CWR</t>
        </is>
      </c>
      <c r="O974" t="inlineStr">
        <is>
          <t>自动管线检出的合格导管腔。</t>
        </is>
      </c>
      <c r="P974" t="inlineStr">
        <is>
          <t>auto_pipeline;review_png_green</t>
        </is>
      </c>
      <c r="R974" t="inlineStr">
        <is>
          <t>样品22</t>
        </is>
      </c>
    </row>
    <row r="975">
      <c r="A975" t="inlineStr">
        <is>
          <t>22(1)-V03</t>
        </is>
      </c>
      <c r="B975" t="inlineStr">
        <is>
          <t>22 (1).tif</t>
        </is>
      </c>
      <c r="C975" t="n">
        <v>171</v>
      </c>
      <c r="D975" t="n">
        <v>371</v>
      </c>
      <c r="E975" t="inlineStr">
        <is>
          <t>141,328,202,415</t>
        </is>
      </c>
      <c r="F975" t="n">
        <v>141</v>
      </c>
      <c r="G975" t="inlineStr">
        <is>
          <t>primary</t>
        </is>
      </c>
      <c r="H975" t="inlineStr">
        <is>
          <t>AUTO_VESSEL</t>
        </is>
      </c>
      <c r="I975" t="inlineStr">
        <is>
          <t>是</t>
        </is>
      </c>
      <c r="J975" t="inlineStr">
        <is>
          <t>纳入</t>
        </is>
      </c>
      <c r="K975" t="n">
        <v>191.6824196597354</v>
      </c>
      <c r="L975">
        <f>导管母表_1781!G975</f>
        <v/>
      </c>
      <c r="M975" t="inlineStr">
        <is>
          <t>视野内部</t>
        </is>
      </c>
      <c r="N975" t="inlineStr">
        <is>
          <t>纳入A/D/Dh；若有Pair_ID则纳入CWR</t>
        </is>
      </c>
      <c r="O975" t="inlineStr">
        <is>
          <t>自动管线检出的合格导管腔。</t>
        </is>
      </c>
      <c r="P975" t="inlineStr">
        <is>
          <t>auto_pipeline;review_png_green</t>
        </is>
      </c>
      <c r="R975" t="inlineStr">
        <is>
          <t>样品22</t>
        </is>
      </c>
    </row>
    <row r="976">
      <c r="A976" t="inlineStr">
        <is>
          <t>22(1)-V04</t>
        </is>
      </c>
      <c r="B976" t="inlineStr">
        <is>
          <t>22 (1).tif</t>
        </is>
      </c>
      <c r="C976" t="n">
        <v>267</v>
      </c>
      <c r="D976" t="n">
        <v>297</v>
      </c>
      <c r="E976" t="inlineStr">
        <is>
          <t>243,247,292,348</t>
        </is>
      </c>
      <c r="F976" t="n">
        <v>243</v>
      </c>
      <c r="G976" t="inlineStr">
        <is>
          <t>primary</t>
        </is>
      </c>
      <c r="H976" t="inlineStr">
        <is>
          <t>AUTO_VESSEL</t>
        </is>
      </c>
      <c r="I976" t="inlineStr">
        <is>
          <t>是</t>
        </is>
      </c>
      <c r="J976" t="inlineStr">
        <is>
          <t>纳入</t>
        </is>
      </c>
      <c r="K976" t="n">
        <v>178.1899810964083</v>
      </c>
      <c r="L976">
        <f>导管母表_1781!G976</f>
        <v/>
      </c>
      <c r="M976" t="inlineStr">
        <is>
          <t>视野内部</t>
        </is>
      </c>
      <c r="N976" t="inlineStr">
        <is>
          <t>纳入A/D/Dh；若有Pair_ID则纳入CWR</t>
        </is>
      </c>
      <c r="O976" t="inlineStr">
        <is>
          <t>自动管线检出的合格导管腔。</t>
        </is>
      </c>
      <c r="P976" t="inlineStr">
        <is>
          <t>auto_pipeline;review_png_green</t>
        </is>
      </c>
      <c r="R976" t="inlineStr">
        <is>
          <t>样品22</t>
        </is>
      </c>
    </row>
    <row r="977">
      <c r="A977" t="inlineStr">
        <is>
          <t>22(2)-V01</t>
        </is>
      </c>
      <c r="B977" t="inlineStr">
        <is>
          <t>22 (2).tif</t>
        </is>
      </c>
      <c r="C977" t="n">
        <v>431</v>
      </c>
      <c r="D977" t="n">
        <v>407</v>
      </c>
      <c r="E977" t="inlineStr">
        <is>
          <t>363,347,500,468</t>
        </is>
      </c>
      <c r="F977" t="n">
        <v>300</v>
      </c>
      <c r="G977" t="inlineStr">
        <is>
          <t>primary</t>
        </is>
      </c>
      <c r="H977" t="inlineStr">
        <is>
          <t>AUTO_VESSEL</t>
        </is>
      </c>
      <c r="I977" t="inlineStr">
        <is>
          <t>是</t>
        </is>
      </c>
      <c r="J977" t="inlineStr">
        <is>
          <t>纳入</t>
        </is>
      </c>
      <c r="K977" t="n">
        <v>605.3875236294896</v>
      </c>
      <c r="L977">
        <f>导管母表_1781!G977</f>
        <v/>
      </c>
      <c r="M977" t="inlineStr">
        <is>
          <t>视野内部</t>
        </is>
      </c>
      <c r="N977" t="inlineStr">
        <is>
          <t>纳入A/D/Dh；若有Pair_ID则纳入CWR</t>
        </is>
      </c>
      <c r="O977" t="inlineStr">
        <is>
          <t>自动管线检出的合格导管腔。</t>
        </is>
      </c>
      <c r="P977" t="inlineStr">
        <is>
          <t>auto_pipeline;review_png_green</t>
        </is>
      </c>
      <c r="R977" t="inlineStr">
        <is>
          <t>样品22</t>
        </is>
      </c>
    </row>
    <row r="978">
      <c r="A978" t="inlineStr">
        <is>
          <t>22(2)-V02</t>
        </is>
      </c>
      <c r="B978" t="inlineStr">
        <is>
          <t>22 (2).tif</t>
        </is>
      </c>
      <c r="C978" t="n">
        <v>138</v>
      </c>
      <c r="D978" t="n">
        <v>497</v>
      </c>
      <c r="E978" t="inlineStr">
        <is>
          <t>75,457,202,538</t>
        </is>
      </c>
      <c r="F978" t="n">
        <v>75</v>
      </c>
      <c r="G978" t="inlineStr">
        <is>
          <t>primary</t>
        </is>
      </c>
      <c r="H978" t="inlineStr">
        <is>
          <t>AUTO_VESSEL</t>
        </is>
      </c>
      <c r="I978" t="inlineStr">
        <is>
          <t>是</t>
        </is>
      </c>
      <c r="J978" t="inlineStr">
        <is>
          <t>纳入</t>
        </is>
      </c>
      <c r="K978" t="n">
        <v>356.1672967863894</v>
      </c>
      <c r="L978">
        <f>导管母表_1781!G978</f>
        <v/>
      </c>
      <c r="M978" t="inlineStr">
        <is>
          <t>视野内部</t>
        </is>
      </c>
      <c r="N978" t="inlineStr">
        <is>
          <t>纳入A/D/Dh；若有Pair_ID则纳入CWR</t>
        </is>
      </c>
      <c r="O978" t="inlineStr">
        <is>
          <t>自动管线检出的合格导管腔。</t>
        </is>
      </c>
      <c r="P978" t="inlineStr">
        <is>
          <t>auto_pipeline;review_png_green</t>
        </is>
      </c>
      <c r="R978" t="inlineStr">
        <is>
          <t>样品22</t>
        </is>
      </c>
    </row>
    <row r="979">
      <c r="A979" t="inlineStr">
        <is>
          <t>22(2)-V03</t>
        </is>
      </c>
      <c r="B979" t="inlineStr">
        <is>
          <t>22 (2).tif</t>
        </is>
      </c>
      <c r="C979" t="n">
        <v>539</v>
      </c>
      <c r="D979" t="n">
        <v>344</v>
      </c>
      <c r="E979" t="inlineStr">
        <is>
          <t>502,285,577,404</t>
        </is>
      </c>
      <c r="F979" t="n">
        <v>285</v>
      </c>
      <c r="G979" t="inlineStr">
        <is>
          <t>primary</t>
        </is>
      </c>
      <c r="H979" t="inlineStr">
        <is>
          <t>AUTO_VESSEL</t>
        </is>
      </c>
      <c r="I979" t="inlineStr">
        <is>
          <t>是</t>
        </is>
      </c>
      <c r="J979" t="inlineStr">
        <is>
          <t>纳入</t>
        </is>
      </c>
      <c r="K979" t="n">
        <v>323.6058601134216</v>
      </c>
      <c r="L979">
        <f>导管母表_1781!G979</f>
        <v/>
      </c>
      <c r="M979" t="inlineStr">
        <is>
          <t>视野内部</t>
        </is>
      </c>
      <c r="N979" t="inlineStr">
        <is>
          <t>纳入A/D/Dh；若有Pair_ID则纳入CWR</t>
        </is>
      </c>
      <c r="O979" t="inlineStr">
        <is>
          <t>自动管线检出的合格导管腔。</t>
        </is>
      </c>
      <c r="P979" t="inlineStr">
        <is>
          <t>auto_pipeline;review_png_green</t>
        </is>
      </c>
      <c r="R979" t="inlineStr">
        <is>
          <t>样品22</t>
        </is>
      </c>
    </row>
    <row r="980">
      <c r="A980" t="inlineStr">
        <is>
          <t>22(2)-V04</t>
        </is>
      </c>
      <c r="B980" t="inlineStr">
        <is>
          <t>22 (2).tif</t>
        </is>
      </c>
      <c r="C980" t="n">
        <v>617</v>
      </c>
      <c r="D980" t="n">
        <v>310</v>
      </c>
      <c r="E980" t="inlineStr">
        <is>
          <t>585,264,650,357</t>
        </is>
      </c>
      <c r="F980" t="n">
        <v>264</v>
      </c>
      <c r="G980" t="inlineStr">
        <is>
          <t>primary</t>
        </is>
      </c>
      <c r="H980" t="inlineStr">
        <is>
          <t>AUTO_VESSEL</t>
        </is>
      </c>
      <c r="I980" t="inlineStr">
        <is>
          <t>是</t>
        </is>
      </c>
      <c r="J980" t="inlineStr">
        <is>
          <t>纳入</t>
        </is>
      </c>
      <c r="K980" t="n">
        <v>216.2334593572779</v>
      </c>
      <c r="L980">
        <f>导管母表_1781!G980</f>
        <v/>
      </c>
      <c r="M980" t="inlineStr">
        <is>
          <t>视野内部</t>
        </is>
      </c>
      <c r="N980" t="inlineStr">
        <is>
          <t>纳入A/D/Dh；若有Pair_ID则纳入CWR</t>
        </is>
      </c>
      <c r="O980" t="inlineStr">
        <is>
          <t>自动管线检出的合格导管腔。</t>
        </is>
      </c>
      <c r="P980" t="inlineStr">
        <is>
          <t>auto_pipeline;review_png_green</t>
        </is>
      </c>
      <c r="R980" t="inlineStr">
        <is>
          <t>样品22</t>
        </is>
      </c>
    </row>
    <row r="981">
      <c r="A981" t="inlineStr">
        <is>
          <t>22(2)-V05</t>
        </is>
      </c>
      <c r="B981" t="inlineStr">
        <is>
          <t>22 (2).tif</t>
        </is>
      </c>
      <c r="C981" t="n">
        <v>79</v>
      </c>
      <c r="D981" t="n">
        <v>416</v>
      </c>
      <c r="E981" t="inlineStr">
        <is>
          <t>45,370,114,463</t>
        </is>
      </c>
      <c r="F981" t="n">
        <v>45</v>
      </c>
      <c r="G981" t="inlineStr">
        <is>
          <t>primary</t>
        </is>
      </c>
      <c r="H981" t="inlineStr">
        <is>
          <t>AUTO_VESSEL</t>
        </is>
      </c>
      <c r="I981" t="inlineStr">
        <is>
          <t>是</t>
        </is>
      </c>
      <c r="J981" t="inlineStr">
        <is>
          <t>纳入</t>
        </is>
      </c>
      <c r="K981" t="n">
        <v>207.8449905482042</v>
      </c>
      <c r="L981">
        <f>导管母表_1781!G981</f>
        <v/>
      </c>
      <c r="M981" t="inlineStr">
        <is>
          <t>视野内部</t>
        </is>
      </c>
      <c r="N981" t="inlineStr">
        <is>
          <t>纳入A/D/Dh；若有Pair_ID则纳入CWR</t>
        </is>
      </c>
      <c r="O981" t="inlineStr">
        <is>
          <t>自动管线检出的合格导管腔。</t>
        </is>
      </c>
      <c r="P981" t="inlineStr">
        <is>
          <t>auto_pipeline;review_png_green</t>
        </is>
      </c>
      <c r="R981" t="inlineStr">
        <is>
          <t>样品22</t>
        </is>
      </c>
    </row>
    <row r="982">
      <c r="A982" t="inlineStr">
        <is>
          <t>22(2)-V06</t>
        </is>
      </c>
      <c r="B982" t="inlineStr">
        <is>
          <t>22 (2).tif</t>
        </is>
      </c>
      <c r="C982" t="n">
        <v>640</v>
      </c>
      <c r="D982" t="n">
        <v>409</v>
      </c>
      <c r="E982" t="inlineStr">
        <is>
          <t>612,380,669,439</t>
        </is>
      </c>
      <c r="F982" t="n">
        <v>329</v>
      </c>
      <c r="G982" t="inlineStr">
        <is>
          <t>primary</t>
        </is>
      </c>
      <c r="H982" t="inlineStr">
        <is>
          <t>AUTO_VESSEL</t>
        </is>
      </c>
      <c r="I982" t="inlineStr">
        <is>
          <t>是</t>
        </is>
      </c>
      <c r="J982" t="inlineStr">
        <is>
          <t>纳入</t>
        </is>
      </c>
      <c r="K982" t="n">
        <v>119.7306238185255</v>
      </c>
      <c r="L982">
        <f>导管母表_1781!G982</f>
        <v/>
      </c>
      <c r="M982" t="inlineStr">
        <is>
          <t>视野内部</t>
        </is>
      </c>
      <c r="N982" t="inlineStr">
        <is>
          <t>纳入A/D/Dh；若有Pair_ID则纳入CWR</t>
        </is>
      </c>
      <c r="O982" t="inlineStr">
        <is>
          <t>自动管线检出的合格导管腔。</t>
        </is>
      </c>
      <c r="P982" t="inlineStr">
        <is>
          <t>auto_pipeline;review_png_green</t>
        </is>
      </c>
      <c r="R982" t="inlineStr">
        <is>
          <t>样品22</t>
        </is>
      </c>
    </row>
    <row r="983">
      <c r="A983" t="inlineStr">
        <is>
          <t>22(3)-V01</t>
        </is>
      </c>
      <c r="B983" t="inlineStr">
        <is>
          <t>22 (3).tif</t>
        </is>
      </c>
      <c r="C983" t="n">
        <v>597</v>
      </c>
      <c r="D983" t="n">
        <v>390</v>
      </c>
      <c r="E983" t="inlineStr">
        <is>
          <t>512,296,683,485</t>
        </is>
      </c>
      <c r="F983" t="n">
        <v>283</v>
      </c>
      <c r="G983" t="inlineStr">
        <is>
          <t>primary</t>
        </is>
      </c>
      <c r="H983" t="inlineStr">
        <is>
          <t>AUTO_VESSEL</t>
        </is>
      </c>
      <c r="I983" t="inlineStr">
        <is>
          <t>是</t>
        </is>
      </c>
      <c r="J983" t="inlineStr">
        <is>
          <t>纳入</t>
        </is>
      </c>
      <c r="K983" t="n">
        <v>1164.012287334594</v>
      </c>
      <c r="L983">
        <f>导管母表_1781!G983</f>
        <v/>
      </c>
      <c r="M983" t="inlineStr">
        <is>
          <t>视野内部</t>
        </is>
      </c>
      <c r="N983" t="inlineStr">
        <is>
          <t>纳入A/D/Dh；若有Pair_ID则纳入CWR</t>
        </is>
      </c>
      <c r="O983" t="inlineStr">
        <is>
          <t>自动管线检出的合格导管腔。</t>
        </is>
      </c>
      <c r="P983" t="inlineStr">
        <is>
          <t>auto_pipeline;review_png_green</t>
        </is>
      </c>
      <c r="R983" t="inlineStr">
        <is>
          <t>样品22</t>
        </is>
      </c>
    </row>
    <row r="984">
      <c r="A984" t="inlineStr">
        <is>
          <t>22(3)-V02</t>
        </is>
      </c>
      <c r="B984" t="inlineStr">
        <is>
          <t>22 (3).tif</t>
        </is>
      </c>
      <c r="C984" t="n">
        <v>398</v>
      </c>
      <c r="D984" t="n">
        <v>341</v>
      </c>
      <c r="E984" t="inlineStr">
        <is>
          <t>329,262,468,421</t>
        </is>
      </c>
      <c r="F984" t="n">
        <v>262</v>
      </c>
      <c r="G984" t="inlineStr">
        <is>
          <t>primary</t>
        </is>
      </c>
      <c r="H984" t="inlineStr">
        <is>
          <t>AUTO_VESSEL</t>
        </is>
      </c>
      <c r="I984" t="inlineStr">
        <is>
          <t>是</t>
        </is>
      </c>
      <c r="J984" t="inlineStr">
        <is>
          <t>纳入</t>
        </is>
      </c>
      <c r="K984" t="n">
        <v>809.7826086956521</v>
      </c>
      <c r="L984">
        <f>导管母表_1781!G984</f>
        <v/>
      </c>
      <c r="M984" t="inlineStr">
        <is>
          <t>视野内部</t>
        </is>
      </c>
      <c r="N984" t="inlineStr">
        <is>
          <t>纳入A/D/Dh；若有Pair_ID则纳入CWR</t>
        </is>
      </c>
      <c r="O984" t="inlineStr">
        <is>
          <t>自动管线检出的合格导管腔。</t>
        </is>
      </c>
      <c r="P984" t="inlineStr">
        <is>
          <t>auto_pipeline;review_png_green</t>
        </is>
      </c>
      <c r="R984" t="inlineStr">
        <is>
          <t>样品22</t>
        </is>
      </c>
    </row>
    <row r="985">
      <c r="A985" t="inlineStr">
        <is>
          <t>22(3)-V03</t>
        </is>
      </c>
      <c r="B985" t="inlineStr">
        <is>
          <t>22 (3).tif</t>
        </is>
      </c>
      <c r="C985" t="n">
        <v>815</v>
      </c>
      <c r="D985" t="n">
        <v>507</v>
      </c>
      <c r="E985" t="inlineStr">
        <is>
          <t>754,438,877,577</t>
        </is>
      </c>
      <c r="F985" t="n">
        <v>147</v>
      </c>
      <c r="G985" t="inlineStr">
        <is>
          <t>primary</t>
        </is>
      </c>
      <c r="H985" t="inlineStr">
        <is>
          <t>AUTO_VESSEL</t>
        </is>
      </c>
      <c r="I985" t="inlineStr">
        <is>
          <t>是</t>
        </is>
      </c>
      <c r="J985" t="inlineStr">
        <is>
          <t>纳入</t>
        </is>
      </c>
      <c r="K985" t="n">
        <v>622.3298676748582</v>
      </c>
      <c r="L985">
        <f>导管母表_1781!G985</f>
        <v/>
      </c>
      <c r="M985" t="inlineStr">
        <is>
          <t>视野内部</t>
        </is>
      </c>
      <c r="N985" t="inlineStr">
        <is>
          <t>纳入A/D/Dh；若有Pair_ID则纳入CWR</t>
        </is>
      </c>
      <c r="O985" t="inlineStr">
        <is>
          <t>自动管线检出的合格导管腔。</t>
        </is>
      </c>
      <c r="P985" t="inlineStr">
        <is>
          <t>auto_pipeline;review_png_green</t>
        </is>
      </c>
      <c r="R985" t="inlineStr">
        <is>
          <t>样品22</t>
        </is>
      </c>
    </row>
    <row r="986">
      <c r="A986" t="inlineStr">
        <is>
          <t>22(3)-V04</t>
        </is>
      </c>
      <c r="B986" t="inlineStr">
        <is>
          <t>22 (3).tif</t>
        </is>
      </c>
      <c r="C986" t="n">
        <v>953</v>
      </c>
      <c r="D986" t="n">
        <v>544</v>
      </c>
      <c r="E986" t="inlineStr">
        <is>
          <t>922,505,985,584</t>
        </is>
      </c>
      <c r="F986" t="n">
        <v>39</v>
      </c>
      <c r="G986" t="inlineStr">
        <is>
          <t>primary</t>
        </is>
      </c>
      <c r="H986" t="inlineStr">
        <is>
          <t>AUTO_VESSEL</t>
        </is>
      </c>
      <c r="I986" t="inlineStr">
        <is>
          <t>是</t>
        </is>
      </c>
      <c r="J986" t="inlineStr">
        <is>
          <t>纳入</t>
        </is>
      </c>
      <c r="K986" t="n">
        <v>179.1587901701323</v>
      </c>
      <c r="L986">
        <f>导管母表_1781!G986</f>
        <v/>
      </c>
      <c r="M986" t="inlineStr">
        <is>
          <t>视野内部</t>
        </is>
      </c>
      <c r="N986" t="inlineStr">
        <is>
          <t>纳入A/D/Dh；若有Pair_ID则纳入CWR</t>
        </is>
      </c>
      <c r="O986" t="inlineStr">
        <is>
          <t>自动管线检出的合格导管腔。</t>
        </is>
      </c>
      <c r="P986" t="inlineStr">
        <is>
          <t>auto_pipeline;review_png_green</t>
        </is>
      </c>
      <c r="R986" t="inlineStr">
        <is>
          <t>样品22</t>
        </is>
      </c>
    </row>
    <row r="987">
      <c r="A987" t="inlineStr">
        <is>
          <t>22(3)-V05</t>
        </is>
      </c>
      <c r="B987" t="inlineStr">
        <is>
          <t>22 (3).tif</t>
        </is>
      </c>
      <c r="C987" t="n">
        <v>226</v>
      </c>
      <c r="D987" t="n">
        <v>326</v>
      </c>
      <c r="E987" t="inlineStr">
        <is>
          <t>194,291,259,362</t>
        </is>
      </c>
      <c r="F987" t="n">
        <v>194</v>
      </c>
      <c r="G987" t="inlineStr">
        <is>
          <t>primary</t>
        </is>
      </c>
      <c r="H987" t="inlineStr">
        <is>
          <t>AUTO_VESSEL</t>
        </is>
      </c>
      <c r="I987" t="inlineStr">
        <is>
          <t>是</t>
        </is>
      </c>
      <c r="J987" t="inlineStr">
        <is>
          <t>纳入</t>
        </is>
      </c>
      <c r="K987" t="n">
        <v>156.4035916824197</v>
      </c>
      <c r="L987">
        <f>导管母表_1781!G987</f>
        <v/>
      </c>
      <c r="M987" t="inlineStr">
        <is>
          <t>视野内部</t>
        </is>
      </c>
      <c r="N987" t="inlineStr">
        <is>
          <t>纳入A/D/Dh；若有Pair_ID则纳入CWR</t>
        </is>
      </c>
      <c r="O987" t="inlineStr">
        <is>
          <t>自动管线检出的合格导管腔。</t>
        </is>
      </c>
      <c r="P987" t="inlineStr">
        <is>
          <t>auto_pipeline;review_png_green</t>
        </is>
      </c>
      <c r="R987" t="inlineStr">
        <is>
          <t>样品22</t>
        </is>
      </c>
    </row>
    <row r="988">
      <c r="A988" t="inlineStr">
        <is>
          <t>22(3)-V06</t>
        </is>
      </c>
      <c r="B988" t="inlineStr">
        <is>
          <t>22 (3).tif</t>
        </is>
      </c>
      <c r="C988" t="n">
        <v>876</v>
      </c>
      <c r="D988" t="n">
        <v>421</v>
      </c>
      <c r="E988" t="inlineStr">
        <is>
          <t>843,393,910,450</t>
        </is>
      </c>
      <c r="F988" t="n">
        <v>114</v>
      </c>
      <c r="G988" t="inlineStr">
        <is>
          <t>primary</t>
        </is>
      </c>
      <c r="H988" t="inlineStr">
        <is>
          <t>AUTO_VESSEL</t>
        </is>
      </c>
      <c r="I988" t="inlineStr">
        <is>
          <t>是</t>
        </is>
      </c>
      <c r="J988" t="inlineStr">
        <is>
          <t>纳入</t>
        </is>
      </c>
      <c r="K988" t="n">
        <v>121.0302457466919</v>
      </c>
      <c r="L988">
        <f>导管母表_1781!G988</f>
        <v/>
      </c>
      <c r="M988" t="inlineStr">
        <is>
          <t>视野内部</t>
        </is>
      </c>
      <c r="N988" t="inlineStr">
        <is>
          <t>纳入A/D/Dh；若有Pair_ID则纳入CWR</t>
        </is>
      </c>
      <c r="O988" t="inlineStr">
        <is>
          <t>自动管线检出的合格导管腔。</t>
        </is>
      </c>
      <c r="P988" t="inlineStr">
        <is>
          <t>auto_pipeline;review_png_green</t>
        </is>
      </c>
      <c r="R988" t="inlineStr">
        <is>
          <t>样品22</t>
        </is>
      </c>
    </row>
    <row r="989">
      <c r="A989" t="inlineStr">
        <is>
          <t>22(4)-V01</t>
        </is>
      </c>
      <c r="B989" t="inlineStr">
        <is>
          <t>22 (4).tif</t>
        </is>
      </c>
      <c r="C989" t="n">
        <v>453</v>
      </c>
      <c r="D989" t="n">
        <v>280</v>
      </c>
      <c r="E989" t="inlineStr">
        <is>
          <t>396,223,511,338</t>
        </is>
      </c>
      <c r="F989" t="n">
        <v>223</v>
      </c>
      <c r="G989" t="inlineStr">
        <is>
          <t>primary</t>
        </is>
      </c>
      <c r="H989" t="inlineStr">
        <is>
          <t>AUTO_VESSEL</t>
        </is>
      </c>
      <c r="I989" t="inlineStr">
        <is>
          <t>是</t>
        </is>
      </c>
      <c r="J989" t="inlineStr">
        <is>
          <t>纳入</t>
        </is>
      </c>
      <c r="K989" t="n">
        <v>480.3638941398866</v>
      </c>
      <c r="L989">
        <f>导管母表_1781!G989</f>
        <v/>
      </c>
      <c r="M989" t="inlineStr">
        <is>
          <t>视野内部</t>
        </is>
      </c>
      <c r="N989" t="inlineStr">
        <is>
          <t>纳入A/D/Dh；若有Pair_ID则纳入CWR</t>
        </is>
      </c>
      <c r="O989" t="inlineStr">
        <is>
          <t>自动管线检出的合格导管腔。</t>
        </is>
      </c>
      <c r="P989" t="inlineStr">
        <is>
          <t>auto_pipeline;review_png_green</t>
        </is>
      </c>
      <c r="R989" t="inlineStr">
        <is>
          <t>样品22</t>
        </is>
      </c>
    </row>
    <row r="990">
      <c r="A990" t="inlineStr">
        <is>
          <t>22(4)-V02</t>
        </is>
      </c>
      <c r="B990" t="inlineStr">
        <is>
          <t>22 (4).tif</t>
        </is>
      </c>
      <c r="C990" t="n">
        <v>546</v>
      </c>
      <c r="D990" t="n">
        <v>414</v>
      </c>
      <c r="E990" t="inlineStr">
        <is>
          <t>495,357,598,472</t>
        </is>
      </c>
      <c r="F990" t="n">
        <v>296</v>
      </c>
      <c r="G990" t="inlineStr">
        <is>
          <t>primary</t>
        </is>
      </c>
      <c r="H990" t="inlineStr">
        <is>
          <t>AUTO_VESSEL</t>
        </is>
      </c>
      <c r="I990" t="inlineStr">
        <is>
          <t>是</t>
        </is>
      </c>
      <c r="J990" t="inlineStr">
        <is>
          <t>纳入</t>
        </is>
      </c>
      <c r="K990" t="n">
        <v>432.1361058601134</v>
      </c>
      <c r="L990">
        <f>导管母表_1781!G990</f>
        <v/>
      </c>
      <c r="M990" t="inlineStr">
        <is>
          <t>视野内部</t>
        </is>
      </c>
      <c r="N990" t="inlineStr">
        <is>
          <t>纳入A/D/Dh；若有Pair_ID则纳入CWR</t>
        </is>
      </c>
      <c r="O990" t="inlineStr">
        <is>
          <t>自动管线检出的合格导管腔。</t>
        </is>
      </c>
      <c r="P990" t="inlineStr">
        <is>
          <t>auto_pipeline;review_png_green</t>
        </is>
      </c>
      <c r="R990" t="inlineStr">
        <is>
          <t>样品22</t>
        </is>
      </c>
    </row>
    <row r="991">
      <c r="A991" t="inlineStr">
        <is>
          <t>22(4)-V03</t>
        </is>
      </c>
      <c r="B991" t="inlineStr">
        <is>
          <t>22 (4).tif</t>
        </is>
      </c>
      <c r="C991" t="n">
        <v>344</v>
      </c>
      <c r="D991" t="n">
        <v>246</v>
      </c>
      <c r="E991" t="inlineStr">
        <is>
          <t>313,213,376,280</t>
        </is>
      </c>
      <c r="F991" t="n">
        <v>213</v>
      </c>
      <c r="G991" t="inlineStr">
        <is>
          <t>primary</t>
        </is>
      </c>
      <c r="H991" t="inlineStr">
        <is>
          <t>AUTO_VESSEL</t>
        </is>
      </c>
      <c r="I991" t="inlineStr">
        <is>
          <t>是</t>
        </is>
      </c>
      <c r="J991" t="inlineStr">
        <is>
          <t>纳入</t>
        </is>
      </c>
      <c r="K991" t="n">
        <v>143.1001890359168</v>
      </c>
      <c r="L991">
        <f>导管母表_1781!G991</f>
        <v/>
      </c>
      <c r="M991" t="inlineStr">
        <is>
          <t>视野内部</t>
        </is>
      </c>
      <c r="N991" t="inlineStr">
        <is>
          <t>纳入A/D/Dh；若有Pair_ID则纳入CWR</t>
        </is>
      </c>
      <c r="O991" t="inlineStr">
        <is>
          <t>自动管线检出的合格导管腔。</t>
        </is>
      </c>
      <c r="P991" t="inlineStr">
        <is>
          <t>auto_pipeline;review_png_green</t>
        </is>
      </c>
      <c r="R991" t="inlineStr">
        <is>
          <t>样品22</t>
        </is>
      </c>
    </row>
    <row r="992">
      <c r="A992" t="inlineStr">
        <is>
          <t>22(4)-V04</t>
        </is>
      </c>
      <c r="B992" t="inlineStr">
        <is>
          <t>22 (4).tif</t>
        </is>
      </c>
      <c r="C992" t="n">
        <v>949</v>
      </c>
      <c r="D992" t="n">
        <v>416</v>
      </c>
      <c r="E992" t="inlineStr">
        <is>
          <t>916,388,983,445</t>
        </is>
      </c>
      <c r="F992" t="n">
        <v>41</v>
      </c>
      <c r="G992" t="inlineStr">
        <is>
          <t>primary</t>
        </is>
      </c>
      <c r="H992" t="inlineStr">
        <is>
          <t>AUTO_VESSEL</t>
        </is>
      </c>
      <c r="I992" t="inlineStr">
        <is>
          <t>是</t>
        </is>
      </c>
      <c r="J992" t="inlineStr">
        <is>
          <t>纳入</t>
        </is>
      </c>
      <c r="K992" t="n">
        <v>137.476370510397</v>
      </c>
      <c r="L992">
        <f>导管母表_1781!G992</f>
        <v/>
      </c>
      <c r="M992" t="inlineStr">
        <is>
          <t>视野内部</t>
        </is>
      </c>
      <c r="N992" t="inlineStr">
        <is>
          <t>纳入A/D/Dh；若有Pair_ID则纳入CWR</t>
        </is>
      </c>
      <c r="O992" t="inlineStr">
        <is>
          <t>自动管线检出的合格导管腔。</t>
        </is>
      </c>
      <c r="P992" t="inlineStr">
        <is>
          <t>auto_pipeline;review_png_green</t>
        </is>
      </c>
      <c r="R992" t="inlineStr">
        <is>
          <t>样品22</t>
        </is>
      </c>
    </row>
    <row r="993">
      <c r="A993" t="inlineStr">
        <is>
          <t>22(4)-V05</t>
        </is>
      </c>
      <c r="B993" t="inlineStr">
        <is>
          <t>22 (4).tif</t>
        </is>
      </c>
      <c r="C993" t="n">
        <v>588</v>
      </c>
      <c r="D993" t="n">
        <v>336</v>
      </c>
      <c r="E993" t="inlineStr">
        <is>
          <t>561,299,616,374</t>
        </is>
      </c>
      <c r="F993" t="n">
        <v>299</v>
      </c>
      <c r="G993" t="inlineStr">
        <is>
          <t>primary</t>
        </is>
      </c>
      <c r="H993" t="inlineStr">
        <is>
          <t>AUTO_VESSEL</t>
        </is>
      </c>
      <c r="I993" t="inlineStr">
        <is>
          <t>是</t>
        </is>
      </c>
      <c r="J993" t="inlineStr">
        <is>
          <t>纳入</t>
        </is>
      </c>
      <c r="K993" t="n">
        <v>118.6200378071834</v>
      </c>
      <c r="L993">
        <f>导管母表_1781!G993</f>
        <v/>
      </c>
      <c r="M993" t="inlineStr">
        <is>
          <t>视野内部</t>
        </is>
      </c>
      <c r="N993" t="inlineStr">
        <is>
          <t>纳入A/D/Dh；若有Pair_ID则纳入CWR</t>
        </is>
      </c>
      <c r="O993" t="inlineStr">
        <is>
          <t>自动管线检出的合格导管腔。</t>
        </is>
      </c>
      <c r="P993" t="inlineStr">
        <is>
          <t>auto_pipeline;review_png_green</t>
        </is>
      </c>
      <c r="R993" t="inlineStr">
        <is>
          <t>样品22</t>
        </is>
      </c>
    </row>
    <row r="994">
      <c r="A994" t="inlineStr">
        <is>
          <t>22(4)-V06</t>
        </is>
      </c>
      <c r="B994" t="inlineStr">
        <is>
          <t>22 (4).tif</t>
        </is>
      </c>
      <c r="C994" t="n">
        <v>909</v>
      </c>
      <c r="D994" t="n">
        <v>510</v>
      </c>
      <c r="E994" t="inlineStr">
        <is>
          <t>883,482,936,539</t>
        </is>
      </c>
      <c r="F994" t="n">
        <v>88</v>
      </c>
      <c r="G994" t="inlineStr">
        <is>
          <t>primary</t>
        </is>
      </c>
      <c r="H994" t="inlineStr">
        <is>
          <t>AUTO_VESSEL</t>
        </is>
      </c>
      <c r="I994" t="inlineStr">
        <is>
          <t>是</t>
        </is>
      </c>
      <c r="J994" t="inlineStr">
        <is>
          <t>纳入</t>
        </is>
      </c>
      <c r="K994" t="n">
        <v>108.1049149338374</v>
      </c>
      <c r="L994">
        <f>导管母表_1781!G994</f>
        <v/>
      </c>
      <c r="M994" t="inlineStr">
        <is>
          <t>视野内部</t>
        </is>
      </c>
      <c r="N994" t="inlineStr">
        <is>
          <t>纳入A/D/Dh；若有Pair_ID则纳入CWR</t>
        </is>
      </c>
      <c r="O994" t="inlineStr">
        <is>
          <t>自动管线检出的合格导管腔。</t>
        </is>
      </c>
      <c r="P994" t="inlineStr">
        <is>
          <t>auto_pipeline;review_png_green</t>
        </is>
      </c>
      <c r="R994" t="inlineStr">
        <is>
          <t>样品22</t>
        </is>
      </c>
    </row>
    <row r="995">
      <c r="A995" t="inlineStr">
        <is>
          <t>22(5)-V01</t>
        </is>
      </c>
      <c r="B995" t="inlineStr">
        <is>
          <t>22 (5).tif</t>
        </is>
      </c>
      <c r="C995" t="n">
        <v>441</v>
      </c>
      <c r="D995" t="n">
        <v>425</v>
      </c>
      <c r="E995" t="inlineStr">
        <is>
          <t>374,353,509,498</t>
        </is>
      </c>
      <c r="F995" t="n">
        <v>270</v>
      </c>
      <c r="G995" t="inlineStr">
        <is>
          <t>primary</t>
        </is>
      </c>
      <c r="H995" t="inlineStr">
        <is>
          <t>AUTO_VESSEL</t>
        </is>
      </c>
      <c r="I995" t="inlineStr">
        <is>
          <t>是</t>
        </is>
      </c>
      <c r="J995" t="inlineStr">
        <is>
          <t>纳入</t>
        </is>
      </c>
      <c r="K995" t="n">
        <v>699.6691871455577</v>
      </c>
      <c r="L995">
        <f>导管母表_1781!G995</f>
        <v/>
      </c>
      <c r="M995" t="inlineStr">
        <is>
          <t>视野内部</t>
        </is>
      </c>
      <c r="N995" t="inlineStr">
        <is>
          <t>纳入A/D/Dh；若有Pair_ID则纳入CWR</t>
        </is>
      </c>
      <c r="O995" t="inlineStr">
        <is>
          <t>自动管线检出的合格导管腔。</t>
        </is>
      </c>
      <c r="P995" t="inlineStr">
        <is>
          <t>auto_pipeline;review_png_green</t>
        </is>
      </c>
      <c r="R995" t="inlineStr">
        <is>
          <t>样品22</t>
        </is>
      </c>
    </row>
    <row r="996">
      <c r="A996" t="inlineStr">
        <is>
          <t>22(5)-V02</t>
        </is>
      </c>
      <c r="B996" t="inlineStr">
        <is>
          <t>22 (5).tif</t>
        </is>
      </c>
      <c r="C996" t="n">
        <v>943</v>
      </c>
      <c r="D996" t="n">
        <v>240</v>
      </c>
      <c r="E996" t="inlineStr">
        <is>
          <t>884,163,1003,318</t>
        </is>
      </c>
      <c r="F996" t="n">
        <v>21</v>
      </c>
      <c r="G996" t="inlineStr">
        <is>
          <t>primary</t>
        </is>
      </c>
      <c r="H996" t="inlineStr">
        <is>
          <t>AUTO_VESSEL</t>
        </is>
      </c>
      <c r="I996" t="inlineStr">
        <is>
          <t>是</t>
        </is>
      </c>
      <c r="J996" t="inlineStr">
        <is>
          <t>纳入</t>
        </is>
      </c>
      <c r="K996" t="n">
        <v>653.0954631379963</v>
      </c>
      <c r="L996">
        <f>导管母表_1781!G996</f>
        <v/>
      </c>
      <c r="M996" t="inlineStr">
        <is>
          <t>近边缘（&lt;25 px）</t>
        </is>
      </c>
      <c r="N996" t="inlineStr">
        <is>
          <t>纳入A/D/Dh；若有Pair_ID则纳入CWR</t>
        </is>
      </c>
      <c r="O996" t="inlineStr">
        <is>
          <t>自动管线检出的合格导管腔。</t>
        </is>
      </c>
      <c r="P996" t="inlineStr">
        <is>
          <t>auto_pipeline;review_png_green</t>
        </is>
      </c>
      <c r="Q996" t="inlineStr">
        <is>
          <t>22(5)-P01</t>
        </is>
      </c>
      <c r="R996" t="inlineStr">
        <is>
          <t>样品22</t>
        </is>
      </c>
    </row>
    <row r="997">
      <c r="A997" t="inlineStr">
        <is>
          <t>22(5)-V03</t>
        </is>
      </c>
      <c r="B997" t="inlineStr">
        <is>
          <t>22 (5).tif</t>
        </is>
      </c>
      <c r="C997" t="n">
        <v>150</v>
      </c>
      <c r="D997" t="n">
        <v>575</v>
      </c>
      <c r="E997" t="inlineStr">
        <is>
          <t>115,518,186,633</t>
        </is>
      </c>
      <c r="F997" t="n">
        <v>115</v>
      </c>
      <c r="G997" t="inlineStr">
        <is>
          <t>primary</t>
        </is>
      </c>
      <c r="H997" t="inlineStr">
        <is>
          <t>AUTO_VESSEL</t>
        </is>
      </c>
      <c r="I997" t="inlineStr">
        <is>
          <t>是</t>
        </is>
      </c>
      <c r="J997" t="inlineStr">
        <is>
          <t>纳入</t>
        </is>
      </c>
      <c r="K997" t="n">
        <v>296.6918714555766</v>
      </c>
      <c r="L997">
        <f>导管母表_1781!G997</f>
        <v/>
      </c>
      <c r="M997" t="inlineStr">
        <is>
          <t>视野内部</t>
        </is>
      </c>
      <c r="N997" t="inlineStr">
        <is>
          <t>纳入A/D/Dh；若有Pair_ID则纳入CWR</t>
        </is>
      </c>
      <c r="O997" t="inlineStr">
        <is>
          <t>自动管线检出的合格导管腔。</t>
        </is>
      </c>
      <c r="P997" t="inlineStr">
        <is>
          <t>auto_pipeline;review_png_green</t>
        </is>
      </c>
      <c r="R997" t="inlineStr">
        <is>
          <t>样品22</t>
        </is>
      </c>
    </row>
    <row r="998">
      <c r="A998" t="inlineStr">
        <is>
          <t>22(5)-V04</t>
        </is>
      </c>
      <c r="B998" t="inlineStr">
        <is>
          <t>22 (5).tif</t>
        </is>
      </c>
      <c r="C998" t="n">
        <v>885</v>
      </c>
      <c r="D998" t="n">
        <v>384</v>
      </c>
      <c r="E998" t="inlineStr">
        <is>
          <t>849,342,922,427</t>
        </is>
      </c>
      <c r="F998" t="n">
        <v>102</v>
      </c>
      <c r="G998" t="inlineStr">
        <is>
          <t>primary</t>
        </is>
      </c>
      <c r="H998" t="inlineStr">
        <is>
          <t>AUTO_VESSEL</t>
        </is>
      </c>
      <c r="I998" t="inlineStr">
        <is>
          <t>是</t>
        </is>
      </c>
      <c r="J998" t="inlineStr">
        <is>
          <t>纳入</t>
        </is>
      </c>
      <c r="K998" t="n">
        <v>217.0604914933838</v>
      </c>
      <c r="L998">
        <f>导管母表_1781!G998</f>
        <v/>
      </c>
      <c r="M998" t="inlineStr">
        <is>
          <t>视野内部</t>
        </is>
      </c>
      <c r="N998" t="inlineStr">
        <is>
          <t>纳入A/D/Dh；若有Pair_ID则纳入CWR</t>
        </is>
      </c>
      <c r="O998" t="inlineStr">
        <is>
          <t>自动管线检出的合格导管腔。</t>
        </is>
      </c>
      <c r="P998" t="inlineStr">
        <is>
          <t>auto_pipeline;review_png_green</t>
        </is>
      </c>
      <c r="Q998" t="inlineStr">
        <is>
          <t>22(5)-P01</t>
        </is>
      </c>
      <c r="R998" t="inlineStr">
        <is>
          <t>样品22</t>
        </is>
      </c>
    </row>
    <row r="999">
      <c r="A999" t="inlineStr">
        <is>
          <t>22(5)-V05</t>
        </is>
      </c>
      <c r="B999" t="inlineStr">
        <is>
          <t>22 (5).tif</t>
        </is>
      </c>
      <c r="C999" t="n">
        <v>96</v>
      </c>
      <c r="D999" t="n">
        <v>365</v>
      </c>
      <c r="E999" t="inlineStr">
        <is>
          <t>59,329,134,402</t>
        </is>
      </c>
      <c r="F999" t="n">
        <v>59</v>
      </c>
      <c r="G999" t="inlineStr">
        <is>
          <t>primary</t>
        </is>
      </c>
      <c r="H999" t="inlineStr">
        <is>
          <t>AUTO_VESSEL</t>
        </is>
      </c>
      <c r="I999" t="inlineStr">
        <is>
          <t>是</t>
        </is>
      </c>
      <c r="J999" t="inlineStr">
        <is>
          <t>纳入</t>
        </is>
      </c>
      <c r="K999" t="n">
        <v>187.547258979206</v>
      </c>
      <c r="L999">
        <f>导管母表_1781!G999</f>
        <v/>
      </c>
      <c r="M999" t="inlineStr">
        <is>
          <t>视野内部</t>
        </is>
      </c>
      <c r="N999" t="inlineStr">
        <is>
          <t>纳入A/D/Dh；若有Pair_ID则纳入CWR</t>
        </is>
      </c>
      <c r="O999" t="inlineStr">
        <is>
          <t>自动管线检出的合格导管腔。</t>
        </is>
      </c>
      <c r="P999" t="inlineStr">
        <is>
          <t>auto_pipeline;review_png_green</t>
        </is>
      </c>
      <c r="R999" t="inlineStr">
        <is>
          <t>样品22</t>
        </is>
      </c>
    </row>
    <row r="1000">
      <c r="A1000" t="inlineStr">
        <is>
          <t>22(5)-V06</t>
        </is>
      </c>
      <c r="B1000" t="inlineStr">
        <is>
          <t>22 (5).tif</t>
        </is>
      </c>
      <c r="C1000" t="n">
        <v>427</v>
      </c>
      <c r="D1000" t="n">
        <v>87</v>
      </c>
      <c r="E1000" t="inlineStr">
        <is>
          <t>386,11,469,164</t>
        </is>
      </c>
      <c r="F1000" t="n">
        <v>11</v>
      </c>
      <c r="G1000" t="inlineStr">
        <is>
          <t>primary</t>
        </is>
      </c>
      <c r="H1000" t="inlineStr">
        <is>
          <t>AUTO_VESSEL</t>
        </is>
      </c>
      <c r="I1000" t="inlineStr">
        <is>
          <t>是</t>
        </is>
      </c>
      <c r="J1000" t="inlineStr">
        <is>
          <t>纳入</t>
        </is>
      </c>
      <c r="K1000" t="n">
        <v>177.6937618147448</v>
      </c>
      <c r="L1000">
        <f>导管母表_1781!G1000</f>
        <v/>
      </c>
      <c r="M1000" t="inlineStr">
        <is>
          <t>近边缘（&lt;25 px）</t>
        </is>
      </c>
      <c r="N1000" t="inlineStr">
        <is>
          <t>纳入A/D/Dh；若有Pair_ID则纳入CWR</t>
        </is>
      </c>
      <c r="O1000" t="inlineStr">
        <is>
          <t>自动管线检出的合格导管腔。</t>
        </is>
      </c>
      <c r="P1000" t="inlineStr">
        <is>
          <t>auto_pipeline;review_png_green</t>
        </is>
      </c>
      <c r="R1000" t="inlineStr">
        <is>
          <t>样品22</t>
        </is>
      </c>
    </row>
    <row r="1001">
      <c r="A1001" t="inlineStr">
        <is>
          <t>22(5)-V07</t>
        </is>
      </c>
      <c r="B1001" t="inlineStr">
        <is>
          <t>22 (5).tif</t>
        </is>
      </c>
      <c r="C1001" t="n">
        <v>701</v>
      </c>
      <c r="D1001" t="n">
        <v>523</v>
      </c>
      <c r="E1001" t="inlineStr">
        <is>
          <t>661,437,742,610</t>
        </is>
      </c>
      <c r="F1001" t="n">
        <v>158</v>
      </c>
      <c r="G1001" t="inlineStr">
        <is>
          <t>primary</t>
        </is>
      </c>
      <c r="H1001" t="inlineStr">
        <is>
          <t>AUTO_VESSEL</t>
        </is>
      </c>
      <c r="I1001" t="inlineStr">
        <is>
          <t>是</t>
        </is>
      </c>
      <c r="J1001" t="inlineStr">
        <is>
          <t>纳入</t>
        </is>
      </c>
      <c r="K1001" t="n">
        <v>167.9111531190926</v>
      </c>
      <c r="L1001">
        <f>导管母表_1781!G1001</f>
        <v/>
      </c>
      <c r="M1001" t="inlineStr">
        <is>
          <t>视野内部</t>
        </is>
      </c>
      <c r="N1001" t="inlineStr">
        <is>
          <t>纳入A/D/Dh；若有Pair_ID则纳入CWR</t>
        </is>
      </c>
      <c r="O1001" t="inlineStr">
        <is>
          <t>自动管线检出的合格导管腔。</t>
        </is>
      </c>
      <c r="P1001" t="inlineStr">
        <is>
          <t>auto_pipeline;review_png_green</t>
        </is>
      </c>
      <c r="R1001" t="inlineStr">
        <is>
          <t>样品22</t>
        </is>
      </c>
    </row>
    <row r="1002">
      <c r="A1002" t="inlineStr">
        <is>
          <t>22(5)-V08</t>
        </is>
      </c>
      <c r="B1002" t="inlineStr">
        <is>
          <t>22 (5).tif</t>
        </is>
      </c>
      <c r="C1002" t="n">
        <v>801</v>
      </c>
      <c r="D1002" t="n">
        <v>290</v>
      </c>
      <c r="E1002" t="inlineStr">
        <is>
          <t>777,251,826,330</t>
        </is>
      </c>
      <c r="F1002" t="n">
        <v>198</v>
      </c>
      <c r="G1002" t="inlineStr">
        <is>
          <t>primary</t>
        </is>
      </c>
      <c r="H1002" t="inlineStr">
        <is>
          <t>AUTO_VESSEL</t>
        </is>
      </c>
      <c r="I1002" t="inlineStr">
        <is>
          <t>是</t>
        </is>
      </c>
      <c r="J1002" t="inlineStr">
        <is>
          <t>纳入</t>
        </is>
      </c>
      <c r="K1002" t="n">
        <v>127.9773156899811</v>
      </c>
      <c r="L1002">
        <f>导管母表_1781!G1002</f>
        <v/>
      </c>
      <c r="M1002" t="inlineStr">
        <is>
          <t>视野内部</t>
        </is>
      </c>
      <c r="N1002" t="inlineStr">
        <is>
          <t>纳入A/D/Dh；若有Pair_ID则纳入CWR</t>
        </is>
      </c>
      <c r="O1002" t="inlineStr">
        <is>
          <t>自动管线检出的合格导管腔。</t>
        </is>
      </c>
      <c r="P1002" t="inlineStr">
        <is>
          <t>auto_pipeline;review_png_green</t>
        </is>
      </c>
      <c r="R1002" t="inlineStr">
        <is>
          <t>样品22</t>
        </is>
      </c>
    </row>
    <row r="1003">
      <c r="A1003" t="inlineStr">
        <is>
          <t>22(6)-V01</t>
        </is>
      </c>
      <c r="B1003" t="inlineStr">
        <is>
          <t>22 (6).tif</t>
        </is>
      </c>
      <c r="C1003" t="n">
        <v>458</v>
      </c>
      <c r="D1003" t="n">
        <v>450</v>
      </c>
      <c r="E1003" t="inlineStr">
        <is>
          <t>400,396,517,505</t>
        </is>
      </c>
      <c r="F1003" t="n">
        <v>263</v>
      </c>
      <c r="G1003" t="inlineStr">
        <is>
          <t>primary</t>
        </is>
      </c>
      <c r="H1003" t="inlineStr">
        <is>
          <t>AUTO_VESSEL</t>
        </is>
      </c>
      <c r="I1003" t="inlineStr">
        <is>
          <t>是</t>
        </is>
      </c>
      <c r="J1003" t="inlineStr">
        <is>
          <t>纳入</t>
        </is>
      </c>
      <c r="K1003" t="n">
        <v>452.6228733459357</v>
      </c>
      <c r="L1003">
        <f>导管母表_1781!G1003</f>
        <v/>
      </c>
      <c r="M1003" t="inlineStr">
        <is>
          <t>视野内部</t>
        </is>
      </c>
      <c r="N1003" t="inlineStr">
        <is>
          <t>纳入A/D/Dh；若有Pair_ID则纳入CWR</t>
        </is>
      </c>
      <c r="O1003" t="inlineStr">
        <is>
          <t>自动管线检出的合格导管腔。</t>
        </is>
      </c>
      <c r="P1003" t="inlineStr">
        <is>
          <t>auto_pipeline;review_png_green</t>
        </is>
      </c>
      <c r="R1003" t="inlineStr">
        <is>
          <t>样品22</t>
        </is>
      </c>
    </row>
    <row r="1004">
      <c r="A1004" t="inlineStr">
        <is>
          <t>22(6)-V02</t>
        </is>
      </c>
      <c r="B1004" t="inlineStr">
        <is>
          <t>22 (6).tif</t>
        </is>
      </c>
      <c r="C1004" t="n">
        <v>539</v>
      </c>
      <c r="D1004" t="n">
        <v>333</v>
      </c>
      <c r="E1004" t="inlineStr">
        <is>
          <t>486,278,593,389</t>
        </is>
      </c>
      <c r="F1004" t="n">
        <v>278</v>
      </c>
      <c r="G1004" t="inlineStr">
        <is>
          <t>primary</t>
        </is>
      </c>
      <c r="H1004" t="inlineStr">
        <is>
          <t>AUTO_VESSEL</t>
        </is>
      </c>
      <c r="I1004" t="inlineStr">
        <is>
          <t>是</t>
        </is>
      </c>
      <c r="J1004" t="inlineStr">
        <is>
          <t>纳入</t>
        </is>
      </c>
      <c r="K1004" t="n">
        <v>423.4404536862004</v>
      </c>
      <c r="L1004">
        <f>导管母表_1781!G1004</f>
        <v/>
      </c>
      <c r="M1004" t="inlineStr">
        <is>
          <t>视野内部</t>
        </is>
      </c>
      <c r="N1004" t="inlineStr">
        <is>
          <t>纳入A/D/Dh；若有Pair_ID则纳入CWR</t>
        </is>
      </c>
      <c r="O1004" t="inlineStr">
        <is>
          <t>自动管线检出的合格导管腔。</t>
        </is>
      </c>
      <c r="P1004" t="inlineStr">
        <is>
          <t>auto_pipeline;review_png_green</t>
        </is>
      </c>
      <c r="R1004" t="inlineStr">
        <is>
          <t>样品22</t>
        </is>
      </c>
    </row>
    <row r="1005">
      <c r="A1005" t="inlineStr">
        <is>
          <t>22(6)-V03</t>
        </is>
      </c>
      <c r="B1005" t="inlineStr">
        <is>
          <t>22 (6).tif</t>
        </is>
      </c>
      <c r="C1005" t="n">
        <v>731</v>
      </c>
      <c r="D1005" t="n">
        <v>392</v>
      </c>
      <c r="E1005" t="inlineStr">
        <is>
          <t>692,344,771,441</t>
        </is>
      </c>
      <c r="F1005" t="n">
        <v>253</v>
      </c>
      <c r="G1005" t="inlineStr">
        <is>
          <t>primary</t>
        </is>
      </c>
      <c r="H1005" t="inlineStr">
        <is>
          <t>AUTO_VESSEL</t>
        </is>
      </c>
      <c r="I1005" t="inlineStr">
        <is>
          <t>是</t>
        </is>
      </c>
      <c r="J1005" t="inlineStr">
        <is>
          <t>纳入</t>
        </is>
      </c>
      <c r="K1005" t="n">
        <v>220.3449905482042</v>
      </c>
      <c r="L1005">
        <f>导管母表_1781!G1005</f>
        <v/>
      </c>
      <c r="M1005" t="inlineStr">
        <is>
          <t>视野内部</t>
        </is>
      </c>
      <c r="N1005" t="inlineStr">
        <is>
          <t>纳入A/D/Dh；若有Pair_ID则纳入CWR</t>
        </is>
      </c>
      <c r="O1005" t="inlineStr">
        <is>
          <t>自动管线检出的合格导管腔。</t>
        </is>
      </c>
      <c r="P1005" t="inlineStr">
        <is>
          <t>auto_pipeline;review_png_green</t>
        </is>
      </c>
      <c r="R1005" t="inlineStr">
        <is>
          <t>样品22</t>
        </is>
      </c>
    </row>
    <row r="1006">
      <c r="A1006" t="inlineStr">
        <is>
          <t>22(6)-V04</t>
        </is>
      </c>
      <c r="B1006" t="inlineStr">
        <is>
          <t>22 (6).tif</t>
        </is>
      </c>
      <c r="C1006" t="n">
        <v>827</v>
      </c>
      <c r="D1006" t="n">
        <v>577</v>
      </c>
      <c r="E1006" t="inlineStr">
        <is>
          <t>794,542,861,613</t>
        </is>
      </c>
      <c r="F1006" t="n">
        <v>155</v>
      </c>
      <c r="G1006" t="inlineStr">
        <is>
          <t>primary</t>
        </is>
      </c>
      <c r="H1006" t="inlineStr">
        <is>
          <t>AUTO_VESSEL</t>
        </is>
      </c>
      <c r="I1006" t="inlineStr">
        <is>
          <t>是</t>
        </is>
      </c>
      <c r="J1006" t="inlineStr">
        <is>
          <t>纳入</t>
        </is>
      </c>
      <c r="K1006" t="n">
        <v>149.4328922495274</v>
      </c>
      <c r="L1006">
        <f>导管母表_1781!G1006</f>
        <v/>
      </c>
      <c r="M1006" t="inlineStr">
        <is>
          <t>视野内部</t>
        </is>
      </c>
      <c r="N1006" t="inlineStr">
        <is>
          <t>纳入A/D/Dh；若有Pair_ID则纳入CWR</t>
        </is>
      </c>
      <c r="O1006" t="inlineStr">
        <is>
          <t>自动管线检出的合格导管腔。</t>
        </is>
      </c>
      <c r="P1006" t="inlineStr">
        <is>
          <t>auto_pipeline;review_png_green</t>
        </is>
      </c>
      <c r="R1006" t="inlineStr">
        <is>
          <t>样品22</t>
        </is>
      </c>
    </row>
    <row r="1007">
      <c r="A1007" t="inlineStr">
        <is>
          <t>22(6)-V05</t>
        </is>
      </c>
      <c r="B1007" t="inlineStr">
        <is>
          <t>22 (6).tif</t>
        </is>
      </c>
      <c r="C1007" t="n">
        <v>916</v>
      </c>
      <c r="D1007" t="n">
        <v>421</v>
      </c>
      <c r="E1007" t="inlineStr">
        <is>
          <t>889,391,944,452</t>
        </is>
      </c>
      <c r="F1007" t="n">
        <v>80</v>
      </c>
      <c r="G1007" t="inlineStr">
        <is>
          <t>primary</t>
        </is>
      </c>
      <c r="H1007" t="inlineStr">
        <is>
          <t>AUTO_VESSEL</t>
        </is>
      </c>
      <c r="I1007" t="inlineStr">
        <is>
          <t>是</t>
        </is>
      </c>
      <c r="J1007" t="inlineStr">
        <is>
          <t>纳入</t>
        </is>
      </c>
      <c r="K1007" t="n">
        <v>119.7542533081285</v>
      </c>
      <c r="L1007">
        <f>导管母表_1781!G1007</f>
        <v/>
      </c>
      <c r="M1007" t="inlineStr">
        <is>
          <t>视野内部</t>
        </is>
      </c>
      <c r="N1007" t="inlineStr">
        <is>
          <t>纳入A/D/Dh；若有Pair_ID则纳入CWR</t>
        </is>
      </c>
      <c r="O1007" t="inlineStr">
        <is>
          <t>自动管线检出的合格导管腔。</t>
        </is>
      </c>
      <c r="P1007" t="inlineStr">
        <is>
          <t>auto_pipeline;review_png_green</t>
        </is>
      </c>
      <c r="R1007" t="inlineStr">
        <is>
          <t>样品22</t>
        </is>
      </c>
    </row>
    <row r="1008">
      <c r="A1008" t="inlineStr">
        <is>
          <t>22(7)-V01</t>
        </is>
      </c>
      <c r="B1008" t="inlineStr">
        <is>
          <t>22 (7).tif</t>
        </is>
      </c>
      <c r="C1008" t="n">
        <v>545</v>
      </c>
      <c r="D1008" t="n">
        <v>368</v>
      </c>
      <c r="E1008" t="inlineStr">
        <is>
          <t>493,306,598,431</t>
        </is>
      </c>
      <c r="F1008" t="n">
        <v>306</v>
      </c>
      <c r="G1008" t="inlineStr">
        <is>
          <t>primary</t>
        </is>
      </c>
      <c r="H1008" t="inlineStr">
        <is>
          <t>AUTO_VESSEL</t>
        </is>
      </c>
      <c r="I1008" t="inlineStr">
        <is>
          <t>是</t>
        </is>
      </c>
      <c r="J1008" t="inlineStr">
        <is>
          <t>纳入</t>
        </is>
      </c>
      <c r="K1008" t="n">
        <v>478.7807183364839</v>
      </c>
      <c r="L1008">
        <f>导管母表_1781!G1008</f>
        <v/>
      </c>
      <c r="M1008" t="inlineStr">
        <is>
          <t>视野内部</t>
        </is>
      </c>
      <c r="N1008" t="inlineStr">
        <is>
          <t>纳入A/D/Dh；若有Pair_ID则纳入CWR</t>
        </is>
      </c>
      <c r="O1008" t="inlineStr">
        <is>
          <t>自动管线检出的合格导管腔。</t>
        </is>
      </c>
      <c r="P1008" t="inlineStr">
        <is>
          <t>auto_pipeline;review_png_green</t>
        </is>
      </c>
      <c r="Q1008" t="inlineStr">
        <is>
          <t>22(7)-P01</t>
        </is>
      </c>
      <c r="R1008" t="inlineStr">
        <is>
          <t>样品22</t>
        </is>
      </c>
    </row>
    <row r="1009">
      <c r="A1009" t="inlineStr">
        <is>
          <t>22(7)-V02</t>
        </is>
      </c>
      <c r="B1009" t="inlineStr">
        <is>
          <t>22 (7).tif</t>
        </is>
      </c>
      <c r="C1009" t="n">
        <v>451</v>
      </c>
      <c r="D1009" t="n">
        <v>282</v>
      </c>
      <c r="E1009" t="inlineStr">
        <is>
          <t>403,225,500,340</t>
        </is>
      </c>
      <c r="F1009" t="n">
        <v>225</v>
      </c>
      <c r="G1009" t="inlineStr">
        <is>
          <t>primary</t>
        </is>
      </c>
      <c r="H1009" t="inlineStr">
        <is>
          <t>AUTO_VESSEL</t>
        </is>
      </c>
      <c r="I1009" t="inlineStr">
        <is>
          <t>是</t>
        </is>
      </c>
      <c r="J1009" t="inlineStr">
        <is>
          <t>纳入</t>
        </is>
      </c>
      <c r="K1009" t="n">
        <v>404.6313799621928</v>
      </c>
      <c r="L1009">
        <f>导管母表_1781!G1009</f>
        <v/>
      </c>
      <c r="M1009" t="inlineStr">
        <is>
          <t>视野内部</t>
        </is>
      </c>
      <c r="N1009" t="inlineStr">
        <is>
          <t>纳入A/D/Dh；若有Pair_ID则纳入CWR</t>
        </is>
      </c>
      <c r="O1009" t="inlineStr">
        <is>
          <t>自动管线检出的合格导管腔。</t>
        </is>
      </c>
      <c r="P1009" t="inlineStr">
        <is>
          <t>auto_pipeline;review_png_green</t>
        </is>
      </c>
      <c r="Q1009" t="inlineStr">
        <is>
          <t>22(7)-P01</t>
        </is>
      </c>
      <c r="R1009" t="inlineStr">
        <is>
          <t>样品22</t>
        </is>
      </c>
    </row>
    <row r="1010">
      <c r="A1010" t="inlineStr">
        <is>
          <t>22(7)-V03</t>
        </is>
      </c>
      <c r="B1010" t="inlineStr">
        <is>
          <t>22 (7).tif</t>
        </is>
      </c>
      <c r="C1010" t="n">
        <v>780</v>
      </c>
      <c r="D1010" t="n">
        <v>228</v>
      </c>
      <c r="E1010" t="inlineStr">
        <is>
          <t>736,171,825,286</t>
        </is>
      </c>
      <c r="F1010" t="n">
        <v>171</v>
      </c>
      <c r="G1010" t="inlineStr">
        <is>
          <t>primary</t>
        </is>
      </c>
      <c r="H1010" t="inlineStr">
        <is>
          <t>AUTO_VESSEL</t>
        </is>
      </c>
      <c r="I1010" t="inlineStr">
        <is>
          <t>是</t>
        </is>
      </c>
      <c r="J1010" t="inlineStr">
        <is>
          <t>纳入</t>
        </is>
      </c>
      <c r="K1010" t="n">
        <v>313.7996219281663</v>
      </c>
      <c r="L1010">
        <f>导管母表_1781!G1010</f>
        <v/>
      </c>
      <c r="M1010" t="inlineStr">
        <is>
          <t>视野内部</t>
        </is>
      </c>
      <c r="N1010" t="inlineStr">
        <is>
          <t>纳入A/D/Dh；若有Pair_ID则纳入CWR</t>
        </is>
      </c>
      <c r="O1010" t="inlineStr">
        <is>
          <t>自动管线检出的合格导管腔。</t>
        </is>
      </c>
      <c r="P1010" t="inlineStr">
        <is>
          <t>auto_pipeline;review_png_green</t>
        </is>
      </c>
      <c r="R1010" t="inlineStr">
        <is>
          <t>样品22</t>
        </is>
      </c>
    </row>
    <row r="1011">
      <c r="A1011" t="inlineStr">
        <is>
          <t>22(7)-V04</t>
        </is>
      </c>
      <c r="B1011" t="inlineStr">
        <is>
          <t>22 (7).tif</t>
        </is>
      </c>
      <c r="C1011" t="n">
        <v>180</v>
      </c>
      <c r="D1011" t="n">
        <v>73</v>
      </c>
      <c r="E1011" t="inlineStr">
        <is>
          <t>137,26,224,121</t>
        </is>
      </c>
      <c r="F1011" t="n">
        <v>26</v>
      </c>
      <c r="G1011" t="inlineStr">
        <is>
          <t>primary</t>
        </is>
      </c>
      <c r="H1011" t="inlineStr">
        <is>
          <t>AUTO_VESSEL</t>
        </is>
      </c>
      <c r="I1011" t="inlineStr">
        <is>
          <t>是</t>
        </is>
      </c>
      <c r="J1011" t="inlineStr">
        <is>
          <t>纳入</t>
        </is>
      </c>
      <c r="K1011" t="n">
        <v>299.3620037807183</v>
      </c>
      <c r="L1011">
        <f>导管母表_1781!G1011</f>
        <v/>
      </c>
      <c r="M1011" t="inlineStr">
        <is>
          <t>视野内部</t>
        </is>
      </c>
      <c r="N1011" t="inlineStr">
        <is>
          <t>纳入A/D/Dh；若有Pair_ID则纳入CWR</t>
        </is>
      </c>
      <c r="O1011" t="inlineStr">
        <is>
          <t>自动管线检出的合格导管腔。</t>
        </is>
      </c>
      <c r="P1011" t="inlineStr">
        <is>
          <t>auto_pipeline;review_png_green</t>
        </is>
      </c>
      <c r="R1011" t="inlineStr">
        <is>
          <t>样品22</t>
        </is>
      </c>
    </row>
    <row r="1012">
      <c r="A1012" t="inlineStr">
        <is>
          <t>22(7)-V05</t>
        </is>
      </c>
      <c r="B1012" t="inlineStr">
        <is>
          <t>22 (7).tif</t>
        </is>
      </c>
      <c r="C1012" t="n">
        <v>921</v>
      </c>
      <c r="D1012" t="n">
        <v>337</v>
      </c>
      <c r="E1012" t="inlineStr">
        <is>
          <t>888,298,955,377</t>
        </is>
      </c>
      <c r="F1012" t="n">
        <v>69</v>
      </c>
      <c r="G1012" t="inlineStr">
        <is>
          <t>primary</t>
        </is>
      </c>
      <c r="H1012" t="inlineStr">
        <is>
          <t>AUTO_VESSEL</t>
        </is>
      </c>
      <c r="I1012" t="inlineStr">
        <is>
          <t>是</t>
        </is>
      </c>
      <c r="J1012" t="inlineStr">
        <is>
          <t>纳入</t>
        </is>
      </c>
      <c r="K1012" t="n">
        <v>169.7069943289225</v>
      </c>
      <c r="L1012">
        <f>导管母表_1781!G1012</f>
        <v/>
      </c>
      <c r="M1012" t="inlineStr">
        <is>
          <t>视野内部</t>
        </is>
      </c>
      <c r="N1012" t="inlineStr">
        <is>
          <t>纳入A/D/Dh；若有Pair_ID则纳入CWR</t>
        </is>
      </c>
      <c r="O1012" t="inlineStr">
        <is>
          <t>自动管线检出的合格导管腔。</t>
        </is>
      </c>
      <c r="P1012" t="inlineStr">
        <is>
          <t>auto_pipeline;review_png_green</t>
        </is>
      </c>
      <c r="R1012" t="inlineStr">
        <is>
          <t>样品22</t>
        </is>
      </c>
    </row>
    <row r="1013">
      <c r="A1013" t="inlineStr">
        <is>
          <t>22(7)-V06</t>
        </is>
      </c>
      <c r="B1013" t="inlineStr">
        <is>
          <t>22 (7).tif</t>
        </is>
      </c>
      <c r="C1013" t="n">
        <v>42</v>
      </c>
      <c r="D1013" t="n">
        <v>573</v>
      </c>
      <c r="E1013" t="inlineStr">
        <is>
          <t>19,535,66,612</t>
        </is>
      </c>
      <c r="F1013" t="n">
        <v>19</v>
      </c>
      <c r="G1013" t="inlineStr">
        <is>
          <t>primary</t>
        </is>
      </c>
      <c r="H1013" t="inlineStr">
        <is>
          <t>AUTO_VESSEL</t>
        </is>
      </c>
      <c r="I1013" t="inlineStr">
        <is>
          <t>是</t>
        </is>
      </c>
      <c r="J1013" t="inlineStr">
        <is>
          <t>纳入</t>
        </is>
      </c>
      <c r="K1013" t="n">
        <v>129.8676748582231</v>
      </c>
      <c r="L1013">
        <f>导管母表_1781!G1013</f>
        <v/>
      </c>
      <c r="M1013" t="inlineStr">
        <is>
          <t>近边缘（&lt;25 px）</t>
        </is>
      </c>
      <c r="N1013" t="inlineStr">
        <is>
          <t>纳入A/D/Dh；若有Pair_ID则纳入CWR</t>
        </is>
      </c>
      <c r="O1013" t="inlineStr">
        <is>
          <t>自动管线检出的合格导管腔。</t>
        </is>
      </c>
      <c r="P1013" t="inlineStr">
        <is>
          <t>auto_pipeline;review_png_green</t>
        </is>
      </c>
      <c r="R1013" t="inlineStr">
        <is>
          <t>样品22</t>
        </is>
      </c>
    </row>
    <row r="1014">
      <c r="A1014" t="inlineStr">
        <is>
          <t>22(8)-V01</t>
        </is>
      </c>
      <c r="B1014" t="inlineStr">
        <is>
          <t>22 (8).tif</t>
        </is>
      </c>
      <c r="C1014" t="n">
        <v>442</v>
      </c>
      <c r="D1014" t="n">
        <v>414</v>
      </c>
      <c r="E1014" t="inlineStr">
        <is>
          <t>375,339,510,490</t>
        </is>
      </c>
      <c r="F1014" t="n">
        <v>278</v>
      </c>
      <c r="G1014" t="inlineStr">
        <is>
          <t>primary</t>
        </is>
      </c>
      <c r="H1014" t="inlineStr">
        <is>
          <t>AUTO_VESSEL</t>
        </is>
      </c>
      <c r="I1014" t="inlineStr">
        <is>
          <t>是</t>
        </is>
      </c>
      <c r="J1014" t="inlineStr">
        <is>
          <t>纳入</t>
        </is>
      </c>
      <c r="K1014" t="n">
        <v>745.5576559546314</v>
      </c>
      <c r="L1014">
        <f>导管母表_1781!G1014</f>
        <v/>
      </c>
      <c r="M1014" t="inlineStr">
        <is>
          <t>视野内部</t>
        </is>
      </c>
      <c r="N1014" t="inlineStr">
        <is>
          <t>纳入A/D/Dh；若有Pair_ID则纳入CWR</t>
        </is>
      </c>
      <c r="O1014" t="inlineStr">
        <is>
          <t>自动管线检出的合格导管腔。</t>
        </is>
      </c>
      <c r="P1014" t="inlineStr">
        <is>
          <t>auto_pipeline;review_png_green</t>
        </is>
      </c>
      <c r="Q1014" t="inlineStr">
        <is>
          <t>22(8)-P01</t>
        </is>
      </c>
      <c r="R1014" t="inlineStr">
        <is>
          <t>样品22</t>
        </is>
      </c>
    </row>
    <row r="1015">
      <c r="A1015" t="inlineStr">
        <is>
          <t>22(8)-V02</t>
        </is>
      </c>
      <c r="B1015" t="inlineStr">
        <is>
          <t>22 (8).tif</t>
        </is>
      </c>
      <c r="C1015" t="n">
        <v>97</v>
      </c>
      <c r="D1015" t="n">
        <v>377</v>
      </c>
      <c r="E1015" t="inlineStr">
        <is>
          <t>38,321,157,434</t>
        </is>
      </c>
      <c r="F1015" t="n">
        <v>38</v>
      </c>
      <c r="G1015" t="inlineStr">
        <is>
          <t>primary</t>
        </is>
      </c>
      <c r="H1015" t="inlineStr">
        <is>
          <t>AUTO_VESSEL</t>
        </is>
      </c>
      <c r="I1015" t="inlineStr">
        <is>
          <t>是</t>
        </is>
      </c>
      <c r="J1015" t="inlineStr">
        <is>
          <t>纳入</t>
        </is>
      </c>
      <c r="K1015" t="n">
        <v>446.5028355387524</v>
      </c>
      <c r="L1015">
        <f>导管母表_1781!G1015</f>
        <v/>
      </c>
      <c r="M1015" t="inlineStr">
        <is>
          <t>视野内部</t>
        </is>
      </c>
      <c r="N1015" t="inlineStr">
        <is>
          <t>纳入A/D/Dh；若有Pair_ID则纳入CWR</t>
        </is>
      </c>
      <c r="O1015" t="inlineStr">
        <is>
          <t>自动管线检出的合格导管腔。</t>
        </is>
      </c>
      <c r="P1015" t="inlineStr">
        <is>
          <t>auto_pipeline;review_png_green</t>
        </is>
      </c>
      <c r="R1015" t="inlineStr">
        <is>
          <t>样品22</t>
        </is>
      </c>
    </row>
    <row r="1016">
      <c r="A1016" t="inlineStr">
        <is>
          <t>22(8)-V03</t>
        </is>
      </c>
      <c r="B1016" t="inlineStr">
        <is>
          <t>22 (8).tif</t>
        </is>
      </c>
      <c r="C1016" t="n">
        <v>303</v>
      </c>
      <c r="D1016" t="n">
        <v>559</v>
      </c>
      <c r="E1016" t="inlineStr">
        <is>
          <t>250,507,357,612</t>
        </is>
      </c>
      <c r="F1016" t="n">
        <v>156</v>
      </c>
      <c r="G1016" t="inlineStr">
        <is>
          <t>primary</t>
        </is>
      </c>
      <c r="H1016" t="inlineStr">
        <is>
          <t>AUTO_VESSEL</t>
        </is>
      </c>
      <c r="I1016" t="inlineStr">
        <is>
          <t>是</t>
        </is>
      </c>
      <c r="J1016" t="inlineStr">
        <is>
          <t>纳入</t>
        </is>
      </c>
      <c r="K1016" t="n">
        <v>408.1521739130435</v>
      </c>
      <c r="L1016">
        <f>导管母表_1781!G1016</f>
        <v/>
      </c>
      <c r="M1016" t="inlineStr">
        <is>
          <t>视野内部</t>
        </is>
      </c>
      <c r="N1016" t="inlineStr">
        <is>
          <t>纳入A/D/Dh；若有Pair_ID则纳入CWR</t>
        </is>
      </c>
      <c r="O1016" t="inlineStr">
        <is>
          <t>自动管线检出的合格导管腔。</t>
        </is>
      </c>
      <c r="P1016" t="inlineStr">
        <is>
          <t>auto_pipeline;review_png_green</t>
        </is>
      </c>
      <c r="R1016" t="inlineStr">
        <is>
          <t>样品22</t>
        </is>
      </c>
    </row>
    <row r="1017">
      <c r="A1017" t="inlineStr">
        <is>
          <t>22(8)-V04</t>
        </is>
      </c>
      <c r="B1017" t="inlineStr">
        <is>
          <t>22 (8).tif</t>
        </is>
      </c>
      <c r="C1017" t="n">
        <v>528</v>
      </c>
      <c r="D1017" t="n">
        <v>314</v>
      </c>
      <c r="E1017" t="inlineStr">
        <is>
          <t>482,260,575,369</t>
        </is>
      </c>
      <c r="F1017" t="n">
        <v>260</v>
      </c>
      <c r="G1017" t="inlineStr">
        <is>
          <t>primary</t>
        </is>
      </c>
      <c r="H1017" t="inlineStr">
        <is>
          <t>AUTO_VESSEL</t>
        </is>
      </c>
      <c r="I1017" t="inlineStr">
        <is>
          <t>是</t>
        </is>
      </c>
      <c r="J1017" t="inlineStr">
        <is>
          <t>纳入</t>
        </is>
      </c>
      <c r="K1017" t="n">
        <v>368.1947069943289</v>
      </c>
      <c r="L1017">
        <f>导管母表_1781!G1017</f>
        <v/>
      </c>
      <c r="M1017" t="inlineStr">
        <is>
          <t>视野内部</t>
        </is>
      </c>
      <c r="N1017" t="inlineStr">
        <is>
          <t>纳入A/D/Dh；若有Pair_ID则纳入CWR</t>
        </is>
      </c>
      <c r="O1017" t="inlineStr">
        <is>
          <t>自动管线检出的合格导管腔。</t>
        </is>
      </c>
      <c r="P1017" t="inlineStr">
        <is>
          <t>auto_pipeline;review_png_green</t>
        </is>
      </c>
      <c r="Q1017" t="inlineStr">
        <is>
          <t>22(8)-P01</t>
        </is>
      </c>
      <c r="R1017" t="inlineStr">
        <is>
          <t>样品22</t>
        </is>
      </c>
    </row>
    <row r="1018">
      <c r="A1018" t="inlineStr">
        <is>
          <t>22(8)-V05</t>
        </is>
      </c>
      <c r="B1018" t="inlineStr">
        <is>
          <t>22 (8).tif</t>
        </is>
      </c>
      <c r="C1018" t="n">
        <v>846</v>
      </c>
      <c r="D1018" t="n">
        <v>571</v>
      </c>
      <c r="E1018" t="inlineStr">
        <is>
          <t>783,536,910,607</t>
        </is>
      </c>
      <c r="F1018" t="n">
        <v>114</v>
      </c>
      <c r="G1018" t="inlineStr">
        <is>
          <t>primary</t>
        </is>
      </c>
      <c r="H1018" t="inlineStr">
        <is>
          <t>AUTO_VESSEL</t>
        </is>
      </c>
      <c r="I1018" t="inlineStr">
        <is>
          <t>是</t>
        </is>
      </c>
      <c r="J1018" t="inlineStr">
        <is>
          <t>纳入</t>
        </is>
      </c>
      <c r="K1018" t="n">
        <v>318.336483931947</v>
      </c>
      <c r="L1018">
        <f>导管母表_1781!G1018</f>
        <v/>
      </c>
      <c r="M1018" t="inlineStr">
        <is>
          <t>视野内部</t>
        </is>
      </c>
      <c r="N1018" t="inlineStr">
        <is>
          <t>纳入A/D/Dh；若有Pair_ID则纳入CWR</t>
        </is>
      </c>
      <c r="O1018" t="inlineStr">
        <is>
          <t>自动管线检出的合格导管腔。</t>
        </is>
      </c>
      <c r="P1018" t="inlineStr">
        <is>
          <t>auto_pipeline;review_png_green</t>
        </is>
      </c>
      <c r="R1018" t="inlineStr">
        <is>
          <t>样品22</t>
        </is>
      </c>
    </row>
    <row r="1019">
      <c r="A1019" t="inlineStr">
        <is>
          <t>22(8)-V06</t>
        </is>
      </c>
      <c r="B1019" t="inlineStr">
        <is>
          <t>22 (8).tif</t>
        </is>
      </c>
      <c r="C1019" t="n">
        <v>109</v>
      </c>
      <c r="D1019" t="n">
        <v>157</v>
      </c>
      <c r="E1019" t="inlineStr">
        <is>
          <t>63,119,156,196</t>
        </is>
      </c>
      <c r="F1019" t="n">
        <v>63</v>
      </c>
      <c r="G1019" t="inlineStr">
        <is>
          <t>primary</t>
        </is>
      </c>
      <c r="H1019" t="inlineStr">
        <is>
          <t>AUTO_VESSEL</t>
        </is>
      </c>
      <c r="I1019" t="inlineStr">
        <is>
          <t>是</t>
        </is>
      </c>
      <c r="J1019" t="inlineStr">
        <is>
          <t>纳入</t>
        </is>
      </c>
      <c r="K1019" t="n">
        <v>223.8185255198488</v>
      </c>
      <c r="L1019">
        <f>导管母表_1781!G1019</f>
        <v/>
      </c>
      <c r="M1019" t="inlineStr">
        <is>
          <t>视野内部</t>
        </is>
      </c>
      <c r="N1019" t="inlineStr">
        <is>
          <t>纳入A/D/Dh；若有Pair_ID则纳入CWR</t>
        </is>
      </c>
      <c r="O1019" t="inlineStr">
        <is>
          <t>自动管线检出的合格导管腔。</t>
        </is>
      </c>
      <c r="P1019" t="inlineStr">
        <is>
          <t>auto_pipeline;review_png_green</t>
        </is>
      </c>
      <c r="R1019" t="inlineStr">
        <is>
          <t>样品22</t>
        </is>
      </c>
    </row>
    <row r="1020">
      <c r="A1020" t="inlineStr">
        <is>
          <t>22(8)-V07</t>
        </is>
      </c>
      <c r="B1020" t="inlineStr">
        <is>
          <t>22 (8).tif</t>
        </is>
      </c>
      <c r="C1020" t="n">
        <v>92</v>
      </c>
      <c r="D1020" t="n">
        <v>584</v>
      </c>
      <c r="E1020" t="inlineStr">
        <is>
          <t>57,558,128,611</t>
        </is>
      </c>
      <c r="F1020" t="n">
        <v>57</v>
      </c>
      <c r="G1020" t="inlineStr">
        <is>
          <t>primary</t>
        </is>
      </c>
      <c r="H1020" t="inlineStr">
        <is>
          <t>AUTO_VESSEL</t>
        </is>
      </c>
      <c r="I1020" t="inlineStr">
        <is>
          <t>是</t>
        </is>
      </c>
      <c r="J1020" t="inlineStr">
        <is>
          <t>纳入</t>
        </is>
      </c>
      <c r="K1020" t="n">
        <v>135.3024574669187</v>
      </c>
      <c r="L1020">
        <f>导管母表_1781!G1020</f>
        <v/>
      </c>
      <c r="M1020" t="inlineStr">
        <is>
          <t>视野内部</t>
        </is>
      </c>
      <c r="N1020" t="inlineStr">
        <is>
          <t>纳入A/D/Dh；若有Pair_ID则纳入CWR</t>
        </is>
      </c>
      <c r="O1020" t="inlineStr">
        <is>
          <t>自动管线检出的合格导管腔。</t>
        </is>
      </c>
      <c r="P1020" t="inlineStr">
        <is>
          <t>auto_pipeline;review_png_green</t>
        </is>
      </c>
      <c r="R1020" t="inlineStr">
        <is>
          <t>样品22</t>
        </is>
      </c>
    </row>
    <row r="1021">
      <c r="A1021" t="inlineStr">
        <is>
          <t>22(8)-V08</t>
        </is>
      </c>
      <c r="B1021" t="inlineStr">
        <is>
          <t>22 (8).tif</t>
        </is>
      </c>
      <c r="C1021" t="n">
        <v>188</v>
      </c>
      <c r="D1021" t="n">
        <v>473</v>
      </c>
      <c r="E1021" t="inlineStr">
        <is>
          <t>153,447,224,500</t>
        </is>
      </c>
      <c r="F1021" t="n">
        <v>153</v>
      </c>
      <c r="G1021" t="inlineStr">
        <is>
          <t>primary</t>
        </is>
      </c>
      <c r="H1021" t="inlineStr">
        <is>
          <t>AUTO_VESSEL</t>
        </is>
      </c>
      <c r="I1021" t="inlineStr">
        <is>
          <t>是</t>
        </is>
      </c>
      <c r="J1021" t="inlineStr">
        <is>
          <t>纳入</t>
        </is>
      </c>
      <c r="K1021" t="n">
        <v>116.0444234404537</v>
      </c>
      <c r="L1021">
        <f>导管母表_1781!G1021</f>
        <v/>
      </c>
      <c r="M1021" t="inlineStr">
        <is>
          <t>视野内部</t>
        </is>
      </c>
      <c r="N1021" t="inlineStr">
        <is>
          <t>纳入A/D/Dh；若有Pair_ID则纳入CWR</t>
        </is>
      </c>
      <c r="O1021" t="inlineStr">
        <is>
          <t>自动管线检出的合格导管腔。</t>
        </is>
      </c>
      <c r="P1021" t="inlineStr">
        <is>
          <t>auto_pipeline;review_png_green</t>
        </is>
      </c>
      <c r="R1021" t="inlineStr">
        <is>
          <t>样品22</t>
        </is>
      </c>
    </row>
    <row r="1022">
      <c r="A1022" t="inlineStr">
        <is>
          <t>23(1)-V01</t>
        </is>
      </c>
      <c r="B1022" t="inlineStr">
        <is>
          <t>23 (1).tif</t>
        </is>
      </c>
      <c r="C1022" t="n">
        <v>133</v>
      </c>
      <c r="D1022" t="n">
        <v>278</v>
      </c>
      <c r="E1022" t="inlineStr">
        <is>
          <t>56,181,211,376</t>
        </is>
      </c>
      <c r="F1022" t="n">
        <v>56</v>
      </c>
      <c r="G1022" t="inlineStr">
        <is>
          <t>primary</t>
        </is>
      </c>
      <c r="H1022" t="inlineStr">
        <is>
          <t>AUTO_VESSEL</t>
        </is>
      </c>
      <c r="I1022" t="inlineStr">
        <is>
          <t>是</t>
        </is>
      </c>
      <c r="J1022" t="inlineStr">
        <is>
          <t>纳入</t>
        </is>
      </c>
      <c r="K1022" t="n">
        <v>1059.617202268431</v>
      </c>
      <c r="L1022">
        <f>导管母表_1781!G1022</f>
        <v/>
      </c>
      <c r="M1022" t="inlineStr">
        <is>
          <t>视野内部</t>
        </is>
      </c>
      <c r="N1022" t="inlineStr">
        <is>
          <t>纳入A/D/Dh；若有Pair_ID则纳入CWR</t>
        </is>
      </c>
      <c r="O1022" t="inlineStr">
        <is>
          <t>自动管线检出的合格导管腔。</t>
        </is>
      </c>
      <c r="P1022" t="inlineStr">
        <is>
          <t>auto_pipeline;review_png_green</t>
        </is>
      </c>
      <c r="R1022" t="inlineStr">
        <is>
          <t>样品23</t>
        </is>
      </c>
    </row>
    <row r="1023">
      <c r="A1023" t="inlineStr">
        <is>
          <t>23(1)-V02</t>
        </is>
      </c>
      <c r="B1023" t="inlineStr">
        <is>
          <t>23 (1).tif</t>
        </is>
      </c>
      <c r="C1023" t="n">
        <v>450</v>
      </c>
      <c r="D1023" t="n">
        <v>458</v>
      </c>
      <c r="E1023" t="inlineStr">
        <is>
          <t>391,410,510,507</t>
        </is>
      </c>
      <c r="F1023" t="n">
        <v>261</v>
      </c>
      <c r="G1023" t="inlineStr">
        <is>
          <t>primary</t>
        </is>
      </c>
      <c r="H1023" t="inlineStr">
        <is>
          <t>AUTO_VESSEL</t>
        </is>
      </c>
      <c r="I1023" t="inlineStr">
        <is>
          <t>是</t>
        </is>
      </c>
      <c r="J1023" t="inlineStr">
        <is>
          <t>纳入</t>
        </is>
      </c>
      <c r="K1023" t="n">
        <v>416.1625708884688</v>
      </c>
      <c r="L1023">
        <f>导管母表_1781!G1023</f>
        <v/>
      </c>
      <c r="M1023" t="inlineStr">
        <is>
          <t>视野内部</t>
        </is>
      </c>
      <c r="N1023" t="inlineStr">
        <is>
          <t>纳入A/D/Dh；若有Pair_ID则纳入CWR</t>
        </is>
      </c>
      <c r="O1023" t="inlineStr">
        <is>
          <t>自动管线检出的合格导管腔。</t>
        </is>
      </c>
      <c r="P1023" t="inlineStr">
        <is>
          <t>auto_pipeline;review_png_green</t>
        </is>
      </c>
      <c r="R1023" t="inlineStr">
        <is>
          <t>样品23</t>
        </is>
      </c>
    </row>
    <row r="1024">
      <c r="A1024" t="inlineStr">
        <is>
          <t>23(1)-V03</t>
        </is>
      </c>
      <c r="B1024" t="inlineStr">
        <is>
          <t>23 (1).tif</t>
        </is>
      </c>
      <c r="C1024" t="n">
        <v>538</v>
      </c>
      <c r="D1024" t="n">
        <v>336</v>
      </c>
      <c r="E1024" t="inlineStr">
        <is>
          <t>489,286,588,387</t>
        </is>
      </c>
      <c r="F1024" t="n">
        <v>286</v>
      </c>
      <c r="G1024" t="inlineStr">
        <is>
          <t>primary</t>
        </is>
      </c>
      <c r="H1024" t="inlineStr">
        <is>
          <t>AUTO_VESSEL</t>
        </is>
      </c>
      <c r="I1024" t="inlineStr">
        <is>
          <t>是</t>
        </is>
      </c>
      <c r="J1024" t="inlineStr">
        <is>
          <t>纳入</t>
        </is>
      </c>
      <c r="K1024" t="n">
        <v>363.7523629489603</v>
      </c>
      <c r="L1024">
        <f>导管母表_1781!G1024</f>
        <v/>
      </c>
      <c r="M1024" t="inlineStr">
        <is>
          <t>视野内部</t>
        </is>
      </c>
      <c r="N1024" t="inlineStr">
        <is>
          <t>纳入A/D/Dh；若有Pair_ID则纳入CWR</t>
        </is>
      </c>
      <c r="O1024" t="inlineStr">
        <is>
          <t>自动管线检出的合格导管腔。</t>
        </is>
      </c>
      <c r="P1024" t="inlineStr">
        <is>
          <t>auto_pipeline;review_png_green</t>
        </is>
      </c>
      <c r="R1024" t="inlineStr">
        <is>
          <t>样品23</t>
        </is>
      </c>
    </row>
    <row r="1025">
      <c r="A1025" t="inlineStr">
        <is>
          <t>23(1)-V04</t>
        </is>
      </c>
      <c r="B1025" t="inlineStr">
        <is>
          <t>23 (1).tif</t>
        </is>
      </c>
      <c r="C1025" t="n">
        <v>459</v>
      </c>
      <c r="D1025" t="n">
        <v>299</v>
      </c>
      <c r="E1025" t="inlineStr">
        <is>
          <t>414,254,505,345</t>
        </is>
      </c>
      <c r="F1025" t="n">
        <v>254</v>
      </c>
      <c r="G1025" t="inlineStr">
        <is>
          <t>primary</t>
        </is>
      </c>
      <c r="H1025" t="inlineStr">
        <is>
          <t>AUTO_VESSEL</t>
        </is>
      </c>
      <c r="I1025" t="inlineStr">
        <is>
          <t>是</t>
        </is>
      </c>
      <c r="J1025" t="inlineStr">
        <is>
          <t>纳入</t>
        </is>
      </c>
      <c r="K1025" t="n">
        <v>180.812854442344</v>
      </c>
      <c r="L1025">
        <f>导管母表_1781!G1025</f>
        <v/>
      </c>
      <c r="M1025" t="inlineStr">
        <is>
          <t>视野内部</t>
        </is>
      </c>
      <c r="N1025" t="inlineStr">
        <is>
          <t>纳入A/D/Dh；若有Pair_ID则纳入CWR</t>
        </is>
      </c>
      <c r="O1025" t="inlineStr">
        <is>
          <t>自动管线检出的合格导管腔。</t>
        </is>
      </c>
      <c r="P1025" t="inlineStr">
        <is>
          <t>auto_pipeline;review_png_green</t>
        </is>
      </c>
      <c r="R1025" t="inlineStr">
        <is>
          <t>样品23</t>
        </is>
      </c>
    </row>
    <row r="1026">
      <c r="A1026" t="inlineStr">
        <is>
          <t>23(1)-V05</t>
        </is>
      </c>
      <c r="B1026" t="inlineStr">
        <is>
          <t>23 (1).tif</t>
        </is>
      </c>
      <c r="C1026" t="n">
        <v>706</v>
      </c>
      <c r="D1026" t="n">
        <v>363</v>
      </c>
      <c r="E1026" t="inlineStr">
        <is>
          <t>679,321,734,406</t>
        </is>
      </c>
      <c r="F1026" t="n">
        <v>290</v>
      </c>
      <c r="G1026" t="inlineStr">
        <is>
          <t>primary</t>
        </is>
      </c>
      <c r="H1026" t="inlineStr">
        <is>
          <t>AUTO_VESSEL</t>
        </is>
      </c>
      <c r="I1026" t="inlineStr">
        <is>
          <t>是</t>
        </is>
      </c>
      <c r="J1026" t="inlineStr">
        <is>
          <t>纳入</t>
        </is>
      </c>
      <c r="K1026" t="n">
        <v>130.2930056710775</v>
      </c>
      <c r="L1026">
        <f>导管母表_1781!G1026</f>
        <v/>
      </c>
      <c r="M1026" t="inlineStr">
        <is>
          <t>视野内部</t>
        </is>
      </c>
      <c r="N1026" t="inlineStr">
        <is>
          <t>纳入A/D/Dh；若有Pair_ID则纳入CWR</t>
        </is>
      </c>
      <c r="O1026" t="inlineStr">
        <is>
          <t>自动管线检出的合格导管腔。</t>
        </is>
      </c>
      <c r="P1026" t="inlineStr">
        <is>
          <t>auto_pipeline;review_png_green</t>
        </is>
      </c>
      <c r="R1026" t="inlineStr">
        <is>
          <t>样品23</t>
        </is>
      </c>
    </row>
    <row r="1027">
      <c r="A1027" t="inlineStr">
        <is>
          <t>23(2)-V01</t>
        </is>
      </c>
      <c r="B1027" t="inlineStr">
        <is>
          <t>23 (2).tif</t>
        </is>
      </c>
      <c r="C1027" t="n">
        <v>561</v>
      </c>
      <c r="D1027" t="n">
        <v>289</v>
      </c>
      <c r="E1027" t="inlineStr">
        <is>
          <t>484,213,639,366</t>
        </is>
      </c>
      <c r="F1027" t="n">
        <v>213</v>
      </c>
      <c r="G1027" t="inlineStr">
        <is>
          <t>primary</t>
        </is>
      </c>
      <c r="H1027" t="inlineStr">
        <is>
          <t>AUTO_VESSEL</t>
        </is>
      </c>
      <c r="I1027" t="inlineStr">
        <is>
          <t>是</t>
        </is>
      </c>
      <c r="J1027" t="inlineStr">
        <is>
          <t>纳入</t>
        </is>
      </c>
      <c r="K1027" t="n">
        <v>841.7296786389414</v>
      </c>
      <c r="L1027">
        <f>导管母表_1781!G1027</f>
        <v/>
      </c>
      <c r="M1027" t="inlineStr">
        <is>
          <t>视野内部</t>
        </is>
      </c>
      <c r="N1027" t="inlineStr">
        <is>
          <t>纳入A/D/Dh；若有Pair_ID则纳入CWR</t>
        </is>
      </c>
      <c r="O1027" t="inlineStr">
        <is>
          <t>自动管线检出的合格导管腔。</t>
        </is>
      </c>
      <c r="P1027" t="inlineStr">
        <is>
          <t>auto_pipeline;review_png_green</t>
        </is>
      </c>
      <c r="R1027" t="inlineStr">
        <is>
          <t>样品23</t>
        </is>
      </c>
    </row>
    <row r="1028">
      <c r="A1028" t="inlineStr">
        <is>
          <t>23(2)-V02</t>
        </is>
      </c>
      <c r="B1028" t="inlineStr">
        <is>
          <t>23 (2).tif</t>
        </is>
      </c>
      <c r="C1028" t="n">
        <v>743</v>
      </c>
      <c r="D1028" t="n">
        <v>351</v>
      </c>
      <c r="E1028" t="inlineStr">
        <is>
          <t>704,320,783,383</t>
        </is>
      </c>
      <c r="F1028" t="n">
        <v>241</v>
      </c>
      <c r="G1028" t="inlineStr">
        <is>
          <t>primary</t>
        </is>
      </c>
      <c r="H1028" t="inlineStr">
        <is>
          <t>AUTO_VESSEL</t>
        </is>
      </c>
      <c r="I1028" t="inlineStr">
        <is>
          <t>是</t>
        </is>
      </c>
      <c r="J1028" t="inlineStr">
        <is>
          <t>纳入</t>
        </is>
      </c>
      <c r="K1028" t="n">
        <v>159.3100189035917</v>
      </c>
      <c r="L1028">
        <f>导管母表_1781!G1028</f>
        <v/>
      </c>
      <c r="M1028" t="inlineStr">
        <is>
          <t>视野内部</t>
        </is>
      </c>
      <c r="N1028" t="inlineStr">
        <is>
          <t>纳入A/D/Dh；若有Pair_ID则纳入CWR</t>
        </is>
      </c>
      <c r="O1028" t="inlineStr">
        <is>
          <t>自动管线检出的合格导管腔。</t>
        </is>
      </c>
      <c r="P1028" t="inlineStr">
        <is>
          <t>auto_pipeline;review_png_green</t>
        </is>
      </c>
      <c r="R1028" t="inlineStr">
        <is>
          <t>样品23</t>
        </is>
      </c>
    </row>
    <row r="1029">
      <c r="A1029" t="inlineStr">
        <is>
          <t>23(2)-V03</t>
        </is>
      </c>
      <c r="B1029" t="inlineStr">
        <is>
          <t>23 (2).tif</t>
        </is>
      </c>
      <c r="C1029" t="n">
        <v>663</v>
      </c>
      <c r="D1029" t="n">
        <v>206</v>
      </c>
      <c r="E1029" t="inlineStr">
        <is>
          <t>634,175,693,238</t>
        </is>
      </c>
      <c r="F1029" t="n">
        <v>175</v>
      </c>
      <c r="G1029" t="inlineStr">
        <is>
          <t>primary</t>
        </is>
      </c>
      <c r="H1029" t="inlineStr">
        <is>
          <t>AUTO_VESSEL</t>
        </is>
      </c>
      <c r="I1029" t="inlineStr">
        <is>
          <t>是</t>
        </is>
      </c>
      <c r="J1029" t="inlineStr">
        <is>
          <t>纳入</t>
        </is>
      </c>
      <c r="K1029" t="n">
        <v>112.523629489603</v>
      </c>
      <c r="L1029">
        <f>导管母表_1781!G1029</f>
        <v/>
      </c>
      <c r="M1029" t="inlineStr">
        <is>
          <t>视野内部</t>
        </is>
      </c>
      <c r="N1029" t="inlineStr">
        <is>
          <t>纳入A/D/Dh；若有Pair_ID则纳入CWR</t>
        </is>
      </c>
      <c r="O1029" t="inlineStr">
        <is>
          <t>自动管线检出的合格导管腔。</t>
        </is>
      </c>
      <c r="P1029" t="inlineStr">
        <is>
          <t>auto_pipeline;review_png_green</t>
        </is>
      </c>
      <c r="R1029" t="inlineStr">
        <is>
          <t>样品23</t>
        </is>
      </c>
    </row>
    <row r="1030">
      <c r="A1030" t="inlineStr">
        <is>
          <t>23(2)-V04</t>
        </is>
      </c>
      <c r="B1030" t="inlineStr">
        <is>
          <t>23 (2).tif</t>
        </is>
      </c>
      <c r="C1030" t="n">
        <v>78</v>
      </c>
      <c r="D1030" t="n">
        <v>591</v>
      </c>
      <c r="E1030" t="inlineStr">
        <is>
          <t>28,575,129,608</t>
        </is>
      </c>
      <c r="F1030" t="n">
        <v>28</v>
      </c>
      <c r="G1030" t="inlineStr">
        <is>
          <t>primary</t>
        </is>
      </c>
      <c r="H1030" t="inlineStr">
        <is>
          <t>AUTO_VESSEL</t>
        </is>
      </c>
      <c r="I1030" t="inlineStr">
        <is>
          <t>是</t>
        </is>
      </c>
      <c r="J1030" t="inlineStr">
        <is>
          <t>纳入</t>
        </is>
      </c>
      <c r="K1030" t="n">
        <v>111.0586011342155</v>
      </c>
      <c r="L1030">
        <f>导管母表_1781!G1030</f>
        <v/>
      </c>
      <c r="M1030" t="inlineStr">
        <is>
          <t>视野内部</t>
        </is>
      </c>
      <c r="N1030" t="inlineStr">
        <is>
          <t>纳入A/D/Dh；若有Pair_ID则纳入CWR</t>
        </is>
      </c>
      <c r="O1030" t="inlineStr">
        <is>
          <t>自动管线检出的合格导管腔。</t>
        </is>
      </c>
      <c r="P1030" t="inlineStr">
        <is>
          <t>auto_pipeline;review_png_green</t>
        </is>
      </c>
      <c r="R1030" t="inlineStr">
        <is>
          <t>样品23</t>
        </is>
      </c>
    </row>
    <row r="1031">
      <c r="A1031" t="inlineStr">
        <is>
          <t>23(3)-V01</t>
        </is>
      </c>
      <c r="B1031" t="inlineStr">
        <is>
          <t>23 (3).tif</t>
        </is>
      </c>
      <c r="C1031" t="n">
        <v>362</v>
      </c>
      <c r="D1031" t="n">
        <v>300</v>
      </c>
      <c r="E1031" t="inlineStr">
        <is>
          <t>288,213,437,388</t>
        </is>
      </c>
      <c r="F1031" t="n">
        <v>213</v>
      </c>
      <c r="G1031" t="inlineStr">
        <is>
          <t>primary</t>
        </is>
      </c>
      <c r="H1031" t="inlineStr">
        <is>
          <t>AUTO_VESSEL</t>
        </is>
      </c>
      <c r="I1031" t="inlineStr">
        <is>
          <t>是</t>
        </is>
      </c>
      <c r="J1031" t="inlineStr">
        <is>
          <t>纳入</t>
        </is>
      </c>
      <c r="K1031" t="n">
        <v>954.4896030245746</v>
      </c>
      <c r="L1031">
        <f>导管母表_1781!G1031</f>
        <v/>
      </c>
      <c r="M1031" t="inlineStr">
        <is>
          <t>视野内部</t>
        </is>
      </c>
      <c r="N1031" t="inlineStr">
        <is>
          <t>纳入A/D/Dh；若有Pair_ID则纳入CWR</t>
        </is>
      </c>
      <c r="O1031" t="inlineStr">
        <is>
          <t>自动管线检出的合格导管腔。</t>
        </is>
      </c>
      <c r="P1031" t="inlineStr">
        <is>
          <t>auto_pipeline;review_png_green</t>
        </is>
      </c>
      <c r="R1031" t="inlineStr">
        <is>
          <t>样品23</t>
        </is>
      </c>
    </row>
    <row r="1032">
      <c r="A1032" t="inlineStr">
        <is>
          <t>23(3)-V02</t>
        </is>
      </c>
      <c r="B1032" t="inlineStr">
        <is>
          <t>23 (3).tif</t>
        </is>
      </c>
      <c r="C1032" t="n">
        <v>518</v>
      </c>
      <c r="D1032" t="n">
        <v>363</v>
      </c>
      <c r="E1032" t="inlineStr">
        <is>
          <t>451,279,586,448</t>
        </is>
      </c>
      <c r="F1032" t="n">
        <v>279</v>
      </c>
      <c r="G1032" t="inlineStr">
        <is>
          <t>primary</t>
        </is>
      </c>
      <c r="H1032" t="inlineStr">
        <is>
          <t>AUTO_VESSEL</t>
        </is>
      </c>
      <c r="I1032" t="inlineStr">
        <is>
          <t>是</t>
        </is>
      </c>
      <c r="J1032" t="inlineStr">
        <is>
          <t>纳入</t>
        </is>
      </c>
      <c r="K1032" t="n">
        <v>825.1417769376181</v>
      </c>
      <c r="L1032">
        <f>导管母表_1781!G1032</f>
        <v/>
      </c>
      <c r="M1032" t="inlineStr">
        <is>
          <t>视野内部</t>
        </is>
      </c>
      <c r="N1032" t="inlineStr">
        <is>
          <t>纳入A/D/Dh；若有Pair_ID则纳入CWR</t>
        </is>
      </c>
      <c r="O1032" t="inlineStr">
        <is>
          <t>自动管线检出的合格导管腔。</t>
        </is>
      </c>
      <c r="P1032" t="inlineStr">
        <is>
          <t>auto_pipeline;review_png_green</t>
        </is>
      </c>
      <c r="Q1032" t="inlineStr">
        <is>
          <t>23(3)-P01</t>
        </is>
      </c>
      <c r="R1032" t="inlineStr">
        <is>
          <t>样品23</t>
        </is>
      </c>
    </row>
    <row r="1033">
      <c r="A1033" t="inlineStr">
        <is>
          <t>23(3)-V03</t>
        </is>
      </c>
      <c r="B1033" t="inlineStr">
        <is>
          <t>23 (3).tif</t>
        </is>
      </c>
      <c r="C1033" t="n">
        <v>673</v>
      </c>
      <c r="D1033" t="n">
        <v>412</v>
      </c>
      <c r="E1033" t="inlineStr">
        <is>
          <t>596,339,751,486</t>
        </is>
      </c>
      <c r="F1033" t="n">
        <v>273</v>
      </c>
      <c r="G1033" t="inlineStr">
        <is>
          <t>primary</t>
        </is>
      </c>
      <c r="H1033" t="inlineStr">
        <is>
          <t>AUTO_VESSEL</t>
        </is>
      </c>
      <c r="I1033" t="inlineStr">
        <is>
          <t>是</t>
        </is>
      </c>
      <c r="J1033" t="inlineStr">
        <is>
          <t>纳入</t>
        </is>
      </c>
      <c r="K1033" t="n">
        <v>820.0141776937618</v>
      </c>
      <c r="L1033">
        <f>导管母表_1781!G1033</f>
        <v/>
      </c>
      <c r="M1033" t="inlineStr">
        <is>
          <t>视野内部</t>
        </is>
      </c>
      <c r="N1033" t="inlineStr">
        <is>
          <t>纳入A/D/Dh；若有Pair_ID则纳入CWR</t>
        </is>
      </c>
      <c r="O1033" t="inlineStr">
        <is>
          <t>自动管线检出的合格导管腔。</t>
        </is>
      </c>
      <c r="P1033" t="inlineStr">
        <is>
          <t>auto_pipeline;review_png_green</t>
        </is>
      </c>
      <c r="Q1033" t="inlineStr">
        <is>
          <t>23(3)-P01</t>
        </is>
      </c>
      <c r="R1033" t="inlineStr">
        <is>
          <t>样品23</t>
        </is>
      </c>
    </row>
    <row r="1034">
      <c r="A1034" t="inlineStr">
        <is>
          <t>23(3)-V04</t>
        </is>
      </c>
      <c r="B1034" t="inlineStr">
        <is>
          <t>23 (3).tif</t>
        </is>
      </c>
      <c r="C1034" t="n">
        <v>190</v>
      </c>
      <c r="D1034" t="n">
        <v>148</v>
      </c>
      <c r="E1034" t="inlineStr">
        <is>
          <t>150,121,231,176</t>
        </is>
      </c>
      <c r="F1034" t="n">
        <v>121</v>
      </c>
      <c r="G1034" t="inlineStr">
        <is>
          <t>primary</t>
        </is>
      </c>
      <c r="H1034" t="inlineStr">
        <is>
          <t>AUTO_VESSEL</t>
        </is>
      </c>
      <c r="I1034" t="inlineStr">
        <is>
          <t>是</t>
        </is>
      </c>
      <c r="J1034" t="inlineStr">
        <is>
          <t>纳入</t>
        </is>
      </c>
      <c r="K1034" t="n">
        <v>134.3572778827977</v>
      </c>
      <c r="L1034">
        <f>导管母表_1781!G1034</f>
        <v/>
      </c>
      <c r="M1034" t="inlineStr">
        <is>
          <t>视野内部</t>
        </is>
      </c>
      <c r="N1034" t="inlineStr">
        <is>
          <t>纳入A/D/Dh；若有Pair_ID则纳入CWR</t>
        </is>
      </c>
      <c r="O1034" t="inlineStr">
        <is>
          <t>自动管线检出的合格导管腔。</t>
        </is>
      </c>
      <c r="P1034" t="inlineStr">
        <is>
          <t>auto_pipeline;review_png_green</t>
        </is>
      </c>
      <c r="R1034" t="inlineStr">
        <is>
          <t>样品23</t>
        </is>
      </c>
    </row>
    <row r="1035">
      <c r="A1035" t="inlineStr">
        <is>
          <t>23(3)-V05</t>
        </is>
      </c>
      <c r="B1035" t="inlineStr">
        <is>
          <t>23 (3).tif</t>
        </is>
      </c>
      <c r="C1035" t="n">
        <v>445</v>
      </c>
      <c r="D1035" t="n">
        <v>201</v>
      </c>
      <c r="E1035" t="inlineStr">
        <is>
          <t>413,173,478,230</t>
        </is>
      </c>
      <c r="F1035" t="n">
        <v>173</v>
      </c>
      <c r="G1035" t="inlineStr">
        <is>
          <t>primary</t>
        </is>
      </c>
      <c r="H1035" t="inlineStr">
        <is>
          <t>AUTO_VESSEL</t>
        </is>
      </c>
      <c r="I1035" t="inlineStr">
        <is>
          <t>是</t>
        </is>
      </c>
      <c r="J1035" t="inlineStr">
        <is>
          <t>纳入</t>
        </is>
      </c>
      <c r="K1035" t="n">
        <v>117.8875236294896</v>
      </c>
      <c r="L1035">
        <f>导管母表_1781!G1035</f>
        <v/>
      </c>
      <c r="M1035" t="inlineStr">
        <is>
          <t>视野内部</t>
        </is>
      </c>
      <c r="N1035" t="inlineStr">
        <is>
          <t>纳入A/D/Dh；若有Pair_ID则纳入CWR</t>
        </is>
      </c>
      <c r="O1035" t="inlineStr">
        <is>
          <t>自动管线检出的合格导管腔。</t>
        </is>
      </c>
      <c r="P1035" t="inlineStr">
        <is>
          <t>auto_pipeline;review_png_green</t>
        </is>
      </c>
      <c r="R1035" t="inlineStr">
        <is>
          <t>样品23</t>
        </is>
      </c>
    </row>
    <row r="1036">
      <c r="A1036" t="inlineStr">
        <is>
          <t>23(4)-V01</t>
        </is>
      </c>
      <c r="B1036" t="inlineStr">
        <is>
          <t>23 (4).tif</t>
        </is>
      </c>
      <c r="C1036" t="n">
        <v>593</v>
      </c>
      <c r="D1036" t="n">
        <v>399</v>
      </c>
      <c r="E1036" t="inlineStr">
        <is>
          <t>496,321,691,478</t>
        </is>
      </c>
      <c r="F1036" t="n">
        <v>290</v>
      </c>
      <c r="G1036" t="inlineStr">
        <is>
          <t>primary</t>
        </is>
      </c>
      <c r="H1036" t="inlineStr">
        <is>
          <t>AUTO_VESSEL</t>
        </is>
      </c>
      <c r="I1036" t="inlineStr">
        <is>
          <t>是</t>
        </is>
      </c>
      <c r="J1036" t="inlineStr">
        <is>
          <t>纳入</t>
        </is>
      </c>
      <c r="K1036" t="n">
        <v>1115.713610586011</v>
      </c>
      <c r="L1036">
        <f>导管母表_1781!G1036</f>
        <v/>
      </c>
      <c r="M1036" t="inlineStr">
        <is>
          <t>视野内部</t>
        </is>
      </c>
      <c r="N1036" t="inlineStr">
        <is>
          <t>纳入A/D/Dh；若有Pair_ID则纳入CWR</t>
        </is>
      </c>
      <c r="O1036" t="inlineStr">
        <is>
          <t>自动管线检出的合格导管腔。</t>
        </is>
      </c>
      <c r="P1036" t="inlineStr">
        <is>
          <t>auto_pipeline;review_png_green</t>
        </is>
      </c>
      <c r="R1036" t="inlineStr">
        <is>
          <t>样品23</t>
        </is>
      </c>
    </row>
    <row r="1037">
      <c r="A1037" t="inlineStr">
        <is>
          <t>23(4)-V02</t>
        </is>
      </c>
      <c r="B1037" t="inlineStr">
        <is>
          <t>23 (4).tif</t>
        </is>
      </c>
      <c r="C1037" t="n">
        <v>399</v>
      </c>
      <c r="D1037" t="n">
        <v>342</v>
      </c>
      <c r="E1037" t="inlineStr">
        <is>
          <t>327,260,472,425</t>
        </is>
      </c>
      <c r="F1037" t="n">
        <v>260</v>
      </c>
      <c r="G1037" t="inlineStr">
        <is>
          <t>primary</t>
        </is>
      </c>
      <c r="H1037" t="inlineStr">
        <is>
          <t>AUTO_VESSEL</t>
        </is>
      </c>
      <c r="I1037" t="inlineStr">
        <is>
          <t>是</t>
        </is>
      </c>
      <c r="J1037" t="inlineStr">
        <is>
          <t>纳入</t>
        </is>
      </c>
      <c r="K1037" t="n">
        <v>874.5274102079395</v>
      </c>
      <c r="L1037">
        <f>导管母表_1781!G1037</f>
        <v/>
      </c>
      <c r="M1037" t="inlineStr">
        <is>
          <t>视野内部</t>
        </is>
      </c>
      <c r="N1037" t="inlineStr">
        <is>
          <t>纳入A/D/Dh；若有Pair_ID则纳入CWR</t>
        </is>
      </c>
      <c r="O1037" t="inlineStr">
        <is>
          <t>自动管线检出的合格导管腔。</t>
        </is>
      </c>
      <c r="P1037" t="inlineStr">
        <is>
          <t>auto_pipeline;review_png_green</t>
        </is>
      </c>
      <c r="R1037" t="inlineStr">
        <is>
          <t>样品23</t>
        </is>
      </c>
    </row>
    <row r="1038">
      <c r="A1038" t="inlineStr">
        <is>
          <t>23(4)-V03</t>
        </is>
      </c>
      <c r="B1038" t="inlineStr">
        <is>
          <t>23 (4).tif</t>
        </is>
      </c>
      <c r="C1038" t="n">
        <v>114</v>
      </c>
      <c r="D1038" t="n">
        <v>324</v>
      </c>
      <c r="E1038" t="inlineStr">
        <is>
          <t>44,279,185,370</t>
        </is>
      </c>
      <c r="F1038" t="n">
        <v>44</v>
      </c>
      <c r="G1038" t="inlineStr">
        <is>
          <t>primary</t>
        </is>
      </c>
      <c r="H1038" t="inlineStr">
        <is>
          <t>AUTO_VESSEL</t>
        </is>
      </c>
      <c r="I1038" t="inlineStr">
        <is>
          <t>是</t>
        </is>
      </c>
      <c r="J1038" t="inlineStr">
        <is>
          <t>纳入</t>
        </is>
      </c>
      <c r="K1038" t="n">
        <v>453.5444234404537</v>
      </c>
      <c r="L1038">
        <f>导管母表_1781!G1038</f>
        <v/>
      </c>
      <c r="M1038" t="inlineStr">
        <is>
          <t>视野内部</t>
        </is>
      </c>
      <c r="N1038" t="inlineStr">
        <is>
          <t>纳入A/D/Dh；若有Pair_ID则纳入CWR</t>
        </is>
      </c>
      <c r="O1038" t="inlineStr">
        <is>
          <t>自动管线检出的合格导管腔。</t>
        </is>
      </c>
      <c r="P1038" t="inlineStr">
        <is>
          <t>auto_pipeline;review_png_green</t>
        </is>
      </c>
      <c r="R1038" t="inlineStr">
        <is>
          <t>样品23</t>
        </is>
      </c>
    </row>
    <row r="1039">
      <c r="A1039" t="inlineStr">
        <is>
          <t>23(4)-V04</t>
        </is>
      </c>
      <c r="B1039" t="inlineStr">
        <is>
          <t>23 (4).tif</t>
        </is>
      </c>
      <c r="C1039" t="n">
        <v>194</v>
      </c>
      <c r="D1039" t="n">
        <v>436</v>
      </c>
      <c r="E1039" t="inlineStr">
        <is>
          <t>140,392,249,481</t>
        </is>
      </c>
      <c r="F1039" t="n">
        <v>140</v>
      </c>
      <c r="G1039" t="inlineStr">
        <is>
          <t>primary</t>
        </is>
      </c>
      <c r="H1039" t="inlineStr">
        <is>
          <t>AUTO_VESSEL</t>
        </is>
      </c>
      <c r="I1039" t="inlineStr">
        <is>
          <t>是</t>
        </is>
      </c>
      <c r="J1039" t="inlineStr">
        <is>
          <t>纳入</t>
        </is>
      </c>
      <c r="K1039" t="n">
        <v>349.1257088846881</v>
      </c>
      <c r="L1039">
        <f>导管母表_1781!G1039</f>
        <v/>
      </c>
      <c r="M1039" t="inlineStr">
        <is>
          <t>视野内部</t>
        </is>
      </c>
      <c r="N1039" t="inlineStr">
        <is>
          <t>纳入A/D/Dh；若有Pair_ID则纳入CWR</t>
        </is>
      </c>
      <c r="O1039" t="inlineStr">
        <is>
          <t>自动管线检出的合格导管腔。</t>
        </is>
      </c>
      <c r="P1039" t="inlineStr">
        <is>
          <t>auto_pipeline;review_png_green</t>
        </is>
      </c>
      <c r="R1039" t="inlineStr">
        <is>
          <t>样品23</t>
        </is>
      </c>
    </row>
    <row r="1040">
      <c r="A1040" t="inlineStr">
        <is>
          <t>23(4)-V05</t>
        </is>
      </c>
      <c r="B1040" t="inlineStr">
        <is>
          <t>23 (4).tif</t>
        </is>
      </c>
      <c r="C1040" t="n">
        <v>965</v>
      </c>
      <c r="D1040" t="n">
        <v>135</v>
      </c>
      <c r="E1040" t="inlineStr">
        <is>
          <t>926,110,1005,161</t>
        </is>
      </c>
      <c r="F1040" t="n">
        <v>19</v>
      </c>
      <c r="G1040" t="inlineStr">
        <is>
          <t>primary</t>
        </is>
      </c>
      <c r="H1040" t="inlineStr">
        <is>
          <t>AUTO_VESSEL</t>
        </is>
      </c>
      <c r="I1040" t="inlineStr">
        <is>
          <t>是</t>
        </is>
      </c>
      <c r="J1040" t="inlineStr">
        <is>
          <t>纳入</t>
        </is>
      </c>
      <c r="K1040" t="n">
        <v>136.2003780718337</v>
      </c>
      <c r="L1040">
        <f>导管母表_1781!G1040</f>
        <v/>
      </c>
      <c r="M1040" t="inlineStr">
        <is>
          <t>近边缘（&lt;25 px）</t>
        </is>
      </c>
      <c r="N1040" t="inlineStr">
        <is>
          <t>纳入A/D/Dh；若有Pair_ID则纳入CWR</t>
        </is>
      </c>
      <c r="O1040" t="inlineStr">
        <is>
          <t>自动管线检出的合格导管腔。</t>
        </is>
      </c>
      <c r="P1040" t="inlineStr">
        <is>
          <t>auto_pipeline;review_png_green</t>
        </is>
      </c>
      <c r="R1040" t="inlineStr">
        <is>
          <t>样品23</t>
        </is>
      </c>
    </row>
    <row r="1041">
      <c r="A1041" t="inlineStr">
        <is>
          <t>23(4)-V06</t>
        </is>
      </c>
      <c r="B1041" t="inlineStr">
        <is>
          <t>23 (4).tif</t>
        </is>
      </c>
      <c r="C1041" t="n">
        <v>815</v>
      </c>
      <c r="D1041" t="n">
        <v>367</v>
      </c>
      <c r="E1041" t="inlineStr">
        <is>
          <t>786,333,845,402</t>
        </is>
      </c>
      <c r="F1041" t="n">
        <v>179</v>
      </c>
      <c r="G1041" t="inlineStr">
        <is>
          <t>primary</t>
        </is>
      </c>
      <c r="H1041" t="inlineStr">
        <is>
          <t>AUTO_VESSEL</t>
        </is>
      </c>
      <c r="I1041" t="inlineStr">
        <is>
          <t>是</t>
        </is>
      </c>
      <c r="J1041" t="inlineStr">
        <is>
          <t>纳入</t>
        </is>
      </c>
      <c r="K1041" t="n">
        <v>121.7391304347826</v>
      </c>
      <c r="L1041">
        <f>导管母表_1781!G1041</f>
        <v/>
      </c>
      <c r="M1041" t="inlineStr">
        <is>
          <t>视野内部</t>
        </is>
      </c>
      <c r="N1041" t="inlineStr">
        <is>
          <t>纳入A/D/Dh；若有Pair_ID则纳入CWR</t>
        </is>
      </c>
      <c r="O1041" t="inlineStr">
        <is>
          <t>自动管线检出的合格导管腔。</t>
        </is>
      </c>
      <c r="P1041" t="inlineStr">
        <is>
          <t>auto_pipeline;review_png_green</t>
        </is>
      </c>
      <c r="R1041" t="inlineStr">
        <is>
          <t>样品23</t>
        </is>
      </c>
    </row>
    <row r="1042">
      <c r="A1042" t="inlineStr">
        <is>
          <t>23(5)-V01</t>
        </is>
      </c>
      <c r="B1042" t="inlineStr">
        <is>
          <t>23 (5).tif</t>
        </is>
      </c>
      <c r="C1042" t="n">
        <v>515</v>
      </c>
      <c r="D1042" t="n">
        <v>469</v>
      </c>
      <c r="E1042" t="inlineStr">
        <is>
          <t>425,383,606,556</t>
        </is>
      </c>
      <c r="F1042" t="n">
        <v>212</v>
      </c>
      <c r="G1042" t="inlineStr">
        <is>
          <t>primary</t>
        </is>
      </c>
      <c r="H1042" t="inlineStr">
        <is>
          <t>AUTO_VESSEL</t>
        </is>
      </c>
      <c r="I1042" t="inlineStr">
        <is>
          <t>是</t>
        </is>
      </c>
      <c r="J1042" t="inlineStr">
        <is>
          <t>纳入</t>
        </is>
      </c>
      <c r="K1042" t="n">
        <v>1124.149338374291</v>
      </c>
      <c r="L1042">
        <f>导管母表_1781!G1042</f>
        <v/>
      </c>
      <c r="M1042" t="inlineStr">
        <is>
          <t>视野内部</t>
        </is>
      </c>
      <c r="N1042" t="inlineStr">
        <is>
          <t>纳入A/D/Dh；若有Pair_ID则纳入CWR</t>
        </is>
      </c>
      <c r="O1042" t="inlineStr">
        <is>
          <t>自动管线检出的合格导管腔。</t>
        </is>
      </c>
      <c r="P1042" t="inlineStr">
        <is>
          <t>auto_pipeline;review_png_green</t>
        </is>
      </c>
      <c r="Q1042" t="inlineStr">
        <is>
          <t>23(5)-P01</t>
        </is>
      </c>
      <c r="R1042" t="inlineStr">
        <is>
          <t>样品23</t>
        </is>
      </c>
    </row>
    <row r="1043">
      <c r="A1043" t="inlineStr">
        <is>
          <t>23(5)-V02</t>
        </is>
      </c>
      <c r="B1043" t="inlineStr">
        <is>
          <t>23 (5).tif</t>
        </is>
      </c>
      <c r="C1043" t="n">
        <v>441</v>
      </c>
      <c r="D1043" t="n">
        <v>295</v>
      </c>
      <c r="E1043" t="inlineStr">
        <is>
          <t>364,215,519,376</t>
        </is>
      </c>
      <c r="F1043" t="n">
        <v>215</v>
      </c>
      <c r="G1043" t="inlineStr">
        <is>
          <t>primary</t>
        </is>
      </c>
      <c r="H1043" t="inlineStr">
        <is>
          <t>AUTO_VESSEL</t>
        </is>
      </c>
      <c r="I1043" t="inlineStr">
        <is>
          <t>是</t>
        </is>
      </c>
      <c r="J1043" t="inlineStr">
        <is>
          <t>纳入</t>
        </is>
      </c>
      <c r="K1043" t="n">
        <v>924.4328922495274</v>
      </c>
      <c r="L1043">
        <f>导管母表_1781!G1043</f>
        <v/>
      </c>
      <c r="M1043" t="inlineStr">
        <is>
          <t>视野内部</t>
        </is>
      </c>
      <c r="N1043" t="inlineStr">
        <is>
          <t>纳入A/D/Dh；若有Pair_ID则纳入CWR</t>
        </is>
      </c>
      <c r="O1043" t="inlineStr">
        <is>
          <t>自动管线检出的合格导管腔。</t>
        </is>
      </c>
      <c r="P1043" t="inlineStr">
        <is>
          <t>auto_pipeline;review_png_green</t>
        </is>
      </c>
      <c r="Q1043" t="inlineStr">
        <is>
          <t>23(5)-P01</t>
        </is>
      </c>
      <c r="R1043" t="inlineStr">
        <is>
          <t>样品23</t>
        </is>
      </c>
    </row>
    <row r="1044">
      <c r="A1044" t="inlineStr">
        <is>
          <t>23(5)-V03</t>
        </is>
      </c>
      <c r="B1044" t="inlineStr">
        <is>
          <t>23 (5).tif</t>
        </is>
      </c>
      <c r="C1044" t="n">
        <v>339</v>
      </c>
      <c r="D1044" t="n">
        <v>239</v>
      </c>
      <c r="E1044" t="inlineStr">
        <is>
          <t>281,198,398,281</t>
        </is>
      </c>
      <c r="F1044" t="n">
        <v>198</v>
      </c>
      <c r="G1044" t="inlineStr">
        <is>
          <t>primary</t>
        </is>
      </c>
      <c r="H1044" t="inlineStr">
        <is>
          <t>AUTO_VESSEL</t>
        </is>
      </c>
      <c r="I1044" t="inlineStr">
        <is>
          <t>是</t>
        </is>
      </c>
      <c r="J1044" t="inlineStr">
        <is>
          <t>纳入</t>
        </is>
      </c>
      <c r="K1044" t="n">
        <v>229.3950850661626</v>
      </c>
      <c r="L1044">
        <f>导管母表_1781!G1044</f>
        <v/>
      </c>
      <c r="M1044" t="inlineStr">
        <is>
          <t>视野内部</t>
        </is>
      </c>
      <c r="N1044" t="inlineStr">
        <is>
          <t>纳入A/D/Dh；若有Pair_ID则纳入CWR</t>
        </is>
      </c>
      <c r="O1044" t="inlineStr">
        <is>
          <t>自动管线检出的合格导管腔。</t>
        </is>
      </c>
      <c r="P1044" t="inlineStr">
        <is>
          <t>auto_pipeline;review_png_green</t>
        </is>
      </c>
      <c r="R1044" t="inlineStr">
        <is>
          <t>样品23</t>
        </is>
      </c>
    </row>
    <row r="1045">
      <c r="A1045" t="inlineStr">
        <is>
          <t>23(5)-V04</t>
        </is>
      </c>
      <c r="B1045" t="inlineStr">
        <is>
          <t>23 (5).tif</t>
        </is>
      </c>
      <c r="C1045" t="n">
        <v>688</v>
      </c>
      <c r="D1045" t="n">
        <v>241</v>
      </c>
      <c r="E1045" t="inlineStr">
        <is>
          <t>646,215,731,268</t>
        </is>
      </c>
      <c r="F1045" t="n">
        <v>215</v>
      </c>
      <c r="G1045" t="inlineStr">
        <is>
          <t>primary</t>
        </is>
      </c>
      <c r="H1045" t="inlineStr">
        <is>
          <t>AUTO_VESSEL</t>
        </is>
      </c>
      <c r="I1045" t="inlineStr">
        <is>
          <t>是</t>
        </is>
      </c>
      <c r="J1045" t="inlineStr">
        <is>
          <t>纳入</t>
        </is>
      </c>
      <c r="K1045" t="n">
        <v>129.4423440453686</v>
      </c>
      <c r="L1045">
        <f>导管母表_1781!G1045</f>
        <v/>
      </c>
      <c r="M1045" t="inlineStr">
        <is>
          <t>视野内部</t>
        </is>
      </c>
      <c r="N1045" t="inlineStr">
        <is>
          <t>纳入A/D/Dh；若有Pair_ID则纳入CWR</t>
        </is>
      </c>
      <c r="O1045" t="inlineStr">
        <is>
          <t>自动管线检出的合格导管腔。</t>
        </is>
      </c>
      <c r="P1045" t="inlineStr">
        <is>
          <t>auto_pipeline;review_png_green</t>
        </is>
      </c>
      <c r="R1045" t="inlineStr">
        <is>
          <t>样品23</t>
        </is>
      </c>
    </row>
    <row r="1046">
      <c r="A1046" t="inlineStr">
        <is>
          <t>23(5)-V05</t>
        </is>
      </c>
      <c r="B1046" t="inlineStr">
        <is>
          <t>23 (5).tif</t>
        </is>
      </c>
      <c r="C1046" t="n">
        <v>594</v>
      </c>
      <c r="D1046" t="n">
        <v>180</v>
      </c>
      <c r="E1046" t="inlineStr">
        <is>
          <t>549,161,640,200</t>
        </is>
      </c>
      <c r="F1046" t="n">
        <v>161</v>
      </c>
      <c r="G1046" t="inlineStr">
        <is>
          <t>primary</t>
        </is>
      </c>
      <c r="H1046" t="inlineStr">
        <is>
          <t>AUTO_VESSEL</t>
        </is>
      </c>
      <c r="I1046" t="inlineStr">
        <is>
          <t>是</t>
        </is>
      </c>
      <c r="J1046" t="inlineStr">
        <is>
          <t>纳入</t>
        </is>
      </c>
      <c r="K1046" t="n">
        <v>127.4102079395085</v>
      </c>
      <c r="L1046">
        <f>导管母表_1781!G1046</f>
        <v/>
      </c>
      <c r="M1046" t="inlineStr">
        <is>
          <t>视野内部</t>
        </is>
      </c>
      <c r="N1046" t="inlineStr">
        <is>
          <t>纳入A/D/Dh；若有Pair_ID则纳入CWR</t>
        </is>
      </c>
      <c r="O1046" t="inlineStr">
        <is>
          <t>自动管线检出的合格导管腔。</t>
        </is>
      </c>
      <c r="P1046" t="inlineStr">
        <is>
          <t>auto_pipeline;review_png_green</t>
        </is>
      </c>
      <c r="R1046" t="inlineStr">
        <is>
          <t>样品23</t>
        </is>
      </c>
    </row>
    <row r="1047">
      <c r="A1047" t="inlineStr">
        <is>
          <t>23(6)-V01</t>
        </is>
      </c>
      <c r="B1047" t="inlineStr">
        <is>
          <t>23 (6).tif</t>
        </is>
      </c>
      <c r="C1047" t="n">
        <v>433</v>
      </c>
      <c r="D1047" t="n">
        <v>436</v>
      </c>
      <c r="E1047" t="inlineStr">
        <is>
          <t>349,341,518,532</t>
        </is>
      </c>
      <c r="F1047" t="n">
        <v>236</v>
      </c>
      <c r="G1047" t="inlineStr">
        <is>
          <t>primary</t>
        </is>
      </c>
      <c r="H1047" t="inlineStr">
        <is>
          <t>AUTO_VESSEL</t>
        </is>
      </c>
      <c r="I1047" t="inlineStr">
        <is>
          <t>是</t>
        </is>
      </c>
      <c r="J1047" t="inlineStr">
        <is>
          <t>纳入</t>
        </is>
      </c>
      <c r="K1047" t="n">
        <v>1175</v>
      </c>
      <c r="L1047">
        <f>导管母表_1781!G1047</f>
        <v/>
      </c>
      <c r="M1047" t="inlineStr">
        <is>
          <t>视野内部</t>
        </is>
      </c>
      <c r="N1047" t="inlineStr">
        <is>
          <t>纳入A/D/Dh；若有Pair_ID则纳入CWR</t>
        </is>
      </c>
      <c r="O1047" t="inlineStr">
        <is>
          <t>自动管线检出的合格导管腔。</t>
        </is>
      </c>
      <c r="P1047" t="inlineStr">
        <is>
          <t>auto_pipeline;review_png_green</t>
        </is>
      </c>
      <c r="R1047" t="inlineStr">
        <is>
          <t>样品23</t>
        </is>
      </c>
    </row>
    <row r="1048">
      <c r="A1048" t="inlineStr">
        <is>
          <t>23(6)-V02</t>
        </is>
      </c>
      <c r="B1048" t="inlineStr">
        <is>
          <t>23 (6).tif</t>
        </is>
      </c>
      <c r="C1048" t="n">
        <v>555</v>
      </c>
      <c r="D1048" t="n">
        <v>276</v>
      </c>
      <c r="E1048" t="inlineStr">
        <is>
          <t>491,207,620,346</t>
        </is>
      </c>
      <c r="F1048" t="n">
        <v>207</v>
      </c>
      <c r="G1048" t="inlineStr">
        <is>
          <t>primary</t>
        </is>
      </c>
      <c r="H1048" t="inlineStr">
        <is>
          <t>AUTO_VESSEL</t>
        </is>
      </c>
      <c r="I1048" t="inlineStr">
        <is>
          <t>是</t>
        </is>
      </c>
      <c r="J1048" t="inlineStr">
        <is>
          <t>纳入</t>
        </is>
      </c>
      <c r="K1048" t="n">
        <v>653.4971644612476</v>
      </c>
      <c r="L1048">
        <f>导管母表_1781!G1048</f>
        <v/>
      </c>
      <c r="M1048" t="inlineStr">
        <is>
          <t>视野内部</t>
        </is>
      </c>
      <c r="N1048" t="inlineStr">
        <is>
          <t>纳入A/D/Dh；若有Pair_ID则纳入CWR</t>
        </is>
      </c>
      <c r="O1048" t="inlineStr">
        <is>
          <t>自动管线检出的合格导管腔。</t>
        </is>
      </c>
      <c r="P1048" t="inlineStr">
        <is>
          <t>auto_pipeline;review_png_green</t>
        </is>
      </c>
      <c r="R1048" t="inlineStr">
        <is>
          <t>样品23</t>
        </is>
      </c>
    </row>
    <row r="1049">
      <c r="A1049" t="inlineStr">
        <is>
          <t>23(6)-V03</t>
        </is>
      </c>
      <c r="B1049" t="inlineStr">
        <is>
          <t>23 (6).tif</t>
        </is>
      </c>
      <c r="C1049" t="n">
        <v>53</v>
      </c>
      <c r="D1049" t="n">
        <v>534</v>
      </c>
      <c r="E1049" t="inlineStr">
        <is>
          <t>15,502,92,567</t>
        </is>
      </c>
      <c r="F1049" t="n">
        <v>15</v>
      </c>
      <c r="G1049" t="inlineStr">
        <is>
          <t>primary</t>
        </is>
      </c>
      <c r="H1049" t="inlineStr">
        <is>
          <t>AUTO_VESSEL</t>
        </is>
      </c>
      <c r="I1049" t="inlineStr">
        <is>
          <t>是</t>
        </is>
      </c>
      <c r="J1049" t="inlineStr">
        <is>
          <t>纳入</t>
        </is>
      </c>
      <c r="K1049" t="n">
        <v>150.3071833648393</v>
      </c>
      <c r="L1049">
        <f>导管母表_1781!G1049</f>
        <v/>
      </c>
      <c r="M1049" t="inlineStr">
        <is>
          <t>近边缘（&lt;25 px）</t>
        </is>
      </c>
      <c r="N1049" t="inlineStr">
        <is>
          <t>纳入A/D/Dh；若有Pair_ID则纳入CWR</t>
        </is>
      </c>
      <c r="O1049" t="inlineStr">
        <is>
          <t>自动管线检出的合格导管腔。</t>
        </is>
      </c>
      <c r="P1049" t="inlineStr">
        <is>
          <t>auto_pipeline;review_png_green</t>
        </is>
      </c>
      <c r="R1049" t="inlineStr">
        <is>
          <t>样品23</t>
        </is>
      </c>
    </row>
    <row r="1050">
      <c r="A1050" t="inlineStr">
        <is>
          <t>23(6)-V04</t>
        </is>
      </c>
      <c r="B1050" t="inlineStr">
        <is>
          <t>23 (6).tif</t>
        </is>
      </c>
      <c r="C1050" t="n">
        <v>942</v>
      </c>
      <c r="D1050" t="n">
        <v>231</v>
      </c>
      <c r="E1050" t="inlineStr">
        <is>
          <t>905,207,980,256</t>
        </is>
      </c>
      <c r="F1050" t="n">
        <v>44</v>
      </c>
      <c r="G1050" t="inlineStr">
        <is>
          <t>primary</t>
        </is>
      </c>
      <c r="H1050" t="inlineStr">
        <is>
          <t>AUTO_VESSEL</t>
        </is>
      </c>
      <c r="I1050" t="inlineStr">
        <is>
          <t>是</t>
        </is>
      </c>
      <c r="J1050" t="inlineStr">
        <is>
          <t>纳入</t>
        </is>
      </c>
      <c r="K1050" t="n">
        <v>121.6446124763705</v>
      </c>
      <c r="L1050">
        <f>导管母表_1781!G1050</f>
        <v/>
      </c>
      <c r="M1050" t="inlineStr">
        <is>
          <t>视野内部</t>
        </is>
      </c>
      <c r="N1050" t="inlineStr">
        <is>
          <t>纳入A/D/Dh；若有Pair_ID则纳入CWR</t>
        </is>
      </c>
      <c r="O1050" t="inlineStr">
        <is>
          <t>自动管线检出的合格导管腔。</t>
        </is>
      </c>
      <c r="P1050" t="inlineStr">
        <is>
          <t>auto_pipeline;review_png_green</t>
        </is>
      </c>
      <c r="R1050" t="inlineStr">
        <is>
          <t>样品23</t>
        </is>
      </c>
    </row>
    <row r="1051">
      <c r="A1051" t="inlineStr">
        <is>
          <t>23(7)-V01</t>
        </is>
      </c>
      <c r="B1051" t="inlineStr">
        <is>
          <t>23 (7).tif</t>
        </is>
      </c>
      <c r="C1051" t="n">
        <v>587</v>
      </c>
      <c r="D1051" t="n">
        <v>284</v>
      </c>
      <c r="E1051" t="inlineStr">
        <is>
          <t>513,205,662,364</t>
        </is>
      </c>
      <c r="F1051" t="n">
        <v>205</v>
      </c>
      <c r="G1051" t="inlineStr">
        <is>
          <t>primary</t>
        </is>
      </c>
      <c r="H1051" t="inlineStr">
        <is>
          <t>AUTO_VESSEL</t>
        </is>
      </c>
      <c r="I1051" t="inlineStr">
        <is>
          <t>是</t>
        </is>
      </c>
      <c r="J1051" t="inlineStr">
        <is>
          <t>纳入</t>
        </is>
      </c>
      <c r="K1051" t="n">
        <v>848.086011342155</v>
      </c>
      <c r="L1051">
        <f>导管母表_1781!G1051</f>
        <v/>
      </c>
      <c r="M1051" t="inlineStr">
        <is>
          <t>视野内部</t>
        </is>
      </c>
      <c r="N1051" t="inlineStr">
        <is>
          <t>纳入A/D/Dh；若有Pair_ID则纳入CWR</t>
        </is>
      </c>
      <c r="O1051" t="inlineStr">
        <is>
          <t>自动管线检出的合格导管腔。</t>
        </is>
      </c>
      <c r="P1051" t="inlineStr">
        <is>
          <t>auto_pipeline;review_png_green</t>
        </is>
      </c>
      <c r="Q1051" t="inlineStr">
        <is>
          <t>23(7)-P01</t>
        </is>
      </c>
      <c r="R1051" t="inlineStr">
        <is>
          <t>样品23</t>
        </is>
      </c>
    </row>
    <row r="1052">
      <c r="A1052" t="inlineStr">
        <is>
          <t>23(7)-V02</t>
        </is>
      </c>
      <c r="B1052" t="inlineStr">
        <is>
          <t>23 (7).tif</t>
        </is>
      </c>
      <c r="C1052" t="n">
        <v>466</v>
      </c>
      <c r="D1052" t="n">
        <v>422</v>
      </c>
      <c r="E1052" t="inlineStr">
        <is>
          <t>396,363,537,482</t>
        </is>
      </c>
      <c r="F1052" t="n">
        <v>286</v>
      </c>
      <c r="G1052" t="inlineStr">
        <is>
          <t>primary</t>
        </is>
      </c>
      <c r="H1052" t="inlineStr">
        <is>
          <t>AUTO_VESSEL</t>
        </is>
      </c>
      <c r="I1052" t="inlineStr">
        <is>
          <t>是</t>
        </is>
      </c>
      <c r="J1052" t="inlineStr">
        <is>
          <t>纳入</t>
        </is>
      </c>
      <c r="K1052" t="n">
        <v>613.7051039697543</v>
      </c>
      <c r="L1052">
        <f>导管母表_1781!G1052</f>
        <v/>
      </c>
      <c r="M1052" t="inlineStr">
        <is>
          <t>视野内部</t>
        </is>
      </c>
      <c r="N1052" t="inlineStr">
        <is>
          <t>纳入A/D/Dh；若有Pair_ID则纳入CWR</t>
        </is>
      </c>
      <c r="O1052" t="inlineStr">
        <is>
          <t>自动管线检出的合格导管腔。</t>
        </is>
      </c>
      <c r="P1052" t="inlineStr">
        <is>
          <t>auto_pipeline;review_png_green</t>
        </is>
      </c>
      <c r="Q1052" t="inlineStr">
        <is>
          <t>23(7)-P01</t>
        </is>
      </c>
      <c r="R1052" t="inlineStr">
        <is>
          <t>样品23</t>
        </is>
      </c>
    </row>
    <row r="1053">
      <c r="A1053" t="inlineStr">
        <is>
          <t>23(7)-V03</t>
        </is>
      </c>
      <c r="B1053" t="inlineStr">
        <is>
          <t>23 (7).tif</t>
        </is>
      </c>
      <c r="C1053" t="n">
        <v>918</v>
      </c>
      <c r="D1053" t="n">
        <v>544</v>
      </c>
      <c r="E1053" t="inlineStr">
        <is>
          <t>870,493,967,596</t>
        </is>
      </c>
      <c r="F1053" t="n">
        <v>57</v>
      </c>
      <c r="G1053" t="inlineStr">
        <is>
          <t>primary</t>
        </is>
      </c>
      <c r="H1053" t="inlineStr">
        <is>
          <t>AUTO_VESSEL</t>
        </is>
      </c>
      <c r="I1053" t="inlineStr">
        <is>
          <t>是</t>
        </is>
      </c>
      <c r="J1053" t="inlineStr">
        <is>
          <t>纳入</t>
        </is>
      </c>
      <c r="K1053" t="n">
        <v>351.1105860113421</v>
      </c>
      <c r="L1053">
        <f>导管母表_1781!G1053</f>
        <v/>
      </c>
      <c r="M1053" t="inlineStr">
        <is>
          <t>视野内部</t>
        </is>
      </c>
      <c r="N1053" t="inlineStr">
        <is>
          <t>纳入A/D/Dh；若有Pair_ID则纳入CWR</t>
        </is>
      </c>
      <c r="O1053" t="inlineStr">
        <is>
          <t>自动管线检出的合格导管腔。</t>
        </is>
      </c>
      <c r="P1053" t="inlineStr">
        <is>
          <t>auto_pipeline;review_png_green</t>
        </is>
      </c>
      <c r="R1053" t="inlineStr">
        <is>
          <t>样品23</t>
        </is>
      </c>
    </row>
    <row r="1054">
      <c r="A1054" t="inlineStr">
        <is>
          <t>23(7)-V04</t>
        </is>
      </c>
      <c r="B1054" t="inlineStr">
        <is>
          <t>23 (7).tif</t>
        </is>
      </c>
      <c r="C1054" t="n">
        <v>314</v>
      </c>
      <c r="D1054" t="n">
        <v>580</v>
      </c>
      <c r="E1054" t="inlineStr">
        <is>
          <t>284,545,345,616</t>
        </is>
      </c>
      <c r="F1054" t="n">
        <v>152</v>
      </c>
      <c r="G1054" t="inlineStr">
        <is>
          <t>primary</t>
        </is>
      </c>
      <c r="H1054" t="inlineStr">
        <is>
          <t>AUTO_VESSEL</t>
        </is>
      </c>
      <c r="I1054" t="inlineStr">
        <is>
          <t>是</t>
        </is>
      </c>
      <c r="J1054" t="inlineStr">
        <is>
          <t>纳入</t>
        </is>
      </c>
      <c r="K1054" t="n">
        <v>146.9045368620038</v>
      </c>
      <c r="L1054">
        <f>导管母表_1781!G1054</f>
        <v/>
      </c>
      <c r="M1054" t="inlineStr">
        <is>
          <t>视野内部</t>
        </is>
      </c>
      <c r="N1054" t="inlineStr">
        <is>
          <t>纳入A/D/Dh；若有Pair_ID则纳入CWR</t>
        </is>
      </c>
      <c r="O1054" t="inlineStr">
        <is>
          <t>自动管线检出的合格导管腔。</t>
        </is>
      </c>
      <c r="P1054" t="inlineStr">
        <is>
          <t>auto_pipeline;review_png_green</t>
        </is>
      </c>
      <c r="R1054" t="inlineStr">
        <is>
          <t>样品23</t>
        </is>
      </c>
    </row>
    <row r="1055">
      <c r="A1055" t="inlineStr">
        <is>
          <t>23(7)-V05</t>
        </is>
      </c>
      <c r="B1055" t="inlineStr">
        <is>
          <t>23 (7).tif</t>
        </is>
      </c>
      <c r="C1055" t="n">
        <v>715</v>
      </c>
      <c r="D1055" t="n">
        <v>513</v>
      </c>
      <c r="E1055" t="inlineStr">
        <is>
          <t>676,483,755,544</t>
        </is>
      </c>
      <c r="F1055" t="n">
        <v>224</v>
      </c>
      <c r="G1055" t="inlineStr">
        <is>
          <t>primary</t>
        </is>
      </c>
      <c r="H1055" t="inlineStr">
        <is>
          <t>AUTO_VESSEL</t>
        </is>
      </c>
      <c r="I1055" t="inlineStr">
        <is>
          <t>是</t>
        </is>
      </c>
      <c r="J1055" t="inlineStr">
        <is>
          <t>纳入</t>
        </is>
      </c>
      <c r="K1055" t="n">
        <v>133.9319470699433</v>
      </c>
      <c r="L1055">
        <f>导管母表_1781!G1055</f>
        <v/>
      </c>
      <c r="M1055" t="inlineStr">
        <is>
          <t>视野内部</t>
        </is>
      </c>
      <c r="N1055" t="inlineStr">
        <is>
          <t>纳入A/D/Dh；若有Pair_ID则纳入CWR</t>
        </is>
      </c>
      <c r="O1055" t="inlineStr">
        <is>
          <t>自动管线检出的合格导管腔。</t>
        </is>
      </c>
      <c r="P1055" t="inlineStr">
        <is>
          <t>auto_pipeline;review_png_green</t>
        </is>
      </c>
      <c r="R1055" t="inlineStr">
        <is>
          <t>样品23</t>
        </is>
      </c>
    </row>
    <row r="1056">
      <c r="A1056" t="inlineStr">
        <is>
          <t>23(7)-V06</t>
        </is>
      </c>
      <c r="B1056" t="inlineStr">
        <is>
          <t>23 (7).tif</t>
        </is>
      </c>
      <c r="C1056" t="n">
        <v>576</v>
      </c>
      <c r="D1056" t="n">
        <v>580</v>
      </c>
      <c r="E1056" t="inlineStr">
        <is>
          <t>550,546,603,615</t>
        </is>
      </c>
      <c r="F1056" t="n">
        <v>153</v>
      </c>
      <c r="G1056" t="inlineStr">
        <is>
          <t>primary</t>
        </is>
      </c>
      <c r="H1056" t="inlineStr">
        <is>
          <t>AUTO_VESSEL</t>
        </is>
      </c>
      <c r="I1056" t="inlineStr">
        <is>
          <t>是</t>
        </is>
      </c>
      <c r="J1056" t="inlineStr">
        <is>
          <t>纳入</t>
        </is>
      </c>
      <c r="K1056" t="n">
        <v>131.0964083175803</v>
      </c>
      <c r="L1056">
        <f>导管母表_1781!G1056</f>
        <v/>
      </c>
      <c r="M1056" t="inlineStr">
        <is>
          <t>视野内部</t>
        </is>
      </c>
      <c r="N1056" t="inlineStr">
        <is>
          <t>纳入A/D/Dh；若有Pair_ID则纳入CWR</t>
        </is>
      </c>
      <c r="O1056" t="inlineStr">
        <is>
          <t>自动管线检出的合格导管腔。</t>
        </is>
      </c>
      <c r="P1056" t="inlineStr">
        <is>
          <t>auto_pipeline;review_png_green</t>
        </is>
      </c>
      <c r="R1056" t="inlineStr">
        <is>
          <t>样品23</t>
        </is>
      </c>
    </row>
    <row r="1057">
      <c r="A1057" t="inlineStr">
        <is>
          <t>23(7)-V07</t>
        </is>
      </c>
      <c r="B1057" t="inlineStr">
        <is>
          <t>23 (7).tif</t>
        </is>
      </c>
      <c r="C1057" t="n">
        <v>378</v>
      </c>
      <c r="D1057" t="n">
        <v>487</v>
      </c>
      <c r="E1057" t="inlineStr">
        <is>
          <t>341,461,416,514</t>
        </is>
      </c>
      <c r="F1057" t="n">
        <v>254</v>
      </c>
      <c r="G1057" t="inlineStr">
        <is>
          <t>primary</t>
        </is>
      </c>
      <c r="H1057" t="inlineStr">
        <is>
          <t>AUTO_VESSEL</t>
        </is>
      </c>
      <c r="I1057" t="inlineStr">
        <is>
          <t>是</t>
        </is>
      </c>
      <c r="J1057" t="inlineStr">
        <is>
          <t>纳入</t>
        </is>
      </c>
      <c r="K1057" t="n">
        <v>130.8837429111531</v>
      </c>
      <c r="L1057">
        <f>导管母表_1781!G1057</f>
        <v/>
      </c>
      <c r="M1057" t="inlineStr">
        <is>
          <t>视野内部</t>
        </is>
      </c>
      <c r="N1057" t="inlineStr">
        <is>
          <t>纳入A/D/Dh；若有Pair_ID则纳入CWR</t>
        </is>
      </c>
      <c r="O1057" t="inlineStr">
        <is>
          <t>自动管线检出的合格导管腔。</t>
        </is>
      </c>
      <c r="P1057" t="inlineStr">
        <is>
          <t>auto_pipeline;review_png_green</t>
        </is>
      </c>
      <c r="R1057" t="inlineStr">
        <is>
          <t>样品23</t>
        </is>
      </c>
    </row>
    <row r="1058">
      <c r="A1058" t="inlineStr">
        <is>
          <t>23(7)-V08</t>
        </is>
      </c>
      <c r="B1058" t="inlineStr">
        <is>
          <t>23 (7).tif</t>
        </is>
      </c>
      <c r="C1058" t="n">
        <v>781</v>
      </c>
      <c r="D1058" t="n">
        <v>444</v>
      </c>
      <c r="E1058" t="inlineStr">
        <is>
          <t>748,418,815,471</t>
        </is>
      </c>
      <c r="F1058" t="n">
        <v>209</v>
      </c>
      <c r="G1058" t="inlineStr">
        <is>
          <t>primary</t>
        </is>
      </c>
      <c r="H1058" t="inlineStr">
        <is>
          <t>AUTO_VESSEL</t>
        </is>
      </c>
      <c r="I1058" t="inlineStr">
        <is>
          <t>是</t>
        </is>
      </c>
      <c r="J1058" t="inlineStr">
        <is>
          <t>纳入</t>
        </is>
      </c>
      <c r="K1058" t="n">
        <v>127.4574669187146</v>
      </c>
      <c r="L1058">
        <f>导管母表_1781!G1058</f>
        <v/>
      </c>
      <c r="M1058" t="inlineStr">
        <is>
          <t>视野内部</t>
        </is>
      </c>
      <c r="N1058" t="inlineStr">
        <is>
          <t>纳入A/D/Dh；若有Pair_ID则纳入CWR</t>
        </is>
      </c>
      <c r="O1058" t="inlineStr">
        <is>
          <t>自动管线检出的合格导管腔。</t>
        </is>
      </c>
      <c r="P1058" t="inlineStr">
        <is>
          <t>auto_pipeline;review_png_green</t>
        </is>
      </c>
      <c r="R1058" t="inlineStr">
        <is>
          <t>样品23</t>
        </is>
      </c>
    </row>
    <row r="1059">
      <c r="A1059" t="inlineStr">
        <is>
          <t>23(8)-V01</t>
        </is>
      </c>
      <c r="B1059" t="inlineStr">
        <is>
          <t>23 (8).tif</t>
        </is>
      </c>
      <c r="C1059" t="n">
        <v>628</v>
      </c>
      <c r="D1059" t="n">
        <v>354</v>
      </c>
      <c r="E1059" t="inlineStr">
        <is>
          <t>547,285,710,424</t>
        </is>
      </c>
      <c r="F1059" t="n">
        <v>285</v>
      </c>
      <c r="G1059" t="inlineStr">
        <is>
          <t>primary</t>
        </is>
      </c>
      <c r="H1059" t="inlineStr">
        <is>
          <t>AUTO_VESSEL</t>
        </is>
      </c>
      <c r="I1059" t="inlineStr">
        <is>
          <t>是</t>
        </is>
      </c>
      <c r="J1059" t="inlineStr">
        <is>
          <t>纳入</t>
        </is>
      </c>
      <c r="K1059" t="n">
        <v>828.0718336483932</v>
      </c>
      <c r="L1059">
        <f>导管母表_1781!G1059</f>
        <v/>
      </c>
      <c r="M1059" t="inlineStr">
        <is>
          <t>视野内部</t>
        </is>
      </c>
      <c r="N1059" t="inlineStr">
        <is>
          <t>纳入A/D/Dh；若有Pair_ID则纳入CWR</t>
        </is>
      </c>
      <c r="O1059" t="inlineStr">
        <is>
          <t>自动管线检出的合格导管腔。</t>
        </is>
      </c>
      <c r="P1059" t="inlineStr">
        <is>
          <t>auto_pipeline;review_png_green</t>
        </is>
      </c>
      <c r="Q1059" t="inlineStr">
        <is>
          <t>23(8)-P01</t>
        </is>
      </c>
      <c r="R1059" t="inlineStr">
        <is>
          <t>样品23</t>
        </is>
      </c>
    </row>
    <row r="1060">
      <c r="A1060" t="inlineStr">
        <is>
          <t>23(8)-V02</t>
        </is>
      </c>
      <c r="B1060" t="inlineStr">
        <is>
          <t>23 (8).tif</t>
        </is>
      </c>
      <c r="C1060" t="n">
        <v>476</v>
      </c>
      <c r="D1060" t="n">
        <v>452</v>
      </c>
      <c r="E1060" t="inlineStr">
        <is>
          <t>394,393,559,512</t>
        </is>
      </c>
      <c r="F1060" t="n">
        <v>256</v>
      </c>
      <c r="G1060" t="inlineStr">
        <is>
          <t>primary</t>
        </is>
      </c>
      <c r="H1060" t="inlineStr">
        <is>
          <t>AUTO_VESSEL</t>
        </is>
      </c>
      <c r="I1060" t="inlineStr">
        <is>
          <t>是</t>
        </is>
      </c>
      <c r="J1060" t="inlineStr">
        <is>
          <t>纳入</t>
        </is>
      </c>
      <c r="K1060" t="n">
        <v>718.2183364839319</v>
      </c>
      <c r="L1060">
        <f>导管母表_1781!G1060</f>
        <v/>
      </c>
      <c r="M1060" t="inlineStr">
        <is>
          <t>视野内部</t>
        </is>
      </c>
      <c r="N1060" t="inlineStr">
        <is>
          <t>纳入A/D/Dh；若有Pair_ID则纳入CWR</t>
        </is>
      </c>
      <c r="O1060" t="inlineStr">
        <is>
          <t>自动管线检出的合格导管腔。</t>
        </is>
      </c>
      <c r="P1060" t="inlineStr">
        <is>
          <t>auto_pipeline;review_png_green</t>
        </is>
      </c>
      <c r="Q1060" t="inlineStr">
        <is>
          <t>23(8)-P01</t>
        </is>
      </c>
      <c r="R1060" t="inlineStr">
        <is>
          <t>样品23</t>
        </is>
      </c>
    </row>
    <row r="1061">
      <c r="A1061" t="inlineStr">
        <is>
          <t>23(8)-V03</t>
        </is>
      </c>
      <c r="B1061" t="inlineStr">
        <is>
          <t>23 (8).tif</t>
        </is>
      </c>
      <c r="C1061" t="n">
        <v>911</v>
      </c>
      <c r="D1061" t="n">
        <v>138</v>
      </c>
      <c r="E1061" t="inlineStr">
        <is>
          <t>856,95,967,182</t>
        </is>
      </c>
      <c r="F1061" t="n">
        <v>57</v>
      </c>
      <c r="G1061" t="inlineStr">
        <is>
          <t>primary</t>
        </is>
      </c>
      <c r="H1061" t="inlineStr">
        <is>
          <t>AUTO_VESSEL</t>
        </is>
      </c>
      <c r="I1061" t="inlineStr">
        <is>
          <t>是</t>
        </is>
      </c>
      <c r="J1061" t="inlineStr">
        <is>
          <t>纳入</t>
        </is>
      </c>
      <c r="K1061" t="n">
        <v>350.992438563327</v>
      </c>
      <c r="L1061">
        <f>导管母表_1781!G1061</f>
        <v/>
      </c>
      <c r="M1061" t="inlineStr">
        <is>
          <t>视野内部</t>
        </is>
      </c>
      <c r="N1061" t="inlineStr">
        <is>
          <t>纳入A/D/Dh；若有Pair_ID则纳入CWR</t>
        </is>
      </c>
      <c r="O1061" t="inlineStr">
        <is>
          <t>自动管线检出的合格导管腔。</t>
        </is>
      </c>
      <c r="P1061" t="inlineStr">
        <is>
          <t>auto_pipeline;review_png_green</t>
        </is>
      </c>
      <c r="R1061" t="inlineStr">
        <is>
          <t>样品23</t>
        </is>
      </c>
    </row>
    <row r="1062">
      <c r="A1062" t="inlineStr">
        <is>
          <t>23(8)-V04</t>
        </is>
      </c>
      <c r="B1062" t="inlineStr">
        <is>
          <t>23 (8).tif</t>
        </is>
      </c>
      <c r="C1062" t="n">
        <v>428</v>
      </c>
      <c r="D1062" t="n">
        <v>113</v>
      </c>
      <c r="E1062" t="inlineStr">
        <is>
          <t>382,81,475,146</t>
        </is>
      </c>
      <c r="F1062" t="n">
        <v>81</v>
      </c>
      <c r="G1062" t="inlineStr">
        <is>
          <t>primary</t>
        </is>
      </c>
      <c r="H1062" t="inlineStr">
        <is>
          <t>AUTO_VESSEL</t>
        </is>
      </c>
      <c r="I1062" t="inlineStr">
        <is>
          <t>是</t>
        </is>
      </c>
      <c r="J1062" t="inlineStr">
        <is>
          <t>纳入</t>
        </is>
      </c>
      <c r="K1062" t="n">
        <v>206.9943289224953</v>
      </c>
      <c r="L1062">
        <f>导管母表_1781!G1062</f>
        <v/>
      </c>
      <c r="M1062" t="inlineStr">
        <is>
          <t>视野内部</t>
        </is>
      </c>
      <c r="N1062" t="inlineStr">
        <is>
          <t>纳入A/D/Dh；若有Pair_ID则纳入CWR</t>
        </is>
      </c>
      <c r="O1062" t="inlineStr">
        <is>
          <t>自动管线检出的合格导管腔。</t>
        </is>
      </c>
      <c r="P1062" t="inlineStr">
        <is>
          <t>auto_pipeline;review_png_green</t>
        </is>
      </c>
      <c r="R1062" t="inlineStr">
        <is>
          <t>样品23</t>
        </is>
      </c>
    </row>
    <row r="1063">
      <c r="A1063" t="inlineStr">
        <is>
          <t>23(8)-V05</t>
        </is>
      </c>
      <c r="B1063" t="inlineStr">
        <is>
          <t>23 (8).tif</t>
        </is>
      </c>
      <c r="C1063" t="n">
        <v>253</v>
      </c>
      <c r="D1063" t="n">
        <v>564</v>
      </c>
      <c r="E1063" t="inlineStr">
        <is>
          <t>210,534,297,595</t>
        </is>
      </c>
      <c r="F1063" t="n">
        <v>173</v>
      </c>
      <c r="G1063" t="inlineStr">
        <is>
          <t>primary</t>
        </is>
      </c>
      <c r="H1063" t="inlineStr">
        <is>
          <t>AUTO_VESSEL</t>
        </is>
      </c>
      <c r="I1063" t="inlineStr">
        <is>
          <t>是</t>
        </is>
      </c>
      <c r="J1063" t="inlineStr">
        <is>
          <t>纳入</t>
        </is>
      </c>
      <c r="K1063" t="n">
        <v>156.6398865784499</v>
      </c>
      <c r="L1063">
        <f>导管母表_1781!G1063</f>
        <v/>
      </c>
      <c r="M1063" t="inlineStr">
        <is>
          <t>视野内部</t>
        </is>
      </c>
      <c r="N1063" t="inlineStr">
        <is>
          <t>纳入A/D/Dh；若有Pair_ID则纳入CWR</t>
        </is>
      </c>
      <c r="O1063" t="inlineStr">
        <is>
          <t>自动管线检出的合格导管腔。</t>
        </is>
      </c>
      <c r="P1063" t="inlineStr">
        <is>
          <t>auto_pipeline;review_png_green</t>
        </is>
      </c>
      <c r="R1063" t="inlineStr">
        <is>
          <t>样品23</t>
        </is>
      </c>
    </row>
    <row r="1064">
      <c r="A1064" t="inlineStr">
        <is>
          <t>23(8)-V06</t>
        </is>
      </c>
      <c r="B1064" t="inlineStr">
        <is>
          <t>23 (8).tif</t>
        </is>
      </c>
      <c r="C1064" t="n">
        <v>682</v>
      </c>
      <c r="D1064" t="n">
        <v>515</v>
      </c>
      <c r="E1064" t="inlineStr">
        <is>
          <t>653,491,712,540</t>
        </is>
      </c>
      <c r="F1064" t="n">
        <v>228</v>
      </c>
      <c r="G1064" t="inlineStr">
        <is>
          <t>primary</t>
        </is>
      </c>
      <c r="H1064" t="inlineStr">
        <is>
          <t>AUTO_VESSEL</t>
        </is>
      </c>
      <c r="I1064" t="inlineStr">
        <is>
          <t>是</t>
        </is>
      </c>
      <c r="J1064" t="inlineStr">
        <is>
          <t>纳入</t>
        </is>
      </c>
      <c r="K1064" t="n">
        <v>101.1342155009452</v>
      </c>
      <c r="L1064">
        <f>导管母表_1781!G1064</f>
        <v/>
      </c>
      <c r="M1064" t="inlineStr">
        <is>
          <t>视野内部</t>
        </is>
      </c>
      <c r="N1064" t="inlineStr">
        <is>
          <t>纳入A/D/Dh；若有Pair_ID则纳入CWR</t>
        </is>
      </c>
      <c r="O1064" t="inlineStr">
        <is>
          <t>自动管线检出的合格导管腔。</t>
        </is>
      </c>
      <c r="P1064" t="inlineStr">
        <is>
          <t>auto_pipeline;review_png_green</t>
        </is>
      </c>
      <c r="R1064" t="inlineStr">
        <is>
          <t>样品23</t>
        </is>
      </c>
    </row>
    <row r="1065">
      <c r="A1065" t="inlineStr">
        <is>
          <t>24(1)-V01</t>
        </is>
      </c>
      <c r="B1065" t="inlineStr">
        <is>
          <t>24 (1).tif</t>
        </is>
      </c>
      <c r="C1065" t="n">
        <v>487</v>
      </c>
      <c r="D1065" t="n">
        <v>450</v>
      </c>
      <c r="E1065" t="inlineStr">
        <is>
          <t>420,378,555,523</t>
        </is>
      </c>
      <c r="F1065" t="n">
        <v>245</v>
      </c>
      <c r="G1065" t="inlineStr">
        <is>
          <t>primary</t>
        </is>
      </c>
      <c r="H1065" t="inlineStr">
        <is>
          <t>AUTO_VESSEL</t>
        </is>
      </c>
      <c r="I1065" t="inlineStr">
        <is>
          <t>是</t>
        </is>
      </c>
      <c r="J1065" t="inlineStr">
        <is>
          <t>纳入</t>
        </is>
      </c>
      <c r="K1065" t="n">
        <v>713.8705103969754</v>
      </c>
      <c r="L1065">
        <f>导管母表_1781!G1065</f>
        <v/>
      </c>
      <c r="M1065" t="inlineStr">
        <is>
          <t>视野内部</t>
        </is>
      </c>
      <c r="N1065" t="inlineStr">
        <is>
          <t>纳入A/D/Dh；若有Pair_ID则纳入CWR</t>
        </is>
      </c>
      <c r="O1065" t="inlineStr">
        <is>
          <t>自动管线检出的合格导管腔。</t>
        </is>
      </c>
      <c r="P1065" t="inlineStr">
        <is>
          <t>auto_pipeline;review_png_green</t>
        </is>
      </c>
      <c r="Q1065" t="inlineStr">
        <is>
          <t>24(1)-P01</t>
        </is>
      </c>
      <c r="R1065" t="inlineStr">
        <is>
          <t>样品24</t>
        </is>
      </c>
    </row>
    <row r="1066">
      <c r="A1066" t="inlineStr">
        <is>
          <t>24(1)-V02</t>
        </is>
      </c>
      <c r="B1066" t="inlineStr">
        <is>
          <t>24 (1).tif</t>
        </is>
      </c>
      <c r="C1066" t="n">
        <v>929</v>
      </c>
      <c r="D1066" t="n">
        <v>139</v>
      </c>
      <c r="E1066" t="inlineStr">
        <is>
          <t>863,73,996,206</t>
        </is>
      </c>
      <c r="F1066" t="n">
        <v>28</v>
      </c>
      <c r="G1066" t="inlineStr">
        <is>
          <t>primary</t>
        </is>
      </c>
      <c r="H1066" t="inlineStr">
        <is>
          <t>AUTO_VESSEL</t>
        </is>
      </c>
      <c r="I1066" t="inlineStr">
        <is>
          <t>是</t>
        </is>
      </c>
      <c r="J1066" t="inlineStr">
        <is>
          <t>纳入</t>
        </is>
      </c>
      <c r="K1066" t="n">
        <v>645.0141776937618</v>
      </c>
      <c r="L1066">
        <f>导管母表_1781!G1066</f>
        <v/>
      </c>
      <c r="M1066" t="inlineStr">
        <is>
          <t>视野内部</t>
        </is>
      </c>
      <c r="N1066" t="inlineStr">
        <is>
          <t>纳入A/D/Dh；若有Pair_ID则纳入CWR</t>
        </is>
      </c>
      <c r="O1066" t="inlineStr">
        <is>
          <t>自动管线检出的合格导管腔。</t>
        </is>
      </c>
      <c r="P1066" t="inlineStr">
        <is>
          <t>auto_pipeline;review_png_green</t>
        </is>
      </c>
      <c r="R1066" t="inlineStr">
        <is>
          <t>样品24</t>
        </is>
      </c>
    </row>
    <row r="1067">
      <c r="A1067" t="inlineStr">
        <is>
          <t>24(1)-V03</t>
        </is>
      </c>
      <c r="B1067" t="inlineStr">
        <is>
          <t>24 (1).tif</t>
        </is>
      </c>
      <c r="C1067" t="n">
        <v>531</v>
      </c>
      <c r="D1067" t="n">
        <v>277</v>
      </c>
      <c r="E1067" t="inlineStr">
        <is>
          <t>471,210,592,345</t>
        </is>
      </c>
      <c r="F1067" t="n">
        <v>210</v>
      </c>
      <c r="G1067" t="inlineStr">
        <is>
          <t>primary</t>
        </is>
      </c>
      <c r="H1067" t="inlineStr">
        <is>
          <t>AUTO_VESSEL</t>
        </is>
      </c>
      <c r="I1067" t="inlineStr">
        <is>
          <t>是</t>
        </is>
      </c>
      <c r="J1067" t="inlineStr">
        <is>
          <t>纳入</t>
        </is>
      </c>
      <c r="K1067" t="n">
        <v>595.1086956521739</v>
      </c>
      <c r="L1067">
        <f>导管母表_1781!G1067</f>
        <v/>
      </c>
      <c r="M1067" t="inlineStr">
        <is>
          <t>视野内部</t>
        </is>
      </c>
      <c r="N1067" t="inlineStr">
        <is>
          <t>纳入A/D/Dh；若有Pair_ID则纳入CWR</t>
        </is>
      </c>
      <c r="O1067" t="inlineStr">
        <is>
          <t>自动管线检出的合格导管腔。</t>
        </is>
      </c>
      <c r="P1067" t="inlineStr">
        <is>
          <t>auto_pipeline;review_png_green</t>
        </is>
      </c>
      <c r="Q1067" t="inlineStr">
        <is>
          <t>24(1)-P01</t>
        </is>
      </c>
      <c r="R1067" t="inlineStr">
        <is>
          <t>样品24</t>
        </is>
      </c>
    </row>
    <row r="1068">
      <c r="A1068" t="inlineStr">
        <is>
          <t>24(1)-V04</t>
        </is>
      </c>
      <c r="B1068" t="inlineStr">
        <is>
          <t>24 (1).tif</t>
        </is>
      </c>
      <c r="C1068" t="n">
        <v>732</v>
      </c>
      <c r="D1068" t="n">
        <v>406</v>
      </c>
      <c r="E1068" t="inlineStr">
        <is>
          <t>689,377,776,436</t>
        </is>
      </c>
      <c r="F1068" t="n">
        <v>248</v>
      </c>
      <c r="G1068" t="inlineStr">
        <is>
          <t>primary</t>
        </is>
      </c>
      <c r="H1068" t="inlineStr">
        <is>
          <t>AUTO_VESSEL</t>
        </is>
      </c>
      <c r="I1068" t="inlineStr">
        <is>
          <t>是</t>
        </is>
      </c>
      <c r="J1068" t="inlineStr">
        <is>
          <t>纳入</t>
        </is>
      </c>
      <c r="K1068" t="n">
        <v>166.7533081285444</v>
      </c>
      <c r="L1068">
        <f>导管母表_1781!G1068</f>
        <v/>
      </c>
      <c r="M1068" t="inlineStr">
        <is>
          <t>视野内部</t>
        </is>
      </c>
      <c r="N1068" t="inlineStr">
        <is>
          <t>纳入A/D/Dh；若有Pair_ID则纳入CWR</t>
        </is>
      </c>
      <c r="O1068" t="inlineStr">
        <is>
          <t>自动管线检出的合格导管腔。</t>
        </is>
      </c>
      <c r="P1068" t="inlineStr">
        <is>
          <t>auto_pipeline;review_png_green</t>
        </is>
      </c>
      <c r="R1068" t="inlineStr">
        <is>
          <t>样品24</t>
        </is>
      </c>
    </row>
    <row r="1069">
      <c r="A1069" t="inlineStr">
        <is>
          <t>24(2)-V01</t>
        </is>
      </c>
      <c r="B1069" t="inlineStr">
        <is>
          <t>24 (2).tif</t>
        </is>
      </c>
      <c r="C1069" t="n">
        <v>588</v>
      </c>
      <c r="D1069" t="n">
        <v>322</v>
      </c>
      <c r="E1069" t="inlineStr">
        <is>
          <t>514,254,663,391</t>
        </is>
      </c>
      <c r="F1069" t="n">
        <v>254</v>
      </c>
      <c r="G1069" t="inlineStr">
        <is>
          <t>primary</t>
        </is>
      </c>
      <c r="H1069" t="inlineStr">
        <is>
          <t>AUTO_VESSEL</t>
        </is>
      </c>
      <c r="I1069" t="inlineStr">
        <is>
          <t>是</t>
        </is>
      </c>
      <c r="J1069" t="inlineStr">
        <is>
          <t>纳入</t>
        </is>
      </c>
      <c r="K1069" t="n">
        <v>746.2429111531191</v>
      </c>
      <c r="L1069">
        <f>导管母表_1781!G1069</f>
        <v/>
      </c>
      <c r="M1069" t="inlineStr">
        <is>
          <t>视野内部</t>
        </is>
      </c>
      <c r="N1069" t="inlineStr">
        <is>
          <t>纳入A/D/Dh；若有Pair_ID则纳入CWR</t>
        </is>
      </c>
      <c r="O1069" t="inlineStr">
        <is>
          <t>自动管线检出的合格导管腔。</t>
        </is>
      </c>
      <c r="P1069" t="inlineStr">
        <is>
          <t>auto_pipeline;review_png_green</t>
        </is>
      </c>
      <c r="Q1069" t="inlineStr">
        <is>
          <t>24(2)-P01</t>
        </is>
      </c>
      <c r="R1069" t="inlineStr">
        <is>
          <t>样品24</t>
        </is>
      </c>
    </row>
    <row r="1070">
      <c r="A1070" t="inlineStr">
        <is>
          <t>24(2)-V02</t>
        </is>
      </c>
      <c r="B1070" t="inlineStr">
        <is>
          <t>24 (2).tif</t>
        </is>
      </c>
      <c r="C1070" t="n">
        <v>469</v>
      </c>
      <c r="D1070" t="n">
        <v>433</v>
      </c>
      <c r="E1070" t="inlineStr">
        <is>
          <t>396,367,543,500</t>
        </is>
      </c>
      <c r="F1070" t="n">
        <v>268</v>
      </c>
      <c r="G1070" t="inlineStr">
        <is>
          <t>primary</t>
        </is>
      </c>
      <c r="H1070" t="inlineStr">
        <is>
          <t>AUTO_VESSEL</t>
        </is>
      </c>
      <c r="I1070" t="inlineStr">
        <is>
          <t>是</t>
        </is>
      </c>
      <c r="J1070" t="inlineStr">
        <is>
          <t>纳入</t>
        </is>
      </c>
      <c r="K1070" t="n">
        <v>715.5482041587902</v>
      </c>
      <c r="L1070">
        <f>导管母表_1781!G1070</f>
        <v/>
      </c>
      <c r="M1070" t="inlineStr">
        <is>
          <t>视野内部</t>
        </is>
      </c>
      <c r="N1070" t="inlineStr">
        <is>
          <t>纳入A/D/Dh；若有Pair_ID则纳入CWR</t>
        </is>
      </c>
      <c r="O1070" t="inlineStr">
        <is>
          <t>自动管线检出的合格导管腔。</t>
        </is>
      </c>
      <c r="P1070" t="inlineStr">
        <is>
          <t>auto_pipeline;review_png_green</t>
        </is>
      </c>
      <c r="Q1070" t="inlineStr">
        <is>
          <t>24(2)-P01</t>
        </is>
      </c>
      <c r="R1070" t="inlineStr">
        <is>
          <t>样品24</t>
        </is>
      </c>
    </row>
    <row r="1071">
      <c r="A1071" t="inlineStr">
        <is>
          <t>24(2)-V03</t>
        </is>
      </c>
      <c r="B1071" t="inlineStr">
        <is>
          <t>24 (2).tif</t>
        </is>
      </c>
      <c r="C1071" t="n">
        <v>328</v>
      </c>
      <c r="D1071" t="n">
        <v>473</v>
      </c>
      <c r="E1071" t="inlineStr">
        <is>
          <t>277,395,380,552</t>
        </is>
      </c>
      <c r="F1071" t="n">
        <v>216</v>
      </c>
      <c r="G1071" t="inlineStr">
        <is>
          <t>primary</t>
        </is>
      </c>
      <c r="H1071" t="inlineStr">
        <is>
          <t>AUTO_VESSEL</t>
        </is>
      </c>
      <c r="I1071" t="inlineStr">
        <is>
          <t>是</t>
        </is>
      </c>
      <c r="J1071" t="inlineStr">
        <is>
          <t>纳入</t>
        </is>
      </c>
      <c r="K1071" t="n">
        <v>590.0756143667297</v>
      </c>
      <c r="L1071">
        <f>导管母表_1781!G1071</f>
        <v/>
      </c>
      <c r="M1071" t="inlineStr">
        <is>
          <t>视野内部</t>
        </is>
      </c>
      <c r="N1071" t="inlineStr">
        <is>
          <t>纳入A/D/Dh；若有Pair_ID则纳入CWR</t>
        </is>
      </c>
      <c r="O1071" t="inlineStr">
        <is>
          <t>自动管线检出的合格导管腔。</t>
        </is>
      </c>
      <c r="P1071" t="inlineStr">
        <is>
          <t>auto_pipeline;review_png_green</t>
        </is>
      </c>
      <c r="R1071" t="inlineStr">
        <is>
          <t>样品24</t>
        </is>
      </c>
    </row>
    <row r="1072">
      <c r="A1072" t="inlineStr">
        <is>
          <t>24(2)-V04</t>
        </is>
      </c>
      <c r="B1072" t="inlineStr">
        <is>
          <t>24 (2).tif</t>
        </is>
      </c>
      <c r="C1072" t="n">
        <v>267</v>
      </c>
      <c r="D1072" t="n">
        <v>144</v>
      </c>
      <c r="E1072" t="inlineStr">
        <is>
          <t>209,83,326,206</t>
        </is>
      </c>
      <c r="F1072" t="n">
        <v>83</v>
      </c>
      <c r="G1072" t="inlineStr">
        <is>
          <t>primary</t>
        </is>
      </c>
      <c r="H1072" t="inlineStr">
        <is>
          <t>AUTO_VESSEL</t>
        </is>
      </c>
      <c r="I1072" t="inlineStr">
        <is>
          <t>是</t>
        </is>
      </c>
      <c r="J1072" t="inlineStr">
        <is>
          <t>纳入</t>
        </is>
      </c>
      <c r="K1072" t="n">
        <v>521.9281663516068</v>
      </c>
      <c r="L1072">
        <f>导管母表_1781!G1072</f>
        <v/>
      </c>
      <c r="M1072" t="inlineStr">
        <is>
          <t>视野内部</t>
        </is>
      </c>
      <c r="N1072" t="inlineStr">
        <is>
          <t>纳入A/D/Dh；若有Pair_ID则纳入CWR</t>
        </is>
      </c>
      <c r="O1072" t="inlineStr">
        <is>
          <t>自动管线检出的合格导管腔。</t>
        </is>
      </c>
      <c r="P1072" t="inlineStr">
        <is>
          <t>auto_pipeline;review_png_green</t>
        </is>
      </c>
      <c r="R1072" t="inlineStr">
        <is>
          <t>样品24</t>
        </is>
      </c>
    </row>
    <row r="1073">
      <c r="A1073" t="inlineStr">
        <is>
          <t>24(2)-V05</t>
        </is>
      </c>
      <c r="B1073" t="inlineStr">
        <is>
          <t>24 (2).tif</t>
        </is>
      </c>
      <c r="C1073" t="n">
        <v>252</v>
      </c>
      <c r="D1073" t="n">
        <v>602</v>
      </c>
      <c r="E1073" t="inlineStr">
        <is>
          <t>182,549,323,656</t>
        </is>
      </c>
      <c r="F1073" t="n">
        <v>112</v>
      </c>
      <c r="G1073" t="inlineStr">
        <is>
          <t>primary</t>
        </is>
      </c>
      <c r="H1073" t="inlineStr">
        <is>
          <t>AUTO_VESSEL</t>
        </is>
      </c>
      <c r="I1073" t="inlineStr">
        <is>
          <t>是</t>
        </is>
      </c>
      <c r="J1073" t="inlineStr">
        <is>
          <t>纳入</t>
        </is>
      </c>
      <c r="K1073" t="n">
        <v>512.1928166351607</v>
      </c>
      <c r="L1073">
        <f>导管母表_1781!G1073</f>
        <v/>
      </c>
      <c r="M1073" t="inlineStr">
        <is>
          <t>视野内部</t>
        </is>
      </c>
      <c r="N1073" t="inlineStr">
        <is>
          <t>纳入A/D/Dh；若有Pair_ID则纳入CWR</t>
        </is>
      </c>
      <c r="O1073" t="inlineStr">
        <is>
          <t>自动管线检出的合格导管腔。</t>
        </is>
      </c>
      <c r="P1073" t="inlineStr">
        <is>
          <t>auto_pipeline;review_png_green</t>
        </is>
      </c>
      <c r="R1073" t="inlineStr">
        <is>
          <t>样品24</t>
        </is>
      </c>
    </row>
    <row r="1074">
      <c r="A1074" t="inlineStr">
        <is>
          <t>24(2)-V06</t>
        </is>
      </c>
      <c r="B1074" t="inlineStr">
        <is>
          <t>24 (2).tif</t>
        </is>
      </c>
      <c r="C1074" t="n">
        <v>101</v>
      </c>
      <c r="D1074" t="n">
        <v>228</v>
      </c>
      <c r="E1074" t="inlineStr">
        <is>
          <t>70,205,133,252</t>
        </is>
      </c>
      <c r="F1074" t="n">
        <v>70</v>
      </c>
      <c r="G1074" t="inlineStr">
        <is>
          <t>primary</t>
        </is>
      </c>
      <c r="H1074" t="inlineStr">
        <is>
          <t>AUTO_VESSEL</t>
        </is>
      </c>
      <c r="I1074" t="inlineStr">
        <is>
          <t>是</t>
        </is>
      </c>
      <c r="J1074" t="inlineStr">
        <is>
          <t>纳入</t>
        </is>
      </c>
      <c r="K1074" t="n">
        <v>104.3950850661626</v>
      </c>
      <c r="L1074">
        <f>导管母表_1781!G1074</f>
        <v/>
      </c>
      <c r="M1074" t="inlineStr">
        <is>
          <t>视野内部</t>
        </is>
      </c>
      <c r="N1074" t="inlineStr">
        <is>
          <t>纳入A/D/Dh；若有Pair_ID则纳入CWR</t>
        </is>
      </c>
      <c r="O1074" t="inlineStr">
        <is>
          <t>自动管线检出的合格导管腔。</t>
        </is>
      </c>
      <c r="P1074" t="inlineStr">
        <is>
          <t>auto_pipeline;review_png_green</t>
        </is>
      </c>
      <c r="R1074" t="inlineStr">
        <is>
          <t>样品24</t>
        </is>
      </c>
    </row>
    <row r="1075">
      <c r="A1075" t="inlineStr">
        <is>
          <t>24(3)-V01</t>
        </is>
      </c>
      <c r="B1075" t="inlineStr">
        <is>
          <t>24 (3).tif</t>
        </is>
      </c>
      <c r="C1075" t="n">
        <v>522</v>
      </c>
      <c r="D1075" t="n">
        <v>393</v>
      </c>
      <c r="E1075" t="inlineStr">
        <is>
          <t>460,330,585,457</t>
        </is>
      </c>
      <c r="F1075" t="n">
        <v>311</v>
      </c>
      <c r="G1075" t="inlineStr">
        <is>
          <t>primary</t>
        </is>
      </c>
      <c r="H1075" t="inlineStr">
        <is>
          <t>AUTO_VESSEL</t>
        </is>
      </c>
      <c r="I1075" t="inlineStr">
        <is>
          <t>是</t>
        </is>
      </c>
      <c r="J1075" t="inlineStr">
        <is>
          <t>纳入</t>
        </is>
      </c>
      <c r="K1075" t="n">
        <v>566.7769376181475</v>
      </c>
      <c r="L1075">
        <f>导管母表_1781!G1075</f>
        <v/>
      </c>
      <c r="M1075" t="inlineStr">
        <is>
          <t>视野内部</t>
        </is>
      </c>
      <c r="N1075" t="inlineStr">
        <is>
          <t>纳入A/D/Dh；若有Pair_ID则纳入CWR</t>
        </is>
      </c>
      <c r="O1075" t="inlineStr">
        <is>
          <t>自动管线检出的合格导管腔。</t>
        </is>
      </c>
      <c r="P1075" t="inlineStr">
        <is>
          <t>auto_pipeline;review_png_green</t>
        </is>
      </c>
      <c r="Q1075" t="inlineStr">
        <is>
          <t>24(3)-P01</t>
        </is>
      </c>
      <c r="R1075" t="inlineStr">
        <is>
          <t>样品24</t>
        </is>
      </c>
    </row>
    <row r="1076">
      <c r="A1076" t="inlineStr">
        <is>
          <t>24(3)-V02</t>
        </is>
      </c>
      <c r="B1076" t="inlineStr">
        <is>
          <t>24 (3).tif</t>
        </is>
      </c>
      <c r="C1076" t="n">
        <v>403</v>
      </c>
      <c r="D1076" t="n">
        <v>340</v>
      </c>
      <c r="E1076" t="inlineStr">
        <is>
          <t>340,281,467,400</t>
        </is>
      </c>
      <c r="F1076" t="n">
        <v>281</v>
      </c>
      <c r="G1076" t="inlineStr">
        <is>
          <t>primary</t>
        </is>
      </c>
      <c r="H1076" t="inlineStr">
        <is>
          <t>AUTO_VESSEL</t>
        </is>
      </c>
      <c r="I1076" t="inlineStr">
        <is>
          <t>是</t>
        </is>
      </c>
      <c r="J1076" t="inlineStr">
        <is>
          <t>纳入</t>
        </is>
      </c>
      <c r="K1076" t="n">
        <v>548.1805293005671</v>
      </c>
      <c r="L1076">
        <f>导管母表_1781!G1076</f>
        <v/>
      </c>
      <c r="M1076" t="inlineStr">
        <is>
          <t>视野内部</t>
        </is>
      </c>
      <c r="N1076" t="inlineStr">
        <is>
          <t>纳入A/D/Dh；若有Pair_ID则纳入CWR</t>
        </is>
      </c>
      <c r="O1076" t="inlineStr">
        <is>
          <t>自动管线检出的合格导管腔。</t>
        </is>
      </c>
      <c r="P1076" t="inlineStr">
        <is>
          <t>auto_pipeline;review_png_green</t>
        </is>
      </c>
      <c r="Q1076" t="inlineStr">
        <is>
          <t>24(3)-P01</t>
        </is>
      </c>
      <c r="R1076" t="inlineStr">
        <is>
          <t>样品24</t>
        </is>
      </c>
    </row>
    <row r="1077">
      <c r="A1077" t="inlineStr">
        <is>
          <t>24(3)-V03</t>
        </is>
      </c>
      <c r="B1077" t="inlineStr">
        <is>
          <t>24 (3).tif</t>
        </is>
      </c>
      <c r="C1077" t="n">
        <v>95</v>
      </c>
      <c r="D1077" t="n">
        <v>205</v>
      </c>
      <c r="E1077" t="inlineStr">
        <is>
          <t>31,148,160,263</t>
        </is>
      </c>
      <c r="F1077" t="n">
        <v>31</v>
      </c>
      <c r="G1077" t="inlineStr">
        <is>
          <t>primary</t>
        </is>
      </c>
      <c r="H1077" t="inlineStr">
        <is>
          <t>AUTO_VESSEL</t>
        </is>
      </c>
      <c r="I1077" t="inlineStr">
        <is>
          <t>是</t>
        </is>
      </c>
      <c r="J1077" t="inlineStr">
        <is>
          <t>纳入</t>
        </is>
      </c>
      <c r="K1077" t="n">
        <v>530.7183364839319</v>
      </c>
      <c r="L1077">
        <f>导管母表_1781!G1077</f>
        <v/>
      </c>
      <c r="M1077" t="inlineStr">
        <is>
          <t>视野内部</t>
        </is>
      </c>
      <c r="N1077" t="inlineStr">
        <is>
          <t>纳入A/D/Dh；若有Pair_ID则纳入CWR</t>
        </is>
      </c>
      <c r="O1077" t="inlineStr">
        <is>
          <t>自动管线检出的合格导管腔。</t>
        </is>
      </c>
      <c r="P1077" t="inlineStr">
        <is>
          <t>auto_pipeline;review_png_green</t>
        </is>
      </c>
      <c r="R1077" t="inlineStr">
        <is>
          <t>样品24</t>
        </is>
      </c>
    </row>
    <row r="1078">
      <c r="A1078" t="inlineStr">
        <is>
          <t>24(3)-V04</t>
        </is>
      </c>
      <c r="B1078" t="inlineStr">
        <is>
          <t>24 (3).tif</t>
        </is>
      </c>
      <c r="C1078" t="n">
        <v>844</v>
      </c>
      <c r="D1078" t="n">
        <v>593</v>
      </c>
      <c r="E1078" t="inlineStr">
        <is>
          <t>794,539,895,648</t>
        </is>
      </c>
      <c r="F1078" t="n">
        <v>120</v>
      </c>
      <c r="G1078" t="inlineStr">
        <is>
          <t>primary</t>
        </is>
      </c>
      <c r="H1078" t="inlineStr">
        <is>
          <t>AUTO_VESSEL</t>
        </is>
      </c>
      <c r="I1078" t="inlineStr">
        <is>
          <t>是</t>
        </is>
      </c>
      <c r="J1078" t="inlineStr">
        <is>
          <t>纳入</t>
        </is>
      </c>
      <c r="K1078" t="n">
        <v>397.5897920604915</v>
      </c>
      <c r="L1078">
        <f>导管母表_1781!G1078</f>
        <v/>
      </c>
      <c r="M1078" t="inlineStr">
        <is>
          <t>视野内部</t>
        </is>
      </c>
      <c r="N1078" t="inlineStr">
        <is>
          <t>纳入A/D/Dh；若有Pair_ID则纳入CWR</t>
        </is>
      </c>
      <c r="O1078" t="inlineStr">
        <is>
          <t>自动管线检出的合格导管腔。</t>
        </is>
      </c>
      <c r="P1078" t="inlineStr">
        <is>
          <t>auto_pipeline;review_png_green</t>
        </is>
      </c>
      <c r="R1078" t="inlineStr">
        <is>
          <t>样品24</t>
        </is>
      </c>
    </row>
    <row r="1079">
      <c r="A1079" t="inlineStr">
        <is>
          <t>24(3)-V05</t>
        </is>
      </c>
      <c r="B1079" t="inlineStr">
        <is>
          <t>24 (3).tif</t>
        </is>
      </c>
      <c r="C1079" t="n">
        <v>255</v>
      </c>
      <c r="D1079" t="n">
        <v>622</v>
      </c>
      <c r="E1079" t="inlineStr">
        <is>
          <t>195,576,316,669</t>
        </is>
      </c>
      <c r="F1079" t="n">
        <v>99</v>
      </c>
      <c r="G1079" t="inlineStr">
        <is>
          <t>primary</t>
        </is>
      </c>
      <c r="H1079" t="inlineStr">
        <is>
          <t>AUTO_VESSEL</t>
        </is>
      </c>
      <c r="I1079" t="inlineStr">
        <is>
          <t>是</t>
        </is>
      </c>
      <c r="J1079" t="inlineStr">
        <is>
          <t>纳入</t>
        </is>
      </c>
      <c r="K1079" t="n">
        <v>376.5122873345936</v>
      </c>
      <c r="L1079">
        <f>导管母表_1781!G1079</f>
        <v/>
      </c>
      <c r="M1079" t="inlineStr">
        <is>
          <t>视野内部</t>
        </is>
      </c>
      <c r="N1079" t="inlineStr">
        <is>
          <t>纳入A/D/Dh；若有Pair_ID则纳入CWR</t>
        </is>
      </c>
      <c r="O1079" t="inlineStr">
        <is>
          <t>自动管线检出的合格导管腔。</t>
        </is>
      </c>
      <c r="P1079" t="inlineStr">
        <is>
          <t>auto_pipeline;review_png_green</t>
        </is>
      </c>
      <c r="R1079" t="inlineStr">
        <is>
          <t>样品24</t>
        </is>
      </c>
    </row>
    <row r="1080">
      <c r="A1080" t="inlineStr">
        <is>
          <t>24(3)-V06</t>
        </is>
      </c>
      <c r="B1080" t="inlineStr">
        <is>
          <t>24 (3).tif</t>
        </is>
      </c>
      <c r="C1080" t="n">
        <v>130</v>
      </c>
      <c r="D1080" t="n">
        <v>530</v>
      </c>
      <c r="E1080" t="inlineStr">
        <is>
          <t>93,478,168,583</t>
        </is>
      </c>
      <c r="F1080" t="n">
        <v>93</v>
      </c>
      <c r="G1080" t="inlineStr">
        <is>
          <t>primary</t>
        </is>
      </c>
      <c r="H1080" t="inlineStr">
        <is>
          <t>AUTO_VESSEL</t>
        </is>
      </c>
      <c r="I1080" t="inlineStr">
        <is>
          <t>是</t>
        </is>
      </c>
      <c r="J1080" t="inlineStr">
        <is>
          <t>纳入</t>
        </is>
      </c>
      <c r="K1080" t="n">
        <v>261.2712665406427</v>
      </c>
      <c r="L1080">
        <f>导管母表_1781!G1080</f>
        <v/>
      </c>
      <c r="M1080" t="inlineStr">
        <is>
          <t>视野内部</t>
        </is>
      </c>
      <c r="N1080" t="inlineStr">
        <is>
          <t>纳入A/D/Dh；若有Pair_ID则纳入CWR</t>
        </is>
      </c>
      <c r="O1080" t="inlineStr">
        <is>
          <t>自动管线检出的合格导管腔。</t>
        </is>
      </c>
      <c r="P1080" t="inlineStr">
        <is>
          <t>auto_pipeline;review_png_green</t>
        </is>
      </c>
      <c r="R1080" t="inlineStr">
        <is>
          <t>样品24</t>
        </is>
      </c>
    </row>
    <row r="1081">
      <c r="A1081" t="inlineStr">
        <is>
          <t>24(3)-V07</t>
        </is>
      </c>
      <c r="B1081" t="inlineStr">
        <is>
          <t>24 (3).tif</t>
        </is>
      </c>
      <c r="C1081" t="n">
        <v>753</v>
      </c>
      <c r="D1081" t="n">
        <v>501</v>
      </c>
      <c r="E1081" t="inlineStr">
        <is>
          <t>711,459,796,544</t>
        </is>
      </c>
      <c r="F1081" t="n">
        <v>224</v>
      </c>
      <c r="G1081" t="inlineStr">
        <is>
          <t>primary</t>
        </is>
      </c>
      <c r="H1081" t="inlineStr">
        <is>
          <t>AUTO_VESSEL</t>
        </is>
      </c>
      <c r="I1081" t="inlineStr">
        <is>
          <t>是</t>
        </is>
      </c>
      <c r="J1081" t="inlineStr">
        <is>
          <t>纳入</t>
        </is>
      </c>
      <c r="K1081" t="n">
        <v>223.7003780718337</v>
      </c>
      <c r="L1081">
        <f>导管母表_1781!G1081</f>
        <v/>
      </c>
      <c r="M1081" t="inlineStr">
        <is>
          <t>视野内部</t>
        </is>
      </c>
      <c r="N1081" t="inlineStr">
        <is>
          <t>纳入A/D/Dh；若有Pair_ID则纳入CWR</t>
        </is>
      </c>
      <c r="O1081" t="inlineStr">
        <is>
          <t>自动管线检出的合格导管腔。</t>
        </is>
      </c>
      <c r="P1081" t="inlineStr">
        <is>
          <t>auto_pipeline;review_png_green</t>
        </is>
      </c>
      <c r="R1081" t="inlineStr">
        <is>
          <t>样品24</t>
        </is>
      </c>
    </row>
    <row r="1082">
      <c r="A1082" t="inlineStr">
        <is>
          <t>24(3)-V08</t>
        </is>
      </c>
      <c r="B1082" t="inlineStr">
        <is>
          <t>24 (3).tif</t>
        </is>
      </c>
      <c r="C1082" t="n">
        <v>675</v>
      </c>
      <c r="D1082" t="n">
        <v>499</v>
      </c>
      <c r="E1082" t="inlineStr">
        <is>
          <t>644,470,707,529</t>
        </is>
      </c>
      <c r="F1082" t="n">
        <v>239</v>
      </c>
      <c r="G1082" t="inlineStr">
        <is>
          <t>primary</t>
        </is>
      </c>
      <c r="H1082" t="inlineStr">
        <is>
          <t>AUTO_VESSEL</t>
        </is>
      </c>
      <c r="I1082" t="inlineStr">
        <is>
          <t>是</t>
        </is>
      </c>
      <c r="J1082" t="inlineStr">
        <is>
          <t>纳入</t>
        </is>
      </c>
      <c r="K1082" t="n">
        <v>124.6219281663516</v>
      </c>
      <c r="L1082">
        <f>导管母表_1781!G1082</f>
        <v/>
      </c>
      <c r="M1082" t="inlineStr">
        <is>
          <t>视野内部</t>
        </is>
      </c>
      <c r="N1082" t="inlineStr">
        <is>
          <t>纳入A/D/Dh；若有Pair_ID则纳入CWR</t>
        </is>
      </c>
      <c r="O1082" t="inlineStr">
        <is>
          <t>自动管线检出的合格导管腔。</t>
        </is>
      </c>
      <c r="P1082" t="inlineStr">
        <is>
          <t>auto_pipeline;review_png_green</t>
        </is>
      </c>
      <c r="R1082" t="inlineStr">
        <is>
          <t>样品24</t>
        </is>
      </c>
    </row>
    <row r="1083">
      <c r="A1083" t="inlineStr">
        <is>
          <t>24(4)-V01</t>
        </is>
      </c>
      <c r="B1083" t="inlineStr">
        <is>
          <t>24 (4).tif</t>
        </is>
      </c>
      <c r="C1083" t="n">
        <v>519</v>
      </c>
      <c r="D1083" t="n">
        <v>370</v>
      </c>
      <c r="E1083" t="inlineStr">
        <is>
          <t>433,314,606,427</t>
        </is>
      </c>
      <c r="F1083" t="n">
        <v>314</v>
      </c>
      <c r="G1083" t="inlineStr">
        <is>
          <t>primary</t>
        </is>
      </c>
      <c r="H1083" t="inlineStr">
        <is>
          <t>AUTO_VESSEL</t>
        </is>
      </c>
      <c r="I1083" t="inlineStr">
        <is>
          <t>是</t>
        </is>
      </c>
      <c r="J1083" t="inlineStr">
        <is>
          <t>纳入</t>
        </is>
      </c>
      <c r="K1083" t="n">
        <v>715.0756143667297</v>
      </c>
      <c r="L1083">
        <f>导管母表_1781!G1083</f>
        <v/>
      </c>
      <c r="M1083" t="inlineStr">
        <is>
          <t>视野内部</t>
        </is>
      </c>
      <c r="N1083" t="inlineStr">
        <is>
          <t>纳入A/D/Dh；若有Pair_ID则纳入CWR</t>
        </is>
      </c>
      <c r="O1083" t="inlineStr">
        <is>
          <t>自动管线检出的合格导管腔。</t>
        </is>
      </c>
      <c r="P1083" t="inlineStr">
        <is>
          <t>auto_pipeline;review_png_green</t>
        </is>
      </c>
      <c r="Q1083" t="inlineStr">
        <is>
          <t>24(4)-P01</t>
        </is>
      </c>
      <c r="R1083" t="inlineStr">
        <is>
          <t>样品24</t>
        </is>
      </c>
    </row>
    <row r="1084">
      <c r="A1084" t="inlineStr">
        <is>
          <t>24(4)-V02</t>
        </is>
      </c>
      <c r="B1084" t="inlineStr">
        <is>
          <t>24 (4).tif</t>
        </is>
      </c>
      <c r="C1084" t="n">
        <v>927</v>
      </c>
      <c r="D1084" t="n">
        <v>568</v>
      </c>
      <c r="E1084" t="inlineStr">
        <is>
          <t>856,506,999,631</t>
        </is>
      </c>
      <c r="F1084" t="n">
        <v>25</v>
      </c>
      <c r="G1084" t="inlineStr">
        <is>
          <t>primary</t>
        </is>
      </c>
      <c r="H1084" t="inlineStr">
        <is>
          <t>AUTO_VESSEL</t>
        </is>
      </c>
      <c r="I1084" t="inlineStr">
        <is>
          <t>是</t>
        </is>
      </c>
      <c r="J1084" t="inlineStr">
        <is>
          <t>纳入</t>
        </is>
      </c>
      <c r="K1084" t="n">
        <v>653.6625708884688</v>
      </c>
      <c r="L1084">
        <f>导管母表_1781!G1084</f>
        <v/>
      </c>
      <c r="M1084" t="inlineStr">
        <is>
          <t>视野内部</t>
        </is>
      </c>
      <c r="N1084" t="inlineStr">
        <is>
          <t>纳入A/D/Dh；若有Pair_ID则纳入CWR</t>
        </is>
      </c>
      <c r="O1084" t="inlineStr">
        <is>
          <t>自动管线检出的合格导管腔。</t>
        </is>
      </c>
      <c r="P1084" t="inlineStr">
        <is>
          <t>auto_pipeline;review_png_green</t>
        </is>
      </c>
      <c r="R1084" t="inlineStr">
        <is>
          <t>样品24</t>
        </is>
      </c>
    </row>
    <row r="1085">
      <c r="A1085" t="inlineStr">
        <is>
          <t>24(4)-V03</t>
        </is>
      </c>
      <c r="B1085" t="inlineStr">
        <is>
          <t>24 (4).tif</t>
        </is>
      </c>
      <c r="C1085" t="n">
        <v>482</v>
      </c>
      <c r="D1085" t="n">
        <v>68</v>
      </c>
      <c r="E1085" t="inlineStr">
        <is>
          <t>415,10,550,127</t>
        </is>
      </c>
      <c r="F1085" t="n">
        <v>10</v>
      </c>
      <c r="G1085" t="inlineStr">
        <is>
          <t>primary</t>
        </is>
      </c>
      <c r="H1085" t="inlineStr">
        <is>
          <t>AUTO_VESSEL</t>
        </is>
      </c>
      <c r="I1085" t="inlineStr">
        <is>
          <t>是</t>
        </is>
      </c>
      <c r="J1085" t="inlineStr">
        <is>
          <t>纳入</t>
        </is>
      </c>
      <c r="K1085" t="n">
        <v>576.5595463137996</v>
      </c>
      <c r="L1085">
        <f>导管母表_1781!G1085</f>
        <v/>
      </c>
      <c r="M1085" t="inlineStr">
        <is>
          <t>近边缘（&lt;25 px）</t>
        </is>
      </c>
      <c r="N1085" t="inlineStr">
        <is>
          <t>纳入A/D/Dh；若有Pair_ID则纳入CWR</t>
        </is>
      </c>
      <c r="O1085" t="inlineStr">
        <is>
          <t>自动管线检出的合格导管腔。</t>
        </is>
      </c>
      <c r="P1085" t="inlineStr">
        <is>
          <t>auto_pipeline;review_png_green</t>
        </is>
      </c>
      <c r="R1085" t="inlineStr">
        <is>
          <t>样品24</t>
        </is>
      </c>
    </row>
    <row r="1086">
      <c r="A1086" t="inlineStr">
        <is>
          <t>24(4)-V04</t>
        </is>
      </c>
      <c r="B1086" t="inlineStr">
        <is>
          <t>24 (4).tif</t>
        </is>
      </c>
      <c r="C1086" t="n">
        <v>118</v>
      </c>
      <c r="D1086" t="n">
        <v>242</v>
      </c>
      <c r="E1086" t="inlineStr">
        <is>
          <t>43,188,194,297</t>
        </is>
      </c>
      <c r="F1086" t="n">
        <v>43</v>
      </c>
      <c r="G1086" t="inlineStr">
        <is>
          <t>primary</t>
        </is>
      </c>
      <c r="H1086" t="inlineStr">
        <is>
          <t>AUTO_VESSEL</t>
        </is>
      </c>
      <c r="I1086" t="inlineStr">
        <is>
          <t>是</t>
        </is>
      </c>
      <c r="J1086" t="inlineStr">
        <is>
          <t>纳入</t>
        </is>
      </c>
      <c r="K1086" t="n">
        <v>562.547258979206</v>
      </c>
      <c r="L1086">
        <f>导管母表_1781!G1086</f>
        <v/>
      </c>
      <c r="M1086" t="inlineStr">
        <is>
          <t>视野内部</t>
        </is>
      </c>
      <c r="N1086" t="inlineStr">
        <is>
          <t>纳入A/D/Dh；若有Pair_ID则纳入CWR</t>
        </is>
      </c>
      <c r="O1086" t="inlineStr">
        <is>
          <t>自动管线检出的合格导管腔。</t>
        </is>
      </c>
      <c r="P1086" t="inlineStr">
        <is>
          <t>auto_pipeline;review_png_green</t>
        </is>
      </c>
      <c r="R1086" t="inlineStr">
        <is>
          <t>样品24</t>
        </is>
      </c>
    </row>
    <row r="1087">
      <c r="A1087" t="inlineStr">
        <is>
          <t>24(4)-V05</t>
        </is>
      </c>
      <c r="B1087" t="inlineStr">
        <is>
          <t>24 (4).tif</t>
        </is>
      </c>
      <c r="C1087" t="n">
        <v>605</v>
      </c>
      <c r="D1087" t="n">
        <v>253</v>
      </c>
      <c r="E1087" t="inlineStr">
        <is>
          <t>531,205,680,302</t>
        </is>
      </c>
      <c r="F1087" t="n">
        <v>205</v>
      </c>
      <c r="G1087" t="inlineStr">
        <is>
          <t>primary</t>
        </is>
      </c>
      <c r="H1087" t="inlineStr">
        <is>
          <t>AUTO_VESSEL</t>
        </is>
      </c>
      <c r="I1087" t="inlineStr">
        <is>
          <t>是</t>
        </is>
      </c>
      <c r="J1087" t="inlineStr">
        <is>
          <t>纳入</t>
        </is>
      </c>
      <c r="K1087" t="n">
        <v>526.5831758034027</v>
      </c>
      <c r="L1087">
        <f>导管母表_1781!G1087</f>
        <v/>
      </c>
      <c r="M1087" t="inlineStr">
        <is>
          <t>视野内部</t>
        </is>
      </c>
      <c r="N1087" t="inlineStr">
        <is>
          <t>纳入A/D/Dh；若有Pair_ID则纳入CWR</t>
        </is>
      </c>
      <c r="O1087" t="inlineStr">
        <is>
          <t>自动管线检出的合格导管腔。</t>
        </is>
      </c>
      <c r="P1087" t="inlineStr">
        <is>
          <t>auto_pipeline;review_png_green</t>
        </is>
      </c>
      <c r="R1087" t="inlineStr">
        <is>
          <t>样品24</t>
        </is>
      </c>
    </row>
    <row r="1088">
      <c r="A1088" t="inlineStr">
        <is>
          <t>24(4)-V06</t>
        </is>
      </c>
      <c r="B1088" t="inlineStr">
        <is>
          <t>24 (4).tif</t>
        </is>
      </c>
      <c r="C1088" t="n">
        <v>83</v>
      </c>
      <c r="D1088" t="n">
        <v>374</v>
      </c>
      <c r="E1088" t="inlineStr">
        <is>
          <t>28,320,139,429</t>
        </is>
      </c>
      <c r="F1088" t="n">
        <v>28</v>
      </c>
      <c r="G1088" t="inlineStr">
        <is>
          <t>primary</t>
        </is>
      </c>
      <c r="H1088" t="inlineStr">
        <is>
          <t>AUTO_VESSEL</t>
        </is>
      </c>
      <c r="I1088" t="inlineStr">
        <is>
          <t>是</t>
        </is>
      </c>
      <c r="J1088" t="inlineStr">
        <is>
          <t>纳入</t>
        </is>
      </c>
      <c r="K1088" t="n">
        <v>395.0614366729679</v>
      </c>
      <c r="L1088">
        <f>导管母表_1781!G1088</f>
        <v/>
      </c>
      <c r="M1088" t="inlineStr">
        <is>
          <t>视野内部</t>
        </is>
      </c>
      <c r="N1088" t="inlineStr">
        <is>
          <t>纳入A/D/Dh；若有Pair_ID则纳入CWR</t>
        </is>
      </c>
      <c r="O1088" t="inlineStr">
        <is>
          <t>自动管线检出的合格导管腔。</t>
        </is>
      </c>
      <c r="P1088" t="inlineStr">
        <is>
          <t>auto_pipeline;review_png_green</t>
        </is>
      </c>
      <c r="R1088" t="inlineStr">
        <is>
          <t>样品24</t>
        </is>
      </c>
    </row>
    <row r="1089">
      <c r="A1089" t="inlineStr">
        <is>
          <t>24(4)-V07</t>
        </is>
      </c>
      <c r="B1089" t="inlineStr">
        <is>
          <t>24 (4).tif</t>
        </is>
      </c>
      <c r="C1089" t="n">
        <v>426</v>
      </c>
      <c r="D1089" t="n">
        <v>471</v>
      </c>
      <c r="E1089" t="inlineStr">
        <is>
          <t>362,431,491,512</t>
        </is>
      </c>
      <c r="F1089" t="n">
        <v>256</v>
      </c>
      <c r="G1089" t="inlineStr">
        <is>
          <t>primary</t>
        </is>
      </c>
      <c r="H1089" t="inlineStr">
        <is>
          <t>AUTO_VESSEL</t>
        </is>
      </c>
      <c r="I1089" t="inlineStr">
        <is>
          <t>是</t>
        </is>
      </c>
      <c r="J1089" t="inlineStr">
        <is>
          <t>纳入</t>
        </is>
      </c>
      <c r="K1089" t="n">
        <v>380.5765595463138</v>
      </c>
      <c r="L1089">
        <f>导管母表_1781!G1089</f>
        <v/>
      </c>
      <c r="M1089" t="inlineStr">
        <is>
          <t>视野内部</t>
        </is>
      </c>
      <c r="N1089" t="inlineStr">
        <is>
          <t>纳入A/D/Dh；若有Pair_ID则纳入CWR</t>
        </is>
      </c>
      <c r="O1089" t="inlineStr">
        <is>
          <t>自动管线检出的合格导管腔。</t>
        </is>
      </c>
      <c r="P1089" t="inlineStr">
        <is>
          <t>auto_pipeline;review_png_green</t>
        </is>
      </c>
      <c r="Q1089" t="inlineStr">
        <is>
          <t>24(4)-P01</t>
        </is>
      </c>
      <c r="R1089" t="inlineStr">
        <is>
          <t>样品24</t>
        </is>
      </c>
    </row>
    <row r="1090">
      <c r="A1090" t="inlineStr">
        <is>
          <t>24(4)-V08</t>
        </is>
      </c>
      <c r="B1090" t="inlineStr">
        <is>
          <t>24 (4).tif</t>
        </is>
      </c>
      <c r="C1090" t="n">
        <v>146</v>
      </c>
      <c r="D1090" t="n">
        <v>83</v>
      </c>
      <c r="E1090" t="inlineStr">
        <is>
          <t>82,35,211,132</t>
        </is>
      </c>
      <c r="F1090" t="n">
        <v>35</v>
      </c>
      <c r="G1090" t="inlineStr">
        <is>
          <t>primary</t>
        </is>
      </c>
      <c r="H1090" t="inlineStr">
        <is>
          <t>AUTO_VESSEL</t>
        </is>
      </c>
      <c r="I1090" t="inlineStr">
        <is>
          <t>是</t>
        </is>
      </c>
      <c r="J1090" t="inlineStr">
        <is>
          <t>纳入</t>
        </is>
      </c>
      <c r="K1090" t="n">
        <v>379.6786389413988</v>
      </c>
      <c r="L1090">
        <f>导管母表_1781!G1090</f>
        <v/>
      </c>
      <c r="M1090" t="inlineStr">
        <is>
          <t>视野内部</t>
        </is>
      </c>
      <c r="N1090" t="inlineStr">
        <is>
          <t>纳入A/D/Dh；若有Pair_ID则纳入CWR</t>
        </is>
      </c>
      <c r="O1090" t="inlineStr">
        <is>
          <t>自动管线检出的合格导管腔。</t>
        </is>
      </c>
      <c r="P1090" t="inlineStr">
        <is>
          <t>auto_pipeline;review_png_green</t>
        </is>
      </c>
      <c r="R1090" t="inlineStr">
        <is>
          <t>样品24</t>
        </is>
      </c>
    </row>
    <row r="1091">
      <c r="A1091" t="inlineStr">
        <is>
          <t>24(5)-V01</t>
        </is>
      </c>
      <c r="B1091" t="inlineStr">
        <is>
          <t>24 (5).tif</t>
        </is>
      </c>
      <c r="C1091" t="n">
        <v>464</v>
      </c>
      <c r="D1091" t="n">
        <v>398</v>
      </c>
      <c r="E1091" t="inlineStr">
        <is>
          <t>379,321,550,476</t>
        </is>
      </c>
      <c r="F1091" t="n">
        <v>292</v>
      </c>
      <c r="G1091" t="inlineStr">
        <is>
          <t>primary</t>
        </is>
      </c>
      <c r="H1091" t="inlineStr">
        <is>
          <t>AUTO_VESSEL</t>
        </is>
      </c>
      <c r="I1091" t="inlineStr">
        <is>
          <t>是</t>
        </is>
      </c>
      <c r="J1091" t="inlineStr">
        <is>
          <t>纳入</t>
        </is>
      </c>
      <c r="K1091" t="n">
        <v>968.5255198487713</v>
      </c>
      <c r="L1091">
        <f>导管母表_1781!G1091</f>
        <v/>
      </c>
      <c r="M1091" t="inlineStr">
        <is>
          <t>视野内部</t>
        </is>
      </c>
      <c r="N1091" t="inlineStr">
        <is>
          <t>纳入A/D/Dh；若有Pair_ID则纳入CWR</t>
        </is>
      </c>
      <c r="O1091" t="inlineStr">
        <is>
          <t>自动管线检出的合格导管腔。</t>
        </is>
      </c>
      <c r="P1091" t="inlineStr">
        <is>
          <t>auto_pipeline;review_png_green</t>
        </is>
      </c>
      <c r="Q1091" t="inlineStr">
        <is>
          <t>24(5)-P02</t>
        </is>
      </c>
      <c r="R1091" t="inlineStr">
        <is>
          <t>样品24</t>
        </is>
      </c>
    </row>
    <row r="1092">
      <c r="A1092" t="inlineStr">
        <is>
          <t>24(5)-V02</t>
        </is>
      </c>
      <c r="B1092" t="inlineStr">
        <is>
          <t>24 (5).tif</t>
        </is>
      </c>
      <c r="C1092" t="n">
        <v>869</v>
      </c>
      <c r="D1092" t="n">
        <v>282</v>
      </c>
      <c r="E1092" t="inlineStr">
        <is>
          <t>784,202,955,363</t>
        </is>
      </c>
      <c r="F1092" t="n">
        <v>69</v>
      </c>
      <c r="G1092" t="inlineStr">
        <is>
          <t>primary</t>
        </is>
      </c>
      <c r="H1092" t="inlineStr">
        <is>
          <t>AUTO_VESSEL</t>
        </is>
      </c>
      <c r="I1092" t="inlineStr">
        <is>
          <t>是</t>
        </is>
      </c>
      <c r="J1092" t="inlineStr">
        <is>
          <t>纳入</t>
        </is>
      </c>
      <c r="K1092" t="n">
        <v>941.6351606805293</v>
      </c>
      <c r="L1092">
        <f>导管母表_1781!G1092</f>
        <v/>
      </c>
      <c r="M1092" t="inlineStr">
        <is>
          <t>视野内部</t>
        </is>
      </c>
      <c r="N1092" t="inlineStr">
        <is>
          <t>纳入A/D/Dh；若有Pair_ID则纳入CWR</t>
        </is>
      </c>
      <c r="O1092" t="inlineStr">
        <is>
          <t>自动管线检出的合格导管腔。</t>
        </is>
      </c>
      <c r="P1092" t="inlineStr">
        <is>
          <t>auto_pipeline;review_png_green</t>
        </is>
      </c>
      <c r="R1092" t="inlineStr">
        <is>
          <t>样品24</t>
        </is>
      </c>
    </row>
    <row r="1093">
      <c r="A1093" t="inlineStr">
        <is>
          <t>24(5)-V03</t>
        </is>
      </c>
      <c r="B1093" t="inlineStr">
        <is>
          <t>24 (5).tif</t>
        </is>
      </c>
      <c r="C1093" t="n">
        <v>183</v>
      </c>
      <c r="D1093" t="n">
        <v>83</v>
      </c>
      <c r="E1093" t="inlineStr">
        <is>
          <t>96,27,271,140</t>
        </is>
      </c>
      <c r="F1093" t="n">
        <v>27</v>
      </c>
      <c r="G1093" t="inlineStr">
        <is>
          <t>primary</t>
        </is>
      </c>
      <c r="H1093" t="inlineStr">
        <is>
          <t>AUTO_VESSEL</t>
        </is>
      </c>
      <c r="I1093" t="inlineStr">
        <is>
          <t>是</t>
        </is>
      </c>
      <c r="J1093" t="inlineStr">
        <is>
          <t>纳入</t>
        </is>
      </c>
      <c r="K1093" t="n">
        <v>723.2514177693762</v>
      </c>
      <c r="L1093">
        <f>导管母表_1781!G1093</f>
        <v/>
      </c>
      <c r="M1093" t="inlineStr">
        <is>
          <t>视野内部</t>
        </is>
      </c>
      <c r="N1093" t="inlineStr">
        <is>
          <t>纳入A/D/Dh；若有Pair_ID则纳入CWR</t>
        </is>
      </c>
      <c r="O1093" t="inlineStr">
        <is>
          <t>自动管线检出的合格导管腔。</t>
        </is>
      </c>
      <c r="P1093" t="inlineStr">
        <is>
          <t>auto_pipeline;review_png_green</t>
        </is>
      </c>
      <c r="Q1093" t="inlineStr">
        <is>
          <t>24(5)-P01</t>
        </is>
      </c>
      <c r="R1093" t="inlineStr">
        <is>
          <t>样品24</t>
        </is>
      </c>
    </row>
    <row r="1094">
      <c r="A1094" t="inlineStr">
        <is>
          <t>24(5)-V04</t>
        </is>
      </c>
      <c r="B1094" t="inlineStr">
        <is>
          <t>24 (5).tif</t>
        </is>
      </c>
      <c r="C1094" t="n">
        <v>595</v>
      </c>
      <c r="D1094" t="n">
        <v>283</v>
      </c>
      <c r="E1094" t="inlineStr">
        <is>
          <t>524,221,667,346</t>
        </is>
      </c>
      <c r="F1094" t="n">
        <v>221</v>
      </c>
      <c r="G1094" t="inlineStr">
        <is>
          <t>primary</t>
        </is>
      </c>
      <c r="H1094" t="inlineStr">
        <is>
          <t>AUTO_VESSEL</t>
        </is>
      </c>
      <c r="I1094" t="inlineStr">
        <is>
          <t>是</t>
        </is>
      </c>
      <c r="J1094" t="inlineStr">
        <is>
          <t>纳入</t>
        </is>
      </c>
      <c r="K1094" t="n">
        <v>653.7334593572779</v>
      </c>
      <c r="L1094">
        <f>导管母表_1781!G1094</f>
        <v/>
      </c>
      <c r="M1094" t="inlineStr">
        <is>
          <t>视野内部</t>
        </is>
      </c>
      <c r="N1094" t="inlineStr">
        <is>
          <t>纳入A/D/Dh；若有Pair_ID则纳入CWR</t>
        </is>
      </c>
      <c r="O1094" t="inlineStr">
        <is>
          <t>自动管线检出的合格导管腔。</t>
        </is>
      </c>
      <c r="P1094" t="inlineStr">
        <is>
          <t>auto_pipeline;review_png_green</t>
        </is>
      </c>
      <c r="Q1094" t="inlineStr">
        <is>
          <t>24(5)-P02</t>
        </is>
      </c>
      <c r="R1094" t="inlineStr">
        <is>
          <t>样品24</t>
        </is>
      </c>
    </row>
    <row r="1095">
      <c r="A1095" t="inlineStr">
        <is>
          <t>24(5)-V05</t>
        </is>
      </c>
      <c r="B1095" t="inlineStr">
        <is>
          <t>24 (5).tif</t>
        </is>
      </c>
      <c r="C1095" t="n">
        <v>153</v>
      </c>
      <c r="D1095" t="n">
        <v>546</v>
      </c>
      <c r="E1095" t="inlineStr">
        <is>
          <t>85,479,222,614</t>
        </is>
      </c>
      <c r="F1095" t="n">
        <v>85</v>
      </c>
      <c r="G1095" t="inlineStr">
        <is>
          <t>primary</t>
        </is>
      </c>
      <c r="H1095" t="inlineStr">
        <is>
          <t>AUTO_VESSEL</t>
        </is>
      </c>
      <c r="I1095" t="inlineStr">
        <is>
          <t>是</t>
        </is>
      </c>
      <c r="J1095" t="inlineStr">
        <is>
          <t>纳入</t>
        </is>
      </c>
      <c r="K1095" t="n">
        <v>639.9102079395085</v>
      </c>
      <c r="L1095">
        <f>导管母表_1781!G1095</f>
        <v/>
      </c>
      <c r="M1095" t="inlineStr">
        <is>
          <t>视野内部</t>
        </is>
      </c>
      <c r="N1095" t="inlineStr">
        <is>
          <t>纳入A/D/Dh；若有Pair_ID则纳入CWR</t>
        </is>
      </c>
      <c r="O1095" t="inlineStr">
        <is>
          <t>自动管线检出的合格导管腔。</t>
        </is>
      </c>
      <c r="P1095" t="inlineStr">
        <is>
          <t>auto_pipeline;review_png_green</t>
        </is>
      </c>
      <c r="R1095" t="inlineStr">
        <is>
          <t>样品24</t>
        </is>
      </c>
    </row>
    <row r="1096">
      <c r="A1096" t="inlineStr">
        <is>
          <t>24(5)-V06</t>
        </is>
      </c>
      <c r="B1096" t="inlineStr">
        <is>
          <t>24 (5).tif</t>
        </is>
      </c>
      <c r="C1096" t="n">
        <v>92</v>
      </c>
      <c r="D1096" t="n">
        <v>182</v>
      </c>
      <c r="E1096" t="inlineStr">
        <is>
          <t>21,144,164,221</t>
        </is>
      </c>
      <c r="F1096" t="n">
        <v>21</v>
      </c>
      <c r="G1096" t="inlineStr">
        <is>
          <t>primary</t>
        </is>
      </c>
      <c r="H1096" t="inlineStr">
        <is>
          <t>AUTO_VESSEL</t>
        </is>
      </c>
      <c r="I1096" t="inlineStr">
        <is>
          <t>是</t>
        </is>
      </c>
      <c r="J1096" t="inlineStr">
        <is>
          <t>纳入</t>
        </is>
      </c>
      <c r="K1096" t="n">
        <v>401.0869565217391</v>
      </c>
      <c r="L1096">
        <f>导管母表_1781!G1096</f>
        <v/>
      </c>
      <c r="M1096" t="inlineStr">
        <is>
          <t>近边缘（&lt;25 px）</t>
        </is>
      </c>
      <c r="N1096" t="inlineStr">
        <is>
          <t>纳入A/D/Dh；若有Pair_ID则纳入CWR</t>
        </is>
      </c>
      <c r="O1096" t="inlineStr">
        <is>
          <t>自动管线检出的合格导管腔。</t>
        </is>
      </c>
      <c r="P1096" t="inlineStr">
        <is>
          <t>auto_pipeline;review_png_green</t>
        </is>
      </c>
      <c r="Q1096" t="inlineStr">
        <is>
          <t>24(5)-P01</t>
        </is>
      </c>
      <c r="R1096" t="inlineStr">
        <is>
          <t>样品24</t>
        </is>
      </c>
    </row>
    <row r="1097">
      <c r="A1097" t="inlineStr">
        <is>
          <t>24(5)-V07</t>
        </is>
      </c>
      <c r="B1097" t="inlineStr">
        <is>
          <t>24 (5).tif</t>
        </is>
      </c>
      <c r="C1097" t="n">
        <v>275</v>
      </c>
      <c r="D1097" t="n">
        <v>381</v>
      </c>
      <c r="E1097" t="inlineStr">
        <is>
          <t>215,340,336,423</t>
        </is>
      </c>
      <c r="F1097" t="n">
        <v>215</v>
      </c>
      <c r="G1097" t="inlineStr">
        <is>
          <t>primary</t>
        </is>
      </c>
      <c r="H1097" t="inlineStr">
        <is>
          <t>AUTO_VESSEL</t>
        </is>
      </c>
      <c r="I1097" t="inlineStr">
        <is>
          <t>是</t>
        </is>
      </c>
      <c r="J1097" t="inlineStr">
        <is>
          <t>纳入</t>
        </is>
      </c>
      <c r="K1097" t="n">
        <v>294.0453686200378</v>
      </c>
      <c r="L1097">
        <f>导管母表_1781!G1097</f>
        <v/>
      </c>
      <c r="M1097" t="inlineStr">
        <is>
          <t>视野内部</t>
        </is>
      </c>
      <c r="N1097" t="inlineStr">
        <is>
          <t>纳入A/D/Dh；若有Pair_ID则纳入CWR</t>
        </is>
      </c>
      <c r="O1097" t="inlineStr">
        <is>
          <t>自动管线检出的合格导管腔。</t>
        </is>
      </c>
      <c r="P1097" t="inlineStr">
        <is>
          <t>auto_pipeline;review_png_green</t>
        </is>
      </c>
      <c r="R1097" t="inlineStr">
        <is>
          <t>样品24</t>
        </is>
      </c>
    </row>
    <row r="1098">
      <c r="A1098" t="inlineStr">
        <is>
          <t>24(5)-V08</t>
        </is>
      </c>
      <c r="B1098" t="inlineStr">
        <is>
          <t>24 (5).tif</t>
        </is>
      </c>
      <c r="C1098" t="n">
        <v>396</v>
      </c>
      <c r="D1098" t="n">
        <v>190</v>
      </c>
      <c r="E1098" t="inlineStr">
        <is>
          <t>350,146,443,235</t>
        </is>
      </c>
      <c r="F1098" t="n">
        <v>146</v>
      </c>
      <c r="G1098" t="inlineStr">
        <is>
          <t>primary</t>
        </is>
      </c>
      <c r="H1098" t="inlineStr">
        <is>
          <t>AUTO_VESSEL</t>
        </is>
      </c>
      <c r="I1098" t="inlineStr">
        <is>
          <t>是</t>
        </is>
      </c>
      <c r="J1098" t="inlineStr">
        <is>
          <t>纳入</t>
        </is>
      </c>
      <c r="K1098" t="n">
        <v>162.9253308128544</v>
      </c>
      <c r="L1098">
        <f>导管母表_1781!G1098</f>
        <v/>
      </c>
      <c r="M1098" t="inlineStr">
        <is>
          <t>视野内部</t>
        </is>
      </c>
      <c r="N1098" t="inlineStr">
        <is>
          <t>纳入A/D/Dh；若有Pair_ID则纳入CWR</t>
        </is>
      </c>
      <c r="O1098" t="inlineStr">
        <is>
          <t>自动管线检出的合格导管腔。</t>
        </is>
      </c>
      <c r="P1098" t="inlineStr">
        <is>
          <t>auto_pipeline;review_png_green</t>
        </is>
      </c>
      <c r="R1098" t="inlineStr">
        <is>
          <t>样品24</t>
        </is>
      </c>
    </row>
    <row r="1099">
      <c r="A1099" t="inlineStr">
        <is>
          <t>24(5)-V09</t>
        </is>
      </c>
      <c r="B1099" t="inlineStr">
        <is>
          <t>24 (5).tif</t>
        </is>
      </c>
      <c r="C1099" t="n">
        <v>368</v>
      </c>
      <c r="D1099" t="n">
        <v>215</v>
      </c>
      <c r="E1099" t="inlineStr">
        <is>
          <t>345,191,392,240</t>
        </is>
      </c>
      <c r="F1099" t="n">
        <v>191</v>
      </c>
      <c r="G1099" t="inlineStr">
        <is>
          <t>primary</t>
        </is>
      </c>
      <c r="H1099" t="inlineStr">
        <is>
          <t>AUTO_VESSEL</t>
        </is>
      </c>
      <c r="I1099" t="inlineStr">
        <is>
          <t>是</t>
        </is>
      </c>
      <c r="J1099" t="inlineStr">
        <is>
          <t>纳入</t>
        </is>
      </c>
      <c r="K1099" t="n">
        <v>58.22306238185255</v>
      </c>
      <c r="L1099">
        <f>导管母表_1781!G1099</f>
        <v/>
      </c>
      <c r="M1099" t="inlineStr">
        <is>
          <t>视野内部</t>
        </is>
      </c>
      <c r="N1099" t="inlineStr">
        <is>
          <t>纳入A/D/Dh；若有Pair_ID则纳入CWR</t>
        </is>
      </c>
      <c r="O1099" t="inlineStr">
        <is>
          <t>自动管线检出的合格导管腔。</t>
        </is>
      </c>
      <c r="P1099" t="inlineStr">
        <is>
          <t>auto_pipeline;review_png_green</t>
        </is>
      </c>
      <c r="R1099" t="inlineStr">
        <is>
          <t>样品24</t>
        </is>
      </c>
    </row>
    <row r="1100">
      <c r="A1100" t="inlineStr">
        <is>
          <t>24(6)-V01</t>
        </is>
      </c>
      <c r="B1100" t="inlineStr">
        <is>
          <t>24 (6).tif</t>
        </is>
      </c>
      <c r="C1100" t="n">
        <v>402</v>
      </c>
      <c r="D1100" t="n">
        <v>399</v>
      </c>
      <c r="E1100" t="inlineStr">
        <is>
          <t>326,326,479,473</t>
        </is>
      </c>
      <c r="F1100" t="n">
        <v>295</v>
      </c>
      <c r="G1100" t="inlineStr">
        <is>
          <t>primary</t>
        </is>
      </c>
      <c r="H1100" t="inlineStr">
        <is>
          <t>AUTO_VESSEL</t>
        </is>
      </c>
      <c r="I1100" t="inlineStr">
        <is>
          <t>是</t>
        </is>
      </c>
      <c r="J1100" t="inlineStr">
        <is>
          <t>纳入</t>
        </is>
      </c>
      <c r="K1100" t="n">
        <v>823.8421550094517</v>
      </c>
      <c r="L1100">
        <f>导管母表_1781!G1100</f>
        <v/>
      </c>
      <c r="M1100" t="inlineStr">
        <is>
          <t>视野内部</t>
        </is>
      </c>
      <c r="N1100" t="inlineStr">
        <is>
          <t>纳入A/D/Dh；若有Pair_ID则纳入CWR</t>
        </is>
      </c>
      <c r="O1100" t="inlineStr">
        <is>
          <t>自动管线检出的合格导管腔。</t>
        </is>
      </c>
      <c r="P1100" t="inlineStr">
        <is>
          <t>auto_pipeline;review_png_green</t>
        </is>
      </c>
      <c r="R1100" t="inlineStr">
        <is>
          <t>样品24</t>
        </is>
      </c>
    </row>
    <row r="1101">
      <c r="A1101" t="inlineStr">
        <is>
          <t>24(6)-V02</t>
        </is>
      </c>
      <c r="B1101" t="inlineStr">
        <is>
          <t>24 (6).tif</t>
        </is>
      </c>
      <c r="C1101" t="n">
        <v>543</v>
      </c>
      <c r="D1101" t="n">
        <v>316</v>
      </c>
      <c r="E1101" t="inlineStr">
        <is>
          <t>487,251,600,382</t>
        </is>
      </c>
      <c r="F1101" t="n">
        <v>251</v>
      </c>
      <c r="G1101" t="inlineStr">
        <is>
          <t>primary</t>
        </is>
      </c>
      <c r="H1101" t="inlineStr">
        <is>
          <t>AUTO_VESSEL</t>
        </is>
      </c>
      <c r="I1101" t="inlineStr">
        <is>
          <t>是</t>
        </is>
      </c>
      <c r="J1101" t="inlineStr">
        <is>
          <t>纳入</t>
        </is>
      </c>
      <c r="K1101" t="n">
        <v>527.9064272211721</v>
      </c>
      <c r="L1101">
        <f>导管母表_1781!G1101</f>
        <v/>
      </c>
      <c r="M1101" t="inlineStr">
        <is>
          <t>视野内部</t>
        </is>
      </c>
      <c r="N1101" t="inlineStr">
        <is>
          <t>纳入A/D/Dh；若有Pair_ID则纳入CWR</t>
        </is>
      </c>
      <c r="O1101" t="inlineStr">
        <is>
          <t>自动管线检出的合格导管腔。</t>
        </is>
      </c>
      <c r="P1101" t="inlineStr">
        <is>
          <t>auto_pipeline;review_png_green</t>
        </is>
      </c>
      <c r="R1101" t="inlineStr">
        <is>
          <t>样品24</t>
        </is>
      </c>
    </row>
    <row r="1102">
      <c r="A1102" t="inlineStr">
        <is>
          <t>24(6)-V03</t>
        </is>
      </c>
      <c r="B1102" t="inlineStr">
        <is>
          <t>24 (6).tif</t>
        </is>
      </c>
      <c r="C1102" t="n">
        <v>58</v>
      </c>
      <c r="D1102" t="n">
        <v>354</v>
      </c>
      <c r="E1102" t="inlineStr">
        <is>
          <t>9,312,108,397</t>
        </is>
      </c>
      <c r="F1102" t="n">
        <v>9</v>
      </c>
      <c r="G1102" t="inlineStr">
        <is>
          <t>primary</t>
        </is>
      </c>
      <c r="H1102" t="inlineStr">
        <is>
          <t>AUTO_VESSEL</t>
        </is>
      </c>
      <c r="I1102" t="inlineStr">
        <is>
          <t>是</t>
        </is>
      </c>
      <c r="J1102" t="inlineStr">
        <is>
          <t>纳入</t>
        </is>
      </c>
      <c r="K1102" t="n">
        <v>199.6219281663516</v>
      </c>
      <c r="L1102">
        <f>导管母表_1781!G1102</f>
        <v/>
      </c>
      <c r="M1102" t="inlineStr">
        <is>
          <t>近边缘（&lt;25 px）</t>
        </is>
      </c>
      <c r="N1102" t="inlineStr">
        <is>
          <t>纳入A/D/Dh；若有Pair_ID则纳入CWR</t>
        </is>
      </c>
      <c r="O1102" t="inlineStr">
        <is>
          <t>自动管线检出的合格导管腔。</t>
        </is>
      </c>
      <c r="P1102" t="inlineStr">
        <is>
          <t>auto_pipeline;review_png_green</t>
        </is>
      </c>
      <c r="R1102" t="inlineStr">
        <is>
          <t>样品24</t>
        </is>
      </c>
    </row>
    <row r="1103">
      <c r="A1103" t="inlineStr">
        <is>
          <t>24(6)-V04</t>
        </is>
      </c>
      <c r="B1103" t="inlineStr">
        <is>
          <t>24 (6).tif</t>
        </is>
      </c>
      <c r="C1103" t="n">
        <v>533</v>
      </c>
      <c r="D1103" t="n">
        <v>182</v>
      </c>
      <c r="E1103" t="inlineStr">
        <is>
          <t>500,154,567,211</t>
        </is>
      </c>
      <c r="F1103" t="n">
        <v>154</v>
      </c>
      <c r="G1103" t="inlineStr">
        <is>
          <t>primary</t>
        </is>
      </c>
      <c r="H1103" t="inlineStr">
        <is>
          <t>AUTO_VESSEL</t>
        </is>
      </c>
      <c r="I1103" t="inlineStr">
        <is>
          <t>是</t>
        </is>
      </c>
      <c r="J1103" t="inlineStr">
        <is>
          <t>纳入</t>
        </is>
      </c>
      <c r="K1103" t="n">
        <v>135.8931947069943</v>
      </c>
      <c r="L1103">
        <f>导管母表_1781!G1103</f>
        <v/>
      </c>
      <c r="M1103" t="inlineStr">
        <is>
          <t>视野内部</t>
        </is>
      </c>
      <c r="N1103" t="inlineStr">
        <is>
          <t>纳入A/D/Dh；若有Pair_ID则纳入CWR</t>
        </is>
      </c>
      <c r="O1103" t="inlineStr">
        <is>
          <t>自动管线检出的合格导管腔。</t>
        </is>
      </c>
      <c r="P1103" t="inlineStr">
        <is>
          <t>auto_pipeline;review_png_green</t>
        </is>
      </c>
      <c r="R1103" t="inlineStr">
        <is>
          <t>样品24</t>
        </is>
      </c>
    </row>
    <row r="1104">
      <c r="A1104" t="inlineStr">
        <is>
          <t>24(6)-V05</t>
        </is>
      </c>
      <c r="B1104" t="inlineStr">
        <is>
          <t>24 (6).tif</t>
        </is>
      </c>
      <c r="C1104" t="n">
        <v>877</v>
      </c>
      <c r="D1104" t="n">
        <v>313</v>
      </c>
      <c r="E1104" t="inlineStr">
        <is>
          <t>845,286,910,341</t>
        </is>
      </c>
      <c r="F1104" t="n">
        <v>114</v>
      </c>
      <c r="G1104" t="inlineStr">
        <is>
          <t>primary</t>
        </is>
      </c>
      <c r="H1104" t="inlineStr">
        <is>
          <t>AUTO_VESSEL</t>
        </is>
      </c>
      <c r="I1104" t="inlineStr">
        <is>
          <t>是</t>
        </is>
      </c>
      <c r="J1104" t="inlineStr">
        <is>
          <t>纳入</t>
        </is>
      </c>
      <c r="K1104" t="n">
        <v>127.3629489603025</v>
      </c>
      <c r="L1104">
        <f>导管母表_1781!G1104</f>
        <v/>
      </c>
      <c r="M1104" t="inlineStr">
        <is>
          <t>视野内部</t>
        </is>
      </c>
      <c r="N1104" t="inlineStr">
        <is>
          <t>纳入A/D/Dh；若有Pair_ID则纳入CWR</t>
        </is>
      </c>
      <c r="O1104" t="inlineStr">
        <is>
          <t>自动管线检出的合格导管腔。</t>
        </is>
      </c>
      <c r="P1104" t="inlineStr">
        <is>
          <t>auto_pipeline;review_png_green</t>
        </is>
      </c>
      <c r="R1104" t="inlineStr">
        <is>
          <t>样品24</t>
        </is>
      </c>
    </row>
    <row r="1105">
      <c r="A1105" t="inlineStr">
        <is>
          <t>24(6)-V06</t>
        </is>
      </c>
      <c r="B1105" t="inlineStr">
        <is>
          <t>24 (6).tif</t>
        </is>
      </c>
      <c r="C1105" t="n">
        <v>168</v>
      </c>
      <c r="D1105" t="n">
        <v>239</v>
      </c>
      <c r="E1105" t="inlineStr">
        <is>
          <t>142,210,195,269</t>
        </is>
      </c>
      <c r="F1105" t="n">
        <v>142</v>
      </c>
      <c r="G1105" t="inlineStr">
        <is>
          <t>primary</t>
        </is>
      </c>
      <c r="H1105" t="inlineStr">
        <is>
          <t>AUTO_VESSEL</t>
        </is>
      </c>
      <c r="I1105" t="inlineStr">
        <is>
          <t>是</t>
        </is>
      </c>
      <c r="J1105" t="inlineStr">
        <is>
          <t>纳入</t>
        </is>
      </c>
      <c r="K1105" t="n">
        <v>110.3969754253308</v>
      </c>
      <c r="L1105">
        <f>导管母表_1781!G1105</f>
        <v/>
      </c>
      <c r="M1105" t="inlineStr">
        <is>
          <t>视野内部</t>
        </is>
      </c>
      <c r="N1105" t="inlineStr">
        <is>
          <t>纳入A/D/Dh；若有Pair_ID则纳入CWR</t>
        </is>
      </c>
      <c r="O1105" t="inlineStr">
        <is>
          <t>自动管线检出的合格导管腔。</t>
        </is>
      </c>
      <c r="P1105" t="inlineStr">
        <is>
          <t>auto_pipeline;review_png_green</t>
        </is>
      </c>
      <c r="R1105" t="inlineStr">
        <is>
          <t>样品24</t>
        </is>
      </c>
    </row>
    <row r="1106">
      <c r="A1106" t="inlineStr">
        <is>
          <t>24(7)-V01</t>
        </is>
      </c>
      <c r="B1106" t="inlineStr">
        <is>
          <t>24 (7).tif</t>
        </is>
      </c>
      <c r="C1106" t="n">
        <v>184</v>
      </c>
      <c r="D1106" t="n">
        <v>171</v>
      </c>
      <c r="E1106" t="inlineStr">
        <is>
          <t>98,105,271,238</t>
        </is>
      </c>
      <c r="F1106" t="n">
        <v>98</v>
      </c>
      <c r="G1106" t="inlineStr">
        <is>
          <t>primary</t>
        </is>
      </c>
      <c r="H1106" t="inlineStr">
        <is>
          <t>AUTO_VESSEL</t>
        </is>
      </c>
      <c r="I1106" t="inlineStr">
        <is>
          <t>是</t>
        </is>
      </c>
      <c r="J1106" t="inlineStr">
        <is>
          <t>纳入</t>
        </is>
      </c>
      <c r="K1106" t="n">
        <v>839.5085066162571</v>
      </c>
      <c r="L1106">
        <f>导管母表_1781!G1106</f>
        <v/>
      </c>
      <c r="M1106" t="inlineStr">
        <is>
          <t>视野内部</t>
        </is>
      </c>
      <c r="N1106" t="inlineStr">
        <is>
          <t>纳入A/D/Dh；若有Pair_ID则纳入CWR</t>
        </is>
      </c>
      <c r="O1106" t="inlineStr">
        <is>
          <t>自动管线检出的合格导管腔。</t>
        </is>
      </c>
      <c r="P1106" t="inlineStr">
        <is>
          <t>auto_pipeline;review_png_green</t>
        </is>
      </c>
      <c r="R1106" t="inlineStr">
        <is>
          <t>样品24</t>
        </is>
      </c>
    </row>
    <row r="1107">
      <c r="A1107" t="inlineStr">
        <is>
          <t>24(7)-V02</t>
        </is>
      </c>
      <c r="B1107" t="inlineStr">
        <is>
          <t>24 (7).tif</t>
        </is>
      </c>
      <c r="C1107" t="n">
        <v>194</v>
      </c>
      <c r="D1107" t="n">
        <v>397</v>
      </c>
      <c r="E1107" t="inlineStr">
        <is>
          <t>111,332,278,463</t>
        </is>
      </c>
      <c r="F1107" t="n">
        <v>111</v>
      </c>
      <c r="G1107" t="inlineStr">
        <is>
          <t>primary</t>
        </is>
      </c>
      <c r="H1107" t="inlineStr">
        <is>
          <t>AUTO_VESSEL</t>
        </is>
      </c>
      <c r="I1107" t="inlineStr">
        <is>
          <t>是</t>
        </is>
      </c>
      <c r="J1107" t="inlineStr">
        <is>
          <t>纳入</t>
        </is>
      </c>
      <c r="K1107" t="n">
        <v>800.4489603024575</v>
      </c>
      <c r="L1107">
        <f>导管母表_1781!G1107</f>
        <v/>
      </c>
      <c r="M1107" t="inlineStr">
        <is>
          <t>视野内部</t>
        </is>
      </c>
      <c r="N1107" t="inlineStr">
        <is>
          <t>纳入A/D/Dh；若有Pair_ID则纳入CWR</t>
        </is>
      </c>
      <c r="O1107" t="inlineStr">
        <is>
          <t>自动管线检出的合格导管腔。</t>
        </is>
      </c>
      <c r="P1107" t="inlineStr">
        <is>
          <t>auto_pipeline;review_png_green</t>
        </is>
      </c>
      <c r="R1107" t="inlineStr">
        <is>
          <t>样品24</t>
        </is>
      </c>
    </row>
    <row r="1108">
      <c r="A1108" t="inlineStr">
        <is>
          <t>24(7)-V03</t>
        </is>
      </c>
      <c r="B1108" t="inlineStr">
        <is>
          <t>24 (7).tif</t>
        </is>
      </c>
      <c r="C1108" t="n">
        <v>408</v>
      </c>
      <c r="D1108" t="n">
        <v>403</v>
      </c>
      <c r="E1108" t="inlineStr">
        <is>
          <t>339,329,478,478</t>
        </is>
      </c>
      <c r="F1108" t="n">
        <v>290</v>
      </c>
      <c r="G1108" t="inlineStr">
        <is>
          <t>primary</t>
        </is>
      </c>
      <c r="H1108" t="inlineStr">
        <is>
          <t>AUTO_VESSEL</t>
        </is>
      </c>
      <c r="I1108" t="inlineStr">
        <is>
          <t>是</t>
        </is>
      </c>
      <c r="J1108" t="inlineStr">
        <is>
          <t>纳入</t>
        </is>
      </c>
      <c r="K1108" t="n">
        <v>756.5217391304348</v>
      </c>
      <c r="L1108">
        <f>导管母表_1781!G1108</f>
        <v/>
      </c>
      <c r="M1108" t="inlineStr">
        <is>
          <t>视野内部</t>
        </is>
      </c>
      <c r="N1108" t="inlineStr">
        <is>
          <t>纳入A/D/Dh；若有Pair_ID则纳入CWR</t>
        </is>
      </c>
      <c r="O1108" t="inlineStr">
        <is>
          <t>自动管线检出的合格导管腔。</t>
        </is>
      </c>
      <c r="P1108" t="inlineStr">
        <is>
          <t>auto_pipeline;review_png_green</t>
        </is>
      </c>
      <c r="Q1108" t="inlineStr">
        <is>
          <t>24(7)-P01</t>
        </is>
      </c>
      <c r="R1108" t="inlineStr">
        <is>
          <t>样品24</t>
        </is>
      </c>
    </row>
    <row r="1109">
      <c r="A1109" t="inlineStr">
        <is>
          <t>24(7)-V04</t>
        </is>
      </c>
      <c r="B1109" t="inlineStr">
        <is>
          <t>24 (7).tif</t>
        </is>
      </c>
      <c r="C1109" t="n">
        <v>541</v>
      </c>
      <c r="D1109" t="n">
        <v>402</v>
      </c>
      <c r="E1109" t="inlineStr">
        <is>
          <t>485,331,598,474</t>
        </is>
      </c>
      <c r="F1109" t="n">
        <v>294</v>
      </c>
      <c r="G1109" t="inlineStr">
        <is>
          <t>primary</t>
        </is>
      </c>
      <c r="H1109" t="inlineStr">
        <is>
          <t>AUTO_VESSEL</t>
        </is>
      </c>
      <c r="I1109" t="inlineStr">
        <is>
          <t>是</t>
        </is>
      </c>
      <c r="J1109" t="inlineStr">
        <is>
          <t>纳入</t>
        </is>
      </c>
      <c r="K1109" t="n">
        <v>586.6493383742911</v>
      </c>
      <c r="L1109">
        <f>导管母表_1781!G1109</f>
        <v/>
      </c>
      <c r="M1109" t="inlineStr">
        <is>
          <t>视野内部</t>
        </is>
      </c>
      <c r="N1109" t="inlineStr">
        <is>
          <t>纳入A/D/Dh；若有Pair_ID则纳入CWR</t>
        </is>
      </c>
      <c r="O1109" t="inlineStr">
        <is>
          <t>自动管线检出的合格导管腔。</t>
        </is>
      </c>
      <c r="P1109" t="inlineStr">
        <is>
          <t>auto_pipeline;review_png_green</t>
        </is>
      </c>
      <c r="Q1109" t="inlineStr">
        <is>
          <t>24(7)-P01</t>
        </is>
      </c>
      <c r="R1109" t="inlineStr">
        <is>
          <t>样品24</t>
        </is>
      </c>
    </row>
    <row r="1110">
      <c r="A1110" t="inlineStr">
        <is>
          <t>24(7)-V05</t>
        </is>
      </c>
      <c r="B1110" t="inlineStr">
        <is>
          <t>24 (7).tif</t>
        </is>
      </c>
      <c r="C1110" t="n">
        <v>684</v>
      </c>
      <c r="D1110" t="n">
        <v>262</v>
      </c>
      <c r="E1110" t="inlineStr">
        <is>
          <t>622,247,747,278</t>
        </is>
      </c>
      <c r="F1110" t="n">
        <v>247</v>
      </c>
      <c r="G1110" t="inlineStr">
        <is>
          <t>primary</t>
        </is>
      </c>
      <c r="H1110" t="inlineStr">
        <is>
          <t>AUTO_VESSEL</t>
        </is>
      </c>
      <c r="I1110" t="inlineStr">
        <is>
          <t>是</t>
        </is>
      </c>
      <c r="J1110" t="inlineStr">
        <is>
          <t>纳入</t>
        </is>
      </c>
      <c r="K1110" t="n">
        <v>128.3790170132325</v>
      </c>
      <c r="L1110">
        <f>导管母表_1781!G1110</f>
        <v/>
      </c>
      <c r="M1110" t="inlineStr">
        <is>
          <t>视野内部</t>
        </is>
      </c>
      <c r="N1110" t="inlineStr">
        <is>
          <t>纳入A/D/Dh；若有Pair_ID则纳入CWR</t>
        </is>
      </c>
      <c r="O1110" t="inlineStr">
        <is>
          <t>自动管线检出的合格导管腔。</t>
        </is>
      </c>
      <c r="P1110" t="inlineStr">
        <is>
          <t>auto_pipeline;review_png_green</t>
        </is>
      </c>
      <c r="R1110" t="inlineStr">
        <is>
          <t>样品24</t>
        </is>
      </c>
    </row>
    <row r="1111">
      <c r="A1111" t="inlineStr">
        <is>
          <t>24(7)-V06</t>
        </is>
      </c>
      <c r="B1111" t="inlineStr">
        <is>
          <t>24 (7).tif</t>
        </is>
      </c>
      <c r="C1111" t="n">
        <v>583</v>
      </c>
      <c r="D1111" t="n">
        <v>267</v>
      </c>
      <c r="E1111" t="inlineStr">
        <is>
          <t>547,244,620,291</t>
        </is>
      </c>
      <c r="F1111" t="n">
        <v>244</v>
      </c>
      <c r="G1111" t="inlineStr">
        <is>
          <t>primary</t>
        </is>
      </c>
      <c r="H1111" t="inlineStr">
        <is>
          <t>AUTO_VESSEL</t>
        </is>
      </c>
      <c r="I1111" t="inlineStr">
        <is>
          <t>是</t>
        </is>
      </c>
      <c r="J1111" t="inlineStr">
        <is>
          <t>纳入</t>
        </is>
      </c>
      <c r="K1111" t="n">
        <v>122.5897920604915</v>
      </c>
      <c r="L1111">
        <f>导管母表_1781!G1111</f>
        <v/>
      </c>
      <c r="M1111" t="inlineStr">
        <is>
          <t>视野内部</t>
        </is>
      </c>
      <c r="N1111" t="inlineStr">
        <is>
          <t>纳入A/D/Dh；若有Pair_ID则纳入CWR</t>
        </is>
      </c>
      <c r="O1111" t="inlineStr">
        <is>
          <t>自动管线检出的合格导管腔。</t>
        </is>
      </c>
      <c r="P1111" t="inlineStr">
        <is>
          <t>auto_pipeline;review_png_green</t>
        </is>
      </c>
      <c r="R1111" t="inlineStr">
        <is>
          <t>样品24</t>
        </is>
      </c>
    </row>
    <row r="1112">
      <c r="A1112" t="inlineStr">
        <is>
          <t>24(7)-V07</t>
        </is>
      </c>
      <c r="B1112" t="inlineStr">
        <is>
          <t>24 (7).tif</t>
        </is>
      </c>
      <c r="C1112" t="n">
        <v>495</v>
      </c>
      <c r="D1112" t="n">
        <v>261</v>
      </c>
      <c r="E1112" t="inlineStr">
        <is>
          <t>456,239,535,284</t>
        </is>
      </c>
      <c r="F1112" t="n">
        <v>239</v>
      </c>
      <c r="G1112" t="inlineStr">
        <is>
          <t>primary</t>
        </is>
      </c>
      <c r="H1112" t="inlineStr">
        <is>
          <t>AUTO_VESSEL</t>
        </is>
      </c>
      <c r="I1112" t="inlineStr">
        <is>
          <t>是</t>
        </is>
      </c>
      <c r="J1112" t="inlineStr">
        <is>
          <t>纳入</t>
        </is>
      </c>
      <c r="K1112" t="n">
        <v>121.6209829867675</v>
      </c>
      <c r="L1112">
        <f>导管母表_1781!G1112</f>
        <v/>
      </c>
      <c r="M1112" t="inlineStr">
        <is>
          <t>视野内部</t>
        </is>
      </c>
      <c r="N1112" t="inlineStr">
        <is>
          <t>纳入A/D/Dh；若有Pair_ID则纳入CWR</t>
        </is>
      </c>
      <c r="O1112" t="inlineStr">
        <is>
          <t>自动管线检出的合格导管腔。</t>
        </is>
      </c>
      <c r="P1112" t="inlineStr">
        <is>
          <t>auto_pipeline;review_png_green</t>
        </is>
      </c>
      <c r="R1112" t="inlineStr">
        <is>
          <t>样品24</t>
        </is>
      </c>
    </row>
    <row r="1113">
      <c r="A1113" t="inlineStr">
        <is>
          <t>24(7)-V08</t>
        </is>
      </c>
      <c r="B1113" t="inlineStr">
        <is>
          <t>24 (7).tif</t>
        </is>
      </c>
      <c r="C1113" t="n">
        <v>684</v>
      </c>
      <c r="D1113" t="n">
        <v>387</v>
      </c>
      <c r="E1113" t="inlineStr">
        <is>
          <t>656,361,713,414</t>
        </is>
      </c>
      <c r="F1113" t="n">
        <v>311</v>
      </c>
      <c r="G1113" t="inlineStr">
        <is>
          <t>primary</t>
        </is>
      </c>
      <c r="H1113" t="inlineStr">
        <is>
          <t>AUTO_VESSEL</t>
        </is>
      </c>
      <c r="I1113" t="inlineStr">
        <is>
          <t>是</t>
        </is>
      </c>
      <c r="J1113" t="inlineStr">
        <is>
          <t>纳入</t>
        </is>
      </c>
      <c r="K1113" t="n">
        <v>99.71644612476371</v>
      </c>
      <c r="L1113">
        <f>导管母表_1781!G1113</f>
        <v/>
      </c>
      <c r="M1113" t="inlineStr">
        <is>
          <t>视野内部</t>
        </is>
      </c>
      <c r="N1113" t="inlineStr">
        <is>
          <t>纳入A/D/Dh；若有Pair_ID则纳入CWR</t>
        </is>
      </c>
      <c r="O1113" t="inlineStr">
        <is>
          <t>自动管线检出的合格导管腔。</t>
        </is>
      </c>
      <c r="P1113" t="inlineStr">
        <is>
          <t>auto_pipeline;review_png_green</t>
        </is>
      </c>
      <c r="R1113" t="inlineStr">
        <is>
          <t>样品24</t>
        </is>
      </c>
    </row>
    <row r="1114">
      <c r="A1114" t="inlineStr">
        <is>
          <t>24(8)-V01</t>
        </is>
      </c>
      <c r="B1114" t="inlineStr">
        <is>
          <t>24 (8).tif</t>
        </is>
      </c>
      <c r="C1114" t="n">
        <v>439</v>
      </c>
      <c r="D1114" t="n">
        <v>450</v>
      </c>
      <c r="E1114" t="inlineStr">
        <is>
          <t>356,363,523,538</t>
        </is>
      </c>
      <c r="F1114" t="n">
        <v>230</v>
      </c>
      <c r="G1114" t="inlineStr">
        <is>
          <t>primary</t>
        </is>
      </c>
      <c r="H1114" t="inlineStr">
        <is>
          <t>AUTO_VESSEL</t>
        </is>
      </c>
      <c r="I1114" t="inlineStr">
        <is>
          <t>是</t>
        </is>
      </c>
      <c r="J1114" t="inlineStr">
        <is>
          <t>纳入</t>
        </is>
      </c>
      <c r="K1114" t="n">
        <v>1068.927221172023</v>
      </c>
      <c r="L1114">
        <f>导管母表_1781!G1114</f>
        <v/>
      </c>
      <c r="M1114" t="inlineStr">
        <is>
          <t>视野内部</t>
        </is>
      </c>
      <c r="N1114" t="inlineStr">
        <is>
          <t>纳入A/D/Dh；若有Pair_ID则纳入CWR</t>
        </is>
      </c>
      <c r="O1114" t="inlineStr">
        <is>
          <t>自动管线检出的合格导管腔。</t>
        </is>
      </c>
      <c r="P1114" t="inlineStr">
        <is>
          <t>auto_pipeline;review_png_green</t>
        </is>
      </c>
      <c r="Q1114" t="inlineStr">
        <is>
          <t>24(8)-P01</t>
        </is>
      </c>
      <c r="R1114" t="inlineStr">
        <is>
          <t>样品24</t>
        </is>
      </c>
    </row>
    <row r="1115">
      <c r="A1115" t="inlineStr">
        <is>
          <t>24(8)-V02</t>
        </is>
      </c>
      <c r="B1115" t="inlineStr">
        <is>
          <t>24 (8).tif</t>
        </is>
      </c>
      <c r="C1115" t="n">
        <v>939</v>
      </c>
      <c r="D1115" t="n">
        <v>130</v>
      </c>
      <c r="E1115" t="inlineStr">
        <is>
          <t>872,59,1007,202</t>
        </is>
      </c>
      <c r="F1115" t="n">
        <v>17</v>
      </c>
      <c r="G1115" t="inlineStr">
        <is>
          <t>primary</t>
        </is>
      </c>
      <c r="H1115" t="inlineStr">
        <is>
          <t>AUTO_VESSEL</t>
        </is>
      </c>
      <c r="I1115" t="inlineStr">
        <is>
          <t>是</t>
        </is>
      </c>
      <c r="J1115" t="inlineStr">
        <is>
          <t>纳入</t>
        </is>
      </c>
      <c r="K1115" t="n">
        <v>688.374291115312</v>
      </c>
      <c r="L1115">
        <f>导管母表_1781!G1115</f>
        <v/>
      </c>
      <c r="M1115" t="inlineStr">
        <is>
          <t>近边缘（&lt;25 px）</t>
        </is>
      </c>
      <c r="N1115" t="inlineStr">
        <is>
          <t>纳入A/D/Dh；若有Pair_ID则纳入CWR</t>
        </is>
      </c>
      <c r="O1115" t="inlineStr">
        <is>
          <t>自动管线检出的合格导管腔。</t>
        </is>
      </c>
      <c r="P1115" t="inlineStr">
        <is>
          <t>auto_pipeline;review_png_green</t>
        </is>
      </c>
      <c r="R1115" t="inlineStr">
        <is>
          <t>样品24</t>
        </is>
      </c>
    </row>
    <row r="1116">
      <c r="A1116" t="inlineStr">
        <is>
          <t>24(8)-V03</t>
        </is>
      </c>
      <c r="B1116" t="inlineStr">
        <is>
          <t>24 (8).tif</t>
        </is>
      </c>
      <c r="C1116" t="n">
        <v>134</v>
      </c>
      <c r="D1116" t="n">
        <v>78</v>
      </c>
      <c r="E1116" t="inlineStr">
        <is>
          <t>69,11,200,146</t>
        </is>
      </c>
      <c r="F1116" t="n">
        <v>11</v>
      </c>
      <c r="G1116" t="inlineStr">
        <is>
          <t>primary</t>
        </is>
      </c>
      <c r="H1116" t="inlineStr">
        <is>
          <t>AUTO_VESSEL</t>
        </is>
      </c>
      <c r="I1116" t="inlineStr">
        <is>
          <t>是</t>
        </is>
      </c>
      <c r="J1116" t="inlineStr">
        <is>
          <t>纳入</t>
        </is>
      </c>
      <c r="K1116" t="n">
        <v>645.7939508506616</v>
      </c>
      <c r="L1116">
        <f>导管母表_1781!G1116</f>
        <v/>
      </c>
      <c r="M1116" t="inlineStr">
        <is>
          <t>近边缘（&lt;25 px）</t>
        </is>
      </c>
      <c r="N1116" t="inlineStr">
        <is>
          <t>纳入A/D/Dh；若有Pair_ID则纳入CWR</t>
        </is>
      </c>
      <c r="O1116" t="inlineStr">
        <is>
          <t>自动管线检出的合格导管腔。</t>
        </is>
      </c>
      <c r="P1116" t="inlineStr">
        <is>
          <t>auto_pipeline;review_png_green</t>
        </is>
      </c>
      <c r="R1116" t="inlineStr">
        <is>
          <t>样品24</t>
        </is>
      </c>
    </row>
    <row r="1117">
      <c r="A1117" t="inlineStr">
        <is>
          <t>24(8)-V04</t>
        </is>
      </c>
      <c r="B1117" t="inlineStr">
        <is>
          <t>24 (8).tif</t>
        </is>
      </c>
      <c r="C1117" t="n">
        <v>862</v>
      </c>
      <c r="D1117" t="n">
        <v>408</v>
      </c>
      <c r="E1117" t="inlineStr">
        <is>
          <t>811,336,914,481</t>
        </is>
      </c>
      <c r="F1117" t="n">
        <v>110</v>
      </c>
      <c r="G1117" t="inlineStr">
        <is>
          <t>primary</t>
        </is>
      </c>
      <c r="H1117" t="inlineStr">
        <is>
          <t>AUTO_VESSEL</t>
        </is>
      </c>
      <c r="I1117" t="inlineStr">
        <is>
          <t>是</t>
        </is>
      </c>
      <c r="J1117" t="inlineStr">
        <is>
          <t>纳入</t>
        </is>
      </c>
      <c r="K1117" t="n">
        <v>544.1162570888469</v>
      </c>
      <c r="L1117">
        <f>导管母表_1781!G1117</f>
        <v/>
      </c>
      <c r="M1117" t="inlineStr">
        <is>
          <t>视野内部</t>
        </is>
      </c>
      <c r="N1117" t="inlineStr">
        <is>
          <t>纳入A/D/Dh；若有Pair_ID则纳入CWR</t>
        </is>
      </c>
      <c r="O1117" t="inlineStr">
        <is>
          <t>自动管线检出的合格导管腔。</t>
        </is>
      </c>
      <c r="P1117" t="inlineStr">
        <is>
          <t>auto_pipeline;review_png_green</t>
        </is>
      </c>
      <c r="R1117" t="inlineStr">
        <is>
          <t>样品24</t>
        </is>
      </c>
    </row>
    <row r="1118">
      <c r="A1118" t="inlineStr">
        <is>
          <t>24(8)-V05</t>
        </is>
      </c>
      <c r="B1118" t="inlineStr">
        <is>
          <t>24 (8).tif</t>
        </is>
      </c>
      <c r="C1118" t="n">
        <v>511</v>
      </c>
      <c r="D1118" t="n">
        <v>301</v>
      </c>
      <c r="E1118" t="inlineStr">
        <is>
          <t>454,242,569,361</t>
        </is>
      </c>
      <c r="F1118" t="n">
        <v>242</v>
      </c>
      <c r="G1118" t="inlineStr">
        <is>
          <t>primary</t>
        </is>
      </c>
      <c r="H1118" t="inlineStr">
        <is>
          <t>AUTO_VESSEL</t>
        </is>
      </c>
      <c r="I1118" t="inlineStr">
        <is>
          <t>是</t>
        </is>
      </c>
      <c r="J1118" t="inlineStr">
        <is>
          <t>纳入</t>
        </is>
      </c>
      <c r="K1118" t="n">
        <v>499.7164461247637</v>
      </c>
      <c r="L1118">
        <f>导管母表_1781!G1118</f>
        <v/>
      </c>
      <c r="M1118" t="inlineStr">
        <is>
          <t>视野内部</t>
        </is>
      </c>
      <c r="N1118" t="inlineStr">
        <is>
          <t>纳入A/D/Dh；若有Pair_ID则纳入CWR</t>
        </is>
      </c>
      <c r="O1118" t="inlineStr">
        <is>
          <t>自动管线检出的合格导管腔。</t>
        </is>
      </c>
      <c r="P1118" t="inlineStr">
        <is>
          <t>auto_pipeline;review_png_green</t>
        </is>
      </c>
      <c r="Q1118" t="inlineStr">
        <is>
          <t>24(8)-P01</t>
        </is>
      </c>
      <c r="R1118" t="inlineStr">
        <is>
          <t>样品24</t>
        </is>
      </c>
    </row>
    <row r="1119">
      <c r="A1119" t="inlineStr">
        <is>
          <t>24(8)-V06</t>
        </is>
      </c>
      <c r="B1119" t="inlineStr">
        <is>
          <t>24 (8).tif</t>
        </is>
      </c>
      <c r="C1119" t="n">
        <v>837</v>
      </c>
      <c r="D1119" t="n">
        <v>541</v>
      </c>
      <c r="E1119" t="inlineStr">
        <is>
          <t>793,495,882,588</t>
        </is>
      </c>
      <c r="F1119" t="n">
        <v>142</v>
      </c>
      <c r="G1119" t="inlineStr">
        <is>
          <t>primary</t>
        </is>
      </c>
      <c r="H1119" t="inlineStr">
        <is>
          <t>AUTO_VESSEL</t>
        </is>
      </c>
      <c r="I1119" t="inlineStr">
        <is>
          <t>是</t>
        </is>
      </c>
      <c r="J1119" t="inlineStr">
        <is>
          <t>纳入</t>
        </is>
      </c>
      <c r="K1119" t="n">
        <v>292.1077504725898</v>
      </c>
      <c r="L1119">
        <f>导管母表_1781!G1119</f>
        <v/>
      </c>
      <c r="M1119" t="inlineStr">
        <is>
          <t>视野内部</t>
        </is>
      </c>
      <c r="N1119" t="inlineStr">
        <is>
          <t>纳入A/D/Dh；若有Pair_ID则纳入CWR</t>
        </is>
      </c>
      <c r="O1119" t="inlineStr">
        <is>
          <t>自动管线检出的合格导管腔。</t>
        </is>
      </c>
      <c r="P1119" t="inlineStr">
        <is>
          <t>auto_pipeline;review_png_green</t>
        </is>
      </c>
      <c r="R1119" t="inlineStr">
        <is>
          <t>样品24</t>
        </is>
      </c>
    </row>
    <row r="1120">
      <c r="A1120" t="inlineStr">
        <is>
          <t>24(8)-V07</t>
        </is>
      </c>
      <c r="B1120" t="inlineStr">
        <is>
          <t>24 (8).tif</t>
        </is>
      </c>
      <c r="C1120" t="n">
        <v>124</v>
      </c>
      <c r="D1120" t="n">
        <v>390</v>
      </c>
      <c r="E1120" t="inlineStr">
        <is>
          <t>74,363,175,418</t>
        </is>
      </c>
      <c r="F1120" t="n">
        <v>74</v>
      </c>
      <c r="G1120" t="inlineStr">
        <is>
          <t>primary</t>
        </is>
      </c>
      <c r="H1120" t="inlineStr">
        <is>
          <t>AUTO_VESSEL</t>
        </is>
      </c>
      <c r="I1120" t="inlineStr">
        <is>
          <t>是</t>
        </is>
      </c>
      <c r="J1120" t="inlineStr">
        <is>
          <t>纳入</t>
        </is>
      </c>
      <c r="K1120" t="n">
        <v>199.8818525519849</v>
      </c>
      <c r="L1120">
        <f>导管母表_1781!G1120</f>
        <v/>
      </c>
      <c r="M1120" t="inlineStr">
        <is>
          <t>视野内部</t>
        </is>
      </c>
      <c r="N1120" t="inlineStr">
        <is>
          <t>纳入A/D/Dh；若有Pair_ID则纳入CWR</t>
        </is>
      </c>
      <c r="O1120" t="inlineStr">
        <is>
          <t>自动管线检出的合格导管腔。</t>
        </is>
      </c>
      <c r="P1120" t="inlineStr">
        <is>
          <t>auto_pipeline;review_png_green</t>
        </is>
      </c>
      <c r="R1120" t="inlineStr">
        <is>
          <t>样品24</t>
        </is>
      </c>
    </row>
    <row r="1121">
      <c r="A1121" t="inlineStr">
        <is>
          <t>24(8)-V08</t>
        </is>
      </c>
      <c r="B1121" t="inlineStr">
        <is>
          <t>24 (8).tif</t>
        </is>
      </c>
      <c r="C1121" t="n">
        <v>58</v>
      </c>
      <c r="D1121" t="n">
        <v>332</v>
      </c>
      <c r="E1121" t="inlineStr">
        <is>
          <t>21,305,96,360</t>
        </is>
      </c>
      <c r="F1121" t="n">
        <v>21</v>
      </c>
      <c r="G1121" t="inlineStr">
        <is>
          <t>primary</t>
        </is>
      </c>
      <c r="H1121" t="inlineStr">
        <is>
          <t>AUTO_VESSEL</t>
        </is>
      </c>
      <c r="I1121" t="inlineStr">
        <is>
          <t>是</t>
        </is>
      </c>
      <c r="J1121" t="inlineStr">
        <is>
          <t>纳入</t>
        </is>
      </c>
      <c r="K1121" t="n">
        <v>144.4470699432892</v>
      </c>
      <c r="L1121">
        <f>导管母表_1781!G1121</f>
        <v/>
      </c>
      <c r="M1121" t="inlineStr">
        <is>
          <t>近边缘（&lt;25 px）</t>
        </is>
      </c>
      <c r="N1121" t="inlineStr">
        <is>
          <t>纳入A/D/Dh；若有Pair_ID则纳入CWR</t>
        </is>
      </c>
      <c r="O1121" t="inlineStr">
        <is>
          <t>自动管线检出的合格导管腔。</t>
        </is>
      </c>
      <c r="P1121" t="inlineStr">
        <is>
          <t>auto_pipeline;review_png_green</t>
        </is>
      </c>
      <c r="R1121" t="inlineStr">
        <is>
          <t>样品24</t>
        </is>
      </c>
    </row>
    <row r="1122">
      <c r="A1122" t="inlineStr">
        <is>
          <t>25(1)-V01</t>
        </is>
      </c>
      <c r="B1122" t="inlineStr">
        <is>
          <t>25 (1).tif</t>
        </is>
      </c>
      <c r="C1122" t="n">
        <v>512</v>
      </c>
      <c r="D1122" t="n">
        <v>350</v>
      </c>
      <c r="E1122" t="inlineStr">
        <is>
          <t>460,295,565,406</t>
        </is>
      </c>
      <c r="F1122" t="n">
        <v>295</v>
      </c>
      <c r="G1122" t="inlineStr">
        <is>
          <t>primary</t>
        </is>
      </c>
      <c r="H1122" t="inlineStr">
        <is>
          <t>AUTO_VESSEL</t>
        </is>
      </c>
      <c r="I1122" t="inlineStr">
        <is>
          <t>是</t>
        </is>
      </c>
      <c r="J1122" t="inlineStr">
        <is>
          <t>纳入</t>
        </is>
      </c>
      <c r="K1122" t="n">
        <v>423.1332703213611</v>
      </c>
      <c r="L1122">
        <f>导管母表_1781!G1122</f>
        <v/>
      </c>
      <c r="M1122" t="inlineStr">
        <is>
          <t>视野内部</t>
        </is>
      </c>
      <c r="N1122" t="inlineStr">
        <is>
          <t>纳入A/D/Dh；若有Pair_ID则纳入CWR</t>
        </is>
      </c>
      <c r="O1122" t="inlineStr">
        <is>
          <t>自动管线检出的合格导管腔。</t>
        </is>
      </c>
      <c r="P1122" t="inlineStr">
        <is>
          <t>auto_pipeline;review_png_green</t>
        </is>
      </c>
      <c r="Q1122" t="inlineStr">
        <is>
          <t>25(1)-P01</t>
        </is>
      </c>
      <c r="R1122" t="inlineStr">
        <is>
          <t>样品25</t>
        </is>
      </c>
    </row>
    <row r="1123">
      <c r="A1123" t="inlineStr">
        <is>
          <t>25(1)-V02</t>
        </is>
      </c>
      <c r="B1123" t="inlineStr">
        <is>
          <t>25 (1).tif</t>
        </is>
      </c>
      <c r="C1123" t="n">
        <v>403</v>
      </c>
      <c r="D1123" t="n">
        <v>294</v>
      </c>
      <c r="E1123" t="inlineStr">
        <is>
          <t>350,241,457,348</t>
        </is>
      </c>
      <c r="F1123" t="n">
        <v>241</v>
      </c>
      <c r="G1123" t="inlineStr">
        <is>
          <t>primary</t>
        </is>
      </c>
      <c r="H1123" t="inlineStr">
        <is>
          <t>AUTO_VESSEL</t>
        </is>
      </c>
      <c r="I1123" t="inlineStr">
        <is>
          <t>是</t>
        </is>
      </c>
      <c r="J1123" t="inlineStr">
        <is>
          <t>纳入</t>
        </is>
      </c>
      <c r="K1123" t="n">
        <v>416.398865784499</v>
      </c>
      <c r="L1123">
        <f>导管母表_1781!G1123</f>
        <v/>
      </c>
      <c r="M1123" t="inlineStr">
        <is>
          <t>视野内部</t>
        </is>
      </c>
      <c r="N1123" t="inlineStr">
        <is>
          <t>纳入A/D/Dh；若有Pair_ID则纳入CWR</t>
        </is>
      </c>
      <c r="O1123" t="inlineStr">
        <is>
          <t>自动管线检出的合格导管腔。</t>
        </is>
      </c>
      <c r="P1123" t="inlineStr">
        <is>
          <t>auto_pipeline;review_png_green</t>
        </is>
      </c>
      <c r="Q1123" t="inlineStr">
        <is>
          <t>25(1)-P01</t>
        </is>
      </c>
      <c r="R1123" t="inlineStr">
        <is>
          <t>样品25</t>
        </is>
      </c>
    </row>
    <row r="1124">
      <c r="A1124" t="inlineStr">
        <is>
          <t>25(2)-V01</t>
        </is>
      </c>
      <c r="B1124" t="inlineStr">
        <is>
          <t>25 (2).tif</t>
        </is>
      </c>
      <c r="C1124" t="n">
        <v>464</v>
      </c>
      <c r="D1124" t="n">
        <v>343</v>
      </c>
      <c r="E1124" t="inlineStr">
        <is>
          <t>393,222,536,465</t>
        </is>
      </c>
      <c r="F1124" t="n">
        <v>222</v>
      </c>
      <c r="G1124" t="inlineStr">
        <is>
          <t>primary</t>
        </is>
      </c>
      <c r="H1124" t="inlineStr">
        <is>
          <t>AUTO_VESSEL</t>
        </is>
      </c>
      <c r="I1124" t="inlineStr">
        <is>
          <t>是</t>
        </is>
      </c>
      <c r="J1124" t="inlineStr">
        <is>
          <t>纳入</t>
        </is>
      </c>
      <c r="K1124" t="n">
        <v>1130.765595463138</v>
      </c>
      <c r="L1124">
        <f>导管母表_1781!G1124</f>
        <v/>
      </c>
      <c r="M1124" t="inlineStr">
        <is>
          <t>视野内部</t>
        </is>
      </c>
      <c r="N1124" t="inlineStr">
        <is>
          <t>纳入A/D/Dh；若有Pair_ID则纳入CWR</t>
        </is>
      </c>
      <c r="O1124" t="inlineStr">
        <is>
          <t>自动管线检出的合格导管腔。</t>
        </is>
      </c>
      <c r="P1124" t="inlineStr">
        <is>
          <t>auto_pipeline;review_png_green</t>
        </is>
      </c>
      <c r="R1124" t="inlineStr">
        <is>
          <t>样品25</t>
        </is>
      </c>
    </row>
    <row r="1125">
      <c r="A1125" t="inlineStr">
        <is>
          <t>25(2)-V02</t>
        </is>
      </c>
      <c r="B1125" t="inlineStr">
        <is>
          <t>25 (2).tif</t>
        </is>
      </c>
      <c r="C1125" t="n">
        <v>539</v>
      </c>
      <c r="D1125" t="n">
        <v>112</v>
      </c>
      <c r="E1125" t="inlineStr">
        <is>
          <t>479,54,600,171</t>
        </is>
      </c>
      <c r="F1125" t="n">
        <v>54</v>
      </c>
      <c r="G1125" t="inlineStr">
        <is>
          <t>primary</t>
        </is>
      </c>
      <c r="H1125" t="inlineStr">
        <is>
          <t>AUTO_VESSEL</t>
        </is>
      </c>
      <c r="I1125" t="inlineStr">
        <is>
          <t>是</t>
        </is>
      </c>
      <c r="J1125" t="inlineStr">
        <is>
          <t>纳入</t>
        </is>
      </c>
      <c r="K1125" t="n">
        <v>505.765595463138</v>
      </c>
      <c r="L1125">
        <f>导管母表_1781!G1125</f>
        <v/>
      </c>
      <c r="M1125" t="inlineStr">
        <is>
          <t>视野内部</t>
        </is>
      </c>
      <c r="N1125" t="inlineStr">
        <is>
          <t>纳入A/D/Dh；若有Pair_ID则纳入CWR</t>
        </is>
      </c>
      <c r="O1125" t="inlineStr">
        <is>
          <t>自动管线检出的合格导管腔。</t>
        </is>
      </c>
      <c r="P1125" t="inlineStr">
        <is>
          <t>auto_pipeline;review_png_green</t>
        </is>
      </c>
      <c r="R1125" t="inlineStr">
        <is>
          <t>样品25</t>
        </is>
      </c>
    </row>
    <row r="1126">
      <c r="A1126" t="inlineStr">
        <is>
          <t>25(2)-V03</t>
        </is>
      </c>
      <c r="B1126" t="inlineStr">
        <is>
          <t>25 (2).tif</t>
        </is>
      </c>
      <c r="C1126" t="n">
        <v>889</v>
      </c>
      <c r="D1126" t="n">
        <v>491</v>
      </c>
      <c r="E1126" t="inlineStr">
        <is>
          <t>852,447,927,536</t>
        </is>
      </c>
      <c r="F1126" t="n">
        <v>97</v>
      </c>
      <c r="G1126" t="inlineStr">
        <is>
          <t>primary</t>
        </is>
      </c>
      <c r="H1126" t="inlineStr">
        <is>
          <t>AUTO_VESSEL</t>
        </is>
      </c>
      <c r="I1126" t="inlineStr">
        <is>
          <t>是</t>
        </is>
      </c>
      <c r="J1126" t="inlineStr">
        <is>
          <t>纳入</t>
        </is>
      </c>
      <c r="K1126" t="n">
        <v>228.4971644612476</v>
      </c>
      <c r="L1126">
        <f>导管母表_1781!G1126</f>
        <v/>
      </c>
      <c r="M1126" t="inlineStr">
        <is>
          <t>视野内部</t>
        </is>
      </c>
      <c r="N1126" t="inlineStr">
        <is>
          <t>纳入A/D/Dh；若有Pair_ID则纳入CWR</t>
        </is>
      </c>
      <c r="O1126" t="inlineStr">
        <is>
          <t>自动管线检出的合格导管腔。</t>
        </is>
      </c>
      <c r="P1126" t="inlineStr">
        <is>
          <t>auto_pipeline;review_png_green</t>
        </is>
      </c>
      <c r="R1126" t="inlineStr">
        <is>
          <t>样品25</t>
        </is>
      </c>
    </row>
    <row r="1127">
      <c r="A1127" t="inlineStr">
        <is>
          <t>25(3)-V01</t>
        </is>
      </c>
      <c r="B1127" t="inlineStr">
        <is>
          <t>25 (3).tif</t>
        </is>
      </c>
      <c r="C1127" t="n">
        <v>65</v>
      </c>
      <c r="D1127" t="n">
        <v>567</v>
      </c>
      <c r="E1127" t="inlineStr">
        <is>
          <t>17,504,114,631</t>
        </is>
      </c>
      <c r="F1127" t="n">
        <v>17</v>
      </c>
      <c r="G1127" t="inlineStr">
        <is>
          <t>primary</t>
        </is>
      </c>
      <c r="H1127" t="inlineStr">
        <is>
          <t>AUTO_VESSEL</t>
        </is>
      </c>
      <c r="I1127" t="inlineStr">
        <is>
          <t>是</t>
        </is>
      </c>
      <c r="J1127" t="inlineStr">
        <is>
          <t>纳入</t>
        </is>
      </c>
      <c r="K1127" t="n">
        <v>353.4026465028355</v>
      </c>
      <c r="L1127">
        <f>导管母表_1781!G1127</f>
        <v/>
      </c>
      <c r="M1127" t="inlineStr">
        <is>
          <t>近边缘（&lt;25 px）</t>
        </is>
      </c>
      <c r="N1127" t="inlineStr">
        <is>
          <t>纳入A/D/Dh；若有Pair_ID则纳入CWR</t>
        </is>
      </c>
      <c r="O1127" t="inlineStr">
        <is>
          <t>自动管线检出的合格导管腔。</t>
        </is>
      </c>
      <c r="P1127" t="inlineStr">
        <is>
          <t>auto_pipeline;review_png_green</t>
        </is>
      </c>
      <c r="R1127" t="inlineStr">
        <is>
          <t>样品25</t>
        </is>
      </c>
    </row>
    <row r="1128">
      <c r="A1128" t="inlineStr">
        <is>
          <t>25(3)-V02</t>
        </is>
      </c>
      <c r="B1128" t="inlineStr">
        <is>
          <t>25 (3).tif</t>
        </is>
      </c>
      <c r="C1128" t="n">
        <v>445</v>
      </c>
      <c r="D1128" t="n">
        <v>393</v>
      </c>
      <c r="E1128" t="inlineStr">
        <is>
          <t>398,345,493,442</t>
        </is>
      </c>
      <c r="F1128" t="n">
        <v>326</v>
      </c>
      <c r="G1128" t="inlineStr">
        <is>
          <t>primary</t>
        </is>
      </c>
      <c r="H1128" t="inlineStr">
        <is>
          <t>AUTO_VESSEL</t>
        </is>
      </c>
      <c r="I1128" t="inlineStr">
        <is>
          <t>是</t>
        </is>
      </c>
      <c r="J1128" t="inlineStr">
        <is>
          <t>纳入</t>
        </is>
      </c>
      <c r="K1128" t="n">
        <v>330.4347826086956</v>
      </c>
      <c r="L1128">
        <f>导管母表_1781!G1128</f>
        <v/>
      </c>
      <c r="M1128" t="inlineStr">
        <is>
          <t>视野内部</t>
        </is>
      </c>
      <c r="N1128" t="inlineStr">
        <is>
          <t>纳入A/D/Dh；若有Pair_ID则纳入CWR</t>
        </is>
      </c>
      <c r="O1128" t="inlineStr">
        <is>
          <t>自动管线检出的合格导管腔。</t>
        </is>
      </c>
      <c r="P1128" t="inlineStr">
        <is>
          <t>auto_pipeline;review_png_green</t>
        </is>
      </c>
      <c r="R1128" t="inlineStr">
        <is>
          <t>样品25</t>
        </is>
      </c>
    </row>
    <row r="1129">
      <c r="A1129" t="inlineStr">
        <is>
          <t>25(3)-V03</t>
        </is>
      </c>
      <c r="B1129" t="inlineStr">
        <is>
          <t>25 (3).tif</t>
        </is>
      </c>
      <c r="C1129" t="n">
        <v>969</v>
      </c>
      <c r="D1129" t="n">
        <v>255</v>
      </c>
      <c r="E1129" t="inlineStr">
        <is>
          <t>925,201,1014,310</t>
        </is>
      </c>
      <c r="F1129" t="n">
        <v>10</v>
      </c>
      <c r="G1129" t="inlineStr">
        <is>
          <t>primary</t>
        </is>
      </c>
      <c r="H1129" t="inlineStr">
        <is>
          <t>AUTO_VESSEL</t>
        </is>
      </c>
      <c r="I1129" t="inlineStr">
        <is>
          <t>是</t>
        </is>
      </c>
      <c r="J1129" t="inlineStr">
        <is>
          <t>纳入</t>
        </is>
      </c>
      <c r="K1129" t="n">
        <v>294.8015122873346</v>
      </c>
      <c r="L1129">
        <f>导管母表_1781!G1129</f>
        <v/>
      </c>
      <c r="M1129" t="inlineStr">
        <is>
          <t>近边缘（&lt;25 px）</t>
        </is>
      </c>
      <c r="N1129" t="inlineStr">
        <is>
          <t>纳入A/D/Dh；若有Pair_ID则纳入CWR</t>
        </is>
      </c>
      <c r="O1129" t="inlineStr">
        <is>
          <t>自动管线检出的合格导管腔。</t>
        </is>
      </c>
      <c r="P1129" t="inlineStr">
        <is>
          <t>auto_pipeline;review_png_green</t>
        </is>
      </c>
      <c r="R1129" t="inlineStr">
        <is>
          <t>样品25</t>
        </is>
      </c>
    </row>
    <row r="1130">
      <c r="A1130" t="inlineStr">
        <is>
          <t>25(3)-V04</t>
        </is>
      </c>
      <c r="B1130" t="inlineStr">
        <is>
          <t>25 (3).tif</t>
        </is>
      </c>
      <c r="C1130" t="n">
        <v>661</v>
      </c>
      <c r="D1130" t="n">
        <v>308</v>
      </c>
      <c r="E1130" t="inlineStr">
        <is>
          <t>619,257,704,360</t>
        </is>
      </c>
      <c r="F1130" t="n">
        <v>257</v>
      </c>
      <c r="G1130" t="inlineStr">
        <is>
          <t>primary</t>
        </is>
      </c>
      <c r="H1130" t="inlineStr">
        <is>
          <t>AUTO_VESSEL</t>
        </is>
      </c>
      <c r="I1130" t="inlineStr">
        <is>
          <t>是</t>
        </is>
      </c>
      <c r="J1130" t="inlineStr">
        <is>
          <t>纳入</t>
        </is>
      </c>
      <c r="K1130" t="n">
        <v>263.0671077504726</v>
      </c>
      <c r="L1130">
        <f>导管母表_1781!G1130</f>
        <v/>
      </c>
      <c r="M1130" t="inlineStr">
        <is>
          <t>视野内部</t>
        </is>
      </c>
      <c r="N1130" t="inlineStr">
        <is>
          <t>纳入A/D/Dh；若有Pair_ID则纳入CWR</t>
        </is>
      </c>
      <c r="O1130" t="inlineStr">
        <is>
          <t>自动管线检出的合格导管腔。</t>
        </is>
      </c>
      <c r="P1130" t="inlineStr">
        <is>
          <t>auto_pipeline;review_png_green</t>
        </is>
      </c>
      <c r="R1130" t="inlineStr">
        <is>
          <t>样品25</t>
        </is>
      </c>
    </row>
    <row r="1131">
      <c r="A1131" t="inlineStr">
        <is>
          <t>25(4)-V01</t>
        </is>
      </c>
      <c r="B1131" t="inlineStr">
        <is>
          <t>25 (4).tif</t>
        </is>
      </c>
      <c r="C1131" t="n">
        <v>462</v>
      </c>
      <c r="D1131" t="n">
        <v>376</v>
      </c>
      <c r="E1131" t="inlineStr">
        <is>
          <t>376,314,549,439</t>
        </is>
      </c>
      <c r="F1131" t="n">
        <v>314</v>
      </c>
      <c r="G1131" t="inlineStr">
        <is>
          <t>primary</t>
        </is>
      </c>
      <c r="H1131" t="inlineStr">
        <is>
          <t>AUTO_VESSEL</t>
        </is>
      </c>
      <c r="I1131" t="inlineStr">
        <is>
          <t>是</t>
        </is>
      </c>
      <c r="J1131" t="inlineStr">
        <is>
          <t>纳入</t>
        </is>
      </c>
      <c r="K1131" t="n">
        <v>567.7221172022685</v>
      </c>
      <c r="L1131">
        <f>导管母表_1781!G1131</f>
        <v/>
      </c>
      <c r="M1131" t="inlineStr">
        <is>
          <t>视野内部</t>
        </is>
      </c>
      <c r="N1131" t="inlineStr">
        <is>
          <t>纳入A/D/Dh；若有Pair_ID则纳入CWR</t>
        </is>
      </c>
      <c r="O1131" t="inlineStr">
        <is>
          <t>自动管线检出的合格导管腔。</t>
        </is>
      </c>
      <c r="P1131" t="inlineStr">
        <is>
          <t>auto_pipeline;review_png_green</t>
        </is>
      </c>
      <c r="Q1131" t="inlineStr">
        <is>
          <t>25(4)-P01</t>
        </is>
      </c>
      <c r="R1131" t="inlineStr">
        <is>
          <t>样品25</t>
        </is>
      </c>
    </row>
    <row r="1132">
      <c r="A1132" t="inlineStr">
        <is>
          <t>25(4)-V02</t>
        </is>
      </c>
      <c r="B1132" t="inlineStr">
        <is>
          <t>25 (4).tif</t>
        </is>
      </c>
      <c r="C1132" t="n">
        <v>163</v>
      </c>
      <c r="D1132" t="n">
        <v>536</v>
      </c>
      <c r="E1132" t="inlineStr">
        <is>
          <t>116,488,211,585</t>
        </is>
      </c>
      <c r="F1132" t="n">
        <v>116</v>
      </c>
      <c r="G1132" t="inlineStr">
        <is>
          <t>primary</t>
        </is>
      </c>
      <c r="H1132" t="inlineStr">
        <is>
          <t>AUTO_VESSEL</t>
        </is>
      </c>
      <c r="I1132" t="inlineStr">
        <is>
          <t>是</t>
        </is>
      </c>
      <c r="J1132" t="inlineStr">
        <is>
          <t>纳入</t>
        </is>
      </c>
      <c r="K1132" t="n">
        <v>296.8572778827977</v>
      </c>
      <c r="L1132">
        <f>导管母表_1781!G1132</f>
        <v/>
      </c>
      <c r="M1132" t="inlineStr">
        <is>
          <t>视野内部</t>
        </is>
      </c>
      <c r="N1132" t="inlineStr">
        <is>
          <t>纳入A/D/Dh；若有Pair_ID则纳入CWR</t>
        </is>
      </c>
      <c r="O1132" t="inlineStr">
        <is>
          <t>自动管线检出的合格导管腔。</t>
        </is>
      </c>
      <c r="P1132" t="inlineStr">
        <is>
          <t>auto_pipeline;review_png_green</t>
        </is>
      </c>
      <c r="R1132" t="inlineStr">
        <is>
          <t>样品25</t>
        </is>
      </c>
    </row>
    <row r="1133">
      <c r="A1133" t="inlineStr">
        <is>
          <t>25(4)-V03</t>
        </is>
      </c>
      <c r="B1133" t="inlineStr">
        <is>
          <t>25 (4).tif</t>
        </is>
      </c>
      <c r="C1133" t="n">
        <v>593</v>
      </c>
      <c r="D1133" t="n">
        <v>303</v>
      </c>
      <c r="E1133" t="inlineStr">
        <is>
          <t>550,261,637,346</t>
        </is>
      </c>
      <c r="F1133" t="n">
        <v>261</v>
      </c>
      <c r="G1133" t="inlineStr">
        <is>
          <t>primary</t>
        </is>
      </c>
      <c r="H1133" t="inlineStr">
        <is>
          <t>AUTO_VESSEL</t>
        </is>
      </c>
      <c r="I1133" t="inlineStr">
        <is>
          <t>是</t>
        </is>
      </c>
      <c r="J1133" t="inlineStr">
        <is>
          <t>纳入</t>
        </is>
      </c>
      <c r="K1133" t="n">
        <v>267.2022684310019</v>
      </c>
      <c r="L1133">
        <f>导管母表_1781!G1133</f>
        <v/>
      </c>
      <c r="M1133" t="inlineStr">
        <is>
          <t>视野内部</t>
        </is>
      </c>
      <c r="N1133" t="inlineStr">
        <is>
          <t>纳入A/D/Dh；若有Pair_ID则纳入CWR</t>
        </is>
      </c>
      <c r="O1133" t="inlineStr">
        <is>
          <t>自动管线检出的合格导管腔。</t>
        </is>
      </c>
      <c r="P1133" t="inlineStr">
        <is>
          <t>auto_pipeline;review_png_green</t>
        </is>
      </c>
      <c r="R1133" t="inlineStr">
        <is>
          <t>样品25</t>
        </is>
      </c>
    </row>
    <row r="1134">
      <c r="A1134" t="inlineStr">
        <is>
          <t>25(4)-V04</t>
        </is>
      </c>
      <c r="B1134" t="inlineStr">
        <is>
          <t>25 (4).tif</t>
        </is>
      </c>
      <c r="C1134" t="n">
        <v>500</v>
      </c>
      <c r="D1134" t="n">
        <v>374</v>
      </c>
      <c r="E1134" t="inlineStr">
        <is>
          <t>469,349,532,400</t>
        </is>
      </c>
      <c r="F1134" t="n">
        <v>349</v>
      </c>
      <c r="G1134" t="inlineStr">
        <is>
          <t>primary</t>
        </is>
      </c>
      <c r="H1134" t="inlineStr">
        <is>
          <t>AUTO_VESSEL</t>
        </is>
      </c>
      <c r="I1134" t="inlineStr">
        <is>
          <t>是</t>
        </is>
      </c>
      <c r="J1134" t="inlineStr">
        <is>
          <t>纳入</t>
        </is>
      </c>
      <c r="K1134" t="n">
        <v>115.1701323251418</v>
      </c>
      <c r="L1134">
        <f>导管母表_1781!G1134</f>
        <v/>
      </c>
      <c r="M1134" t="inlineStr">
        <is>
          <t>视野内部</t>
        </is>
      </c>
      <c r="N1134" t="inlineStr">
        <is>
          <t>纳入A/D/Dh；若有Pair_ID则纳入CWR</t>
        </is>
      </c>
      <c r="O1134" t="inlineStr">
        <is>
          <t>自动管线检出的合格导管腔。</t>
        </is>
      </c>
      <c r="P1134" t="inlineStr">
        <is>
          <t>auto_pipeline;review_png_green</t>
        </is>
      </c>
      <c r="Q1134" t="inlineStr">
        <is>
          <t>25(4)-P01</t>
        </is>
      </c>
      <c r="R1134" t="inlineStr">
        <is>
          <t>样品25</t>
        </is>
      </c>
    </row>
    <row r="1135">
      <c r="A1135" t="inlineStr">
        <is>
          <t>25(5)-V01</t>
        </is>
      </c>
      <c r="B1135" t="inlineStr">
        <is>
          <t>25 (5).tif</t>
        </is>
      </c>
      <c r="C1135" t="n">
        <v>594</v>
      </c>
      <c r="D1135" t="n">
        <v>317</v>
      </c>
      <c r="E1135" t="inlineStr">
        <is>
          <t>513,240,676,395</t>
        </is>
      </c>
      <c r="F1135" t="n">
        <v>240</v>
      </c>
      <c r="G1135" t="inlineStr">
        <is>
          <t>primary</t>
        </is>
      </c>
      <c r="H1135" t="inlineStr">
        <is>
          <t>AUTO_VESSEL</t>
        </is>
      </c>
      <c r="I1135" t="inlineStr">
        <is>
          <t>是</t>
        </is>
      </c>
      <c r="J1135" t="inlineStr">
        <is>
          <t>纳入</t>
        </is>
      </c>
      <c r="K1135" t="n">
        <v>924.929111531191</v>
      </c>
      <c r="L1135">
        <f>导管母表_1781!G1135</f>
        <v/>
      </c>
      <c r="M1135" t="inlineStr">
        <is>
          <t>视野内部</t>
        </is>
      </c>
      <c r="N1135" t="inlineStr">
        <is>
          <t>纳入A/D/Dh；若有Pair_ID则纳入CWR</t>
        </is>
      </c>
      <c r="O1135" t="inlineStr">
        <is>
          <t>自动管线检出的合格导管腔。</t>
        </is>
      </c>
      <c r="P1135" t="inlineStr">
        <is>
          <t>auto_pipeline;review_png_green</t>
        </is>
      </c>
      <c r="R1135" t="inlineStr">
        <is>
          <t>样品25</t>
        </is>
      </c>
    </row>
    <row r="1136">
      <c r="A1136" t="inlineStr">
        <is>
          <t>25(5)-V02</t>
        </is>
      </c>
      <c r="B1136" t="inlineStr">
        <is>
          <t>25 (5).tif</t>
        </is>
      </c>
      <c r="C1136" t="n">
        <v>411</v>
      </c>
      <c r="D1136" t="n">
        <v>364</v>
      </c>
      <c r="E1136" t="inlineStr">
        <is>
          <t>335,287,488,442</t>
        </is>
      </c>
      <c r="F1136" t="n">
        <v>287</v>
      </c>
      <c r="G1136" t="inlineStr">
        <is>
          <t>primary</t>
        </is>
      </c>
      <c r="H1136" t="inlineStr">
        <is>
          <t>AUTO_VESSEL</t>
        </is>
      </c>
      <c r="I1136" t="inlineStr">
        <is>
          <t>是</t>
        </is>
      </c>
      <c r="J1136" t="inlineStr">
        <is>
          <t>纳入</t>
        </is>
      </c>
      <c r="K1136" t="n">
        <v>841.5879017013233</v>
      </c>
      <c r="L1136">
        <f>导管母表_1781!G1136</f>
        <v/>
      </c>
      <c r="M1136" t="inlineStr">
        <is>
          <t>视野内部</t>
        </is>
      </c>
      <c r="N1136" t="inlineStr">
        <is>
          <t>纳入A/D/Dh；若有Pair_ID则纳入CWR</t>
        </is>
      </c>
      <c r="O1136" t="inlineStr">
        <is>
          <t>自动管线检出的合格导管腔。</t>
        </is>
      </c>
      <c r="P1136" t="inlineStr">
        <is>
          <t>auto_pipeline;review_png_green</t>
        </is>
      </c>
      <c r="R1136" t="inlineStr">
        <is>
          <t>样品25</t>
        </is>
      </c>
    </row>
    <row r="1137">
      <c r="A1137" t="inlineStr">
        <is>
          <t>25(6)-V01</t>
        </is>
      </c>
      <c r="B1137" t="inlineStr">
        <is>
          <t>25 (6).tif</t>
        </is>
      </c>
      <c r="C1137" t="n">
        <v>755</v>
      </c>
      <c r="D1137" t="n">
        <v>214</v>
      </c>
      <c r="E1137" t="inlineStr">
        <is>
          <t>676,117,835,312</t>
        </is>
      </c>
      <c r="F1137" t="n">
        <v>117</v>
      </c>
      <c r="G1137" t="inlineStr">
        <is>
          <t>primary</t>
        </is>
      </c>
      <c r="H1137" t="inlineStr">
        <is>
          <t>AUTO_VESSEL</t>
        </is>
      </c>
      <c r="I1137" t="inlineStr">
        <is>
          <t>是</t>
        </is>
      </c>
      <c r="J1137" t="inlineStr">
        <is>
          <t>纳入</t>
        </is>
      </c>
      <c r="K1137" t="n">
        <v>1136.909262759924</v>
      </c>
      <c r="L1137">
        <f>导管母表_1781!G1137</f>
        <v/>
      </c>
      <c r="M1137" t="inlineStr">
        <is>
          <t>视野内部</t>
        </is>
      </c>
      <c r="N1137" t="inlineStr">
        <is>
          <t>纳入A/D/Dh；若有Pair_ID则纳入CWR</t>
        </is>
      </c>
      <c r="O1137" t="inlineStr">
        <is>
          <t>自动管线检出的合格导管腔。</t>
        </is>
      </c>
      <c r="P1137" t="inlineStr">
        <is>
          <t>auto_pipeline;review_png_green</t>
        </is>
      </c>
      <c r="R1137" t="inlineStr">
        <is>
          <t>样品25</t>
        </is>
      </c>
    </row>
    <row r="1138">
      <c r="A1138" t="inlineStr">
        <is>
          <t>25(6)-V02</t>
        </is>
      </c>
      <c r="B1138" t="inlineStr">
        <is>
          <t>25 (6).tif</t>
        </is>
      </c>
      <c r="C1138" t="n">
        <v>504</v>
      </c>
      <c r="D1138" t="n">
        <v>313</v>
      </c>
      <c r="E1138" t="inlineStr">
        <is>
          <t>448,251,561,376</t>
        </is>
      </c>
      <c r="F1138" t="n">
        <v>251</v>
      </c>
      <c r="G1138" t="inlineStr">
        <is>
          <t>primary</t>
        </is>
      </c>
      <c r="H1138" t="inlineStr">
        <is>
          <t>AUTO_VESSEL</t>
        </is>
      </c>
      <c r="I1138" t="inlineStr">
        <is>
          <t>是</t>
        </is>
      </c>
      <c r="J1138" t="inlineStr">
        <is>
          <t>纳入</t>
        </is>
      </c>
      <c r="K1138" t="n">
        <v>515.6899810964084</v>
      </c>
      <c r="L1138">
        <f>导管母表_1781!G1138</f>
        <v/>
      </c>
      <c r="M1138" t="inlineStr">
        <is>
          <t>视野内部</t>
        </is>
      </c>
      <c r="N1138" t="inlineStr">
        <is>
          <t>纳入A/D/Dh；若有Pair_ID则纳入CWR</t>
        </is>
      </c>
      <c r="O1138" t="inlineStr">
        <is>
          <t>自动管线检出的合格导管腔。</t>
        </is>
      </c>
      <c r="P1138" t="inlineStr">
        <is>
          <t>auto_pipeline;review_png_green</t>
        </is>
      </c>
      <c r="Q1138" t="inlineStr">
        <is>
          <t>25(6)-P01</t>
        </is>
      </c>
      <c r="R1138" t="inlineStr">
        <is>
          <t>样品25</t>
        </is>
      </c>
    </row>
    <row r="1139">
      <c r="A1139" t="inlineStr">
        <is>
          <t>25(6)-V03</t>
        </is>
      </c>
      <c r="B1139" t="inlineStr">
        <is>
          <t>25 (6).tif</t>
        </is>
      </c>
      <c r="C1139" t="n">
        <v>493</v>
      </c>
      <c r="D1139" t="n">
        <v>449</v>
      </c>
      <c r="E1139" t="inlineStr">
        <is>
          <t>446,395,541,504</t>
        </is>
      </c>
      <c r="F1139" t="n">
        <v>264</v>
      </c>
      <c r="G1139" t="inlineStr">
        <is>
          <t>primary</t>
        </is>
      </c>
      <c r="H1139" t="inlineStr">
        <is>
          <t>AUTO_VESSEL</t>
        </is>
      </c>
      <c r="I1139" t="inlineStr">
        <is>
          <t>是</t>
        </is>
      </c>
      <c r="J1139" t="inlineStr">
        <is>
          <t>纳入</t>
        </is>
      </c>
      <c r="K1139" t="n">
        <v>359.3572778827977</v>
      </c>
      <c r="L1139">
        <f>导管母表_1781!G1139</f>
        <v/>
      </c>
      <c r="M1139" t="inlineStr">
        <is>
          <t>视野内部</t>
        </is>
      </c>
      <c r="N1139" t="inlineStr">
        <is>
          <t>纳入A/D/Dh；若有Pair_ID则纳入CWR</t>
        </is>
      </c>
      <c r="O1139" t="inlineStr">
        <is>
          <t>自动管线检出的合格导管腔。</t>
        </is>
      </c>
      <c r="P1139" t="inlineStr">
        <is>
          <t>auto_pipeline;review_png_green</t>
        </is>
      </c>
      <c r="R1139" t="inlineStr">
        <is>
          <t>样品25</t>
        </is>
      </c>
    </row>
    <row r="1140">
      <c r="A1140" t="inlineStr">
        <is>
          <t>25(6)-V04</t>
        </is>
      </c>
      <c r="B1140" t="inlineStr">
        <is>
          <t>25 (6).tif</t>
        </is>
      </c>
      <c r="C1140" t="n">
        <v>518</v>
      </c>
      <c r="D1140" t="n">
        <v>338</v>
      </c>
      <c r="E1140" t="inlineStr">
        <is>
          <t>479,301,558,376</t>
        </is>
      </c>
      <c r="F1140" t="n">
        <v>301</v>
      </c>
      <c r="G1140" t="inlineStr">
        <is>
          <t>primary</t>
        </is>
      </c>
      <c r="H1140" t="inlineStr">
        <is>
          <t>AUTO_VESSEL</t>
        </is>
      </c>
      <c r="I1140" t="inlineStr">
        <is>
          <t>是</t>
        </is>
      </c>
      <c r="J1140" t="inlineStr">
        <is>
          <t>纳入</t>
        </is>
      </c>
      <c r="K1140" t="n">
        <v>202.8355387523629</v>
      </c>
      <c r="L1140">
        <f>导管母表_1781!G1140</f>
        <v/>
      </c>
      <c r="M1140" t="inlineStr">
        <is>
          <t>视野内部</t>
        </is>
      </c>
      <c r="N1140" t="inlineStr">
        <is>
          <t>纳入A/D/Dh；若有Pair_ID则纳入CWR</t>
        </is>
      </c>
      <c r="O1140" t="inlineStr">
        <is>
          <t>自动管线检出的合格导管腔。</t>
        </is>
      </c>
      <c r="P1140" t="inlineStr">
        <is>
          <t>auto_pipeline;review_png_green</t>
        </is>
      </c>
      <c r="Q1140" t="inlineStr">
        <is>
          <t>25(6)-P01</t>
        </is>
      </c>
      <c r="R1140" t="inlineStr">
        <is>
          <t>样品25</t>
        </is>
      </c>
    </row>
    <row r="1141">
      <c r="A1141" t="inlineStr">
        <is>
          <t>25(6)-V05</t>
        </is>
      </c>
      <c r="B1141" t="inlineStr">
        <is>
          <t>25 (6).tif</t>
        </is>
      </c>
      <c r="C1141" t="n">
        <v>149</v>
      </c>
      <c r="D1141" t="n">
        <v>401</v>
      </c>
      <c r="E1141" t="inlineStr">
        <is>
          <t>112,362,187,441</t>
        </is>
      </c>
      <c r="F1141" t="n">
        <v>112</v>
      </c>
      <c r="G1141" t="inlineStr">
        <is>
          <t>primary</t>
        </is>
      </c>
      <c r="H1141" t="inlineStr">
        <is>
          <t>AUTO_VESSEL</t>
        </is>
      </c>
      <c r="I1141" t="inlineStr">
        <is>
          <t>是</t>
        </is>
      </c>
      <c r="J1141" t="inlineStr">
        <is>
          <t>纳入</t>
        </is>
      </c>
      <c r="K1141" t="n">
        <v>155.5293005671078</v>
      </c>
      <c r="L1141">
        <f>导管母表_1781!G1141</f>
        <v/>
      </c>
      <c r="M1141" t="inlineStr">
        <is>
          <t>视野内部</t>
        </is>
      </c>
      <c r="N1141" t="inlineStr">
        <is>
          <t>纳入A/D/Dh；若有Pair_ID则纳入CWR</t>
        </is>
      </c>
      <c r="O1141" t="inlineStr">
        <is>
          <t>自动管线检出的合格导管腔。</t>
        </is>
      </c>
      <c r="P1141" t="inlineStr">
        <is>
          <t>auto_pipeline;review_png_green</t>
        </is>
      </c>
      <c r="R1141" t="inlineStr">
        <is>
          <t>样品25</t>
        </is>
      </c>
    </row>
    <row r="1142">
      <c r="A1142" t="inlineStr">
        <is>
          <t>25(6)-V06</t>
        </is>
      </c>
      <c r="B1142" t="inlineStr">
        <is>
          <t>25 (6).tif</t>
        </is>
      </c>
      <c r="C1142" t="n">
        <v>148</v>
      </c>
      <c r="D1142" t="n">
        <v>581</v>
      </c>
      <c r="E1142" t="inlineStr">
        <is>
          <t>119,546,178,617</t>
        </is>
      </c>
      <c r="F1142" t="n">
        <v>119</v>
      </c>
      <c r="G1142" t="inlineStr">
        <is>
          <t>primary</t>
        </is>
      </c>
      <c r="H1142" t="inlineStr">
        <is>
          <t>AUTO_VESSEL</t>
        </is>
      </c>
      <c r="I1142" t="inlineStr">
        <is>
          <t>是</t>
        </is>
      </c>
      <c r="J1142" t="inlineStr">
        <is>
          <t>纳入</t>
        </is>
      </c>
      <c r="K1142" t="n">
        <v>144.6597353497164</v>
      </c>
      <c r="L1142">
        <f>导管母表_1781!G1142</f>
        <v/>
      </c>
      <c r="M1142" t="inlineStr">
        <is>
          <t>视野内部</t>
        </is>
      </c>
      <c r="N1142" t="inlineStr">
        <is>
          <t>纳入A/D/Dh；若有Pair_ID则纳入CWR</t>
        </is>
      </c>
      <c r="O1142" t="inlineStr">
        <is>
          <t>自动管线检出的合格导管腔。</t>
        </is>
      </c>
      <c r="P1142" t="inlineStr">
        <is>
          <t>auto_pipeline;review_png_green</t>
        </is>
      </c>
      <c r="R1142" t="inlineStr">
        <is>
          <t>样品25</t>
        </is>
      </c>
    </row>
    <row r="1143">
      <c r="A1143" t="inlineStr">
        <is>
          <t>25(7)-V01</t>
        </is>
      </c>
      <c r="B1143" t="inlineStr">
        <is>
          <t>25 (7).tif</t>
        </is>
      </c>
      <c r="C1143" t="n">
        <v>466</v>
      </c>
      <c r="D1143" t="n">
        <v>415</v>
      </c>
      <c r="E1143" t="inlineStr">
        <is>
          <t>403,350,530,481</t>
        </is>
      </c>
      <c r="F1143" t="n">
        <v>287</v>
      </c>
      <c r="G1143" t="inlineStr">
        <is>
          <t>primary</t>
        </is>
      </c>
      <c r="H1143" t="inlineStr">
        <is>
          <t>AUTO_VESSEL</t>
        </is>
      </c>
      <c r="I1143" t="inlineStr">
        <is>
          <t>是</t>
        </is>
      </c>
      <c r="J1143" t="inlineStr">
        <is>
          <t>纳入</t>
        </is>
      </c>
      <c r="K1143" t="n">
        <v>607.6086956521739</v>
      </c>
      <c r="L1143">
        <f>导管母表_1781!G1143</f>
        <v/>
      </c>
      <c r="M1143" t="inlineStr">
        <is>
          <t>视野内部</t>
        </is>
      </c>
      <c r="N1143" t="inlineStr">
        <is>
          <t>纳入A/D/Dh；若有Pair_ID则纳入CWR</t>
        </is>
      </c>
      <c r="O1143" t="inlineStr">
        <is>
          <t>自动管线检出的合格导管腔。</t>
        </is>
      </c>
      <c r="P1143" t="inlineStr">
        <is>
          <t>auto_pipeline;review_png_green</t>
        </is>
      </c>
      <c r="Q1143" t="inlineStr">
        <is>
          <t>25(7)-P01</t>
        </is>
      </c>
      <c r="R1143" t="inlineStr">
        <is>
          <t>样品25</t>
        </is>
      </c>
    </row>
    <row r="1144">
      <c r="A1144" t="inlineStr">
        <is>
          <t>25(7)-V02</t>
        </is>
      </c>
      <c r="B1144" t="inlineStr">
        <is>
          <t>25 (7).tif</t>
        </is>
      </c>
      <c r="C1144" t="n">
        <v>582</v>
      </c>
      <c r="D1144" t="n">
        <v>325</v>
      </c>
      <c r="E1144" t="inlineStr">
        <is>
          <t>531,261,634,390</t>
        </is>
      </c>
      <c r="F1144" t="n">
        <v>261</v>
      </c>
      <c r="G1144" t="inlineStr">
        <is>
          <t>primary</t>
        </is>
      </c>
      <c r="H1144" t="inlineStr">
        <is>
          <t>AUTO_VESSEL</t>
        </is>
      </c>
      <c r="I1144" t="inlineStr">
        <is>
          <t>是</t>
        </is>
      </c>
      <c r="J1144" t="inlineStr">
        <is>
          <t>纳入</t>
        </is>
      </c>
      <c r="K1144" t="n">
        <v>485.0425330812855</v>
      </c>
      <c r="L1144">
        <f>导管母表_1781!G1144</f>
        <v/>
      </c>
      <c r="M1144" t="inlineStr">
        <is>
          <t>视野内部</t>
        </is>
      </c>
      <c r="N1144" t="inlineStr">
        <is>
          <t>纳入A/D/Dh；若有Pair_ID则纳入CWR</t>
        </is>
      </c>
      <c r="O1144" t="inlineStr">
        <is>
          <t>自动管线检出的合格导管腔。</t>
        </is>
      </c>
      <c r="P1144" t="inlineStr">
        <is>
          <t>auto_pipeline;review_png_green</t>
        </is>
      </c>
      <c r="Q1144" t="inlineStr">
        <is>
          <t>25(7)-P01</t>
        </is>
      </c>
      <c r="R1144" t="inlineStr">
        <is>
          <t>样品25</t>
        </is>
      </c>
    </row>
    <row r="1145">
      <c r="A1145" t="inlineStr">
        <is>
          <t>25(7)-V03</t>
        </is>
      </c>
      <c r="B1145" t="inlineStr">
        <is>
          <t>25 (7).tif</t>
        </is>
      </c>
      <c r="C1145" t="n">
        <v>487</v>
      </c>
      <c r="D1145" t="n">
        <v>438</v>
      </c>
      <c r="E1145" t="inlineStr">
        <is>
          <t>447,396,528,481</t>
        </is>
      </c>
      <c r="F1145" t="n">
        <v>287</v>
      </c>
      <c r="G1145" t="inlineStr">
        <is>
          <t>primary</t>
        </is>
      </c>
      <c r="H1145" t="inlineStr">
        <is>
          <t>AUTO_VESSEL</t>
        </is>
      </c>
      <c r="I1145" t="inlineStr">
        <is>
          <t>是</t>
        </is>
      </c>
      <c r="J1145" t="inlineStr">
        <is>
          <t>纳入</t>
        </is>
      </c>
      <c r="K1145" t="n">
        <v>225.4253308128544</v>
      </c>
      <c r="L1145">
        <f>导管母表_1781!G1145</f>
        <v/>
      </c>
      <c r="M1145" t="inlineStr">
        <is>
          <t>视野内部</t>
        </is>
      </c>
      <c r="N1145" t="inlineStr">
        <is>
          <t>纳入A/D/Dh；若有Pair_ID则纳入CWR</t>
        </is>
      </c>
      <c r="O1145" t="inlineStr">
        <is>
          <t>自动管线检出的合格导管腔。</t>
        </is>
      </c>
      <c r="P1145" t="inlineStr">
        <is>
          <t>auto_pipeline;review_png_green</t>
        </is>
      </c>
      <c r="R1145" t="inlineStr">
        <is>
          <t>样品25</t>
        </is>
      </c>
    </row>
    <row r="1146">
      <c r="A1146" t="inlineStr">
        <is>
          <t>25(7)-V04</t>
        </is>
      </c>
      <c r="B1146" t="inlineStr">
        <is>
          <t>25 (7).tif</t>
        </is>
      </c>
      <c r="C1146" t="n">
        <v>953</v>
      </c>
      <c r="D1146" t="n">
        <v>408</v>
      </c>
      <c r="E1146" t="inlineStr">
        <is>
          <t>904,369,1003,448</t>
        </is>
      </c>
      <c r="F1146" t="n">
        <v>21</v>
      </c>
      <c r="G1146" t="inlineStr">
        <is>
          <t>primary</t>
        </is>
      </c>
      <c r="H1146" t="inlineStr">
        <is>
          <t>AUTO_VESSEL</t>
        </is>
      </c>
      <c r="I1146" t="inlineStr">
        <is>
          <t>是</t>
        </is>
      </c>
      <c r="J1146" t="inlineStr">
        <is>
          <t>纳入</t>
        </is>
      </c>
      <c r="K1146" t="n">
        <v>175.1417769376181</v>
      </c>
      <c r="L1146">
        <f>导管母表_1781!G1146</f>
        <v/>
      </c>
      <c r="M1146" t="inlineStr">
        <is>
          <t>近边缘（&lt;25 px）</t>
        </is>
      </c>
      <c r="N1146" t="inlineStr">
        <is>
          <t>纳入A/D/Dh；若有Pair_ID则纳入CWR</t>
        </is>
      </c>
      <c r="O1146" t="inlineStr">
        <is>
          <t>自动管线检出的合格导管腔。</t>
        </is>
      </c>
      <c r="P1146" t="inlineStr">
        <is>
          <t>auto_pipeline;review_png_green</t>
        </is>
      </c>
      <c r="R1146" t="inlineStr">
        <is>
          <t>样品25</t>
        </is>
      </c>
    </row>
    <row r="1147">
      <c r="A1147" t="inlineStr">
        <is>
          <t>25(8)-V01</t>
        </is>
      </c>
      <c r="B1147" t="inlineStr">
        <is>
          <t>25 (8).tif</t>
        </is>
      </c>
      <c r="C1147" t="n">
        <v>589</v>
      </c>
      <c r="D1147" t="n">
        <v>368</v>
      </c>
      <c r="E1147" t="inlineStr">
        <is>
          <t>526,305,653,432</t>
        </is>
      </c>
      <c r="F1147" t="n">
        <v>305</v>
      </c>
      <c r="G1147" t="inlineStr">
        <is>
          <t>primary</t>
        </is>
      </c>
      <c r="H1147" t="inlineStr">
        <is>
          <t>AUTO_VESSEL</t>
        </is>
      </c>
      <c r="I1147" t="inlineStr">
        <is>
          <t>是</t>
        </is>
      </c>
      <c r="J1147" t="inlineStr">
        <is>
          <t>纳入</t>
        </is>
      </c>
      <c r="K1147" t="n">
        <v>588.6105860113422</v>
      </c>
      <c r="L1147">
        <f>导管母表_1781!G1147</f>
        <v/>
      </c>
      <c r="M1147" t="inlineStr">
        <is>
          <t>视野内部</t>
        </is>
      </c>
      <c r="N1147" t="inlineStr">
        <is>
          <t>纳入A/D/Dh；若有Pair_ID则纳入CWR</t>
        </is>
      </c>
      <c r="O1147" t="inlineStr">
        <is>
          <t>自动管线检出的合格导管腔。</t>
        </is>
      </c>
      <c r="P1147" t="inlineStr">
        <is>
          <t>auto_pipeline;review_png_green</t>
        </is>
      </c>
      <c r="R1147" t="inlineStr">
        <is>
          <t>样品25</t>
        </is>
      </c>
    </row>
    <row r="1148">
      <c r="A1148" t="inlineStr">
        <is>
          <t>25(8)-V02</t>
        </is>
      </c>
      <c r="B1148" t="inlineStr">
        <is>
          <t>25 (8).tif</t>
        </is>
      </c>
      <c r="C1148" t="n">
        <v>448</v>
      </c>
      <c r="D1148" t="n">
        <v>400</v>
      </c>
      <c r="E1148" t="inlineStr">
        <is>
          <t>386,342,511,459</t>
        </is>
      </c>
      <c r="F1148" t="n">
        <v>309</v>
      </c>
      <c r="G1148" t="inlineStr">
        <is>
          <t>primary</t>
        </is>
      </c>
      <c r="H1148" t="inlineStr">
        <is>
          <t>AUTO_VESSEL</t>
        </is>
      </c>
      <c r="I1148" t="inlineStr">
        <is>
          <t>是</t>
        </is>
      </c>
      <c r="J1148" t="inlineStr">
        <is>
          <t>纳入</t>
        </is>
      </c>
      <c r="K1148" t="n">
        <v>517.6748582230624</v>
      </c>
      <c r="L1148">
        <f>导管母表_1781!G1148</f>
        <v/>
      </c>
      <c r="M1148" t="inlineStr">
        <is>
          <t>视野内部</t>
        </is>
      </c>
      <c r="N1148" t="inlineStr">
        <is>
          <t>纳入A/D/Dh；若有Pair_ID则纳入CWR</t>
        </is>
      </c>
      <c r="O1148" t="inlineStr">
        <is>
          <t>自动管线检出的合格导管腔。</t>
        </is>
      </c>
      <c r="P1148" t="inlineStr">
        <is>
          <t>auto_pipeline;review_png_green</t>
        </is>
      </c>
      <c r="R1148" t="inlineStr">
        <is>
          <t>样品25</t>
        </is>
      </c>
    </row>
    <row r="1149">
      <c r="A1149" t="inlineStr">
        <is>
          <t>25(8)-V03</t>
        </is>
      </c>
      <c r="B1149" t="inlineStr">
        <is>
          <t>25 (8).tif</t>
        </is>
      </c>
      <c r="C1149" t="n">
        <v>225</v>
      </c>
      <c r="D1149" t="n">
        <v>235</v>
      </c>
      <c r="E1149" t="inlineStr">
        <is>
          <t>190,205,261,266</t>
        </is>
      </c>
      <c r="F1149" t="n">
        <v>190</v>
      </c>
      <c r="G1149" t="inlineStr">
        <is>
          <t>primary</t>
        </is>
      </c>
      <c r="H1149" t="inlineStr">
        <is>
          <t>AUTO_VESSEL</t>
        </is>
      </c>
      <c r="I1149" t="inlineStr">
        <is>
          <t>是</t>
        </is>
      </c>
      <c r="J1149" t="inlineStr">
        <is>
          <t>纳入</t>
        </is>
      </c>
      <c r="K1149" t="n">
        <v>148.3695652173913</v>
      </c>
      <c r="L1149">
        <f>导管母表_1781!G1149</f>
        <v/>
      </c>
      <c r="M1149" t="inlineStr">
        <is>
          <t>视野内部</t>
        </is>
      </c>
      <c r="N1149" t="inlineStr">
        <is>
          <t>纳入A/D/Dh；若有Pair_ID则纳入CWR</t>
        </is>
      </c>
      <c r="O1149" t="inlineStr">
        <is>
          <t>自动管线检出的合格导管腔。</t>
        </is>
      </c>
      <c r="P1149" t="inlineStr">
        <is>
          <t>auto_pipeline;review_png_green</t>
        </is>
      </c>
      <c r="R1149" t="inlineStr">
        <is>
          <t>样品25</t>
        </is>
      </c>
    </row>
    <row r="1150">
      <c r="A1150" t="inlineStr">
        <is>
          <t>25(8)-V04</t>
        </is>
      </c>
      <c r="B1150" t="inlineStr">
        <is>
          <t>25 (8).tif</t>
        </is>
      </c>
      <c r="C1150" t="n">
        <v>224</v>
      </c>
      <c r="D1150" t="n">
        <v>302</v>
      </c>
      <c r="E1150" t="inlineStr">
        <is>
          <t>178,281,271,324</t>
        </is>
      </c>
      <c r="F1150" t="n">
        <v>178</v>
      </c>
      <c r="G1150" t="inlineStr">
        <is>
          <t>primary</t>
        </is>
      </c>
      <c r="H1150" t="inlineStr">
        <is>
          <t>AUTO_VESSEL</t>
        </is>
      </c>
      <c r="I1150" t="inlineStr">
        <is>
          <t>是</t>
        </is>
      </c>
      <c r="J1150" t="inlineStr">
        <is>
          <t>纳入</t>
        </is>
      </c>
      <c r="K1150" t="n">
        <v>143.1947069943289</v>
      </c>
      <c r="L1150">
        <f>导管母表_1781!G1150</f>
        <v/>
      </c>
      <c r="M1150" t="inlineStr">
        <is>
          <t>视野内部</t>
        </is>
      </c>
      <c r="N1150" t="inlineStr">
        <is>
          <t>纳入A/D/Dh；若有Pair_ID则纳入CWR</t>
        </is>
      </c>
      <c r="O1150" t="inlineStr">
        <is>
          <t>自动管线检出的合格导管腔。</t>
        </is>
      </c>
      <c r="P1150" t="inlineStr">
        <is>
          <t>auto_pipeline;review_png_green</t>
        </is>
      </c>
      <c r="R1150" t="inlineStr">
        <is>
          <t>样品25</t>
        </is>
      </c>
    </row>
    <row r="1151">
      <c r="A1151" t="inlineStr">
        <is>
          <t>25(8)-V05</t>
        </is>
      </c>
      <c r="B1151" t="inlineStr">
        <is>
          <t>25 (8).tif</t>
        </is>
      </c>
      <c r="C1151" t="n">
        <v>337</v>
      </c>
      <c r="D1151" t="n">
        <v>490</v>
      </c>
      <c r="E1151" t="inlineStr">
        <is>
          <t>300,465,375,516</t>
        </is>
      </c>
      <c r="F1151" t="n">
        <v>252</v>
      </c>
      <c r="G1151" t="inlineStr">
        <is>
          <t>primary</t>
        </is>
      </c>
      <c r="H1151" t="inlineStr">
        <is>
          <t>AUTO_VESSEL</t>
        </is>
      </c>
      <c r="I1151" t="inlineStr">
        <is>
          <t>是</t>
        </is>
      </c>
      <c r="J1151" t="inlineStr">
        <is>
          <t>纳入</t>
        </is>
      </c>
      <c r="K1151" t="n">
        <v>137.7362948960302</v>
      </c>
      <c r="L1151">
        <f>导管母表_1781!G1151</f>
        <v/>
      </c>
      <c r="M1151" t="inlineStr">
        <is>
          <t>视野内部</t>
        </is>
      </c>
      <c r="N1151" t="inlineStr">
        <is>
          <t>纳入A/D/Dh；若有Pair_ID则纳入CWR</t>
        </is>
      </c>
      <c r="O1151" t="inlineStr">
        <is>
          <t>自动管线检出的合格导管腔。</t>
        </is>
      </c>
      <c r="P1151" t="inlineStr">
        <is>
          <t>auto_pipeline;review_png_green</t>
        </is>
      </c>
      <c r="R1151" t="inlineStr">
        <is>
          <t>样品25</t>
        </is>
      </c>
    </row>
    <row r="1152">
      <c r="A1152" t="inlineStr">
        <is>
          <t>25(8)-V06</t>
        </is>
      </c>
      <c r="B1152" t="inlineStr">
        <is>
          <t>25 (8).tif</t>
        </is>
      </c>
      <c r="C1152" t="n">
        <v>757</v>
      </c>
      <c r="D1152" t="n">
        <v>188</v>
      </c>
      <c r="E1152" t="inlineStr">
        <is>
          <t>717,164,798,213</t>
        </is>
      </c>
      <c r="F1152" t="n">
        <v>164</v>
      </c>
      <c r="G1152" t="inlineStr">
        <is>
          <t>primary</t>
        </is>
      </c>
      <c r="H1152" t="inlineStr">
        <is>
          <t>AUTO_VESSEL</t>
        </is>
      </c>
      <c r="I1152" t="inlineStr">
        <is>
          <t>是</t>
        </is>
      </c>
      <c r="J1152" t="inlineStr">
        <is>
          <t>纳入</t>
        </is>
      </c>
      <c r="K1152" t="n">
        <v>130.8364839319471</v>
      </c>
      <c r="L1152">
        <f>导管母表_1781!G1152</f>
        <v/>
      </c>
      <c r="M1152" t="inlineStr">
        <is>
          <t>视野内部</t>
        </is>
      </c>
      <c r="N1152" t="inlineStr">
        <is>
          <t>纳入A/D/Dh；若有Pair_ID则纳入CWR</t>
        </is>
      </c>
      <c r="O1152" t="inlineStr">
        <is>
          <t>自动管线检出的合格导管腔。</t>
        </is>
      </c>
      <c r="P1152" t="inlineStr">
        <is>
          <t>auto_pipeline;review_png_green</t>
        </is>
      </c>
      <c r="R1152" t="inlineStr">
        <is>
          <t>样品25</t>
        </is>
      </c>
    </row>
    <row r="1153">
      <c r="A1153" t="inlineStr">
        <is>
          <t>26(1)-V01</t>
        </is>
      </c>
      <c r="B1153" t="inlineStr">
        <is>
          <t>26 (1).tif</t>
        </is>
      </c>
      <c r="C1153" t="n">
        <v>379</v>
      </c>
      <c r="D1153" t="n">
        <v>384</v>
      </c>
      <c r="E1153" t="inlineStr">
        <is>
          <t>293,306,466,463</t>
        </is>
      </c>
      <c r="F1153" t="n">
        <v>293</v>
      </c>
      <c r="G1153" t="inlineStr">
        <is>
          <t>primary</t>
        </is>
      </c>
      <c r="H1153" t="inlineStr">
        <is>
          <t>AUTO_VESSEL</t>
        </is>
      </c>
      <c r="I1153" t="inlineStr">
        <is>
          <t>是</t>
        </is>
      </c>
      <c r="J1153" t="inlineStr">
        <is>
          <t>纳入</t>
        </is>
      </c>
      <c r="K1153" t="n">
        <v>952.1975425330813</v>
      </c>
      <c r="L1153">
        <f>导管母表_1781!G1153</f>
        <v/>
      </c>
      <c r="M1153" t="inlineStr">
        <is>
          <t>视野内部</t>
        </is>
      </c>
      <c r="N1153" t="inlineStr">
        <is>
          <t>纳入A/D/Dh；若有Pair_ID则纳入CWR</t>
        </is>
      </c>
      <c r="O1153" t="inlineStr">
        <is>
          <t>自动管线检出的合格导管腔。</t>
        </is>
      </c>
      <c r="P1153" t="inlineStr">
        <is>
          <t>auto_pipeline;review_png_green</t>
        </is>
      </c>
      <c r="R1153" t="inlineStr">
        <is>
          <t>样品26</t>
        </is>
      </c>
    </row>
    <row r="1154">
      <c r="A1154" t="inlineStr">
        <is>
          <t>26(1)-V02</t>
        </is>
      </c>
      <c r="B1154" t="inlineStr">
        <is>
          <t>26 (1).tif</t>
        </is>
      </c>
      <c r="C1154" t="n">
        <v>584</v>
      </c>
      <c r="D1154" t="n">
        <v>405</v>
      </c>
      <c r="E1154" t="inlineStr">
        <is>
          <t>509,333,660,478</t>
        </is>
      </c>
      <c r="F1154" t="n">
        <v>290</v>
      </c>
      <c r="G1154" t="inlineStr">
        <is>
          <t>primary</t>
        </is>
      </c>
      <c r="H1154" t="inlineStr">
        <is>
          <t>AUTO_VESSEL</t>
        </is>
      </c>
      <c r="I1154" t="inlineStr">
        <is>
          <t>是</t>
        </is>
      </c>
      <c r="J1154" t="inlineStr">
        <is>
          <t>纳入</t>
        </is>
      </c>
      <c r="K1154" t="n">
        <v>795.2268431001891</v>
      </c>
      <c r="L1154">
        <f>导管母表_1781!G1154</f>
        <v/>
      </c>
      <c r="M1154" t="inlineStr">
        <is>
          <t>视野内部</t>
        </is>
      </c>
      <c r="N1154" t="inlineStr">
        <is>
          <t>纳入A/D/Dh；若有Pair_ID则纳入CWR</t>
        </is>
      </c>
      <c r="O1154" t="inlineStr">
        <is>
          <t>自动管线检出的合格导管腔。</t>
        </is>
      </c>
      <c r="P1154" t="inlineStr">
        <is>
          <t>auto_pipeline;review_png_green</t>
        </is>
      </c>
      <c r="R1154" t="inlineStr">
        <is>
          <t>样品26</t>
        </is>
      </c>
    </row>
    <row r="1155">
      <c r="A1155" t="inlineStr">
        <is>
          <t>26(1)-V03</t>
        </is>
      </c>
      <c r="B1155" t="inlineStr">
        <is>
          <t>26 (1).tif</t>
        </is>
      </c>
      <c r="C1155" t="n">
        <v>734</v>
      </c>
      <c r="D1155" t="n">
        <v>286</v>
      </c>
      <c r="E1155" t="inlineStr">
        <is>
          <t>684,214,785,359</t>
        </is>
      </c>
      <c r="F1155" t="n">
        <v>214</v>
      </c>
      <c r="G1155" t="inlineStr">
        <is>
          <t>primary</t>
        </is>
      </c>
      <c r="H1155" t="inlineStr">
        <is>
          <t>AUTO_VESSEL</t>
        </is>
      </c>
      <c r="I1155" t="inlineStr">
        <is>
          <t>是</t>
        </is>
      </c>
      <c r="J1155" t="inlineStr">
        <is>
          <t>纳入</t>
        </is>
      </c>
      <c r="K1155" t="n">
        <v>496.124763705104</v>
      </c>
      <c r="L1155">
        <f>导管母表_1781!G1155</f>
        <v/>
      </c>
      <c r="M1155" t="inlineStr">
        <is>
          <t>视野内部</t>
        </is>
      </c>
      <c r="N1155" t="inlineStr">
        <is>
          <t>纳入A/D/Dh；若有Pair_ID则纳入CWR</t>
        </is>
      </c>
      <c r="O1155" t="inlineStr">
        <is>
          <t>自动管线检出的合格导管腔。</t>
        </is>
      </c>
      <c r="P1155" t="inlineStr">
        <is>
          <t>auto_pipeline;review_png_green</t>
        </is>
      </c>
      <c r="R1155" t="inlineStr">
        <is>
          <t>样品26</t>
        </is>
      </c>
    </row>
    <row r="1156">
      <c r="A1156" t="inlineStr">
        <is>
          <t>26(1)-V04</t>
        </is>
      </c>
      <c r="B1156" t="inlineStr">
        <is>
          <t>26 (1).tif</t>
        </is>
      </c>
      <c r="C1156" t="n">
        <v>71</v>
      </c>
      <c r="D1156" t="n">
        <v>146</v>
      </c>
      <c r="E1156" t="inlineStr">
        <is>
          <t>39,101,104,192</t>
        </is>
      </c>
      <c r="F1156" t="n">
        <v>39</v>
      </c>
      <c r="G1156" t="inlineStr">
        <is>
          <t>primary</t>
        </is>
      </c>
      <c r="H1156" t="inlineStr">
        <is>
          <t>AUTO_VESSEL</t>
        </is>
      </c>
      <c r="I1156" t="inlineStr">
        <is>
          <t>是</t>
        </is>
      </c>
      <c r="J1156" t="inlineStr">
        <is>
          <t>纳入</t>
        </is>
      </c>
      <c r="K1156" t="n">
        <v>214.0595463137996</v>
      </c>
      <c r="L1156">
        <f>导管母表_1781!G1156</f>
        <v/>
      </c>
      <c r="M1156" t="inlineStr">
        <is>
          <t>视野内部</t>
        </is>
      </c>
      <c r="N1156" t="inlineStr">
        <is>
          <t>纳入A/D/Dh；若有Pair_ID则纳入CWR</t>
        </is>
      </c>
      <c r="O1156" t="inlineStr">
        <is>
          <t>自动管线检出的合格导管腔。</t>
        </is>
      </c>
      <c r="P1156" t="inlineStr">
        <is>
          <t>auto_pipeline;review_png_green</t>
        </is>
      </c>
      <c r="R1156" t="inlineStr">
        <is>
          <t>样品26</t>
        </is>
      </c>
    </row>
    <row r="1157">
      <c r="A1157" t="inlineStr">
        <is>
          <t>26(2)-V01</t>
        </is>
      </c>
      <c r="B1157" t="inlineStr">
        <is>
          <t>26 (2).tif</t>
        </is>
      </c>
      <c r="C1157" t="n">
        <v>417</v>
      </c>
      <c r="D1157" t="n">
        <v>436</v>
      </c>
      <c r="E1157" t="inlineStr">
        <is>
          <t>329,363,506,510</t>
        </is>
      </c>
      <c r="F1157" t="n">
        <v>258</v>
      </c>
      <c r="G1157" t="inlineStr">
        <is>
          <t>primary</t>
        </is>
      </c>
      <c r="H1157" t="inlineStr">
        <is>
          <t>AUTO_VESSEL</t>
        </is>
      </c>
      <c r="I1157" t="inlineStr">
        <is>
          <t>是</t>
        </is>
      </c>
      <c r="J1157" t="inlineStr">
        <is>
          <t>纳入</t>
        </is>
      </c>
      <c r="K1157" t="n">
        <v>932.7268431001891</v>
      </c>
      <c r="L1157">
        <f>导管母表_1781!G1157</f>
        <v/>
      </c>
      <c r="M1157" t="inlineStr">
        <is>
          <t>视野内部</t>
        </is>
      </c>
      <c r="N1157" t="inlineStr">
        <is>
          <t>纳入A/D/Dh；若有Pair_ID则纳入CWR</t>
        </is>
      </c>
      <c r="O1157" t="inlineStr">
        <is>
          <t>自动管线检出的合格导管腔。</t>
        </is>
      </c>
      <c r="P1157" t="inlineStr">
        <is>
          <t>auto_pipeline;review_png_green</t>
        </is>
      </c>
      <c r="R1157" t="inlineStr">
        <is>
          <t>样品26</t>
        </is>
      </c>
    </row>
    <row r="1158">
      <c r="A1158" t="inlineStr">
        <is>
          <t>26(2)-V02</t>
        </is>
      </c>
      <c r="B1158" t="inlineStr">
        <is>
          <t>26 (2).tif</t>
        </is>
      </c>
      <c r="C1158" t="n">
        <v>942</v>
      </c>
      <c r="D1158" t="n">
        <v>480</v>
      </c>
      <c r="E1158" t="inlineStr">
        <is>
          <t>875,414,1010,547</t>
        </is>
      </c>
      <c r="F1158" t="n">
        <v>14</v>
      </c>
      <c r="G1158" t="inlineStr">
        <is>
          <t>primary</t>
        </is>
      </c>
      <c r="H1158" t="inlineStr">
        <is>
          <t>AUTO_VESSEL</t>
        </is>
      </c>
      <c r="I1158" t="inlineStr">
        <is>
          <t>是</t>
        </is>
      </c>
      <c r="J1158" t="inlineStr">
        <is>
          <t>纳入</t>
        </is>
      </c>
      <c r="K1158" t="n">
        <v>634.3100189035916</v>
      </c>
      <c r="L1158">
        <f>导管母表_1781!G1158</f>
        <v/>
      </c>
      <c r="M1158" t="inlineStr">
        <is>
          <t>近边缘（&lt;25 px）</t>
        </is>
      </c>
      <c r="N1158" t="inlineStr">
        <is>
          <t>纳入A/D/Dh；若有Pair_ID则纳入CWR</t>
        </is>
      </c>
      <c r="O1158" t="inlineStr">
        <is>
          <t>自动管线检出的合格导管腔。</t>
        </is>
      </c>
      <c r="P1158" t="inlineStr">
        <is>
          <t>auto_pipeline;review_png_green</t>
        </is>
      </c>
      <c r="Q1158" t="inlineStr">
        <is>
          <t>26(2)-P01</t>
        </is>
      </c>
      <c r="R1158" t="inlineStr">
        <is>
          <t>样品26</t>
        </is>
      </c>
    </row>
    <row r="1159">
      <c r="A1159" t="inlineStr">
        <is>
          <t>26(2)-V03</t>
        </is>
      </c>
      <c r="B1159" t="inlineStr">
        <is>
          <t>26 (2).tif</t>
        </is>
      </c>
      <c r="C1159" t="n">
        <v>180</v>
      </c>
      <c r="D1159" t="n">
        <v>161</v>
      </c>
      <c r="E1159" t="inlineStr">
        <is>
          <t>110,101,251,222</t>
        </is>
      </c>
      <c r="F1159" t="n">
        <v>101</v>
      </c>
      <c r="G1159" t="inlineStr">
        <is>
          <t>primary</t>
        </is>
      </c>
      <c r="H1159" t="inlineStr">
        <is>
          <t>AUTO_VESSEL</t>
        </is>
      </c>
      <c r="I1159" t="inlineStr">
        <is>
          <t>是</t>
        </is>
      </c>
      <c r="J1159" t="inlineStr">
        <is>
          <t>纳入</t>
        </is>
      </c>
      <c r="K1159" t="n">
        <v>623.9839319470699</v>
      </c>
      <c r="L1159">
        <f>导管母表_1781!G1159</f>
        <v/>
      </c>
      <c r="M1159" t="inlineStr">
        <is>
          <t>视野内部</t>
        </is>
      </c>
      <c r="N1159" t="inlineStr">
        <is>
          <t>纳入A/D/Dh；若有Pair_ID则纳入CWR</t>
        </is>
      </c>
      <c r="O1159" t="inlineStr">
        <is>
          <t>自动管线检出的合格导管腔。</t>
        </is>
      </c>
      <c r="P1159" t="inlineStr">
        <is>
          <t>auto_pipeline;review_png_green</t>
        </is>
      </c>
      <c r="R1159" t="inlineStr">
        <is>
          <t>样品26</t>
        </is>
      </c>
    </row>
    <row r="1160">
      <c r="A1160" t="inlineStr">
        <is>
          <t>26(2)-V04</t>
        </is>
      </c>
      <c r="B1160" t="inlineStr">
        <is>
          <t>26 (2).tif</t>
        </is>
      </c>
      <c r="C1160" t="n">
        <v>813</v>
      </c>
      <c r="D1160" t="n">
        <v>434</v>
      </c>
      <c r="E1160" t="inlineStr">
        <is>
          <t>762,392,865,477</t>
        </is>
      </c>
      <c r="F1160" t="n">
        <v>159</v>
      </c>
      <c r="G1160" t="inlineStr">
        <is>
          <t>primary</t>
        </is>
      </c>
      <c r="H1160" t="inlineStr">
        <is>
          <t>AUTO_VESSEL</t>
        </is>
      </c>
      <c r="I1160" t="inlineStr">
        <is>
          <t>是</t>
        </is>
      </c>
      <c r="J1160" t="inlineStr">
        <is>
          <t>纳入</t>
        </is>
      </c>
      <c r="K1160" t="n">
        <v>312.0746691871456</v>
      </c>
      <c r="L1160">
        <f>导管母表_1781!G1160</f>
        <v/>
      </c>
      <c r="M1160" t="inlineStr">
        <is>
          <t>视野内部</t>
        </is>
      </c>
      <c r="N1160" t="inlineStr">
        <is>
          <t>纳入A/D/Dh；若有Pair_ID则纳入CWR</t>
        </is>
      </c>
      <c r="O1160" t="inlineStr">
        <is>
          <t>自动管线检出的合格导管腔。</t>
        </is>
      </c>
      <c r="P1160" t="inlineStr">
        <is>
          <t>auto_pipeline;review_png_green</t>
        </is>
      </c>
      <c r="Q1160" t="inlineStr">
        <is>
          <t>26(2)-P01</t>
        </is>
      </c>
      <c r="R1160" t="inlineStr">
        <is>
          <t>样品26</t>
        </is>
      </c>
    </row>
    <row r="1161">
      <c r="A1161" t="inlineStr">
        <is>
          <t>26(2)-V05</t>
        </is>
      </c>
      <c r="B1161" t="inlineStr">
        <is>
          <t>26 (2).tif</t>
        </is>
      </c>
      <c r="C1161" t="n">
        <v>318</v>
      </c>
      <c r="D1161" t="n">
        <v>151</v>
      </c>
      <c r="E1161" t="inlineStr">
        <is>
          <t>278,113,359,190</t>
        </is>
      </c>
      <c r="F1161" t="n">
        <v>113</v>
      </c>
      <c r="G1161" t="inlineStr">
        <is>
          <t>primary</t>
        </is>
      </c>
      <c r="H1161" t="inlineStr">
        <is>
          <t>AUTO_VESSEL</t>
        </is>
      </c>
      <c r="I1161" t="inlineStr">
        <is>
          <t>是</t>
        </is>
      </c>
      <c r="J1161" t="inlineStr">
        <is>
          <t>纳入</t>
        </is>
      </c>
      <c r="K1161" t="n">
        <v>118.5255198487713</v>
      </c>
      <c r="L1161">
        <f>导管母表_1781!G1161</f>
        <v/>
      </c>
      <c r="M1161" t="inlineStr">
        <is>
          <t>视野内部</t>
        </is>
      </c>
      <c r="N1161" t="inlineStr">
        <is>
          <t>纳入A/D/Dh；若有Pair_ID则纳入CWR</t>
        </is>
      </c>
      <c r="O1161" t="inlineStr">
        <is>
          <t>自动管线检出的合格导管腔。</t>
        </is>
      </c>
      <c r="P1161" t="inlineStr">
        <is>
          <t>auto_pipeline;review_png_green</t>
        </is>
      </c>
      <c r="R1161" t="inlineStr">
        <is>
          <t>样品26</t>
        </is>
      </c>
    </row>
    <row r="1162">
      <c r="A1162" t="inlineStr">
        <is>
          <t>26(3)-V01</t>
        </is>
      </c>
      <c r="B1162" t="inlineStr">
        <is>
          <t>26 (3).tif</t>
        </is>
      </c>
      <c r="C1162" t="n">
        <v>850</v>
      </c>
      <c r="D1162" t="n">
        <v>324</v>
      </c>
      <c r="E1162" t="inlineStr">
        <is>
          <t>766,233,935,416</t>
        </is>
      </c>
      <c r="F1162" t="n">
        <v>89</v>
      </c>
      <c r="G1162" t="inlineStr">
        <is>
          <t>primary</t>
        </is>
      </c>
      <c r="H1162" t="inlineStr">
        <is>
          <t>AUTO_VESSEL</t>
        </is>
      </c>
      <c r="I1162" t="inlineStr">
        <is>
          <t>是</t>
        </is>
      </c>
      <c r="J1162" t="inlineStr">
        <is>
          <t>纳入</t>
        </is>
      </c>
      <c r="K1162" t="n">
        <v>1105.671077504726</v>
      </c>
      <c r="L1162">
        <f>导管母表_1781!G1162</f>
        <v/>
      </c>
      <c r="M1162" t="inlineStr">
        <is>
          <t>视野内部</t>
        </is>
      </c>
      <c r="N1162" t="inlineStr">
        <is>
          <t>纳入A/D/Dh；若有Pair_ID则纳入CWR</t>
        </is>
      </c>
      <c r="O1162" t="inlineStr">
        <is>
          <t>自动管线检出的合格导管腔。</t>
        </is>
      </c>
      <c r="P1162" t="inlineStr">
        <is>
          <t>auto_pipeline;review_png_green</t>
        </is>
      </c>
      <c r="R1162" t="inlineStr">
        <is>
          <t>样品26</t>
        </is>
      </c>
    </row>
    <row r="1163">
      <c r="A1163" t="inlineStr">
        <is>
          <t>26(3)-V02</t>
        </is>
      </c>
      <c r="B1163" t="inlineStr">
        <is>
          <t>26 (3).tif</t>
        </is>
      </c>
      <c r="C1163" t="n">
        <v>571</v>
      </c>
      <c r="D1163" t="n">
        <v>94</v>
      </c>
      <c r="E1163" t="inlineStr">
        <is>
          <t>490,14,653,175</t>
        </is>
      </c>
      <c r="F1163" t="n">
        <v>14</v>
      </c>
      <c r="G1163" t="inlineStr">
        <is>
          <t>primary</t>
        </is>
      </c>
      <c r="H1163" t="inlineStr">
        <is>
          <t>AUTO_VESSEL</t>
        </is>
      </c>
      <c r="I1163" t="inlineStr">
        <is>
          <t>是</t>
        </is>
      </c>
      <c r="J1163" t="inlineStr">
        <is>
          <t>纳入</t>
        </is>
      </c>
      <c r="K1163" t="n">
        <v>957.5141776937618</v>
      </c>
      <c r="L1163">
        <f>导管母表_1781!G1163</f>
        <v/>
      </c>
      <c r="M1163" t="inlineStr">
        <is>
          <t>近边缘（&lt;25 px）</t>
        </is>
      </c>
      <c r="N1163" t="inlineStr">
        <is>
          <t>纳入A/D/Dh；若有Pair_ID则纳入CWR</t>
        </is>
      </c>
      <c r="O1163" t="inlineStr">
        <is>
          <t>自动管线检出的合格导管腔。</t>
        </is>
      </c>
      <c r="P1163" t="inlineStr">
        <is>
          <t>auto_pipeline;review_png_green</t>
        </is>
      </c>
      <c r="R1163" t="inlineStr">
        <is>
          <t>样品26</t>
        </is>
      </c>
    </row>
    <row r="1164">
      <c r="A1164" t="inlineStr">
        <is>
          <t>26(3)-V03</t>
        </is>
      </c>
      <c r="B1164" t="inlineStr">
        <is>
          <t>26 (3).tif</t>
        </is>
      </c>
      <c r="C1164" t="n">
        <v>884</v>
      </c>
      <c r="D1164" t="n">
        <v>583</v>
      </c>
      <c r="E1164" t="inlineStr">
        <is>
          <t>818,511,951,656</t>
        </is>
      </c>
      <c r="F1164" t="n">
        <v>73</v>
      </c>
      <c r="G1164" t="inlineStr">
        <is>
          <t>primary</t>
        </is>
      </c>
      <c r="H1164" t="inlineStr">
        <is>
          <t>AUTO_VESSEL</t>
        </is>
      </c>
      <c r="I1164" t="inlineStr">
        <is>
          <t>是</t>
        </is>
      </c>
      <c r="J1164" t="inlineStr">
        <is>
          <t>纳入</t>
        </is>
      </c>
      <c r="K1164" t="n">
        <v>701.4650283553875</v>
      </c>
      <c r="L1164">
        <f>导管母表_1781!G1164</f>
        <v/>
      </c>
      <c r="M1164" t="inlineStr">
        <is>
          <t>视野内部</t>
        </is>
      </c>
      <c r="N1164" t="inlineStr">
        <is>
          <t>纳入A/D/Dh；若有Pair_ID则纳入CWR</t>
        </is>
      </c>
      <c r="O1164" t="inlineStr">
        <is>
          <t>自动管线检出的合格导管腔。</t>
        </is>
      </c>
      <c r="P1164" t="inlineStr">
        <is>
          <t>auto_pipeline;review_png_green</t>
        </is>
      </c>
      <c r="R1164" t="inlineStr">
        <is>
          <t>样品26</t>
        </is>
      </c>
    </row>
    <row r="1165">
      <c r="A1165" t="inlineStr">
        <is>
          <t>26(3)-V04</t>
        </is>
      </c>
      <c r="B1165" t="inlineStr">
        <is>
          <t>26 (3).tif</t>
        </is>
      </c>
      <c r="C1165" t="n">
        <v>455</v>
      </c>
      <c r="D1165" t="n">
        <v>427</v>
      </c>
      <c r="E1165" t="inlineStr">
        <is>
          <t>386,367,525,488</t>
        </is>
      </c>
      <c r="F1165" t="n">
        <v>280</v>
      </c>
      <c r="G1165" t="inlineStr">
        <is>
          <t>primary</t>
        </is>
      </c>
      <c r="H1165" t="inlineStr">
        <is>
          <t>AUTO_VESSEL</t>
        </is>
      </c>
      <c r="I1165" t="inlineStr">
        <is>
          <t>是</t>
        </is>
      </c>
      <c r="J1165" t="inlineStr">
        <is>
          <t>纳入</t>
        </is>
      </c>
      <c r="K1165" t="n">
        <v>614.0831758034027</v>
      </c>
      <c r="L1165">
        <f>导管母表_1781!G1165</f>
        <v/>
      </c>
      <c r="M1165" t="inlineStr">
        <is>
          <t>视野内部</t>
        </is>
      </c>
      <c r="N1165" t="inlineStr">
        <is>
          <t>纳入A/D/Dh；若有Pair_ID则纳入CWR</t>
        </is>
      </c>
      <c r="O1165" t="inlineStr">
        <is>
          <t>自动管线检出的合格导管腔。</t>
        </is>
      </c>
      <c r="P1165" t="inlineStr">
        <is>
          <t>auto_pipeline;review_png_green</t>
        </is>
      </c>
      <c r="R1165" t="inlineStr">
        <is>
          <t>样品26</t>
        </is>
      </c>
    </row>
    <row r="1166">
      <c r="A1166" t="inlineStr">
        <is>
          <t>26(3)-V05</t>
        </is>
      </c>
      <c r="B1166" t="inlineStr">
        <is>
          <t>26 (3).tif</t>
        </is>
      </c>
      <c r="C1166" t="n">
        <v>594</v>
      </c>
      <c r="D1166" t="n">
        <v>418</v>
      </c>
      <c r="E1166" t="inlineStr">
        <is>
          <t>554,380,635,457</t>
        </is>
      </c>
      <c r="F1166" t="n">
        <v>311</v>
      </c>
      <c r="G1166" t="inlineStr">
        <is>
          <t>primary</t>
        </is>
      </c>
      <c r="H1166" t="inlineStr">
        <is>
          <t>AUTO_VESSEL</t>
        </is>
      </c>
      <c r="I1166" t="inlineStr">
        <is>
          <t>是</t>
        </is>
      </c>
      <c r="J1166" t="inlineStr">
        <is>
          <t>纳入</t>
        </is>
      </c>
      <c r="K1166" t="n">
        <v>118.5255198487713</v>
      </c>
      <c r="L1166">
        <f>导管母表_1781!G1166</f>
        <v/>
      </c>
      <c r="M1166" t="inlineStr">
        <is>
          <t>视野内部</t>
        </is>
      </c>
      <c r="N1166" t="inlineStr">
        <is>
          <t>纳入A/D/Dh；若有Pair_ID则纳入CWR</t>
        </is>
      </c>
      <c r="O1166" t="inlineStr">
        <is>
          <t>自动管线检出的合格导管腔。</t>
        </is>
      </c>
      <c r="P1166" t="inlineStr">
        <is>
          <t>auto_pipeline;review_png_green</t>
        </is>
      </c>
      <c r="R1166" t="inlineStr">
        <is>
          <t>样品26</t>
        </is>
      </c>
    </row>
    <row r="1167">
      <c r="A1167" t="inlineStr">
        <is>
          <t>26(3)-V06</t>
        </is>
      </c>
      <c r="B1167" t="inlineStr">
        <is>
          <t>26 (3).tif</t>
        </is>
      </c>
      <c r="C1167" t="n">
        <v>330</v>
      </c>
      <c r="D1167" t="n">
        <v>482</v>
      </c>
      <c r="E1167" t="inlineStr">
        <is>
          <t>297,460,364,505</t>
        </is>
      </c>
      <c r="F1167" t="n">
        <v>263</v>
      </c>
      <c r="G1167" t="inlineStr">
        <is>
          <t>primary</t>
        </is>
      </c>
      <c r="H1167" t="inlineStr">
        <is>
          <t>AUTO_VESSEL</t>
        </is>
      </c>
      <c r="I1167" t="inlineStr">
        <is>
          <t>是</t>
        </is>
      </c>
      <c r="J1167" t="inlineStr">
        <is>
          <t>纳入</t>
        </is>
      </c>
      <c r="K1167" t="n">
        <v>107.8686200378072</v>
      </c>
      <c r="L1167">
        <f>导管母表_1781!G1167</f>
        <v/>
      </c>
      <c r="M1167" t="inlineStr">
        <is>
          <t>视野内部</t>
        </is>
      </c>
      <c r="N1167" t="inlineStr">
        <is>
          <t>纳入A/D/Dh；若有Pair_ID则纳入CWR</t>
        </is>
      </c>
      <c r="O1167" t="inlineStr">
        <is>
          <t>自动管线检出的合格导管腔。</t>
        </is>
      </c>
      <c r="P1167" t="inlineStr">
        <is>
          <t>auto_pipeline;review_png_green</t>
        </is>
      </c>
      <c r="R1167" t="inlineStr">
        <is>
          <t>样品26</t>
        </is>
      </c>
    </row>
    <row r="1168">
      <c r="A1168" t="inlineStr">
        <is>
          <t>26(4)-V01</t>
        </is>
      </c>
      <c r="B1168" t="inlineStr">
        <is>
          <t>26 (4).tif</t>
        </is>
      </c>
      <c r="C1168" t="n">
        <v>374</v>
      </c>
      <c r="D1168" t="n">
        <v>666</v>
      </c>
      <c r="E1168" t="inlineStr">
        <is>
          <t>276,572,473,761</t>
        </is>
      </c>
      <c r="F1168" t="n">
        <v>7</v>
      </c>
      <c r="G1168" t="inlineStr">
        <is>
          <t>primary</t>
        </is>
      </c>
      <c r="H1168" t="inlineStr">
        <is>
          <t>AUTO_VESSEL</t>
        </is>
      </c>
      <c r="I1168" t="inlineStr">
        <is>
          <t>是</t>
        </is>
      </c>
      <c r="J1168" t="inlineStr">
        <is>
          <t>纳入</t>
        </is>
      </c>
      <c r="K1168" t="n">
        <v>1349.078449905482</v>
      </c>
      <c r="L1168">
        <f>导管母表_1781!G1168</f>
        <v/>
      </c>
      <c r="M1168" t="inlineStr">
        <is>
          <t>近边缘（&lt;25 px）</t>
        </is>
      </c>
      <c r="N1168" t="inlineStr">
        <is>
          <t>纳入A/D/Dh；若有Pair_ID则纳入CWR</t>
        </is>
      </c>
      <c r="O1168" t="inlineStr">
        <is>
          <t>自动管线检出的合格导管腔。</t>
        </is>
      </c>
      <c r="P1168" t="inlineStr">
        <is>
          <t>auto_pipeline;review_png_green</t>
        </is>
      </c>
      <c r="Q1168" t="inlineStr">
        <is>
          <t>26(4)-P01</t>
        </is>
      </c>
      <c r="R1168" t="inlineStr">
        <is>
          <t>样品26</t>
        </is>
      </c>
    </row>
    <row r="1169">
      <c r="A1169" t="inlineStr">
        <is>
          <t>26(4)-V02</t>
        </is>
      </c>
      <c r="B1169" t="inlineStr">
        <is>
          <t>26 (4).tif</t>
        </is>
      </c>
      <c r="C1169" t="n">
        <v>613</v>
      </c>
      <c r="D1169" t="n">
        <v>326</v>
      </c>
      <c r="E1169" t="inlineStr">
        <is>
          <t>544,251,683,402</t>
        </is>
      </c>
      <c r="F1169" t="n">
        <v>251</v>
      </c>
      <c r="G1169" t="inlineStr">
        <is>
          <t>primary</t>
        </is>
      </c>
      <c r="H1169" t="inlineStr">
        <is>
          <t>AUTO_VESSEL</t>
        </is>
      </c>
      <c r="I1169" t="inlineStr">
        <is>
          <t>是</t>
        </is>
      </c>
      <c r="J1169" t="inlineStr">
        <is>
          <t>纳入</t>
        </is>
      </c>
      <c r="K1169" t="n">
        <v>763.2797731568999</v>
      </c>
      <c r="L1169">
        <f>导管母表_1781!G1169</f>
        <v/>
      </c>
      <c r="M1169" t="inlineStr">
        <is>
          <t>视野内部</t>
        </is>
      </c>
      <c r="N1169" t="inlineStr">
        <is>
          <t>纳入A/D/Dh；若有Pair_ID则纳入CWR</t>
        </is>
      </c>
      <c r="O1169" t="inlineStr">
        <is>
          <t>自动管线检出的合格导管腔。</t>
        </is>
      </c>
      <c r="P1169" t="inlineStr">
        <is>
          <t>auto_pipeline;review_png_green</t>
        </is>
      </c>
      <c r="R1169" t="inlineStr">
        <is>
          <t>样品26</t>
        </is>
      </c>
    </row>
    <row r="1170">
      <c r="A1170" t="inlineStr">
        <is>
          <t>26(4)-V03</t>
        </is>
      </c>
      <c r="B1170" t="inlineStr">
        <is>
          <t>26 (4).tif</t>
        </is>
      </c>
      <c r="C1170" t="n">
        <v>219</v>
      </c>
      <c r="D1170" t="n">
        <v>154</v>
      </c>
      <c r="E1170" t="inlineStr">
        <is>
          <t>167,84,272,225</t>
        </is>
      </c>
      <c r="F1170" t="n">
        <v>84</v>
      </c>
      <c r="G1170" t="inlineStr">
        <is>
          <t>primary</t>
        </is>
      </c>
      <c r="H1170" t="inlineStr">
        <is>
          <t>AUTO_VESSEL</t>
        </is>
      </c>
      <c r="I1170" t="inlineStr">
        <is>
          <t>是</t>
        </is>
      </c>
      <c r="J1170" t="inlineStr">
        <is>
          <t>纳入</t>
        </is>
      </c>
      <c r="K1170" t="n">
        <v>537.0510396975426</v>
      </c>
      <c r="L1170">
        <f>导管母表_1781!G1170</f>
        <v/>
      </c>
      <c r="M1170" t="inlineStr">
        <is>
          <t>视野内部</t>
        </is>
      </c>
      <c r="N1170" t="inlineStr">
        <is>
          <t>纳入A/D/Dh；若有Pair_ID则纳入CWR</t>
        </is>
      </c>
      <c r="O1170" t="inlineStr">
        <is>
          <t>自动管线检出的合格导管腔。</t>
        </is>
      </c>
      <c r="P1170" t="inlineStr">
        <is>
          <t>auto_pipeline;review_png_green</t>
        </is>
      </c>
      <c r="R1170" t="inlineStr">
        <is>
          <t>样品26</t>
        </is>
      </c>
    </row>
    <row r="1171">
      <c r="A1171" t="inlineStr">
        <is>
          <t>26(4)-V04</t>
        </is>
      </c>
      <c r="B1171" t="inlineStr">
        <is>
          <t>26 (4).tif</t>
        </is>
      </c>
      <c r="C1171" t="n">
        <v>331</v>
      </c>
      <c r="D1171" t="n">
        <v>486</v>
      </c>
      <c r="E1171" t="inlineStr">
        <is>
          <t>274,424,389,549</t>
        </is>
      </c>
      <c r="F1171" t="n">
        <v>219</v>
      </c>
      <c r="G1171" t="inlineStr">
        <is>
          <t>primary</t>
        </is>
      </c>
      <c r="H1171" t="inlineStr">
        <is>
          <t>AUTO_VESSEL</t>
        </is>
      </c>
      <c r="I1171" t="inlineStr">
        <is>
          <t>是</t>
        </is>
      </c>
      <c r="J1171" t="inlineStr">
        <is>
          <t>纳入</t>
        </is>
      </c>
      <c r="K1171" t="n">
        <v>524.7400756143668</v>
      </c>
      <c r="L1171">
        <f>导管母表_1781!G1171</f>
        <v/>
      </c>
      <c r="M1171" t="inlineStr">
        <is>
          <t>视野内部</t>
        </is>
      </c>
      <c r="N1171" t="inlineStr">
        <is>
          <t>纳入A/D/Dh；若有Pair_ID则纳入CWR</t>
        </is>
      </c>
      <c r="O1171" t="inlineStr">
        <is>
          <t>自动管线检出的合格导管腔。</t>
        </is>
      </c>
      <c r="P1171" t="inlineStr">
        <is>
          <t>auto_pipeline;review_png_green</t>
        </is>
      </c>
      <c r="R1171" t="inlineStr">
        <is>
          <t>样品26</t>
        </is>
      </c>
    </row>
    <row r="1172">
      <c r="A1172" t="inlineStr">
        <is>
          <t>26(4)-V05</t>
        </is>
      </c>
      <c r="B1172" t="inlineStr">
        <is>
          <t>26 (4).tif</t>
        </is>
      </c>
      <c r="C1172" t="n">
        <v>610</v>
      </c>
      <c r="D1172" t="n">
        <v>74</v>
      </c>
      <c r="E1172" t="inlineStr">
        <is>
          <t>559,5,662,144</t>
        </is>
      </c>
      <c r="F1172" t="n">
        <v>5</v>
      </c>
      <c r="G1172" t="inlineStr">
        <is>
          <t>primary</t>
        </is>
      </c>
      <c r="H1172" t="inlineStr">
        <is>
          <t>AUTO_VESSEL</t>
        </is>
      </c>
      <c r="I1172" t="inlineStr">
        <is>
          <t>是</t>
        </is>
      </c>
      <c r="J1172" t="inlineStr">
        <is>
          <t>纳入</t>
        </is>
      </c>
      <c r="K1172" t="n">
        <v>491.8241965973535</v>
      </c>
      <c r="L1172">
        <f>导管母表_1781!G1172</f>
        <v/>
      </c>
      <c r="M1172" t="inlineStr">
        <is>
          <t>近边缘（&lt;25 px）</t>
        </is>
      </c>
      <c r="N1172" t="inlineStr">
        <is>
          <t>纳入A/D/Dh；若有Pair_ID则纳入CWR</t>
        </is>
      </c>
      <c r="O1172" t="inlineStr">
        <is>
          <t>自动管线检出的合格导管腔。</t>
        </is>
      </c>
      <c r="P1172" t="inlineStr">
        <is>
          <t>auto_pipeline;review_png_green</t>
        </is>
      </c>
      <c r="R1172" t="inlineStr">
        <is>
          <t>样品26</t>
        </is>
      </c>
    </row>
    <row r="1173">
      <c r="A1173" t="inlineStr">
        <is>
          <t>26(4)-V06</t>
        </is>
      </c>
      <c r="B1173" t="inlineStr">
        <is>
          <t>26 (4).tif</t>
        </is>
      </c>
      <c r="C1173" t="n">
        <v>342</v>
      </c>
      <c r="D1173" t="n">
        <v>621</v>
      </c>
      <c r="E1173" t="inlineStr">
        <is>
          <t>304,577,381,666</t>
        </is>
      </c>
      <c r="F1173" t="n">
        <v>102</v>
      </c>
      <c r="G1173" t="inlineStr">
        <is>
          <t>primary</t>
        </is>
      </c>
      <c r="H1173" t="inlineStr">
        <is>
          <t>AUTO_VESSEL</t>
        </is>
      </c>
      <c r="I1173" t="inlineStr">
        <is>
          <t>是</t>
        </is>
      </c>
      <c r="J1173" t="inlineStr">
        <is>
          <t>纳入</t>
        </is>
      </c>
      <c r="K1173" t="n">
        <v>246.124763705104</v>
      </c>
      <c r="L1173">
        <f>导管母表_1781!G1173</f>
        <v/>
      </c>
      <c r="M1173" t="inlineStr">
        <is>
          <t>视野内部</t>
        </is>
      </c>
      <c r="N1173" t="inlineStr">
        <is>
          <t>纳入A/D/Dh；若有Pair_ID则纳入CWR</t>
        </is>
      </c>
      <c r="O1173" t="inlineStr">
        <is>
          <t>自动管线检出的合格导管腔。</t>
        </is>
      </c>
      <c r="P1173" t="inlineStr">
        <is>
          <t>auto_pipeline;review_png_green</t>
        </is>
      </c>
      <c r="Q1173" t="inlineStr">
        <is>
          <t>26(4)-P01</t>
        </is>
      </c>
      <c r="R1173" t="inlineStr">
        <is>
          <t>样品26</t>
        </is>
      </c>
    </row>
    <row r="1174">
      <c r="A1174" t="inlineStr">
        <is>
          <t>26(4)-V07</t>
        </is>
      </c>
      <c r="B1174" t="inlineStr">
        <is>
          <t>26 (4).tif</t>
        </is>
      </c>
      <c r="C1174" t="n">
        <v>315</v>
      </c>
      <c r="D1174" t="n">
        <v>131</v>
      </c>
      <c r="E1174" t="inlineStr">
        <is>
          <t>288,77,343,186</t>
        </is>
      </c>
      <c r="F1174" t="n">
        <v>77</v>
      </c>
      <c r="G1174" t="inlineStr">
        <is>
          <t>primary</t>
        </is>
      </c>
      <c r="H1174" t="inlineStr">
        <is>
          <t>AUTO_VESSEL</t>
        </is>
      </c>
      <c r="I1174" t="inlineStr">
        <is>
          <t>是</t>
        </is>
      </c>
      <c r="J1174" t="inlineStr">
        <is>
          <t>纳入</t>
        </is>
      </c>
      <c r="K1174" t="n">
        <v>216.8005671077505</v>
      </c>
      <c r="L1174">
        <f>导管母表_1781!G1174</f>
        <v/>
      </c>
      <c r="M1174" t="inlineStr">
        <is>
          <t>视野内部</t>
        </is>
      </c>
      <c r="N1174" t="inlineStr">
        <is>
          <t>纳入A/D/Dh；若有Pair_ID则纳入CWR</t>
        </is>
      </c>
      <c r="O1174" t="inlineStr">
        <is>
          <t>自动管线检出的合格导管腔。</t>
        </is>
      </c>
      <c r="P1174" t="inlineStr">
        <is>
          <t>auto_pipeline;review_png_green</t>
        </is>
      </c>
      <c r="R1174" t="inlineStr">
        <is>
          <t>样品26</t>
        </is>
      </c>
    </row>
    <row r="1175">
      <c r="A1175" t="inlineStr">
        <is>
          <t>26(4)-V08</t>
        </is>
      </c>
      <c r="B1175" t="inlineStr">
        <is>
          <t>26 (4).tif</t>
        </is>
      </c>
      <c r="C1175" t="n">
        <v>289</v>
      </c>
      <c r="D1175" t="n">
        <v>312</v>
      </c>
      <c r="E1175" t="inlineStr">
        <is>
          <t>255,272,324,353</t>
        </is>
      </c>
      <c r="F1175" t="n">
        <v>255</v>
      </c>
      <c r="G1175" t="inlineStr">
        <is>
          <t>primary</t>
        </is>
      </c>
      <c r="H1175" t="inlineStr">
        <is>
          <t>AUTO_VESSEL</t>
        </is>
      </c>
      <c r="I1175" t="inlineStr">
        <is>
          <t>是</t>
        </is>
      </c>
      <c r="J1175" t="inlineStr">
        <is>
          <t>纳入</t>
        </is>
      </c>
      <c r="K1175" t="n">
        <v>202.6465028355387</v>
      </c>
      <c r="L1175">
        <f>导管母表_1781!G1175</f>
        <v/>
      </c>
      <c r="M1175" t="inlineStr">
        <is>
          <t>视野内部</t>
        </is>
      </c>
      <c r="N1175" t="inlineStr">
        <is>
          <t>纳入A/D/Dh；若有Pair_ID则纳入CWR</t>
        </is>
      </c>
      <c r="O1175" t="inlineStr">
        <is>
          <t>自动管线检出的合格导管腔。</t>
        </is>
      </c>
      <c r="P1175" t="inlineStr">
        <is>
          <t>auto_pipeline;review_png_green</t>
        </is>
      </c>
      <c r="R1175" t="inlineStr">
        <is>
          <t>样品26</t>
        </is>
      </c>
    </row>
    <row r="1176">
      <c r="A1176" t="inlineStr">
        <is>
          <t>26(4)-V09</t>
        </is>
      </c>
      <c r="B1176" t="inlineStr">
        <is>
          <t>26 (4).tif</t>
        </is>
      </c>
      <c r="C1176" t="n">
        <v>304</v>
      </c>
      <c r="D1176" t="n">
        <v>219</v>
      </c>
      <c r="E1176" t="inlineStr">
        <is>
          <t>270,193,339,246</t>
        </is>
      </c>
      <c r="F1176" t="n">
        <v>193</v>
      </c>
      <c r="G1176" t="inlineStr">
        <is>
          <t>primary</t>
        </is>
      </c>
      <c r="H1176" t="inlineStr">
        <is>
          <t>AUTO_VESSEL</t>
        </is>
      </c>
      <c r="I1176" t="inlineStr">
        <is>
          <t>是</t>
        </is>
      </c>
      <c r="J1176" t="inlineStr">
        <is>
          <t>纳入</t>
        </is>
      </c>
      <c r="K1176" t="n">
        <v>122.8969754253308</v>
      </c>
      <c r="L1176">
        <f>导管母表_1781!G1176</f>
        <v/>
      </c>
      <c r="M1176" t="inlineStr">
        <is>
          <t>视野内部</t>
        </is>
      </c>
      <c r="N1176" t="inlineStr">
        <is>
          <t>纳入A/D/Dh；若有Pair_ID则纳入CWR</t>
        </is>
      </c>
      <c r="O1176" t="inlineStr">
        <is>
          <t>自动管线检出的合格导管腔。</t>
        </is>
      </c>
      <c r="P1176" t="inlineStr">
        <is>
          <t>auto_pipeline;review_png_green</t>
        </is>
      </c>
      <c r="R1176" t="inlineStr">
        <is>
          <t>样品26</t>
        </is>
      </c>
    </row>
    <row r="1177">
      <c r="A1177" t="inlineStr">
        <is>
          <t>26(5)-V01</t>
        </is>
      </c>
      <c r="B1177" t="inlineStr">
        <is>
          <t>26 (5).tif</t>
        </is>
      </c>
      <c r="C1177" t="n">
        <v>542</v>
      </c>
      <c r="D1177" t="n">
        <v>328</v>
      </c>
      <c r="E1177" t="inlineStr">
        <is>
          <t>478,266,607,391</t>
        </is>
      </c>
      <c r="F1177" t="n">
        <v>266</v>
      </c>
      <c r="G1177" t="inlineStr">
        <is>
          <t>primary</t>
        </is>
      </c>
      <c r="H1177" t="inlineStr">
        <is>
          <t>AUTO_VESSEL</t>
        </is>
      </c>
      <c r="I1177" t="inlineStr">
        <is>
          <t>是</t>
        </is>
      </c>
      <c r="J1177" t="inlineStr">
        <is>
          <t>纳入</t>
        </is>
      </c>
      <c r="K1177" t="n">
        <v>589.390359168242</v>
      </c>
      <c r="L1177">
        <f>导管母表_1781!G1177</f>
        <v/>
      </c>
      <c r="M1177" t="inlineStr">
        <is>
          <t>视野内部</t>
        </is>
      </c>
      <c r="N1177" t="inlineStr">
        <is>
          <t>纳入A/D/Dh；若有Pair_ID则纳入CWR</t>
        </is>
      </c>
      <c r="O1177" t="inlineStr">
        <is>
          <t>自动管线检出的合格导管腔。</t>
        </is>
      </c>
      <c r="P1177" t="inlineStr">
        <is>
          <t>auto_pipeline;review_png_green</t>
        </is>
      </c>
      <c r="Q1177" t="inlineStr">
        <is>
          <t>26(5)-P01</t>
        </is>
      </c>
      <c r="R1177" t="inlineStr">
        <is>
          <t>样品26</t>
        </is>
      </c>
    </row>
    <row r="1178">
      <c r="A1178" t="inlineStr">
        <is>
          <t>26(5)-V02</t>
        </is>
      </c>
      <c r="B1178" t="inlineStr">
        <is>
          <t>26 (5).tif</t>
        </is>
      </c>
      <c r="C1178" t="n">
        <v>523</v>
      </c>
      <c r="D1178" t="n">
        <v>473</v>
      </c>
      <c r="E1178" t="inlineStr">
        <is>
          <t>464,413,583,534</t>
        </is>
      </c>
      <c r="F1178" t="n">
        <v>234</v>
      </c>
      <c r="G1178" t="inlineStr">
        <is>
          <t>primary</t>
        </is>
      </c>
      <c r="H1178" t="inlineStr">
        <is>
          <t>AUTO_VESSEL</t>
        </is>
      </c>
      <c r="I1178" t="inlineStr">
        <is>
          <t>是</t>
        </is>
      </c>
      <c r="J1178" t="inlineStr">
        <is>
          <t>纳入</t>
        </is>
      </c>
      <c r="K1178" t="n">
        <v>524.7164461247637</v>
      </c>
      <c r="L1178">
        <f>导管母表_1781!G1178</f>
        <v/>
      </c>
      <c r="M1178" t="inlineStr">
        <is>
          <t>视野内部</t>
        </is>
      </c>
      <c r="N1178" t="inlineStr">
        <is>
          <t>纳入A/D/Dh；若有Pair_ID则纳入CWR</t>
        </is>
      </c>
      <c r="O1178" t="inlineStr">
        <is>
          <t>自动管线检出的合格导管腔。</t>
        </is>
      </c>
      <c r="P1178" t="inlineStr">
        <is>
          <t>auto_pipeline;review_png_green</t>
        </is>
      </c>
      <c r="Q1178" t="inlineStr">
        <is>
          <t>26(5)-P01</t>
        </is>
      </c>
      <c r="R1178" t="inlineStr">
        <is>
          <t>样品26</t>
        </is>
      </c>
    </row>
    <row r="1179">
      <c r="A1179" t="inlineStr">
        <is>
          <t>26(5)-V03</t>
        </is>
      </c>
      <c r="B1179" t="inlineStr">
        <is>
          <t>26 (5).tif</t>
        </is>
      </c>
      <c r="C1179" t="n">
        <v>426</v>
      </c>
      <c r="D1179" t="n">
        <v>431</v>
      </c>
      <c r="E1179" t="inlineStr">
        <is>
          <t>393,382,460,481</t>
        </is>
      </c>
      <c r="F1179" t="n">
        <v>287</v>
      </c>
      <c r="G1179" t="inlineStr">
        <is>
          <t>primary</t>
        </is>
      </c>
      <c r="H1179" t="inlineStr">
        <is>
          <t>AUTO_VESSEL</t>
        </is>
      </c>
      <c r="I1179" t="inlineStr">
        <is>
          <t>是</t>
        </is>
      </c>
      <c r="J1179" t="inlineStr">
        <is>
          <t>纳入</t>
        </is>
      </c>
      <c r="K1179" t="n">
        <v>143.8327032136106</v>
      </c>
      <c r="L1179">
        <f>导管母表_1781!G1179</f>
        <v/>
      </c>
      <c r="M1179" t="inlineStr">
        <is>
          <t>视野内部</t>
        </is>
      </c>
      <c r="N1179" t="inlineStr">
        <is>
          <t>纳入A/D/Dh；若有Pair_ID则纳入CWR</t>
        </is>
      </c>
      <c r="O1179" t="inlineStr">
        <is>
          <t>自动管线检出的合格导管腔。</t>
        </is>
      </c>
      <c r="P1179" t="inlineStr">
        <is>
          <t>auto_pipeline;review_png_green</t>
        </is>
      </c>
      <c r="R1179" t="inlineStr">
        <is>
          <t>样品26</t>
        </is>
      </c>
    </row>
    <row r="1180">
      <c r="A1180" t="inlineStr">
        <is>
          <t>26(5)-V04</t>
        </is>
      </c>
      <c r="B1180" t="inlineStr">
        <is>
          <t>26 (5).tif</t>
        </is>
      </c>
      <c r="C1180" t="n">
        <v>877</v>
      </c>
      <c r="D1180" t="n">
        <v>428</v>
      </c>
      <c r="E1180" t="inlineStr">
        <is>
          <t>853,393,902,464</t>
        </is>
      </c>
      <c r="F1180" t="n">
        <v>122</v>
      </c>
      <c r="G1180" t="inlineStr">
        <is>
          <t>primary</t>
        </is>
      </c>
      <c r="H1180" t="inlineStr">
        <is>
          <t>AUTO_VESSEL</t>
        </is>
      </c>
      <c r="I1180" t="inlineStr">
        <is>
          <t>是</t>
        </is>
      </c>
      <c r="J1180" t="inlineStr">
        <is>
          <t>纳入</t>
        </is>
      </c>
      <c r="K1180" t="n">
        <v>124.5274102079395</v>
      </c>
      <c r="L1180">
        <f>导管母表_1781!G1180</f>
        <v/>
      </c>
      <c r="M1180" t="inlineStr">
        <is>
          <t>视野内部</t>
        </is>
      </c>
      <c r="N1180" t="inlineStr">
        <is>
          <t>纳入A/D/Dh；若有Pair_ID则纳入CWR</t>
        </is>
      </c>
      <c r="O1180" t="inlineStr">
        <is>
          <t>自动管线检出的合格导管腔。</t>
        </is>
      </c>
      <c r="P1180" t="inlineStr">
        <is>
          <t>auto_pipeline;review_png_green</t>
        </is>
      </c>
      <c r="R1180" t="inlineStr">
        <is>
          <t>样品26</t>
        </is>
      </c>
    </row>
    <row r="1181">
      <c r="A1181" t="inlineStr">
        <is>
          <t>26(6)-V01</t>
        </is>
      </c>
      <c r="B1181" t="inlineStr">
        <is>
          <t>26 (6).tif</t>
        </is>
      </c>
      <c r="C1181" t="n">
        <v>606</v>
      </c>
      <c r="D1181" t="n">
        <v>225</v>
      </c>
      <c r="E1181" t="inlineStr">
        <is>
          <t>553,176,660,275</t>
        </is>
      </c>
      <c r="F1181" t="n">
        <v>176</v>
      </c>
      <c r="G1181" t="inlineStr">
        <is>
          <t>primary</t>
        </is>
      </c>
      <c r="H1181" t="inlineStr">
        <is>
          <t>AUTO_VESSEL</t>
        </is>
      </c>
      <c r="I1181" t="inlineStr">
        <is>
          <t>是</t>
        </is>
      </c>
      <c r="J1181" t="inlineStr">
        <is>
          <t>纳入</t>
        </is>
      </c>
      <c r="K1181" t="n">
        <v>368.1947069943289</v>
      </c>
      <c r="L1181">
        <f>导管母表_1781!G1181</f>
        <v/>
      </c>
      <c r="M1181" t="inlineStr">
        <is>
          <t>视野内部</t>
        </is>
      </c>
      <c r="N1181" t="inlineStr">
        <is>
          <t>纳入A/D/Dh；若有Pair_ID则纳入CWR</t>
        </is>
      </c>
      <c r="O1181" t="inlineStr">
        <is>
          <t>自动管线检出的合格导管腔。</t>
        </is>
      </c>
      <c r="P1181" t="inlineStr">
        <is>
          <t>auto_pipeline;review_png_green</t>
        </is>
      </c>
      <c r="R1181" t="inlineStr">
        <is>
          <t>样品26</t>
        </is>
      </c>
    </row>
    <row r="1182">
      <c r="A1182" t="inlineStr">
        <is>
          <t>26(6)-V02</t>
        </is>
      </c>
      <c r="B1182" t="inlineStr">
        <is>
          <t>26 (6).tif</t>
        </is>
      </c>
      <c r="C1182" t="n">
        <v>553</v>
      </c>
      <c r="D1182" t="n">
        <v>375</v>
      </c>
      <c r="E1182" t="inlineStr">
        <is>
          <t>506,324,601,427</t>
        </is>
      </c>
      <c r="F1182" t="n">
        <v>324</v>
      </c>
      <c r="G1182" t="inlineStr">
        <is>
          <t>primary</t>
        </is>
      </c>
      <c r="H1182" t="inlineStr">
        <is>
          <t>AUTO_VESSEL</t>
        </is>
      </c>
      <c r="I1182" t="inlineStr">
        <is>
          <t>是</t>
        </is>
      </c>
      <c r="J1182" t="inlineStr">
        <is>
          <t>纳入</t>
        </is>
      </c>
      <c r="K1182" t="n">
        <v>355.2457466918714</v>
      </c>
      <c r="L1182">
        <f>导管母表_1781!G1182</f>
        <v/>
      </c>
      <c r="M1182" t="inlineStr">
        <is>
          <t>视野内部</t>
        </is>
      </c>
      <c r="N1182" t="inlineStr">
        <is>
          <t>纳入A/D/Dh；若有Pair_ID则纳入CWR</t>
        </is>
      </c>
      <c r="O1182" t="inlineStr">
        <is>
          <t>自动管线检出的合格导管腔。</t>
        </is>
      </c>
      <c r="P1182" t="inlineStr">
        <is>
          <t>auto_pipeline;review_png_green</t>
        </is>
      </c>
      <c r="Q1182" t="inlineStr">
        <is>
          <t>26(6)-P01</t>
        </is>
      </c>
      <c r="R1182" t="inlineStr">
        <is>
          <t>样品26</t>
        </is>
      </c>
    </row>
    <row r="1183">
      <c r="A1183" t="inlineStr">
        <is>
          <t>26(6)-V03</t>
        </is>
      </c>
      <c r="B1183" t="inlineStr">
        <is>
          <t>26 (6).tif</t>
        </is>
      </c>
      <c r="C1183" t="n">
        <v>117</v>
      </c>
      <c r="D1183" t="n">
        <v>72</v>
      </c>
      <c r="E1183" t="inlineStr">
        <is>
          <t>56,40,179,105</t>
        </is>
      </c>
      <c r="F1183" t="n">
        <v>40</v>
      </c>
      <c r="G1183" t="inlineStr">
        <is>
          <t>primary</t>
        </is>
      </c>
      <c r="H1183" t="inlineStr">
        <is>
          <t>AUTO_VESSEL</t>
        </is>
      </c>
      <c r="I1183" t="inlineStr">
        <is>
          <t>是</t>
        </is>
      </c>
      <c r="J1183" t="inlineStr">
        <is>
          <t>纳入</t>
        </is>
      </c>
      <c r="K1183" t="n">
        <v>289.4848771266541</v>
      </c>
      <c r="L1183">
        <f>导管母表_1781!G1183</f>
        <v/>
      </c>
      <c r="M1183" t="inlineStr">
        <is>
          <t>视野内部</t>
        </is>
      </c>
      <c r="N1183" t="inlineStr">
        <is>
          <t>纳入A/D/Dh；若有Pair_ID则纳入CWR</t>
        </is>
      </c>
      <c r="O1183" t="inlineStr">
        <is>
          <t>自动管线检出的合格导管腔。</t>
        </is>
      </c>
      <c r="P1183" t="inlineStr">
        <is>
          <t>auto_pipeline;review_png_green</t>
        </is>
      </c>
      <c r="R1183" t="inlineStr">
        <is>
          <t>样品26</t>
        </is>
      </c>
    </row>
    <row r="1184">
      <c r="A1184" t="inlineStr">
        <is>
          <t>26(6)-V04</t>
        </is>
      </c>
      <c r="B1184" t="inlineStr">
        <is>
          <t>26 (6).tif</t>
        </is>
      </c>
      <c r="C1184" t="n">
        <v>205</v>
      </c>
      <c r="D1184" t="n">
        <v>263</v>
      </c>
      <c r="E1184" t="inlineStr">
        <is>
          <t>159,221,252,306</t>
        </is>
      </c>
      <c r="F1184" t="n">
        <v>159</v>
      </c>
      <c r="G1184" t="inlineStr">
        <is>
          <t>primary</t>
        </is>
      </c>
      <c r="H1184" t="inlineStr">
        <is>
          <t>AUTO_VESSEL</t>
        </is>
      </c>
      <c r="I1184" t="inlineStr">
        <is>
          <t>是</t>
        </is>
      </c>
      <c r="J1184" t="inlineStr">
        <is>
          <t>纳入</t>
        </is>
      </c>
      <c r="K1184" t="n">
        <v>286.507561436673</v>
      </c>
      <c r="L1184">
        <f>导管母表_1781!G1184</f>
        <v/>
      </c>
      <c r="M1184" t="inlineStr">
        <is>
          <t>视野内部</t>
        </is>
      </c>
      <c r="N1184" t="inlineStr">
        <is>
          <t>纳入A/D/Dh；若有Pair_ID则纳入CWR</t>
        </is>
      </c>
      <c r="O1184" t="inlineStr">
        <is>
          <t>自动管线检出的合格导管腔。</t>
        </is>
      </c>
      <c r="P1184" t="inlineStr">
        <is>
          <t>auto_pipeline;review_png_green</t>
        </is>
      </c>
      <c r="R1184" t="inlineStr">
        <is>
          <t>样品26</t>
        </is>
      </c>
    </row>
    <row r="1185">
      <c r="A1185" t="inlineStr">
        <is>
          <t>26(6)-V05</t>
        </is>
      </c>
      <c r="B1185" t="inlineStr">
        <is>
          <t>26 (6).tif</t>
        </is>
      </c>
      <c r="C1185" t="n">
        <v>537</v>
      </c>
      <c r="D1185" t="n">
        <v>78</v>
      </c>
      <c r="E1185" t="inlineStr">
        <is>
          <t>499,26,576,131</t>
        </is>
      </c>
      <c r="F1185" t="n">
        <v>26</v>
      </c>
      <c r="G1185" t="inlineStr">
        <is>
          <t>primary</t>
        </is>
      </c>
      <c r="H1185" t="inlineStr">
        <is>
          <t>AUTO_VESSEL</t>
        </is>
      </c>
      <c r="I1185" t="inlineStr">
        <is>
          <t>是</t>
        </is>
      </c>
      <c r="J1185" t="inlineStr">
        <is>
          <t>纳入</t>
        </is>
      </c>
      <c r="K1185" t="n">
        <v>266.4224952741021</v>
      </c>
      <c r="L1185">
        <f>导管母表_1781!G1185</f>
        <v/>
      </c>
      <c r="M1185" t="inlineStr">
        <is>
          <t>视野内部</t>
        </is>
      </c>
      <c r="N1185" t="inlineStr">
        <is>
          <t>纳入A/D/Dh；若有Pair_ID则纳入CWR</t>
        </is>
      </c>
      <c r="O1185" t="inlineStr">
        <is>
          <t>自动管线检出的合格导管腔。</t>
        </is>
      </c>
      <c r="P1185" t="inlineStr">
        <is>
          <t>auto_pipeline;review_png_green</t>
        </is>
      </c>
      <c r="R1185" t="inlineStr">
        <is>
          <t>样品26</t>
        </is>
      </c>
    </row>
    <row r="1186">
      <c r="A1186" t="inlineStr">
        <is>
          <t>26(6)-V06</t>
        </is>
      </c>
      <c r="B1186" t="inlineStr">
        <is>
          <t>26 (6).tif</t>
        </is>
      </c>
      <c r="C1186" t="n">
        <v>464</v>
      </c>
      <c r="D1186" t="n">
        <v>351</v>
      </c>
      <c r="E1186" t="inlineStr">
        <is>
          <t>425,309,504,394</t>
        </is>
      </c>
      <c r="F1186" t="n">
        <v>309</v>
      </c>
      <c r="G1186" t="inlineStr">
        <is>
          <t>primary</t>
        </is>
      </c>
      <c r="H1186" t="inlineStr">
        <is>
          <t>AUTO_VESSEL</t>
        </is>
      </c>
      <c r="I1186" t="inlineStr">
        <is>
          <t>是</t>
        </is>
      </c>
      <c r="J1186" t="inlineStr">
        <is>
          <t>纳入</t>
        </is>
      </c>
      <c r="K1186" t="n">
        <v>241.8005671077505</v>
      </c>
      <c r="L1186">
        <f>导管母表_1781!G1186</f>
        <v/>
      </c>
      <c r="M1186" t="inlineStr">
        <is>
          <t>视野内部</t>
        </is>
      </c>
      <c r="N1186" t="inlineStr">
        <is>
          <t>纳入A/D/Dh；若有Pair_ID则纳入CWR</t>
        </is>
      </c>
      <c r="O1186" t="inlineStr">
        <is>
          <t>自动管线检出的合格导管腔。</t>
        </is>
      </c>
      <c r="P1186" t="inlineStr">
        <is>
          <t>auto_pipeline;review_png_green</t>
        </is>
      </c>
      <c r="Q1186" t="inlineStr">
        <is>
          <t>26(6)-P01</t>
        </is>
      </c>
      <c r="R1186" t="inlineStr">
        <is>
          <t>样品26</t>
        </is>
      </c>
    </row>
    <row r="1187">
      <c r="A1187" t="inlineStr">
        <is>
          <t>26(6)-V07</t>
        </is>
      </c>
      <c r="B1187" t="inlineStr">
        <is>
          <t>26 (6).tif</t>
        </is>
      </c>
      <c r="C1187" t="n">
        <v>787</v>
      </c>
      <c r="D1187" t="n">
        <v>235</v>
      </c>
      <c r="E1187" t="inlineStr">
        <is>
          <t>754,197,821,274</t>
        </is>
      </c>
      <c r="F1187" t="n">
        <v>197</v>
      </c>
      <c r="G1187" t="inlineStr">
        <is>
          <t>primary</t>
        </is>
      </c>
      <c r="H1187" t="inlineStr">
        <is>
          <t>AUTO_VESSEL</t>
        </is>
      </c>
      <c r="I1187" t="inlineStr">
        <is>
          <t>是</t>
        </is>
      </c>
      <c r="J1187" t="inlineStr">
        <is>
          <t>纳入</t>
        </is>
      </c>
      <c r="K1187" t="n">
        <v>165.7844990548204</v>
      </c>
      <c r="L1187">
        <f>导管母表_1781!G1187</f>
        <v/>
      </c>
      <c r="M1187" t="inlineStr">
        <is>
          <t>视野内部</t>
        </is>
      </c>
      <c r="N1187" t="inlineStr">
        <is>
          <t>纳入A/D/Dh；若有Pair_ID则纳入CWR</t>
        </is>
      </c>
      <c r="O1187" t="inlineStr">
        <is>
          <t>自动管线检出的合格导管腔。</t>
        </is>
      </c>
      <c r="P1187" t="inlineStr">
        <is>
          <t>auto_pipeline;review_png_green</t>
        </is>
      </c>
      <c r="R1187" t="inlineStr">
        <is>
          <t>样品26</t>
        </is>
      </c>
    </row>
    <row r="1188">
      <c r="A1188" t="inlineStr">
        <is>
          <t>26(6)-V08</t>
        </is>
      </c>
      <c r="B1188" t="inlineStr">
        <is>
          <t>26 (6).tif</t>
        </is>
      </c>
      <c r="C1188" t="n">
        <v>695</v>
      </c>
      <c r="D1188" t="n">
        <v>466</v>
      </c>
      <c r="E1188" t="inlineStr">
        <is>
          <t>662,434,729,499</t>
        </is>
      </c>
      <c r="F1188" t="n">
        <v>269</v>
      </c>
      <c r="G1188" t="inlineStr">
        <is>
          <t>primary</t>
        </is>
      </c>
      <c r="H1188" t="inlineStr">
        <is>
          <t>AUTO_VESSEL</t>
        </is>
      </c>
      <c r="I1188" t="inlineStr">
        <is>
          <t>是</t>
        </is>
      </c>
      <c r="J1188" t="inlineStr">
        <is>
          <t>纳入</t>
        </is>
      </c>
      <c r="K1188" t="n">
        <v>154.773156899811</v>
      </c>
      <c r="L1188">
        <f>导管母表_1781!G1188</f>
        <v/>
      </c>
      <c r="M1188" t="inlineStr">
        <is>
          <t>视野内部</t>
        </is>
      </c>
      <c r="N1188" t="inlineStr">
        <is>
          <t>纳入A/D/Dh；若有Pair_ID则纳入CWR</t>
        </is>
      </c>
      <c r="O1188" t="inlineStr">
        <is>
          <t>自动管线检出的合格导管腔。</t>
        </is>
      </c>
      <c r="P1188" t="inlineStr">
        <is>
          <t>auto_pipeline;review_png_green</t>
        </is>
      </c>
      <c r="R1188" t="inlineStr">
        <is>
          <t>样品26</t>
        </is>
      </c>
    </row>
    <row r="1189">
      <c r="A1189" t="inlineStr">
        <is>
          <t>26(7)-V01</t>
        </is>
      </c>
      <c r="B1189" t="inlineStr">
        <is>
          <t>26 (7).tif</t>
        </is>
      </c>
      <c r="C1189" t="n">
        <v>433</v>
      </c>
      <c r="D1189" t="n">
        <v>115</v>
      </c>
      <c r="E1189" t="inlineStr">
        <is>
          <t>387,33,480,198</t>
        </is>
      </c>
      <c r="F1189" t="n">
        <v>33</v>
      </c>
      <c r="G1189" t="inlineStr">
        <is>
          <t>primary</t>
        </is>
      </c>
      <c r="H1189" t="inlineStr">
        <is>
          <t>AUTO_VESSEL</t>
        </is>
      </c>
      <c r="I1189" t="inlineStr">
        <is>
          <t>是</t>
        </is>
      </c>
      <c r="J1189" t="inlineStr">
        <is>
          <t>纳入</t>
        </is>
      </c>
      <c r="K1189" t="n">
        <v>452.6228733459357</v>
      </c>
      <c r="L1189">
        <f>导管母表_1781!G1189</f>
        <v/>
      </c>
      <c r="M1189" t="inlineStr">
        <is>
          <t>视野内部</t>
        </is>
      </c>
      <c r="N1189" t="inlineStr">
        <is>
          <t>纳入A/D/Dh；若有Pair_ID则纳入CWR</t>
        </is>
      </c>
      <c r="O1189" t="inlineStr">
        <is>
          <t>自动管线检出的合格导管腔。</t>
        </is>
      </c>
      <c r="P1189" t="inlineStr">
        <is>
          <t>auto_pipeline;review_png_green</t>
        </is>
      </c>
      <c r="R1189" t="inlineStr">
        <is>
          <t>样品26</t>
        </is>
      </c>
    </row>
    <row r="1190">
      <c r="A1190" t="inlineStr">
        <is>
          <t>26(7)-V02</t>
        </is>
      </c>
      <c r="B1190" t="inlineStr">
        <is>
          <t>26 (7).tif</t>
        </is>
      </c>
      <c r="C1190" t="n">
        <v>500</v>
      </c>
      <c r="D1190" t="n">
        <v>440</v>
      </c>
      <c r="E1190" t="inlineStr">
        <is>
          <t>449,392,552,489</t>
        </is>
      </c>
      <c r="F1190" t="n">
        <v>279</v>
      </c>
      <c r="G1190" t="inlineStr">
        <is>
          <t>primary</t>
        </is>
      </c>
      <c r="H1190" t="inlineStr">
        <is>
          <t>AUTO_VESSEL</t>
        </is>
      </c>
      <c r="I1190" t="inlineStr">
        <is>
          <t>是</t>
        </is>
      </c>
      <c r="J1190" t="inlineStr">
        <is>
          <t>纳入</t>
        </is>
      </c>
      <c r="K1190" t="n">
        <v>363.5869565217391</v>
      </c>
      <c r="L1190">
        <f>导管母表_1781!G1190</f>
        <v/>
      </c>
      <c r="M1190" t="inlineStr">
        <is>
          <t>视野内部</t>
        </is>
      </c>
      <c r="N1190" t="inlineStr">
        <is>
          <t>纳入A/D/Dh；若有Pair_ID则纳入CWR</t>
        </is>
      </c>
      <c r="O1190" t="inlineStr">
        <is>
          <t>自动管线检出的合格导管腔。</t>
        </is>
      </c>
      <c r="P1190" t="inlineStr">
        <is>
          <t>auto_pipeline;review_png_green</t>
        </is>
      </c>
      <c r="R1190" t="inlineStr">
        <is>
          <t>样品26</t>
        </is>
      </c>
    </row>
    <row r="1191">
      <c r="A1191" t="inlineStr">
        <is>
          <t>26(7)-V03</t>
        </is>
      </c>
      <c r="B1191" t="inlineStr">
        <is>
          <t>26 (7).tif</t>
        </is>
      </c>
      <c r="C1191" t="n">
        <v>902</v>
      </c>
      <c r="D1191" t="n">
        <v>100</v>
      </c>
      <c r="E1191" t="inlineStr">
        <is>
          <t>859,43,946,158</t>
        </is>
      </c>
      <c r="F1191" t="n">
        <v>43</v>
      </c>
      <c r="G1191" t="inlineStr">
        <is>
          <t>primary</t>
        </is>
      </c>
      <c r="H1191" t="inlineStr">
        <is>
          <t>AUTO_VESSEL</t>
        </is>
      </c>
      <c r="I1191" t="inlineStr">
        <is>
          <t>是</t>
        </is>
      </c>
      <c r="J1191" t="inlineStr">
        <is>
          <t>纳入</t>
        </is>
      </c>
      <c r="K1191" t="n">
        <v>360.8931947069943</v>
      </c>
      <c r="L1191">
        <f>导管母表_1781!G1191</f>
        <v/>
      </c>
      <c r="M1191" t="inlineStr">
        <is>
          <t>视野内部</t>
        </is>
      </c>
      <c r="N1191" t="inlineStr">
        <is>
          <t>纳入A/D/Dh；若有Pair_ID则纳入CWR</t>
        </is>
      </c>
      <c r="O1191" t="inlineStr">
        <is>
          <t>自动管线检出的合格导管腔。</t>
        </is>
      </c>
      <c r="P1191" t="inlineStr">
        <is>
          <t>auto_pipeline;review_png_green</t>
        </is>
      </c>
      <c r="R1191" t="inlineStr">
        <is>
          <t>样品26</t>
        </is>
      </c>
    </row>
    <row r="1192">
      <c r="A1192" t="inlineStr">
        <is>
          <t>26(7)-V04</t>
        </is>
      </c>
      <c r="B1192" t="inlineStr">
        <is>
          <t>26 (7).tif</t>
        </is>
      </c>
      <c r="C1192" t="n">
        <v>669</v>
      </c>
      <c r="D1192" t="n">
        <v>105</v>
      </c>
      <c r="E1192" t="inlineStr">
        <is>
          <t>625,45,714,166</t>
        </is>
      </c>
      <c r="F1192" t="n">
        <v>45</v>
      </c>
      <c r="G1192" t="inlineStr">
        <is>
          <t>primary</t>
        </is>
      </c>
      <c r="H1192" t="inlineStr">
        <is>
          <t>AUTO_VESSEL</t>
        </is>
      </c>
      <c r="I1192" t="inlineStr">
        <is>
          <t>是</t>
        </is>
      </c>
      <c r="J1192" t="inlineStr">
        <is>
          <t>纳入</t>
        </is>
      </c>
      <c r="K1192" t="n">
        <v>259.7353497164461</v>
      </c>
      <c r="L1192">
        <f>导管母表_1781!G1192</f>
        <v/>
      </c>
      <c r="M1192" t="inlineStr">
        <is>
          <t>视野内部</t>
        </is>
      </c>
      <c r="N1192" t="inlineStr">
        <is>
          <t>纳入A/D/Dh；若有Pair_ID则纳入CWR</t>
        </is>
      </c>
      <c r="O1192" t="inlineStr">
        <is>
          <t>自动管线检出的合格导管腔。</t>
        </is>
      </c>
      <c r="P1192" t="inlineStr">
        <is>
          <t>auto_pipeline;review_png_green</t>
        </is>
      </c>
      <c r="R1192" t="inlineStr">
        <is>
          <t>样品26</t>
        </is>
      </c>
    </row>
    <row r="1193">
      <c r="A1193" t="inlineStr">
        <is>
          <t>26(7)-V05</t>
        </is>
      </c>
      <c r="B1193" t="inlineStr">
        <is>
          <t>26 (7).tif</t>
        </is>
      </c>
      <c r="C1193" t="n">
        <v>87</v>
      </c>
      <c r="D1193" t="n">
        <v>595</v>
      </c>
      <c r="E1193" t="inlineStr">
        <is>
          <t>49,557,126,634</t>
        </is>
      </c>
      <c r="F1193" t="n">
        <v>49</v>
      </c>
      <c r="G1193" t="inlineStr">
        <is>
          <t>primary</t>
        </is>
      </c>
      <c r="H1193" t="inlineStr">
        <is>
          <t>AUTO_VESSEL</t>
        </is>
      </c>
      <c r="I1193" t="inlineStr">
        <is>
          <t>是</t>
        </is>
      </c>
      <c r="J1193" t="inlineStr">
        <is>
          <t>纳入</t>
        </is>
      </c>
      <c r="K1193" t="n">
        <v>163.7759924385633</v>
      </c>
      <c r="L1193">
        <f>导管母表_1781!G1193</f>
        <v/>
      </c>
      <c r="M1193" t="inlineStr">
        <is>
          <t>视野内部</t>
        </is>
      </c>
      <c r="N1193" t="inlineStr">
        <is>
          <t>纳入A/D/Dh；若有Pair_ID则纳入CWR</t>
        </is>
      </c>
      <c r="O1193" t="inlineStr">
        <is>
          <t>自动管线检出的合格导管腔。</t>
        </is>
      </c>
      <c r="P1193" t="inlineStr">
        <is>
          <t>auto_pipeline;review_png_green</t>
        </is>
      </c>
      <c r="R1193" t="inlineStr">
        <is>
          <t>样品26</t>
        </is>
      </c>
    </row>
    <row r="1194">
      <c r="A1194" t="inlineStr">
        <is>
          <t>26(7)-V06</t>
        </is>
      </c>
      <c r="B1194" t="inlineStr">
        <is>
          <t>26 (7).tif</t>
        </is>
      </c>
      <c r="C1194" t="n">
        <v>878</v>
      </c>
      <c r="D1194" t="n">
        <v>438</v>
      </c>
      <c r="E1194" t="inlineStr">
        <is>
          <t>848,405,909,472</t>
        </is>
      </c>
      <c r="F1194" t="n">
        <v>115</v>
      </c>
      <c r="G1194" t="inlineStr">
        <is>
          <t>primary</t>
        </is>
      </c>
      <c r="H1194" t="inlineStr">
        <is>
          <t>AUTO_VESSEL</t>
        </is>
      </c>
      <c r="I1194" t="inlineStr">
        <is>
          <t>是</t>
        </is>
      </c>
      <c r="J1194" t="inlineStr">
        <is>
          <t>纳入</t>
        </is>
      </c>
      <c r="K1194" t="n">
        <v>137.7599243856333</v>
      </c>
      <c r="L1194">
        <f>导管母表_1781!G1194</f>
        <v/>
      </c>
      <c r="M1194" t="inlineStr">
        <is>
          <t>视野内部</t>
        </is>
      </c>
      <c r="N1194" t="inlineStr">
        <is>
          <t>纳入A/D/Dh；若有Pair_ID则纳入CWR</t>
        </is>
      </c>
      <c r="O1194" t="inlineStr">
        <is>
          <t>自动管线检出的合格导管腔。</t>
        </is>
      </c>
      <c r="P1194" t="inlineStr">
        <is>
          <t>auto_pipeline;review_png_green</t>
        </is>
      </c>
      <c r="R1194" t="inlineStr">
        <is>
          <t>样品26</t>
        </is>
      </c>
    </row>
    <row r="1195">
      <c r="A1195" t="inlineStr">
        <is>
          <t>26(8)-V01</t>
        </is>
      </c>
      <c r="B1195" t="inlineStr">
        <is>
          <t>26 (8).tif</t>
        </is>
      </c>
      <c r="C1195" t="n">
        <v>64</v>
      </c>
      <c r="D1195" t="n">
        <v>129</v>
      </c>
      <c r="E1195" t="inlineStr">
        <is>
          <t>24,67,105,192</t>
        </is>
      </c>
      <c r="F1195" t="n">
        <v>24</v>
      </c>
      <c r="G1195" t="inlineStr">
        <is>
          <t>primary</t>
        </is>
      </c>
      <c r="H1195" t="inlineStr">
        <is>
          <t>AUTO_VESSEL</t>
        </is>
      </c>
      <c r="I1195" t="inlineStr">
        <is>
          <t>是</t>
        </is>
      </c>
      <c r="J1195" t="inlineStr">
        <is>
          <t>纳入</t>
        </is>
      </c>
      <c r="K1195" t="n">
        <v>308.8846880907373</v>
      </c>
      <c r="L1195">
        <f>导管母表_1781!G1195</f>
        <v/>
      </c>
      <c r="M1195" t="inlineStr">
        <is>
          <t>近边缘（&lt;25 px）</t>
        </is>
      </c>
      <c r="N1195" t="inlineStr">
        <is>
          <t>纳入A/D/Dh；若有Pair_ID则纳入CWR</t>
        </is>
      </c>
      <c r="O1195" t="inlineStr">
        <is>
          <t>自动管线检出的合格导管腔。</t>
        </is>
      </c>
      <c r="P1195" t="inlineStr">
        <is>
          <t>auto_pipeline;review_png_green</t>
        </is>
      </c>
      <c r="R1195" t="inlineStr">
        <is>
          <t>样品26</t>
        </is>
      </c>
    </row>
    <row r="1196">
      <c r="A1196" t="inlineStr">
        <is>
          <t>26(8)-V02</t>
        </is>
      </c>
      <c r="B1196" t="inlineStr">
        <is>
          <t>26 (8).tif</t>
        </is>
      </c>
      <c r="C1196" t="n">
        <v>866</v>
      </c>
      <c r="D1196" t="n">
        <v>528</v>
      </c>
      <c r="E1196" t="inlineStr">
        <is>
          <t>807,474,926,583</t>
        </is>
      </c>
      <c r="F1196" t="n">
        <v>98</v>
      </c>
      <c r="G1196" t="inlineStr">
        <is>
          <t>primary</t>
        </is>
      </c>
      <c r="H1196" t="inlineStr">
        <is>
          <t>AUTO_VESSEL</t>
        </is>
      </c>
      <c r="I1196" t="inlineStr">
        <is>
          <t>是</t>
        </is>
      </c>
      <c r="J1196" t="inlineStr">
        <is>
          <t>纳入</t>
        </is>
      </c>
      <c r="K1196" t="n">
        <v>208.648393194707</v>
      </c>
      <c r="L1196">
        <f>导管母表_1781!G1196</f>
        <v/>
      </c>
      <c r="M1196" t="inlineStr">
        <is>
          <t>视野内部</t>
        </is>
      </c>
      <c r="N1196" t="inlineStr">
        <is>
          <t>纳入A/D/Dh；若有Pair_ID则纳入CWR</t>
        </is>
      </c>
      <c r="O1196" t="inlineStr">
        <is>
          <t>自动管线检出的合格导管腔。</t>
        </is>
      </c>
      <c r="P1196" t="inlineStr">
        <is>
          <t>auto_pipeline;review_png_green</t>
        </is>
      </c>
      <c r="R1196" t="inlineStr">
        <is>
          <t>样品26</t>
        </is>
      </c>
    </row>
    <row r="1197">
      <c r="A1197" t="inlineStr">
        <is>
          <t>26(8)-V03</t>
        </is>
      </c>
      <c r="B1197" t="inlineStr">
        <is>
          <t>26 (8).tif</t>
        </is>
      </c>
      <c r="C1197" t="n">
        <v>755</v>
      </c>
      <c r="D1197" t="n">
        <v>275</v>
      </c>
      <c r="E1197" t="inlineStr">
        <is>
          <t>726,224,785,327</t>
        </is>
      </c>
      <c r="F1197" t="n">
        <v>224</v>
      </c>
      <c r="G1197" t="inlineStr">
        <is>
          <t>primary</t>
        </is>
      </c>
      <c r="H1197" t="inlineStr">
        <is>
          <t>AUTO_VESSEL</t>
        </is>
      </c>
      <c r="I1197" t="inlineStr">
        <is>
          <t>是</t>
        </is>
      </c>
      <c r="J1197" t="inlineStr">
        <is>
          <t>纳入</t>
        </is>
      </c>
      <c r="K1197" t="n">
        <v>149.9291115311909</v>
      </c>
      <c r="L1197">
        <f>导管母表_1781!G1197</f>
        <v/>
      </c>
      <c r="M1197" t="inlineStr">
        <is>
          <t>视野内部</t>
        </is>
      </c>
      <c r="N1197" t="inlineStr">
        <is>
          <t>纳入A/D/Dh；若有Pair_ID则纳入CWR</t>
        </is>
      </c>
      <c r="O1197" t="inlineStr">
        <is>
          <t>自动管线检出的合格导管腔。</t>
        </is>
      </c>
      <c r="P1197" t="inlineStr">
        <is>
          <t>auto_pipeline;review_png_green</t>
        </is>
      </c>
      <c r="R1197" t="inlineStr">
        <is>
          <t>样品26</t>
        </is>
      </c>
    </row>
    <row r="1198">
      <c r="A1198" t="inlineStr">
        <is>
          <t>26(8)-V04</t>
        </is>
      </c>
      <c r="B1198" t="inlineStr">
        <is>
          <t>26 (8).tif</t>
        </is>
      </c>
      <c r="C1198" t="n">
        <v>256</v>
      </c>
      <c r="D1198" t="n">
        <v>318</v>
      </c>
      <c r="E1198" t="inlineStr">
        <is>
          <t>227,285,286,352</t>
        </is>
      </c>
      <c r="F1198" t="n">
        <v>227</v>
      </c>
      <c r="G1198" t="inlineStr">
        <is>
          <t>primary</t>
        </is>
      </c>
      <c r="H1198" t="inlineStr">
        <is>
          <t>AUTO_VESSEL</t>
        </is>
      </c>
      <c r="I1198" t="inlineStr">
        <is>
          <t>是</t>
        </is>
      </c>
      <c r="J1198" t="inlineStr">
        <is>
          <t>纳入</t>
        </is>
      </c>
      <c r="K1198" t="n">
        <v>124.1729678638941</v>
      </c>
      <c r="L1198">
        <f>导管母表_1781!G1198</f>
        <v/>
      </c>
      <c r="M1198" t="inlineStr">
        <is>
          <t>视野内部</t>
        </is>
      </c>
      <c r="N1198" t="inlineStr">
        <is>
          <t>纳入A/D/Dh；若有Pair_ID则纳入CWR</t>
        </is>
      </c>
      <c r="O1198" t="inlineStr">
        <is>
          <t>自动管线检出的合格导管腔。</t>
        </is>
      </c>
      <c r="P1198" t="inlineStr">
        <is>
          <t>auto_pipeline;review_png_green</t>
        </is>
      </c>
      <c r="R1198" t="inlineStr">
        <is>
          <t>样品26</t>
        </is>
      </c>
    </row>
    <row r="1199">
      <c r="A1199" t="inlineStr">
        <is>
          <t>27(1)-V01</t>
        </is>
      </c>
      <c r="B1199" t="inlineStr">
        <is>
          <t>27 (1).tif</t>
        </is>
      </c>
      <c r="C1199" t="n">
        <v>573</v>
      </c>
      <c r="D1199" t="n">
        <v>386</v>
      </c>
      <c r="E1199" t="inlineStr">
        <is>
          <t>500,301,647,472</t>
        </is>
      </c>
      <c r="F1199" t="n">
        <v>296</v>
      </c>
      <c r="G1199" t="inlineStr">
        <is>
          <t>primary</t>
        </is>
      </c>
      <c r="H1199" t="inlineStr">
        <is>
          <t>AUTO_VESSEL</t>
        </is>
      </c>
      <c r="I1199" t="inlineStr">
        <is>
          <t>是</t>
        </is>
      </c>
      <c r="J1199" t="inlineStr">
        <is>
          <t>纳入</t>
        </is>
      </c>
      <c r="K1199" t="n">
        <v>913.4688090737241</v>
      </c>
      <c r="L1199">
        <f>导管母表_1781!G1199</f>
        <v/>
      </c>
      <c r="M1199" t="inlineStr">
        <is>
          <t>视野内部</t>
        </is>
      </c>
      <c r="N1199" t="inlineStr">
        <is>
          <t>纳入A/D/Dh；若有Pair_ID则纳入CWR</t>
        </is>
      </c>
      <c r="O1199" t="inlineStr">
        <is>
          <t>自动管线检出的合格导管腔。</t>
        </is>
      </c>
      <c r="P1199" t="inlineStr">
        <is>
          <t>auto_pipeline;review_png_green</t>
        </is>
      </c>
      <c r="R1199" t="inlineStr">
        <is>
          <t>样品27</t>
        </is>
      </c>
    </row>
    <row r="1200">
      <c r="A1200" t="inlineStr">
        <is>
          <t>27(1)-V02</t>
        </is>
      </c>
      <c r="B1200" t="inlineStr">
        <is>
          <t>27 (1).tif</t>
        </is>
      </c>
      <c r="C1200" t="n">
        <v>150</v>
      </c>
      <c r="D1200" t="n">
        <v>288</v>
      </c>
      <c r="E1200" t="inlineStr">
        <is>
          <t>90,233,211,344</t>
        </is>
      </c>
      <c r="F1200" t="n">
        <v>90</v>
      </c>
      <c r="G1200" t="inlineStr">
        <is>
          <t>primary</t>
        </is>
      </c>
      <c r="H1200" t="inlineStr">
        <is>
          <t>AUTO_VESSEL</t>
        </is>
      </c>
      <c r="I1200" t="inlineStr">
        <is>
          <t>是</t>
        </is>
      </c>
      <c r="J1200" t="inlineStr">
        <is>
          <t>纳入</t>
        </is>
      </c>
      <c r="K1200" t="n">
        <v>489.3667296786389</v>
      </c>
      <c r="L1200">
        <f>导管母表_1781!G1200</f>
        <v/>
      </c>
      <c r="M1200" t="inlineStr">
        <is>
          <t>视野内部</t>
        </is>
      </c>
      <c r="N1200" t="inlineStr">
        <is>
          <t>纳入A/D/Dh；若有Pair_ID则纳入CWR</t>
        </is>
      </c>
      <c r="O1200" t="inlineStr">
        <is>
          <t>自动管线检出的合格导管腔。</t>
        </is>
      </c>
      <c r="P1200" t="inlineStr">
        <is>
          <t>auto_pipeline;review_png_green</t>
        </is>
      </c>
      <c r="R1200" t="inlineStr">
        <is>
          <t>样品27</t>
        </is>
      </c>
    </row>
    <row r="1201">
      <c r="A1201" t="inlineStr">
        <is>
          <t>27(1)-V03</t>
        </is>
      </c>
      <c r="B1201" t="inlineStr">
        <is>
          <t>27 (1).tif</t>
        </is>
      </c>
      <c r="C1201" t="n">
        <v>208</v>
      </c>
      <c r="D1201" t="n">
        <v>419</v>
      </c>
      <c r="E1201" t="inlineStr">
        <is>
          <t>154,367,263,472</t>
        </is>
      </c>
      <c r="F1201" t="n">
        <v>154</v>
      </c>
      <c r="G1201" t="inlineStr">
        <is>
          <t>primary</t>
        </is>
      </c>
      <c r="H1201" t="inlineStr">
        <is>
          <t>AUTO_VESSEL</t>
        </is>
      </c>
      <c r="I1201" t="inlineStr">
        <is>
          <t>是</t>
        </is>
      </c>
      <c r="J1201" t="inlineStr">
        <is>
          <t>纳入</t>
        </is>
      </c>
      <c r="K1201" t="n">
        <v>416.8005671077505</v>
      </c>
      <c r="L1201">
        <f>导管母表_1781!G1201</f>
        <v/>
      </c>
      <c r="M1201" t="inlineStr">
        <is>
          <t>视野内部</t>
        </is>
      </c>
      <c r="N1201" t="inlineStr">
        <is>
          <t>纳入A/D/Dh；若有Pair_ID则纳入CWR</t>
        </is>
      </c>
      <c r="O1201" t="inlineStr">
        <is>
          <t>自动管线检出的合格导管腔。</t>
        </is>
      </c>
      <c r="P1201" t="inlineStr">
        <is>
          <t>auto_pipeline;review_png_green</t>
        </is>
      </c>
      <c r="R1201" t="inlineStr">
        <is>
          <t>样品27</t>
        </is>
      </c>
    </row>
    <row r="1202">
      <c r="A1202" t="inlineStr">
        <is>
          <t>27(1)-V04</t>
        </is>
      </c>
      <c r="B1202" t="inlineStr">
        <is>
          <t>27 (1).tif</t>
        </is>
      </c>
      <c r="C1202" t="n">
        <v>653</v>
      </c>
      <c r="D1202" t="n">
        <v>552</v>
      </c>
      <c r="E1202" t="inlineStr">
        <is>
          <t>611,501,696,604</t>
        </is>
      </c>
      <c r="F1202" t="n">
        <v>164</v>
      </c>
      <c r="G1202" t="inlineStr">
        <is>
          <t>primary</t>
        </is>
      </c>
      <c r="H1202" t="inlineStr">
        <is>
          <t>AUTO_VESSEL</t>
        </is>
      </c>
      <c r="I1202" t="inlineStr">
        <is>
          <t>是</t>
        </is>
      </c>
      <c r="J1202" t="inlineStr">
        <is>
          <t>纳入</t>
        </is>
      </c>
      <c r="K1202" t="n">
        <v>314.6739130434783</v>
      </c>
      <c r="L1202">
        <f>导管母表_1781!G1202</f>
        <v/>
      </c>
      <c r="M1202" t="inlineStr">
        <is>
          <t>视野内部</t>
        </is>
      </c>
      <c r="N1202" t="inlineStr">
        <is>
          <t>纳入A/D/Dh；若有Pair_ID则纳入CWR</t>
        </is>
      </c>
      <c r="O1202" t="inlineStr">
        <is>
          <t>自动管线检出的合格导管腔。</t>
        </is>
      </c>
      <c r="P1202" t="inlineStr">
        <is>
          <t>auto_pipeline;review_png_green</t>
        </is>
      </c>
      <c r="R1202" t="inlineStr">
        <is>
          <t>样品27</t>
        </is>
      </c>
    </row>
    <row r="1203">
      <c r="A1203" t="inlineStr">
        <is>
          <t>27(1)-V05</t>
        </is>
      </c>
      <c r="B1203" t="inlineStr">
        <is>
          <t>27 (1).tif</t>
        </is>
      </c>
      <c r="C1203" t="n">
        <v>324</v>
      </c>
      <c r="D1203" t="n">
        <v>171</v>
      </c>
      <c r="E1203" t="inlineStr">
        <is>
          <t>280,133,369,210</t>
        </is>
      </c>
      <c r="F1203" t="n">
        <v>133</v>
      </c>
      <c r="G1203" t="inlineStr">
        <is>
          <t>primary</t>
        </is>
      </c>
      <c r="H1203" t="inlineStr">
        <is>
          <t>AUTO_VESSEL</t>
        </is>
      </c>
      <c r="I1203" t="inlineStr">
        <is>
          <t>是</t>
        </is>
      </c>
      <c r="J1203" t="inlineStr">
        <is>
          <t>纳入</t>
        </is>
      </c>
      <c r="K1203" t="n">
        <v>243.6672967863894</v>
      </c>
      <c r="L1203">
        <f>导管母表_1781!G1203</f>
        <v/>
      </c>
      <c r="M1203" t="inlineStr">
        <is>
          <t>视野内部</t>
        </is>
      </c>
      <c r="N1203" t="inlineStr">
        <is>
          <t>纳入A/D/Dh；若有Pair_ID则纳入CWR</t>
        </is>
      </c>
      <c r="O1203" t="inlineStr">
        <is>
          <t>自动管线检出的合格导管腔。</t>
        </is>
      </c>
      <c r="P1203" t="inlineStr">
        <is>
          <t>auto_pipeline;review_png_green</t>
        </is>
      </c>
      <c r="R1203" t="inlineStr">
        <is>
          <t>样品27</t>
        </is>
      </c>
    </row>
    <row r="1204">
      <c r="A1204" t="inlineStr">
        <is>
          <t>27(1)-V06</t>
        </is>
      </c>
      <c r="B1204" t="inlineStr">
        <is>
          <t>27 (1).tif</t>
        </is>
      </c>
      <c r="C1204" t="n">
        <v>834</v>
      </c>
      <c r="D1204" t="n">
        <v>311</v>
      </c>
      <c r="E1204" t="inlineStr">
        <is>
          <t>792,272,877,351</t>
        </is>
      </c>
      <c r="F1204" t="n">
        <v>147</v>
      </c>
      <c r="G1204" t="inlineStr">
        <is>
          <t>primary</t>
        </is>
      </c>
      <c r="H1204" t="inlineStr">
        <is>
          <t>AUTO_VESSEL</t>
        </is>
      </c>
      <c r="I1204" t="inlineStr">
        <is>
          <t>是</t>
        </is>
      </c>
      <c r="J1204" t="inlineStr">
        <is>
          <t>纳入</t>
        </is>
      </c>
      <c r="K1204" t="n">
        <v>218.8090737240076</v>
      </c>
      <c r="L1204">
        <f>导管母表_1781!G1204</f>
        <v/>
      </c>
      <c r="M1204" t="inlineStr">
        <is>
          <t>视野内部</t>
        </is>
      </c>
      <c r="N1204" t="inlineStr">
        <is>
          <t>纳入A/D/Dh；若有Pair_ID则纳入CWR</t>
        </is>
      </c>
      <c r="O1204" t="inlineStr">
        <is>
          <t>自动管线检出的合格导管腔。</t>
        </is>
      </c>
      <c r="P1204" t="inlineStr">
        <is>
          <t>auto_pipeline;review_png_green</t>
        </is>
      </c>
      <c r="R1204" t="inlineStr">
        <is>
          <t>样品27</t>
        </is>
      </c>
    </row>
    <row r="1205">
      <c r="A1205" t="inlineStr">
        <is>
          <t>27(2)-V01</t>
        </is>
      </c>
      <c r="B1205" t="inlineStr">
        <is>
          <t>27 (2).tif</t>
        </is>
      </c>
      <c r="C1205" t="n">
        <v>815</v>
      </c>
      <c r="D1205" t="n">
        <v>263</v>
      </c>
      <c r="E1205" t="inlineStr">
        <is>
          <t>724,185,907,342</t>
        </is>
      </c>
      <c r="F1205" t="n">
        <v>117</v>
      </c>
      <c r="G1205" t="inlineStr">
        <is>
          <t>primary</t>
        </is>
      </c>
      <c r="H1205" t="inlineStr">
        <is>
          <t>AUTO_VESSEL</t>
        </is>
      </c>
      <c r="I1205" t="inlineStr">
        <is>
          <t>是</t>
        </is>
      </c>
      <c r="J1205" t="inlineStr">
        <is>
          <t>纳入</t>
        </is>
      </c>
      <c r="K1205" t="n">
        <v>953.7570888468809</v>
      </c>
      <c r="L1205">
        <f>导管母表_1781!G1205</f>
        <v/>
      </c>
      <c r="M1205" t="inlineStr">
        <is>
          <t>视野内部</t>
        </is>
      </c>
      <c r="N1205" t="inlineStr">
        <is>
          <t>纳入A/D/Dh；若有Pair_ID则纳入CWR</t>
        </is>
      </c>
      <c r="O1205" t="inlineStr">
        <is>
          <t>自动管线检出的合格导管腔。</t>
        </is>
      </c>
      <c r="P1205" t="inlineStr">
        <is>
          <t>auto_pipeline;review_png_green</t>
        </is>
      </c>
      <c r="R1205" t="inlineStr">
        <is>
          <t>样品27</t>
        </is>
      </c>
    </row>
    <row r="1206">
      <c r="A1206" t="inlineStr">
        <is>
          <t>27(2)-V02</t>
        </is>
      </c>
      <c r="B1206" t="inlineStr">
        <is>
          <t>27 (2).tif</t>
        </is>
      </c>
      <c r="C1206" t="n">
        <v>370</v>
      </c>
      <c r="D1206" t="n">
        <v>315</v>
      </c>
      <c r="E1206" t="inlineStr">
        <is>
          <t>288,244,453,387</t>
        </is>
      </c>
      <c r="F1206" t="n">
        <v>244</v>
      </c>
      <c r="G1206" t="inlineStr">
        <is>
          <t>primary</t>
        </is>
      </c>
      <c r="H1206" t="inlineStr">
        <is>
          <t>AUTO_VESSEL</t>
        </is>
      </c>
      <c r="I1206" t="inlineStr">
        <is>
          <t>是</t>
        </is>
      </c>
      <c r="J1206" t="inlineStr">
        <is>
          <t>纳入</t>
        </is>
      </c>
      <c r="K1206" t="n">
        <v>864.8393194706995</v>
      </c>
      <c r="L1206">
        <f>导管母表_1781!G1206</f>
        <v/>
      </c>
      <c r="M1206" t="inlineStr">
        <is>
          <t>视野内部</t>
        </is>
      </c>
      <c r="N1206" t="inlineStr">
        <is>
          <t>纳入A/D/Dh；若有Pair_ID则纳入CWR</t>
        </is>
      </c>
      <c r="O1206" t="inlineStr">
        <is>
          <t>自动管线检出的合格导管腔。</t>
        </is>
      </c>
      <c r="P1206" t="inlineStr">
        <is>
          <t>auto_pipeline;review_png_green</t>
        </is>
      </c>
      <c r="R1206" t="inlineStr">
        <is>
          <t>样品27</t>
        </is>
      </c>
    </row>
    <row r="1207">
      <c r="A1207" t="inlineStr">
        <is>
          <t>27(2)-V03</t>
        </is>
      </c>
      <c r="B1207" t="inlineStr">
        <is>
          <t>27 (2).tif</t>
        </is>
      </c>
      <c r="C1207" t="n">
        <v>558</v>
      </c>
      <c r="D1207" t="n">
        <v>389</v>
      </c>
      <c r="E1207" t="inlineStr">
        <is>
          <t>484,325,633,454</t>
        </is>
      </c>
      <c r="F1207" t="n">
        <v>314</v>
      </c>
      <c r="G1207" t="inlineStr">
        <is>
          <t>primary</t>
        </is>
      </c>
      <c r="H1207" t="inlineStr">
        <is>
          <t>AUTO_VESSEL</t>
        </is>
      </c>
      <c r="I1207" t="inlineStr">
        <is>
          <t>是</t>
        </is>
      </c>
      <c r="J1207" t="inlineStr">
        <is>
          <t>纳入</t>
        </is>
      </c>
      <c r="K1207" t="n">
        <v>702.9536862003781</v>
      </c>
      <c r="L1207">
        <f>导管母表_1781!G1207</f>
        <v/>
      </c>
      <c r="M1207" t="inlineStr">
        <is>
          <t>视野内部</t>
        </is>
      </c>
      <c r="N1207" t="inlineStr">
        <is>
          <t>纳入A/D/Dh；若有Pair_ID则纳入CWR</t>
        </is>
      </c>
      <c r="O1207" t="inlineStr">
        <is>
          <t>自动管线检出的合格导管腔。</t>
        </is>
      </c>
      <c r="P1207" t="inlineStr">
        <is>
          <t>auto_pipeline;review_png_green</t>
        </is>
      </c>
      <c r="R1207" t="inlineStr">
        <is>
          <t>样品27</t>
        </is>
      </c>
    </row>
    <row r="1208">
      <c r="A1208" t="inlineStr">
        <is>
          <t>27(2)-V04</t>
        </is>
      </c>
      <c r="B1208" t="inlineStr">
        <is>
          <t>27 (2).tif</t>
        </is>
      </c>
      <c r="C1208" t="n">
        <v>432</v>
      </c>
      <c r="D1208" t="n">
        <v>585</v>
      </c>
      <c r="E1208" t="inlineStr">
        <is>
          <t>382,544,483,627</t>
        </is>
      </c>
      <c r="F1208" t="n">
        <v>141</v>
      </c>
      <c r="G1208" t="inlineStr">
        <is>
          <t>primary</t>
        </is>
      </c>
      <c r="H1208" t="inlineStr">
        <is>
          <t>AUTO_VESSEL</t>
        </is>
      </c>
      <c r="I1208" t="inlineStr">
        <is>
          <t>是</t>
        </is>
      </c>
      <c r="J1208" t="inlineStr">
        <is>
          <t>纳入</t>
        </is>
      </c>
      <c r="K1208" t="n">
        <v>304.5368620037807</v>
      </c>
      <c r="L1208">
        <f>导管母表_1781!G1208</f>
        <v/>
      </c>
      <c r="M1208" t="inlineStr">
        <is>
          <t>视野内部</t>
        </is>
      </c>
      <c r="N1208" t="inlineStr">
        <is>
          <t>纳入A/D/Dh；若有Pair_ID则纳入CWR</t>
        </is>
      </c>
      <c r="O1208" t="inlineStr">
        <is>
          <t>自动管线检出的合格导管腔。</t>
        </is>
      </c>
      <c r="P1208" t="inlineStr">
        <is>
          <t>auto_pipeline;review_png_green</t>
        </is>
      </c>
      <c r="R1208" t="inlineStr">
        <is>
          <t>样品27</t>
        </is>
      </c>
    </row>
    <row r="1209">
      <c r="A1209" t="inlineStr">
        <is>
          <t>27(2)-V05</t>
        </is>
      </c>
      <c r="B1209" t="inlineStr">
        <is>
          <t>27 (2).tif</t>
        </is>
      </c>
      <c r="C1209" t="n">
        <v>965</v>
      </c>
      <c r="D1209" t="n">
        <v>621</v>
      </c>
      <c r="E1209" t="inlineStr">
        <is>
          <t>920,593,1011,650</t>
        </is>
      </c>
      <c r="F1209" t="n">
        <v>13</v>
      </c>
      <c r="G1209" t="inlineStr">
        <is>
          <t>primary</t>
        </is>
      </c>
      <c r="H1209" t="inlineStr">
        <is>
          <t>AUTO_VESSEL</t>
        </is>
      </c>
      <c r="I1209" t="inlineStr">
        <is>
          <t>是</t>
        </is>
      </c>
      <c r="J1209" t="inlineStr">
        <is>
          <t>纳入</t>
        </is>
      </c>
      <c r="K1209" t="n">
        <v>186.9565217391304</v>
      </c>
      <c r="L1209">
        <f>导管母表_1781!G1209</f>
        <v/>
      </c>
      <c r="M1209" t="inlineStr">
        <is>
          <t>近边缘（&lt;25 px）</t>
        </is>
      </c>
      <c r="N1209" t="inlineStr">
        <is>
          <t>纳入A/D/Dh；若有Pair_ID则纳入CWR</t>
        </is>
      </c>
      <c r="O1209" t="inlineStr">
        <is>
          <t>自动管线检出的合格导管腔。</t>
        </is>
      </c>
      <c r="P1209" t="inlineStr">
        <is>
          <t>auto_pipeline;review_png_green</t>
        </is>
      </c>
      <c r="R1209" t="inlineStr">
        <is>
          <t>样品27</t>
        </is>
      </c>
    </row>
    <row r="1210">
      <c r="A1210" t="inlineStr">
        <is>
          <t>27(2)-V06</t>
        </is>
      </c>
      <c r="B1210" t="inlineStr">
        <is>
          <t>27 (2).tif</t>
        </is>
      </c>
      <c r="C1210" t="n">
        <v>536</v>
      </c>
      <c r="D1210" t="n">
        <v>606</v>
      </c>
      <c r="E1210" t="inlineStr">
        <is>
          <t>497,577,576,636</t>
        </is>
      </c>
      <c r="F1210" t="n">
        <v>132</v>
      </c>
      <c r="G1210" t="inlineStr">
        <is>
          <t>primary</t>
        </is>
      </c>
      <c r="H1210" t="inlineStr">
        <is>
          <t>AUTO_VESSEL</t>
        </is>
      </c>
      <c r="I1210" t="inlineStr">
        <is>
          <t>是</t>
        </is>
      </c>
      <c r="J1210" t="inlineStr">
        <is>
          <t>纳入</t>
        </is>
      </c>
      <c r="K1210" t="n">
        <v>164.2485822306238</v>
      </c>
      <c r="L1210">
        <f>导管母表_1781!G1210</f>
        <v/>
      </c>
      <c r="M1210" t="inlineStr">
        <is>
          <t>视野内部</t>
        </is>
      </c>
      <c r="N1210" t="inlineStr">
        <is>
          <t>纳入A/D/Dh；若有Pair_ID则纳入CWR</t>
        </is>
      </c>
      <c r="O1210" t="inlineStr">
        <is>
          <t>自动管线检出的合格导管腔。</t>
        </is>
      </c>
      <c r="P1210" t="inlineStr">
        <is>
          <t>auto_pipeline;review_png_green</t>
        </is>
      </c>
      <c r="R1210" t="inlineStr">
        <is>
          <t>样品27</t>
        </is>
      </c>
    </row>
    <row r="1211">
      <c r="A1211" t="inlineStr">
        <is>
          <t>27(3)-V01</t>
        </is>
      </c>
      <c r="B1211" t="inlineStr">
        <is>
          <t>27 (3).tif</t>
        </is>
      </c>
      <c r="C1211" t="n">
        <v>383</v>
      </c>
      <c r="D1211" t="n">
        <v>317</v>
      </c>
      <c r="E1211" t="inlineStr">
        <is>
          <t>293,238,474,397</t>
        </is>
      </c>
      <c r="F1211" t="n">
        <v>238</v>
      </c>
      <c r="G1211" t="inlineStr">
        <is>
          <t>primary</t>
        </is>
      </c>
      <c r="H1211" t="inlineStr">
        <is>
          <t>AUTO_VESSEL</t>
        </is>
      </c>
      <c r="I1211" t="inlineStr">
        <is>
          <t>是</t>
        </is>
      </c>
      <c r="J1211" t="inlineStr">
        <is>
          <t>纳入</t>
        </is>
      </c>
      <c r="K1211" t="n">
        <v>1040.31190926276</v>
      </c>
      <c r="L1211">
        <f>导管母表_1781!G1211</f>
        <v/>
      </c>
      <c r="M1211" t="inlineStr">
        <is>
          <t>视野内部</t>
        </is>
      </c>
      <c r="N1211" t="inlineStr">
        <is>
          <t>纳入A/D/Dh；若有Pair_ID则纳入CWR</t>
        </is>
      </c>
      <c r="O1211" t="inlineStr">
        <is>
          <t>自动管线检出的合格导管腔。</t>
        </is>
      </c>
      <c r="P1211" t="inlineStr">
        <is>
          <t>auto_pipeline;review_png_green</t>
        </is>
      </c>
      <c r="R1211" t="inlineStr">
        <is>
          <t>样品27</t>
        </is>
      </c>
    </row>
    <row r="1212">
      <c r="A1212" t="inlineStr">
        <is>
          <t>27(3)-V02</t>
        </is>
      </c>
      <c r="B1212" t="inlineStr">
        <is>
          <t>27 (3).tif</t>
        </is>
      </c>
      <c r="C1212" t="n">
        <v>589</v>
      </c>
      <c r="D1212" t="n">
        <v>388</v>
      </c>
      <c r="E1212" t="inlineStr">
        <is>
          <t>504,314,675,463</t>
        </is>
      </c>
      <c r="F1212" t="n">
        <v>305</v>
      </c>
      <c r="G1212" t="inlineStr">
        <is>
          <t>primary</t>
        </is>
      </c>
      <c r="H1212" t="inlineStr">
        <is>
          <t>AUTO_VESSEL</t>
        </is>
      </c>
      <c r="I1212" t="inlineStr">
        <is>
          <t>是</t>
        </is>
      </c>
      <c r="J1212" t="inlineStr">
        <is>
          <t>纳入</t>
        </is>
      </c>
      <c r="K1212" t="n">
        <v>932.2778827977315</v>
      </c>
      <c r="L1212">
        <f>导管母表_1781!G1212</f>
        <v/>
      </c>
      <c r="M1212" t="inlineStr">
        <is>
          <t>视野内部</t>
        </is>
      </c>
      <c r="N1212" t="inlineStr">
        <is>
          <t>纳入A/D/Dh；若有Pair_ID则纳入CWR</t>
        </is>
      </c>
      <c r="O1212" t="inlineStr">
        <is>
          <t>自动管线检出的合格导管腔。</t>
        </is>
      </c>
      <c r="P1212" t="inlineStr">
        <is>
          <t>auto_pipeline;review_png_green</t>
        </is>
      </c>
      <c r="R1212" t="inlineStr">
        <is>
          <t>样品27</t>
        </is>
      </c>
    </row>
    <row r="1213">
      <c r="A1213" t="inlineStr">
        <is>
          <t>27(3)-V03</t>
        </is>
      </c>
      <c r="B1213" t="inlineStr">
        <is>
          <t>27 (3).tif</t>
        </is>
      </c>
      <c r="C1213" t="n">
        <v>92</v>
      </c>
      <c r="D1213" t="n">
        <v>111</v>
      </c>
      <c r="E1213" t="inlineStr">
        <is>
          <t>42,73,143,150</t>
        </is>
      </c>
      <c r="F1213" t="n">
        <v>42</v>
      </c>
      <c r="G1213" t="inlineStr">
        <is>
          <t>primary</t>
        </is>
      </c>
      <c r="H1213" t="inlineStr">
        <is>
          <t>AUTO_VESSEL</t>
        </is>
      </c>
      <c r="I1213" t="inlineStr">
        <is>
          <t>是</t>
        </is>
      </c>
      <c r="J1213" t="inlineStr">
        <is>
          <t>纳入</t>
        </is>
      </c>
      <c r="K1213" t="n">
        <v>259.8062381852552</v>
      </c>
      <c r="L1213">
        <f>导管母表_1781!G1213</f>
        <v/>
      </c>
      <c r="M1213" t="inlineStr">
        <is>
          <t>视野内部</t>
        </is>
      </c>
      <c r="N1213" t="inlineStr">
        <is>
          <t>纳入A/D/Dh；若有Pair_ID则纳入CWR</t>
        </is>
      </c>
      <c r="O1213" t="inlineStr">
        <is>
          <t>自动管线检出的合格导管腔。</t>
        </is>
      </c>
      <c r="P1213" t="inlineStr">
        <is>
          <t>auto_pipeline;review_png_green</t>
        </is>
      </c>
      <c r="R1213" t="inlineStr">
        <is>
          <t>样品27</t>
        </is>
      </c>
    </row>
    <row r="1214">
      <c r="A1214" t="inlineStr">
        <is>
          <t>27(3)-V04</t>
        </is>
      </c>
      <c r="B1214" t="inlineStr">
        <is>
          <t>27 (3).tif</t>
        </is>
      </c>
      <c r="C1214" t="n">
        <v>418</v>
      </c>
      <c r="D1214" t="n">
        <v>110</v>
      </c>
      <c r="E1214" t="inlineStr">
        <is>
          <t>381,86,456,135</t>
        </is>
      </c>
      <c r="F1214" t="n">
        <v>86</v>
      </c>
      <c r="G1214" t="inlineStr">
        <is>
          <t>primary</t>
        </is>
      </c>
      <c r="H1214" t="inlineStr">
        <is>
          <t>AUTO_VESSEL</t>
        </is>
      </c>
      <c r="I1214" t="inlineStr">
        <is>
          <t>是</t>
        </is>
      </c>
      <c r="J1214" t="inlineStr">
        <is>
          <t>纳入</t>
        </is>
      </c>
      <c r="K1214" t="n">
        <v>126.1814744801512</v>
      </c>
      <c r="L1214">
        <f>导管母表_1781!G1214</f>
        <v/>
      </c>
      <c r="M1214" t="inlineStr">
        <is>
          <t>视野内部</t>
        </is>
      </c>
      <c r="N1214" t="inlineStr">
        <is>
          <t>纳入A/D/Dh；若有Pair_ID则纳入CWR</t>
        </is>
      </c>
      <c r="O1214" t="inlineStr">
        <is>
          <t>自动管线检出的合格导管腔。</t>
        </is>
      </c>
      <c r="P1214" t="inlineStr">
        <is>
          <t>auto_pipeline;review_png_green</t>
        </is>
      </c>
      <c r="R1214" t="inlineStr">
        <is>
          <t>样品27</t>
        </is>
      </c>
    </row>
    <row r="1215">
      <c r="A1215" t="inlineStr">
        <is>
          <t>27(4)-V01</t>
        </is>
      </c>
      <c r="B1215" t="inlineStr">
        <is>
          <t>27 (4).tif</t>
        </is>
      </c>
      <c r="C1215" t="n">
        <v>451</v>
      </c>
      <c r="D1215" t="n">
        <v>297</v>
      </c>
      <c r="E1215" t="inlineStr">
        <is>
          <t>371,216,532,379</t>
        </is>
      </c>
      <c r="F1215" t="n">
        <v>216</v>
      </c>
      <c r="G1215" t="inlineStr">
        <is>
          <t>primary</t>
        </is>
      </c>
      <c r="H1215" t="inlineStr">
        <is>
          <t>AUTO_VESSEL</t>
        </is>
      </c>
      <c r="I1215" t="inlineStr">
        <is>
          <t>是</t>
        </is>
      </c>
      <c r="J1215" t="inlineStr">
        <is>
          <t>纳入</t>
        </is>
      </c>
      <c r="K1215" t="n">
        <v>959.2391304347826</v>
      </c>
      <c r="L1215">
        <f>导管母表_1781!G1215</f>
        <v/>
      </c>
      <c r="M1215" t="inlineStr">
        <is>
          <t>视野内部</t>
        </is>
      </c>
      <c r="N1215" t="inlineStr">
        <is>
          <t>纳入A/D/Dh；若有Pair_ID则纳入CWR</t>
        </is>
      </c>
      <c r="O1215" t="inlineStr">
        <is>
          <t>自动管线检出的合格导管腔。</t>
        </is>
      </c>
      <c r="P1215" t="inlineStr">
        <is>
          <t>auto_pipeline;review_png_green</t>
        </is>
      </c>
      <c r="R1215" t="inlineStr">
        <is>
          <t>样品27</t>
        </is>
      </c>
    </row>
    <row r="1216">
      <c r="A1216" t="inlineStr">
        <is>
          <t>27(4)-V02</t>
        </is>
      </c>
      <c r="B1216" t="inlineStr">
        <is>
          <t>27 (4).tif</t>
        </is>
      </c>
      <c r="C1216" t="n">
        <v>582</v>
      </c>
      <c r="D1216" t="n">
        <v>433</v>
      </c>
      <c r="E1216" t="inlineStr">
        <is>
          <t>517,368,648,499</t>
        </is>
      </c>
      <c r="F1216" t="n">
        <v>269</v>
      </c>
      <c r="G1216" t="inlineStr">
        <is>
          <t>primary</t>
        </is>
      </c>
      <c r="H1216" t="inlineStr">
        <is>
          <t>AUTO_VESSEL</t>
        </is>
      </c>
      <c r="I1216" t="inlineStr">
        <is>
          <t>是</t>
        </is>
      </c>
      <c r="J1216" t="inlineStr">
        <is>
          <t>纳入</t>
        </is>
      </c>
      <c r="K1216" t="n">
        <v>626.5595463137996</v>
      </c>
      <c r="L1216">
        <f>导管母表_1781!G1216</f>
        <v/>
      </c>
      <c r="M1216" t="inlineStr">
        <is>
          <t>视野内部</t>
        </is>
      </c>
      <c r="N1216" t="inlineStr">
        <is>
          <t>纳入A/D/Dh；若有Pair_ID则纳入CWR</t>
        </is>
      </c>
      <c r="O1216" t="inlineStr">
        <is>
          <t>自动管线检出的合格导管腔。</t>
        </is>
      </c>
      <c r="P1216" t="inlineStr">
        <is>
          <t>auto_pipeline;review_png_green</t>
        </is>
      </c>
      <c r="R1216" t="inlineStr">
        <is>
          <t>样品27</t>
        </is>
      </c>
    </row>
    <row r="1217">
      <c r="A1217" t="inlineStr">
        <is>
          <t>27(4)-V03</t>
        </is>
      </c>
      <c r="B1217" t="inlineStr">
        <is>
          <t>27 (4).tif</t>
        </is>
      </c>
      <c r="C1217" t="n">
        <v>203</v>
      </c>
      <c r="D1217" t="n">
        <v>58</v>
      </c>
      <c r="E1217" t="inlineStr">
        <is>
          <t>135,11,272,106</t>
        </is>
      </c>
      <c r="F1217" t="n">
        <v>11</v>
      </c>
      <c r="G1217" t="inlineStr">
        <is>
          <t>primary</t>
        </is>
      </c>
      <c r="H1217" t="inlineStr">
        <is>
          <t>AUTO_VESSEL</t>
        </is>
      </c>
      <c r="I1217" t="inlineStr">
        <is>
          <t>是</t>
        </is>
      </c>
      <c r="J1217" t="inlineStr">
        <is>
          <t>纳入</t>
        </is>
      </c>
      <c r="K1217" t="n">
        <v>452.5047258979206</v>
      </c>
      <c r="L1217">
        <f>导管母表_1781!G1217</f>
        <v/>
      </c>
      <c r="M1217" t="inlineStr">
        <is>
          <t>近边缘（&lt;25 px）</t>
        </is>
      </c>
      <c r="N1217" t="inlineStr">
        <is>
          <t>纳入A/D/Dh；若有Pair_ID则纳入CWR</t>
        </is>
      </c>
      <c r="O1217" t="inlineStr">
        <is>
          <t>自动管线检出的合格导管腔。</t>
        </is>
      </c>
      <c r="P1217" t="inlineStr">
        <is>
          <t>auto_pipeline;review_png_green</t>
        </is>
      </c>
      <c r="R1217" t="inlineStr">
        <is>
          <t>样品27</t>
        </is>
      </c>
    </row>
    <row r="1218">
      <c r="A1218" t="inlineStr">
        <is>
          <t>27(4)-V04</t>
        </is>
      </c>
      <c r="B1218" t="inlineStr">
        <is>
          <t>27 (4).tif</t>
        </is>
      </c>
      <c r="C1218" t="n">
        <v>121</v>
      </c>
      <c r="D1218" t="n">
        <v>159</v>
      </c>
      <c r="E1218" t="inlineStr">
        <is>
          <t>89,123,154,196</t>
        </is>
      </c>
      <c r="F1218" t="n">
        <v>89</v>
      </c>
      <c r="G1218" t="inlineStr">
        <is>
          <t>primary</t>
        </is>
      </c>
      <c r="H1218" t="inlineStr">
        <is>
          <t>AUTO_VESSEL</t>
        </is>
      </c>
      <c r="I1218" t="inlineStr">
        <is>
          <t>是</t>
        </is>
      </c>
      <c r="J1218" t="inlineStr">
        <is>
          <t>纳入</t>
        </is>
      </c>
      <c r="K1218" t="n">
        <v>160.1134215500945</v>
      </c>
      <c r="L1218">
        <f>导管母表_1781!G1218</f>
        <v/>
      </c>
      <c r="M1218" t="inlineStr">
        <is>
          <t>视野内部</t>
        </is>
      </c>
      <c r="N1218" t="inlineStr">
        <is>
          <t>纳入A/D/Dh；若有Pair_ID则纳入CWR</t>
        </is>
      </c>
      <c r="O1218" t="inlineStr">
        <is>
          <t>自动管线检出的合格导管腔。</t>
        </is>
      </c>
      <c r="P1218" t="inlineStr">
        <is>
          <t>auto_pipeline;review_png_green</t>
        </is>
      </c>
      <c r="R1218" t="inlineStr">
        <is>
          <t>样品27</t>
        </is>
      </c>
    </row>
    <row r="1219">
      <c r="A1219" t="inlineStr">
        <is>
          <t>27(5)-V01</t>
        </is>
      </c>
      <c r="B1219" t="inlineStr">
        <is>
          <t>27 (5).tif</t>
        </is>
      </c>
      <c r="C1219" t="n">
        <v>612</v>
      </c>
      <c r="D1219" t="n">
        <v>408</v>
      </c>
      <c r="E1219" t="inlineStr">
        <is>
          <t>538,338,687,479</t>
        </is>
      </c>
      <c r="F1219" t="n">
        <v>289</v>
      </c>
      <c r="G1219" t="inlineStr">
        <is>
          <t>primary</t>
        </is>
      </c>
      <c r="H1219" t="inlineStr">
        <is>
          <t>AUTO_VESSEL</t>
        </is>
      </c>
      <c r="I1219" t="inlineStr">
        <is>
          <t>是</t>
        </is>
      </c>
      <c r="J1219" t="inlineStr">
        <is>
          <t>纳入</t>
        </is>
      </c>
      <c r="K1219" t="n">
        <v>765.2410207939508</v>
      </c>
      <c r="L1219">
        <f>导管母表_1781!G1219</f>
        <v/>
      </c>
      <c r="M1219" t="inlineStr">
        <is>
          <t>视野内部</t>
        </is>
      </c>
      <c r="N1219" t="inlineStr">
        <is>
          <t>纳入A/D/Dh；若有Pair_ID则纳入CWR</t>
        </is>
      </c>
      <c r="O1219" t="inlineStr">
        <is>
          <t>自动管线检出的合格导管腔。</t>
        </is>
      </c>
      <c r="P1219" t="inlineStr">
        <is>
          <t>auto_pipeline;review_png_green</t>
        </is>
      </c>
      <c r="R1219" t="inlineStr">
        <is>
          <t>样品27</t>
        </is>
      </c>
    </row>
    <row r="1220">
      <c r="A1220" t="inlineStr">
        <is>
          <t>27(5)-V02</t>
        </is>
      </c>
      <c r="B1220" t="inlineStr">
        <is>
          <t>27 (5).tif</t>
        </is>
      </c>
      <c r="C1220" t="n">
        <v>495</v>
      </c>
      <c r="D1220" t="n">
        <v>594</v>
      </c>
      <c r="E1220" t="inlineStr">
        <is>
          <t>428,537,563,652</t>
        </is>
      </c>
      <c r="F1220" t="n">
        <v>116</v>
      </c>
      <c r="G1220" t="inlineStr">
        <is>
          <t>primary</t>
        </is>
      </c>
      <c r="H1220" t="inlineStr">
        <is>
          <t>AUTO_VESSEL</t>
        </is>
      </c>
      <c r="I1220" t="inlineStr">
        <is>
          <t>是</t>
        </is>
      </c>
      <c r="J1220" t="inlineStr">
        <is>
          <t>纳入</t>
        </is>
      </c>
      <c r="K1220" t="n">
        <v>565.1465028355387</v>
      </c>
      <c r="L1220">
        <f>导管母表_1781!G1220</f>
        <v/>
      </c>
      <c r="M1220" t="inlineStr">
        <is>
          <t>视野内部</t>
        </is>
      </c>
      <c r="N1220" t="inlineStr">
        <is>
          <t>纳入A/D/Dh；若有Pair_ID则纳入CWR</t>
        </is>
      </c>
      <c r="O1220" t="inlineStr">
        <is>
          <t>自动管线检出的合格导管腔。</t>
        </is>
      </c>
      <c r="P1220" t="inlineStr">
        <is>
          <t>auto_pipeline;review_png_green</t>
        </is>
      </c>
      <c r="R1220" t="inlineStr">
        <is>
          <t>样品27</t>
        </is>
      </c>
    </row>
    <row r="1221">
      <c r="A1221" t="inlineStr">
        <is>
          <t>27(5)-V03</t>
        </is>
      </c>
      <c r="B1221" t="inlineStr">
        <is>
          <t>27 (5).tif</t>
        </is>
      </c>
      <c r="C1221" t="n">
        <v>459</v>
      </c>
      <c r="D1221" t="n">
        <v>326</v>
      </c>
      <c r="E1221" t="inlineStr">
        <is>
          <t>396,275,523,378</t>
        </is>
      </c>
      <c r="F1221" t="n">
        <v>275</v>
      </c>
      <c r="G1221" t="inlineStr">
        <is>
          <t>primary</t>
        </is>
      </c>
      <c r="H1221" t="inlineStr">
        <is>
          <t>AUTO_VESSEL</t>
        </is>
      </c>
      <c r="I1221" t="inlineStr">
        <is>
          <t>是</t>
        </is>
      </c>
      <c r="J1221" t="inlineStr">
        <is>
          <t>纳入</t>
        </is>
      </c>
      <c r="K1221" t="n">
        <v>477.4338374291115</v>
      </c>
      <c r="L1221">
        <f>导管母表_1781!G1221</f>
        <v/>
      </c>
      <c r="M1221" t="inlineStr">
        <is>
          <t>视野内部</t>
        </is>
      </c>
      <c r="N1221" t="inlineStr">
        <is>
          <t>纳入A/D/Dh；若有Pair_ID则纳入CWR</t>
        </is>
      </c>
      <c r="O1221" t="inlineStr">
        <is>
          <t>自动管线检出的合格导管腔。</t>
        </is>
      </c>
      <c r="P1221" t="inlineStr">
        <is>
          <t>auto_pipeline;review_png_green</t>
        </is>
      </c>
      <c r="R1221" t="inlineStr">
        <is>
          <t>样品27</t>
        </is>
      </c>
    </row>
    <row r="1222">
      <c r="A1222" t="inlineStr">
        <is>
          <t>27(5)-V04</t>
        </is>
      </c>
      <c r="B1222" t="inlineStr">
        <is>
          <t>27 (5).tif</t>
        </is>
      </c>
      <c r="C1222" t="n">
        <v>239</v>
      </c>
      <c r="D1222" t="n">
        <v>384</v>
      </c>
      <c r="E1222" t="inlineStr">
        <is>
          <t>193,348,286,421</t>
        </is>
      </c>
      <c r="F1222" t="n">
        <v>193</v>
      </c>
      <c r="G1222" t="inlineStr">
        <is>
          <t>primary</t>
        </is>
      </c>
      <c r="H1222" t="inlineStr">
        <is>
          <t>AUTO_VESSEL</t>
        </is>
      </c>
      <c r="I1222" t="inlineStr">
        <is>
          <t>是</t>
        </is>
      </c>
      <c r="J1222" t="inlineStr">
        <is>
          <t>纳入</t>
        </is>
      </c>
      <c r="K1222" t="n">
        <v>245.6521739130435</v>
      </c>
      <c r="L1222">
        <f>导管母表_1781!G1222</f>
        <v/>
      </c>
      <c r="M1222" t="inlineStr">
        <is>
          <t>视野内部</t>
        </is>
      </c>
      <c r="N1222" t="inlineStr">
        <is>
          <t>纳入A/D/Dh；若有Pair_ID则纳入CWR</t>
        </is>
      </c>
      <c r="O1222" t="inlineStr">
        <is>
          <t>自动管线检出的合格导管腔。</t>
        </is>
      </c>
      <c r="P1222" t="inlineStr">
        <is>
          <t>auto_pipeline;review_png_green</t>
        </is>
      </c>
      <c r="R1222" t="inlineStr">
        <is>
          <t>样品27</t>
        </is>
      </c>
    </row>
    <row r="1223">
      <c r="A1223" t="inlineStr">
        <is>
          <t>27(5)-V05</t>
        </is>
      </c>
      <c r="B1223" t="inlineStr">
        <is>
          <t>27 (5).tif</t>
        </is>
      </c>
      <c r="C1223" t="n">
        <v>135</v>
      </c>
      <c r="D1223" t="n">
        <v>610</v>
      </c>
      <c r="E1223" t="inlineStr">
        <is>
          <t>69,585,202,636</t>
        </is>
      </c>
      <c r="F1223" t="n">
        <v>69</v>
      </c>
      <c r="G1223" t="inlineStr">
        <is>
          <t>primary</t>
        </is>
      </c>
      <c r="H1223" t="inlineStr">
        <is>
          <t>AUTO_VESSEL</t>
        </is>
      </c>
      <c r="I1223" t="inlineStr">
        <is>
          <t>是</t>
        </is>
      </c>
      <c r="J1223" t="inlineStr">
        <is>
          <t>纳入</t>
        </is>
      </c>
      <c r="K1223" t="n">
        <v>245.0850661625709</v>
      </c>
      <c r="L1223">
        <f>导管母表_1781!G1223</f>
        <v/>
      </c>
      <c r="M1223" t="inlineStr">
        <is>
          <t>视野内部</t>
        </is>
      </c>
      <c r="N1223" t="inlineStr">
        <is>
          <t>纳入A/D/Dh；若有Pair_ID则纳入CWR</t>
        </is>
      </c>
      <c r="O1223" t="inlineStr">
        <is>
          <t>自动管线检出的合格导管腔。</t>
        </is>
      </c>
      <c r="P1223" t="inlineStr">
        <is>
          <t>auto_pipeline;review_png_green</t>
        </is>
      </c>
      <c r="R1223" t="inlineStr">
        <is>
          <t>样品27</t>
        </is>
      </c>
    </row>
    <row r="1224">
      <c r="A1224" t="inlineStr">
        <is>
          <t>27(5)-V06</t>
        </is>
      </c>
      <c r="B1224" t="inlineStr">
        <is>
          <t>27 (5).tif</t>
        </is>
      </c>
      <c r="C1224" t="n">
        <v>825</v>
      </c>
      <c r="D1224" t="n">
        <v>45</v>
      </c>
      <c r="E1224" t="inlineStr">
        <is>
          <t>778,11,873,80</t>
        </is>
      </c>
      <c r="F1224" t="n">
        <v>11</v>
      </c>
      <c r="G1224" t="inlineStr">
        <is>
          <t>primary</t>
        </is>
      </c>
      <c r="H1224" t="inlineStr">
        <is>
          <t>AUTO_VESSEL</t>
        </is>
      </c>
      <c r="I1224" t="inlineStr">
        <is>
          <t>是</t>
        </is>
      </c>
      <c r="J1224" t="inlineStr">
        <is>
          <t>纳入</t>
        </is>
      </c>
      <c r="K1224" t="n">
        <v>237.6654064272212</v>
      </c>
      <c r="L1224">
        <f>导管母表_1781!G1224</f>
        <v/>
      </c>
      <c r="M1224" t="inlineStr">
        <is>
          <t>近边缘（&lt;25 px）</t>
        </is>
      </c>
      <c r="N1224" t="inlineStr">
        <is>
          <t>纳入A/D/Dh；若有Pair_ID则纳入CWR</t>
        </is>
      </c>
      <c r="O1224" t="inlineStr">
        <is>
          <t>自动管线检出的合格导管腔。</t>
        </is>
      </c>
      <c r="P1224" t="inlineStr">
        <is>
          <t>auto_pipeline;review_png_green</t>
        </is>
      </c>
      <c r="R1224" t="inlineStr">
        <is>
          <t>样品27</t>
        </is>
      </c>
    </row>
    <row r="1225">
      <c r="A1225" t="inlineStr">
        <is>
          <t>27(6)-V01</t>
        </is>
      </c>
      <c r="B1225" t="inlineStr">
        <is>
          <t>27 (6).tif</t>
        </is>
      </c>
      <c r="C1225" t="n">
        <v>451</v>
      </c>
      <c r="D1225" t="n">
        <v>321</v>
      </c>
      <c r="E1225" t="inlineStr">
        <is>
          <t>369,253,534,390</t>
        </is>
      </c>
      <c r="F1225" t="n">
        <v>253</v>
      </c>
      <c r="G1225" t="inlineStr">
        <is>
          <t>primary</t>
        </is>
      </c>
      <c r="H1225" t="inlineStr">
        <is>
          <t>AUTO_VESSEL</t>
        </is>
      </c>
      <c r="I1225" t="inlineStr">
        <is>
          <t>是</t>
        </is>
      </c>
      <c r="J1225" t="inlineStr">
        <is>
          <t>纳入</t>
        </is>
      </c>
      <c r="K1225" t="n">
        <v>827.1502835538753</v>
      </c>
      <c r="L1225">
        <f>导管母表_1781!G1225</f>
        <v/>
      </c>
      <c r="M1225" t="inlineStr">
        <is>
          <t>视野内部</t>
        </is>
      </c>
      <c r="N1225" t="inlineStr">
        <is>
          <t>纳入A/D/Dh；若有Pair_ID则纳入CWR</t>
        </is>
      </c>
      <c r="O1225" t="inlineStr">
        <is>
          <t>自动管线检出的合格导管腔。</t>
        </is>
      </c>
      <c r="P1225" t="inlineStr">
        <is>
          <t>auto_pipeline;review_png_green</t>
        </is>
      </c>
      <c r="Q1225" t="inlineStr">
        <is>
          <t>27(6)-P01</t>
        </is>
      </c>
      <c r="R1225" t="inlineStr">
        <is>
          <t>样品27</t>
        </is>
      </c>
    </row>
    <row r="1226">
      <c r="A1226" t="inlineStr">
        <is>
          <t>27(6)-V02</t>
        </is>
      </c>
      <c r="B1226" t="inlineStr">
        <is>
          <t>27 (6).tif</t>
        </is>
      </c>
      <c r="C1226" t="n">
        <v>377</v>
      </c>
      <c r="D1226" t="n">
        <v>549</v>
      </c>
      <c r="E1226" t="inlineStr">
        <is>
          <t>302,480,453,619</t>
        </is>
      </c>
      <c r="F1226" t="n">
        <v>149</v>
      </c>
      <c r="G1226" t="inlineStr">
        <is>
          <t>primary</t>
        </is>
      </c>
      <c r="H1226" t="inlineStr">
        <is>
          <t>AUTO_VESSEL</t>
        </is>
      </c>
      <c r="I1226" t="inlineStr">
        <is>
          <t>是</t>
        </is>
      </c>
      <c r="J1226" t="inlineStr">
        <is>
          <t>纳入</t>
        </is>
      </c>
      <c r="K1226" t="n">
        <v>767.1077504725898</v>
      </c>
      <c r="L1226">
        <f>导管母表_1781!G1226</f>
        <v/>
      </c>
      <c r="M1226" t="inlineStr">
        <is>
          <t>视野内部</t>
        </is>
      </c>
      <c r="N1226" t="inlineStr">
        <is>
          <t>纳入A/D/Dh；若有Pair_ID则纳入CWR</t>
        </is>
      </c>
      <c r="O1226" t="inlineStr">
        <is>
          <t>自动管线检出的合格导管腔。</t>
        </is>
      </c>
      <c r="P1226" t="inlineStr">
        <is>
          <t>auto_pipeline;review_png_green</t>
        </is>
      </c>
      <c r="R1226" t="inlineStr">
        <is>
          <t>样品27</t>
        </is>
      </c>
    </row>
    <row r="1227">
      <c r="A1227" t="inlineStr">
        <is>
          <t>27(6)-V03</t>
        </is>
      </c>
      <c r="B1227" t="inlineStr">
        <is>
          <t>27 (6).tif</t>
        </is>
      </c>
      <c r="C1227" t="n">
        <v>372</v>
      </c>
      <c r="D1227" t="n">
        <v>94</v>
      </c>
      <c r="E1227" t="inlineStr">
        <is>
          <t>302,32,443,157</t>
        </is>
      </c>
      <c r="F1227" t="n">
        <v>32</v>
      </c>
      <c r="G1227" t="inlineStr">
        <is>
          <t>primary</t>
        </is>
      </c>
      <c r="H1227" t="inlineStr">
        <is>
          <t>AUTO_VESSEL</t>
        </is>
      </c>
      <c r="I1227" t="inlineStr">
        <is>
          <t>是</t>
        </is>
      </c>
      <c r="J1227" t="inlineStr">
        <is>
          <t>纳入</t>
        </is>
      </c>
      <c r="K1227" t="n">
        <v>642.5094517958412</v>
      </c>
      <c r="L1227">
        <f>导管母表_1781!G1227</f>
        <v/>
      </c>
      <c r="M1227" t="inlineStr">
        <is>
          <t>视野内部</t>
        </is>
      </c>
      <c r="N1227" t="inlineStr">
        <is>
          <t>纳入A/D/Dh；若有Pair_ID则纳入CWR</t>
        </is>
      </c>
      <c r="O1227" t="inlineStr">
        <is>
          <t>自动管线检出的合格导管腔。</t>
        </is>
      </c>
      <c r="P1227" t="inlineStr">
        <is>
          <t>auto_pipeline;review_png_green</t>
        </is>
      </c>
      <c r="R1227" t="inlineStr">
        <is>
          <t>样品27</t>
        </is>
      </c>
    </row>
    <row r="1228">
      <c r="A1228" t="inlineStr">
        <is>
          <t>27(6)-V04</t>
        </is>
      </c>
      <c r="B1228" t="inlineStr">
        <is>
          <t>27 (6).tif</t>
        </is>
      </c>
      <c r="C1228" t="n">
        <v>904</v>
      </c>
      <c r="D1228" t="n">
        <v>347</v>
      </c>
      <c r="E1228" t="inlineStr">
        <is>
          <t>833,285,976,410</t>
        </is>
      </c>
      <c r="F1228" t="n">
        <v>48</v>
      </c>
      <c r="G1228" t="inlineStr">
        <is>
          <t>primary</t>
        </is>
      </c>
      <c r="H1228" t="inlineStr">
        <is>
          <t>AUTO_VESSEL</t>
        </is>
      </c>
      <c r="I1228" t="inlineStr">
        <is>
          <t>是</t>
        </is>
      </c>
      <c r="J1228" t="inlineStr">
        <is>
          <t>纳入</t>
        </is>
      </c>
      <c r="K1228" t="n">
        <v>634.7117202268431</v>
      </c>
      <c r="L1228">
        <f>导管母表_1781!G1228</f>
        <v/>
      </c>
      <c r="M1228" t="inlineStr">
        <is>
          <t>视野内部</t>
        </is>
      </c>
      <c r="N1228" t="inlineStr">
        <is>
          <t>纳入A/D/Dh；若有Pair_ID则纳入CWR</t>
        </is>
      </c>
      <c r="O1228" t="inlineStr">
        <is>
          <t>自动管线检出的合格导管腔。</t>
        </is>
      </c>
      <c r="P1228" t="inlineStr">
        <is>
          <t>auto_pipeline;review_png_green</t>
        </is>
      </c>
      <c r="R1228" t="inlineStr">
        <is>
          <t>样品27</t>
        </is>
      </c>
    </row>
    <row r="1229">
      <c r="A1229" t="inlineStr">
        <is>
          <t>27(6)-V05</t>
        </is>
      </c>
      <c r="B1229" t="inlineStr">
        <is>
          <t>27 (6).tif</t>
        </is>
      </c>
      <c r="C1229" t="n">
        <v>208</v>
      </c>
      <c r="D1229" t="n">
        <v>440</v>
      </c>
      <c r="E1229" t="inlineStr">
        <is>
          <t>149,375,268,506</t>
        </is>
      </c>
      <c r="F1229" t="n">
        <v>149</v>
      </c>
      <c r="G1229" t="inlineStr">
        <is>
          <t>primary</t>
        </is>
      </c>
      <c r="H1229" t="inlineStr">
        <is>
          <t>AUTO_VESSEL</t>
        </is>
      </c>
      <c r="I1229" t="inlineStr">
        <is>
          <t>是</t>
        </is>
      </c>
      <c r="J1229" t="inlineStr">
        <is>
          <t>纳入</t>
        </is>
      </c>
      <c r="K1229" t="n">
        <v>550.6852551984878</v>
      </c>
      <c r="L1229">
        <f>导管母表_1781!G1229</f>
        <v/>
      </c>
      <c r="M1229" t="inlineStr">
        <is>
          <t>视野内部</t>
        </is>
      </c>
      <c r="N1229" t="inlineStr">
        <is>
          <t>纳入A/D/Dh；若有Pair_ID则纳入CWR</t>
        </is>
      </c>
      <c r="O1229" t="inlineStr">
        <is>
          <t>自动管线检出的合格导管腔。</t>
        </is>
      </c>
      <c r="P1229" t="inlineStr">
        <is>
          <t>auto_pipeline;review_png_green</t>
        </is>
      </c>
      <c r="R1229" t="inlineStr">
        <is>
          <t>样品27</t>
        </is>
      </c>
    </row>
    <row r="1230">
      <c r="A1230" t="inlineStr">
        <is>
          <t>27(6)-V06</t>
        </is>
      </c>
      <c r="B1230" t="inlineStr">
        <is>
          <t>27 (6).tif</t>
        </is>
      </c>
      <c r="C1230" t="n">
        <v>552</v>
      </c>
      <c r="D1230" t="n">
        <v>443</v>
      </c>
      <c r="E1230" t="inlineStr">
        <is>
          <t>497,397,608,490</t>
        </is>
      </c>
      <c r="F1230" t="n">
        <v>278</v>
      </c>
      <c r="G1230" t="inlineStr">
        <is>
          <t>primary</t>
        </is>
      </c>
      <c r="H1230" t="inlineStr">
        <is>
          <t>AUTO_VESSEL</t>
        </is>
      </c>
      <c r="I1230" t="inlineStr">
        <is>
          <t>是</t>
        </is>
      </c>
      <c r="J1230" t="inlineStr">
        <is>
          <t>纳入</t>
        </is>
      </c>
      <c r="K1230" t="n">
        <v>375.7561436672968</v>
      </c>
      <c r="L1230">
        <f>导管母表_1781!G1230</f>
        <v/>
      </c>
      <c r="M1230" t="inlineStr">
        <is>
          <t>视野内部</t>
        </is>
      </c>
      <c r="N1230" t="inlineStr">
        <is>
          <t>纳入A/D/Dh；若有Pair_ID则纳入CWR</t>
        </is>
      </c>
      <c r="O1230" t="inlineStr">
        <is>
          <t>自动管线检出的合格导管腔。</t>
        </is>
      </c>
      <c r="P1230" t="inlineStr">
        <is>
          <t>auto_pipeline;review_png_green</t>
        </is>
      </c>
      <c r="Q1230" t="inlineStr">
        <is>
          <t>27(6)-P01</t>
        </is>
      </c>
      <c r="R1230" t="inlineStr">
        <is>
          <t>样品27</t>
        </is>
      </c>
    </row>
    <row r="1231">
      <c r="A1231" t="inlineStr">
        <is>
          <t>27(6)-V07</t>
        </is>
      </c>
      <c r="B1231" t="inlineStr">
        <is>
          <t>27 (6).tif</t>
        </is>
      </c>
      <c r="C1231" t="n">
        <v>389</v>
      </c>
      <c r="D1231" t="n">
        <v>517</v>
      </c>
      <c r="E1231" t="inlineStr">
        <is>
          <t>335,479,444,556</t>
        </is>
      </c>
      <c r="F1231" t="n">
        <v>212</v>
      </c>
      <c r="G1231" t="inlineStr">
        <is>
          <t>primary</t>
        </is>
      </c>
      <c r="H1231" t="inlineStr">
        <is>
          <t>AUTO_VESSEL</t>
        </is>
      </c>
      <c r="I1231" t="inlineStr">
        <is>
          <t>是</t>
        </is>
      </c>
      <c r="J1231" t="inlineStr">
        <is>
          <t>纳入</t>
        </is>
      </c>
      <c r="K1231" t="n">
        <v>282.2542533081286</v>
      </c>
      <c r="L1231">
        <f>导管母表_1781!G1231</f>
        <v/>
      </c>
      <c r="M1231" t="inlineStr">
        <is>
          <t>视野内部</t>
        </is>
      </c>
      <c r="N1231" t="inlineStr">
        <is>
          <t>纳入A/D/Dh；若有Pair_ID则纳入CWR</t>
        </is>
      </c>
      <c r="O1231" t="inlineStr">
        <is>
          <t>自动管线检出的合格导管腔。</t>
        </is>
      </c>
      <c r="P1231" t="inlineStr">
        <is>
          <t>auto_pipeline;review_png_green</t>
        </is>
      </c>
      <c r="R1231" t="inlineStr">
        <is>
          <t>样品27</t>
        </is>
      </c>
    </row>
    <row r="1232">
      <c r="A1232" t="inlineStr">
        <is>
          <t>27(6)-V08</t>
        </is>
      </c>
      <c r="B1232" t="inlineStr">
        <is>
          <t>27 (6).tif</t>
        </is>
      </c>
      <c r="C1232" t="n">
        <v>719</v>
      </c>
      <c r="D1232" t="n">
        <v>448</v>
      </c>
      <c r="E1232" t="inlineStr">
        <is>
          <t>681,407,758,490</t>
        </is>
      </c>
      <c r="F1232" t="n">
        <v>266</v>
      </c>
      <c r="G1232" t="inlineStr">
        <is>
          <t>primary</t>
        </is>
      </c>
      <c r="H1232" t="inlineStr">
        <is>
          <t>AUTO_VESSEL</t>
        </is>
      </c>
      <c r="I1232" t="inlineStr">
        <is>
          <t>是</t>
        </is>
      </c>
      <c r="J1232" t="inlineStr">
        <is>
          <t>纳入</t>
        </is>
      </c>
      <c r="K1232" t="n">
        <v>218.8090737240076</v>
      </c>
      <c r="L1232">
        <f>导管母表_1781!G1232</f>
        <v/>
      </c>
      <c r="M1232" t="inlineStr">
        <is>
          <t>视野内部</t>
        </is>
      </c>
      <c r="N1232" t="inlineStr">
        <is>
          <t>纳入A/D/Dh；若有Pair_ID则纳入CWR</t>
        </is>
      </c>
      <c r="O1232" t="inlineStr">
        <is>
          <t>自动管线检出的合格导管腔。</t>
        </is>
      </c>
      <c r="P1232" t="inlineStr">
        <is>
          <t>auto_pipeline;review_png_green</t>
        </is>
      </c>
      <c r="R1232" t="inlineStr">
        <is>
          <t>样品27</t>
        </is>
      </c>
    </row>
    <row r="1233">
      <c r="A1233" t="inlineStr">
        <is>
          <t>27(6)-V09</t>
        </is>
      </c>
      <c r="B1233" t="inlineStr">
        <is>
          <t>27 (6).tif</t>
        </is>
      </c>
      <c r="C1233" t="n">
        <v>428</v>
      </c>
      <c r="D1233" t="n">
        <v>418</v>
      </c>
      <c r="E1233" t="inlineStr">
        <is>
          <t>385,388,472,449</t>
        </is>
      </c>
      <c r="F1233" t="n">
        <v>319</v>
      </c>
      <c r="G1233" t="inlineStr">
        <is>
          <t>primary</t>
        </is>
      </c>
      <c r="H1233" t="inlineStr">
        <is>
          <t>AUTO_VESSEL</t>
        </is>
      </c>
      <c r="I1233" t="inlineStr">
        <is>
          <t>是</t>
        </is>
      </c>
      <c r="J1233" t="inlineStr">
        <is>
          <t>纳入</t>
        </is>
      </c>
      <c r="K1233" t="n">
        <v>106.2618147448015</v>
      </c>
      <c r="L1233">
        <f>导管母表_1781!G1233</f>
        <v/>
      </c>
      <c r="M1233" t="inlineStr">
        <is>
          <t>视野内部</t>
        </is>
      </c>
      <c r="N1233" t="inlineStr">
        <is>
          <t>纳入A/D/Dh；若有Pair_ID则纳入CWR</t>
        </is>
      </c>
      <c r="O1233" t="inlineStr">
        <is>
          <t>自动管线检出的合格导管腔。</t>
        </is>
      </c>
      <c r="P1233" t="inlineStr">
        <is>
          <t>auto_pipeline;review_png_green</t>
        </is>
      </c>
      <c r="R1233" t="inlineStr">
        <is>
          <t>样品27</t>
        </is>
      </c>
    </row>
    <row r="1234">
      <c r="A1234" t="inlineStr">
        <is>
          <t>27(7)-V01</t>
        </is>
      </c>
      <c r="B1234" t="inlineStr">
        <is>
          <t>27 (7).tif</t>
        </is>
      </c>
      <c r="C1234" t="n">
        <v>668</v>
      </c>
      <c r="D1234" t="n">
        <v>289</v>
      </c>
      <c r="E1234" t="inlineStr">
        <is>
          <t>576,203,761,376</t>
        </is>
      </c>
      <c r="F1234" t="n">
        <v>203</v>
      </c>
      <c r="G1234" t="inlineStr">
        <is>
          <t>primary</t>
        </is>
      </c>
      <c r="H1234" t="inlineStr">
        <is>
          <t>AUTO_VESSEL</t>
        </is>
      </c>
      <c r="I1234" t="inlineStr">
        <is>
          <t>是</t>
        </is>
      </c>
      <c r="J1234" t="inlineStr">
        <is>
          <t>纳入</t>
        </is>
      </c>
      <c r="K1234" t="n">
        <v>1158.199432892249</v>
      </c>
      <c r="L1234">
        <f>导管母表_1781!G1234</f>
        <v/>
      </c>
      <c r="M1234" t="inlineStr">
        <is>
          <t>视野内部</t>
        </is>
      </c>
      <c r="N1234" t="inlineStr">
        <is>
          <t>纳入A/D/Dh；若有Pair_ID则纳入CWR</t>
        </is>
      </c>
      <c r="O1234" t="inlineStr">
        <is>
          <t>自动管线检出的合格导管腔。</t>
        </is>
      </c>
      <c r="P1234" t="inlineStr">
        <is>
          <t>auto_pipeline;review_png_green</t>
        </is>
      </c>
      <c r="R1234" t="inlineStr">
        <is>
          <t>样品27</t>
        </is>
      </c>
    </row>
    <row r="1235">
      <c r="A1235" t="inlineStr">
        <is>
          <t>27(7)-V02</t>
        </is>
      </c>
      <c r="B1235" t="inlineStr">
        <is>
          <t>27 (7).tif</t>
        </is>
      </c>
      <c r="C1235" t="n">
        <v>522</v>
      </c>
      <c r="D1235" t="n">
        <v>397</v>
      </c>
      <c r="E1235" t="inlineStr">
        <is>
          <t>441,332,604,463</t>
        </is>
      </c>
      <c r="F1235" t="n">
        <v>305</v>
      </c>
      <c r="G1235" t="inlineStr">
        <is>
          <t>primary</t>
        </is>
      </c>
      <c r="H1235" t="inlineStr">
        <is>
          <t>AUTO_VESSEL</t>
        </is>
      </c>
      <c r="I1235" t="inlineStr">
        <is>
          <t>是</t>
        </is>
      </c>
      <c r="J1235" t="inlineStr">
        <is>
          <t>纳入</t>
        </is>
      </c>
      <c r="K1235" t="n">
        <v>718.241965973535</v>
      </c>
      <c r="L1235">
        <f>导管母表_1781!G1235</f>
        <v/>
      </c>
      <c r="M1235" t="inlineStr">
        <is>
          <t>视野内部</t>
        </is>
      </c>
      <c r="N1235" t="inlineStr">
        <is>
          <t>纳入A/D/Dh；若有Pair_ID则纳入CWR</t>
        </is>
      </c>
      <c r="O1235" t="inlineStr">
        <is>
          <t>自动管线检出的合格导管腔。</t>
        </is>
      </c>
      <c r="P1235" t="inlineStr">
        <is>
          <t>auto_pipeline;review_png_green</t>
        </is>
      </c>
      <c r="R1235" t="inlineStr">
        <is>
          <t>样品27</t>
        </is>
      </c>
    </row>
    <row r="1236">
      <c r="A1236" t="inlineStr">
        <is>
          <t>27(7)-V03</t>
        </is>
      </c>
      <c r="B1236" t="inlineStr">
        <is>
          <t>27 (7).tif</t>
        </is>
      </c>
      <c r="C1236" t="n">
        <v>416</v>
      </c>
      <c r="D1236" t="n">
        <v>480</v>
      </c>
      <c r="E1236" t="inlineStr">
        <is>
          <t>344,414,489,547</t>
        </is>
      </c>
      <c r="F1236" t="n">
        <v>221</v>
      </c>
      <c r="G1236" t="inlineStr">
        <is>
          <t>primary</t>
        </is>
      </c>
      <c r="H1236" t="inlineStr">
        <is>
          <t>AUTO_VESSEL</t>
        </is>
      </c>
      <c r="I1236" t="inlineStr">
        <is>
          <t>是</t>
        </is>
      </c>
      <c r="J1236" t="inlineStr">
        <is>
          <t>纳入</t>
        </is>
      </c>
      <c r="K1236" t="n">
        <v>612.1219281663516</v>
      </c>
      <c r="L1236">
        <f>导管母表_1781!G1236</f>
        <v/>
      </c>
      <c r="M1236" t="inlineStr">
        <is>
          <t>视野内部</t>
        </is>
      </c>
      <c r="N1236" t="inlineStr">
        <is>
          <t>纳入A/D/Dh；若有Pair_ID则纳入CWR</t>
        </is>
      </c>
      <c r="O1236" t="inlineStr">
        <is>
          <t>自动管线检出的合格导管腔。</t>
        </is>
      </c>
      <c r="P1236" t="inlineStr">
        <is>
          <t>auto_pipeline;review_png_green</t>
        </is>
      </c>
      <c r="R1236" t="inlineStr">
        <is>
          <t>样品27</t>
        </is>
      </c>
    </row>
    <row r="1237">
      <c r="A1237" t="inlineStr">
        <is>
          <t>27(7)-V04</t>
        </is>
      </c>
      <c r="B1237" t="inlineStr">
        <is>
          <t>27 (7).tif</t>
        </is>
      </c>
      <c r="C1237" t="n">
        <v>100</v>
      </c>
      <c r="D1237" t="n">
        <v>301</v>
      </c>
      <c r="E1237" t="inlineStr">
        <is>
          <t>45,263,156,340</t>
        </is>
      </c>
      <c r="F1237" t="n">
        <v>45</v>
      </c>
      <c r="G1237" t="inlineStr">
        <is>
          <t>primary</t>
        </is>
      </c>
      <c r="H1237" t="inlineStr">
        <is>
          <t>AUTO_VESSEL</t>
        </is>
      </c>
      <c r="I1237" t="inlineStr">
        <is>
          <t>是</t>
        </is>
      </c>
      <c r="J1237" t="inlineStr">
        <is>
          <t>纳入</t>
        </is>
      </c>
      <c r="K1237" t="n">
        <v>303.9697542533081</v>
      </c>
      <c r="L1237">
        <f>导管母表_1781!G1237</f>
        <v/>
      </c>
      <c r="M1237" t="inlineStr">
        <is>
          <t>视野内部</t>
        </is>
      </c>
      <c r="N1237" t="inlineStr">
        <is>
          <t>纳入A/D/Dh；若有Pair_ID则纳入CWR</t>
        </is>
      </c>
      <c r="O1237" t="inlineStr">
        <is>
          <t>自动管线检出的合格导管腔。</t>
        </is>
      </c>
      <c r="P1237" t="inlineStr">
        <is>
          <t>auto_pipeline;review_png_green</t>
        </is>
      </c>
      <c r="R1237" t="inlineStr">
        <is>
          <t>样品27</t>
        </is>
      </c>
    </row>
    <row r="1238">
      <c r="A1238" t="inlineStr">
        <is>
          <t>28(2)-V01</t>
        </is>
      </c>
      <c r="B1238" t="inlineStr">
        <is>
          <t>28 (2).tif</t>
        </is>
      </c>
      <c r="C1238" t="n">
        <v>500</v>
      </c>
      <c r="D1238" t="n">
        <v>440</v>
      </c>
      <c r="E1238" t="inlineStr">
        <is>
          <t>434,361,567,520</t>
        </is>
      </c>
      <c r="F1238" t="n">
        <v>248</v>
      </c>
      <c r="G1238" t="inlineStr">
        <is>
          <t>primary</t>
        </is>
      </c>
      <c r="H1238" t="inlineStr">
        <is>
          <t>AUTO_VESSEL</t>
        </is>
      </c>
      <c r="I1238" t="inlineStr">
        <is>
          <t>是</t>
        </is>
      </c>
      <c r="J1238" t="inlineStr">
        <is>
          <t>纳入</t>
        </is>
      </c>
      <c r="K1238" t="n">
        <v>773.2514177693762</v>
      </c>
      <c r="L1238">
        <f>导管母表_1781!G1238</f>
        <v/>
      </c>
      <c r="M1238" t="inlineStr">
        <is>
          <t>视野内部</t>
        </is>
      </c>
      <c r="N1238" t="inlineStr">
        <is>
          <t>纳入A/D/Dh；若有Pair_ID则纳入CWR</t>
        </is>
      </c>
      <c r="O1238" t="inlineStr">
        <is>
          <t>自动管线检出的合格导管腔。</t>
        </is>
      </c>
      <c r="P1238" t="inlineStr">
        <is>
          <t>auto_pipeline;review_png_green</t>
        </is>
      </c>
      <c r="Q1238" t="inlineStr">
        <is>
          <t>28(2)-P01</t>
        </is>
      </c>
      <c r="R1238" t="inlineStr">
        <is>
          <t>样品28</t>
        </is>
      </c>
    </row>
    <row r="1239">
      <c r="A1239" t="inlineStr">
        <is>
          <t>28(2)-V02</t>
        </is>
      </c>
      <c r="B1239" t="inlineStr">
        <is>
          <t>28 (2).tif</t>
        </is>
      </c>
      <c r="C1239" t="n">
        <v>450</v>
      </c>
      <c r="D1239" t="n">
        <v>276</v>
      </c>
      <c r="E1239" t="inlineStr">
        <is>
          <t>388,213,513,340</t>
        </is>
      </c>
      <c r="F1239" t="n">
        <v>213</v>
      </c>
      <c r="G1239" t="inlineStr">
        <is>
          <t>primary</t>
        </is>
      </c>
      <c r="H1239" t="inlineStr">
        <is>
          <t>AUTO_VESSEL</t>
        </is>
      </c>
      <c r="I1239" t="inlineStr">
        <is>
          <t>是</t>
        </is>
      </c>
      <c r="J1239" t="inlineStr">
        <is>
          <t>纳入</t>
        </is>
      </c>
      <c r="K1239" t="n">
        <v>555.1984877126654</v>
      </c>
      <c r="L1239">
        <f>导管母表_1781!G1239</f>
        <v/>
      </c>
      <c r="M1239" t="inlineStr">
        <is>
          <t>视野内部</t>
        </is>
      </c>
      <c r="N1239" t="inlineStr">
        <is>
          <t>纳入A/D/Dh；若有Pair_ID则纳入CWR</t>
        </is>
      </c>
      <c r="O1239" t="inlineStr">
        <is>
          <t>自动管线检出的合格导管腔。</t>
        </is>
      </c>
      <c r="P1239" t="inlineStr">
        <is>
          <t>auto_pipeline;review_png_green</t>
        </is>
      </c>
      <c r="Q1239" t="inlineStr">
        <is>
          <t>28(2)-P01</t>
        </is>
      </c>
      <c r="R1239" t="inlineStr">
        <is>
          <t>样品28</t>
        </is>
      </c>
    </row>
    <row r="1240">
      <c r="A1240" t="inlineStr">
        <is>
          <t>28(3)-V01</t>
        </is>
      </c>
      <c r="B1240" t="inlineStr">
        <is>
          <t>28 (3).tif</t>
        </is>
      </c>
      <c r="C1240" t="n">
        <v>487</v>
      </c>
      <c r="D1240" t="n">
        <v>442</v>
      </c>
      <c r="E1240" t="inlineStr">
        <is>
          <t>419,361,556,524</t>
        </is>
      </c>
      <c r="F1240" t="n">
        <v>244</v>
      </c>
      <c r="G1240" t="inlineStr">
        <is>
          <t>primary</t>
        </is>
      </c>
      <c r="H1240" t="inlineStr">
        <is>
          <t>AUTO_VESSEL</t>
        </is>
      </c>
      <c r="I1240" t="inlineStr">
        <is>
          <t>是</t>
        </is>
      </c>
      <c r="J1240" t="inlineStr">
        <is>
          <t>纳入</t>
        </is>
      </c>
      <c r="K1240" t="n">
        <v>812.8780718336484</v>
      </c>
      <c r="L1240">
        <f>导管母表_1781!G1240</f>
        <v/>
      </c>
      <c r="M1240" t="inlineStr">
        <is>
          <t>视野内部</t>
        </is>
      </c>
      <c r="N1240" t="inlineStr">
        <is>
          <t>纳入A/D/Dh；若有Pair_ID则纳入CWR</t>
        </is>
      </c>
      <c r="O1240" t="inlineStr">
        <is>
          <t>自动管线检出的合格导管腔。</t>
        </is>
      </c>
      <c r="P1240" t="inlineStr">
        <is>
          <t>auto_pipeline;review_png_green</t>
        </is>
      </c>
      <c r="Q1240" t="inlineStr">
        <is>
          <t>28(3)-P01</t>
        </is>
      </c>
      <c r="R1240" t="inlineStr">
        <is>
          <t>样品28</t>
        </is>
      </c>
    </row>
    <row r="1241">
      <c r="A1241" t="inlineStr">
        <is>
          <t>28(3)-V02</t>
        </is>
      </c>
      <c r="B1241" t="inlineStr">
        <is>
          <t>28 (3).tif</t>
        </is>
      </c>
      <c r="C1241" t="n">
        <v>852</v>
      </c>
      <c r="D1241" t="n">
        <v>570</v>
      </c>
      <c r="E1241" t="inlineStr">
        <is>
          <t>783,494,922,647</t>
        </is>
      </c>
      <c r="F1241" t="n">
        <v>102</v>
      </c>
      <c r="G1241" t="inlineStr">
        <is>
          <t>primary</t>
        </is>
      </c>
      <c r="H1241" t="inlineStr">
        <is>
          <t>AUTO_VESSEL</t>
        </is>
      </c>
      <c r="I1241" t="inlineStr">
        <is>
          <t>是</t>
        </is>
      </c>
      <c r="J1241" t="inlineStr">
        <is>
          <t>纳入</t>
        </is>
      </c>
      <c r="K1241" t="n">
        <v>757.1361058601134</v>
      </c>
      <c r="L1241">
        <f>导管母表_1781!G1241</f>
        <v/>
      </c>
      <c r="M1241" t="inlineStr">
        <is>
          <t>视野内部</t>
        </is>
      </c>
      <c r="N1241" t="inlineStr">
        <is>
          <t>纳入A/D/Dh；若有Pair_ID则纳入CWR</t>
        </is>
      </c>
      <c r="O1241" t="inlineStr">
        <is>
          <t>自动管线检出的合格导管腔。</t>
        </is>
      </c>
      <c r="P1241" t="inlineStr">
        <is>
          <t>auto_pipeline;review_png_green</t>
        </is>
      </c>
      <c r="R1241" t="inlineStr">
        <is>
          <t>样品28</t>
        </is>
      </c>
    </row>
    <row r="1242">
      <c r="A1242" t="inlineStr">
        <is>
          <t>28(3)-V03</t>
        </is>
      </c>
      <c r="B1242" t="inlineStr">
        <is>
          <t>28 (3).tif</t>
        </is>
      </c>
      <c r="C1242" t="n">
        <v>510</v>
      </c>
      <c r="D1242" t="n">
        <v>269</v>
      </c>
      <c r="E1242" t="inlineStr">
        <is>
          <t>451,203,570,336</t>
        </is>
      </c>
      <c r="F1242" t="n">
        <v>203</v>
      </c>
      <c r="G1242" t="inlineStr">
        <is>
          <t>primary</t>
        </is>
      </c>
      <c r="H1242" t="inlineStr">
        <is>
          <t>AUTO_VESSEL</t>
        </is>
      </c>
      <c r="I1242" t="inlineStr">
        <is>
          <t>是</t>
        </is>
      </c>
      <c r="J1242" t="inlineStr">
        <is>
          <t>纳入</t>
        </is>
      </c>
      <c r="K1242" t="n">
        <v>577.9773156899811</v>
      </c>
      <c r="L1242">
        <f>导管母表_1781!G1242</f>
        <v/>
      </c>
      <c r="M1242" t="inlineStr">
        <is>
          <t>视野内部</t>
        </is>
      </c>
      <c r="N1242" t="inlineStr">
        <is>
          <t>纳入A/D/Dh；若有Pair_ID则纳入CWR</t>
        </is>
      </c>
      <c r="O1242" t="inlineStr">
        <is>
          <t>自动管线检出的合格导管腔。</t>
        </is>
      </c>
      <c r="P1242" t="inlineStr">
        <is>
          <t>auto_pipeline;review_png_green</t>
        </is>
      </c>
      <c r="Q1242" t="inlineStr">
        <is>
          <t>28(3)-P01</t>
        </is>
      </c>
      <c r="R1242" t="inlineStr">
        <is>
          <t>样品28</t>
        </is>
      </c>
    </row>
    <row r="1243">
      <c r="A1243" t="inlineStr">
        <is>
          <t>28(3)-V04</t>
        </is>
      </c>
      <c r="B1243" t="inlineStr">
        <is>
          <t>28 (3).tif</t>
        </is>
      </c>
      <c r="C1243" t="n">
        <v>337</v>
      </c>
      <c r="D1243" t="n">
        <v>107</v>
      </c>
      <c r="E1243" t="inlineStr">
        <is>
          <t>293,48,382,167</t>
        </is>
      </c>
      <c r="F1243" t="n">
        <v>48</v>
      </c>
      <c r="G1243" t="inlineStr">
        <is>
          <t>primary</t>
        </is>
      </c>
      <c r="H1243" t="inlineStr">
        <is>
          <t>AUTO_VESSEL</t>
        </is>
      </c>
      <c r="I1243" t="inlineStr">
        <is>
          <t>是</t>
        </is>
      </c>
      <c r="J1243" t="inlineStr">
        <is>
          <t>纳入</t>
        </is>
      </c>
      <c r="K1243" t="n">
        <v>342.367674858223</v>
      </c>
      <c r="L1243">
        <f>导管母表_1781!G1243</f>
        <v/>
      </c>
      <c r="M1243" t="inlineStr">
        <is>
          <t>视野内部</t>
        </is>
      </c>
      <c r="N1243" t="inlineStr">
        <is>
          <t>纳入A/D/Dh；若有Pair_ID则纳入CWR</t>
        </is>
      </c>
      <c r="O1243" t="inlineStr">
        <is>
          <t>自动管线检出的合格导管腔。</t>
        </is>
      </c>
      <c r="P1243" t="inlineStr">
        <is>
          <t>auto_pipeline;review_png_green</t>
        </is>
      </c>
      <c r="R1243" t="inlineStr">
        <is>
          <t>样品28</t>
        </is>
      </c>
    </row>
    <row r="1244">
      <c r="A1244" t="inlineStr">
        <is>
          <t>28(4)-V01</t>
        </is>
      </c>
      <c r="B1244" t="inlineStr">
        <is>
          <t>28 (4).tif</t>
        </is>
      </c>
      <c r="C1244" t="n">
        <v>555</v>
      </c>
      <c r="D1244" t="n">
        <v>287</v>
      </c>
      <c r="E1244" t="inlineStr">
        <is>
          <t>499,220,612,355</t>
        </is>
      </c>
      <c r="F1244" t="n">
        <v>220</v>
      </c>
      <c r="G1244" t="inlineStr">
        <is>
          <t>primary</t>
        </is>
      </c>
      <c r="H1244" t="inlineStr">
        <is>
          <t>AUTO_VESSEL</t>
        </is>
      </c>
      <c r="I1244" t="inlineStr">
        <is>
          <t>是</t>
        </is>
      </c>
      <c r="J1244" t="inlineStr">
        <is>
          <t>纳入</t>
        </is>
      </c>
      <c r="K1244" t="n">
        <v>546.17202268431</v>
      </c>
      <c r="L1244">
        <f>导管母表_1781!G1244</f>
        <v/>
      </c>
      <c r="M1244" t="inlineStr">
        <is>
          <t>视野内部</t>
        </is>
      </c>
      <c r="N1244" t="inlineStr">
        <is>
          <t>纳入A/D/Dh；若有Pair_ID则纳入CWR</t>
        </is>
      </c>
      <c r="O1244" t="inlineStr">
        <is>
          <t>自动管线检出的合格导管腔。</t>
        </is>
      </c>
      <c r="P1244" t="inlineStr">
        <is>
          <t>auto_pipeline;review_png_green</t>
        </is>
      </c>
      <c r="R1244" t="inlineStr">
        <is>
          <t>样品28</t>
        </is>
      </c>
    </row>
    <row r="1245">
      <c r="A1245" t="inlineStr">
        <is>
          <t>28(4)-V02</t>
        </is>
      </c>
      <c r="B1245" t="inlineStr">
        <is>
          <t>28 (4).tif</t>
        </is>
      </c>
      <c r="C1245" t="n">
        <v>787</v>
      </c>
      <c r="D1245" t="n">
        <v>211</v>
      </c>
      <c r="E1245" t="inlineStr">
        <is>
          <t>751,178,824,245</t>
        </is>
      </c>
      <c r="F1245" t="n">
        <v>178</v>
      </c>
      <c r="G1245" t="inlineStr">
        <is>
          <t>primary</t>
        </is>
      </c>
      <c r="H1245" t="inlineStr">
        <is>
          <t>AUTO_VESSEL</t>
        </is>
      </c>
      <c r="I1245" t="inlineStr">
        <is>
          <t>是</t>
        </is>
      </c>
      <c r="J1245" t="inlineStr">
        <is>
          <t>纳入</t>
        </is>
      </c>
      <c r="K1245" t="n">
        <v>176.0869565217391</v>
      </c>
      <c r="L1245">
        <f>导管母表_1781!G1245</f>
        <v/>
      </c>
      <c r="M1245" t="inlineStr">
        <is>
          <t>视野内部</t>
        </is>
      </c>
      <c r="N1245" t="inlineStr">
        <is>
          <t>纳入A/D/Dh；若有Pair_ID则纳入CWR</t>
        </is>
      </c>
      <c r="O1245" t="inlineStr">
        <is>
          <t>自动管线检出的合格导管腔。</t>
        </is>
      </c>
      <c r="P1245" t="inlineStr">
        <is>
          <t>auto_pipeline;review_png_green</t>
        </is>
      </c>
      <c r="R1245" t="inlineStr">
        <is>
          <t>样品28</t>
        </is>
      </c>
    </row>
    <row r="1246">
      <c r="A1246" t="inlineStr">
        <is>
          <t>28(5)-V01</t>
        </is>
      </c>
      <c r="B1246" t="inlineStr">
        <is>
          <t>28 (5).tif</t>
        </is>
      </c>
      <c r="C1246" t="n">
        <v>416</v>
      </c>
      <c r="D1246" t="n">
        <v>417</v>
      </c>
      <c r="E1246" t="inlineStr">
        <is>
          <t>351,365,482,470</t>
        </is>
      </c>
      <c r="F1246" t="n">
        <v>298</v>
      </c>
      <c r="G1246" t="inlineStr">
        <is>
          <t>primary</t>
        </is>
      </c>
      <c r="H1246" t="inlineStr">
        <is>
          <t>AUTO_VESSEL</t>
        </is>
      </c>
      <c r="I1246" t="inlineStr">
        <is>
          <t>是</t>
        </is>
      </c>
      <c r="J1246" t="inlineStr">
        <is>
          <t>纳入</t>
        </is>
      </c>
      <c r="K1246" t="n">
        <v>477.3393194706994</v>
      </c>
      <c r="L1246">
        <f>导管母表_1781!G1246</f>
        <v/>
      </c>
      <c r="M1246" t="inlineStr">
        <is>
          <t>视野内部</t>
        </is>
      </c>
      <c r="N1246" t="inlineStr">
        <is>
          <t>纳入A/D/Dh；若有Pair_ID则纳入CWR</t>
        </is>
      </c>
      <c r="O1246" t="inlineStr">
        <is>
          <t>自动管线检出的合格导管腔。</t>
        </is>
      </c>
      <c r="P1246" t="inlineStr">
        <is>
          <t>auto_pipeline;review_png_green</t>
        </is>
      </c>
      <c r="R1246" t="inlineStr">
        <is>
          <t>样品28</t>
        </is>
      </c>
    </row>
    <row r="1247">
      <c r="A1247" t="inlineStr">
        <is>
          <t>28(5)-V02</t>
        </is>
      </c>
      <c r="B1247" t="inlineStr">
        <is>
          <t>28 (5).tif</t>
        </is>
      </c>
      <c r="C1247" t="n">
        <v>150</v>
      </c>
      <c r="D1247" t="n">
        <v>312</v>
      </c>
      <c r="E1247" t="inlineStr">
        <is>
          <t>124,266,177,359</t>
        </is>
      </c>
      <c r="F1247" t="n">
        <v>124</v>
      </c>
      <c r="G1247" t="inlineStr">
        <is>
          <t>primary</t>
        </is>
      </c>
      <c r="H1247" t="inlineStr">
        <is>
          <t>AUTO_VESSEL</t>
        </is>
      </c>
      <c r="I1247" t="inlineStr">
        <is>
          <t>是</t>
        </is>
      </c>
      <c r="J1247" t="inlineStr">
        <is>
          <t>纳入</t>
        </is>
      </c>
      <c r="K1247" t="n">
        <v>178.1190926275993</v>
      </c>
      <c r="L1247">
        <f>导管母表_1781!G1247</f>
        <v/>
      </c>
      <c r="M1247" t="inlineStr">
        <is>
          <t>视野内部</t>
        </is>
      </c>
      <c r="N1247" t="inlineStr">
        <is>
          <t>纳入A/D/Dh；若有Pair_ID则纳入CWR</t>
        </is>
      </c>
      <c r="O1247" t="inlineStr">
        <is>
          <t>自动管线检出的合格导管腔。</t>
        </is>
      </c>
      <c r="P1247" t="inlineStr">
        <is>
          <t>auto_pipeline;review_png_green</t>
        </is>
      </c>
      <c r="R1247" t="inlineStr">
        <is>
          <t>样品28</t>
        </is>
      </c>
    </row>
    <row r="1248">
      <c r="A1248" t="inlineStr">
        <is>
          <t>28(5)-V03</t>
        </is>
      </c>
      <c r="B1248" t="inlineStr">
        <is>
          <t>28 (5).tif</t>
        </is>
      </c>
      <c r="C1248" t="n">
        <v>442</v>
      </c>
      <c r="D1248" t="n">
        <v>105</v>
      </c>
      <c r="E1248" t="inlineStr">
        <is>
          <t>400,77,485,134</t>
        </is>
      </c>
      <c r="F1248" t="n">
        <v>77</v>
      </c>
      <c r="G1248" t="inlineStr">
        <is>
          <t>primary</t>
        </is>
      </c>
      <c r="H1248" t="inlineStr">
        <is>
          <t>AUTO_VESSEL</t>
        </is>
      </c>
      <c r="I1248" t="inlineStr">
        <is>
          <t>是</t>
        </is>
      </c>
      <c r="J1248" t="inlineStr">
        <is>
          <t>纳入</t>
        </is>
      </c>
      <c r="K1248" t="n">
        <v>165.9499054820416</v>
      </c>
      <c r="L1248">
        <f>导管母表_1781!G1248</f>
        <v/>
      </c>
      <c r="M1248" t="inlineStr">
        <is>
          <t>视野内部</t>
        </is>
      </c>
      <c r="N1248" t="inlineStr">
        <is>
          <t>纳入A/D/Dh；若有Pair_ID则纳入CWR</t>
        </is>
      </c>
      <c r="O1248" t="inlineStr">
        <is>
          <t>自动管线检出的合格导管腔。</t>
        </is>
      </c>
      <c r="P1248" t="inlineStr">
        <is>
          <t>auto_pipeline;review_png_green</t>
        </is>
      </c>
      <c r="R1248" t="inlineStr">
        <is>
          <t>样品28</t>
        </is>
      </c>
    </row>
    <row r="1249">
      <c r="A1249" t="inlineStr">
        <is>
          <t>28(6)-V01</t>
        </is>
      </c>
      <c r="B1249" t="inlineStr">
        <is>
          <t>28 (6).tif</t>
        </is>
      </c>
      <c r="C1249" t="n">
        <v>409</v>
      </c>
      <c r="D1249" t="n">
        <v>386</v>
      </c>
      <c r="E1249" t="inlineStr">
        <is>
          <t>343,326,476,447</t>
        </is>
      </c>
      <c r="F1249" t="n">
        <v>321</v>
      </c>
      <c r="G1249" t="inlineStr">
        <is>
          <t>primary</t>
        </is>
      </c>
      <c r="H1249" t="inlineStr">
        <is>
          <t>AUTO_VESSEL</t>
        </is>
      </c>
      <c r="I1249" t="inlineStr">
        <is>
          <t>是</t>
        </is>
      </c>
      <c r="J1249" t="inlineStr">
        <is>
          <t>纳入</t>
        </is>
      </c>
      <c r="K1249" t="n">
        <v>588.5633270321362</v>
      </c>
      <c r="L1249">
        <f>导管母表_1781!G1249</f>
        <v/>
      </c>
      <c r="M1249" t="inlineStr">
        <is>
          <t>视野内部</t>
        </is>
      </c>
      <c r="N1249" t="inlineStr">
        <is>
          <t>纳入A/D/Dh；若有Pair_ID则纳入CWR</t>
        </is>
      </c>
      <c r="O1249" t="inlineStr">
        <is>
          <t>自动管线检出的合格导管腔。</t>
        </is>
      </c>
      <c r="P1249" t="inlineStr">
        <is>
          <t>auto_pipeline;review_png_green</t>
        </is>
      </c>
      <c r="R1249" t="inlineStr">
        <is>
          <t>样品28</t>
        </is>
      </c>
    </row>
    <row r="1250">
      <c r="A1250" t="inlineStr">
        <is>
          <t>28(6)-V02</t>
        </is>
      </c>
      <c r="B1250" t="inlineStr">
        <is>
          <t>28 (6).tif</t>
        </is>
      </c>
      <c r="C1250" t="n">
        <v>119</v>
      </c>
      <c r="D1250" t="n">
        <v>289</v>
      </c>
      <c r="E1250" t="inlineStr">
        <is>
          <t>51,251,188,328</t>
        </is>
      </c>
      <c r="F1250" t="n">
        <v>51</v>
      </c>
      <c r="G1250" t="inlineStr">
        <is>
          <t>primary</t>
        </is>
      </c>
      <c r="H1250" t="inlineStr">
        <is>
          <t>AUTO_VESSEL</t>
        </is>
      </c>
      <c r="I1250" t="inlineStr">
        <is>
          <t>是</t>
        </is>
      </c>
      <c r="J1250" t="inlineStr">
        <is>
          <t>纳入</t>
        </is>
      </c>
      <c r="K1250" t="n">
        <v>373.8185255198488</v>
      </c>
      <c r="L1250">
        <f>导管母表_1781!G1250</f>
        <v/>
      </c>
      <c r="M1250" t="inlineStr">
        <is>
          <t>视野内部</t>
        </is>
      </c>
      <c r="N1250" t="inlineStr">
        <is>
          <t>纳入A/D/Dh；若有Pair_ID则纳入CWR</t>
        </is>
      </c>
      <c r="O1250" t="inlineStr">
        <is>
          <t>自动管线检出的合格导管腔。</t>
        </is>
      </c>
      <c r="P1250" t="inlineStr">
        <is>
          <t>auto_pipeline;review_png_green</t>
        </is>
      </c>
      <c r="R1250" t="inlineStr">
        <is>
          <t>样品28</t>
        </is>
      </c>
    </row>
    <row r="1251">
      <c r="A1251" t="inlineStr">
        <is>
          <t>28(6)-V03</t>
        </is>
      </c>
      <c r="B1251" t="inlineStr">
        <is>
          <t>28 (6).tif</t>
        </is>
      </c>
      <c r="C1251" t="n">
        <v>797</v>
      </c>
      <c r="D1251" t="n">
        <v>451</v>
      </c>
      <c r="E1251" t="inlineStr">
        <is>
          <t>760,422,835,481</t>
        </is>
      </c>
      <c r="F1251" t="n">
        <v>189</v>
      </c>
      <c r="G1251" t="inlineStr">
        <is>
          <t>primary</t>
        </is>
      </c>
      <c r="H1251" t="inlineStr">
        <is>
          <t>AUTO_VESSEL</t>
        </is>
      </c>
      <c r="I1251" t="inlineStr">
        <is>
          <t>是</t>
        </is>
      </c>
      <c r="J1251" t="inlineStr">
        <is>
          <t>纳入</t>
        </is>
      </c>
      <c r="K1251" t="n">
        <v>148.3223062381853</v>
      </c>
      <c r="L1251">
        <f>导管母表_1781!G1251</f>
        <v/>
      </c>
      <c r="M1251" t="inlineStr">
        <is>
          <t>视野内部</t>
        </is>
      </c>
      <c r="N1251" t="inlineStr">
        <is>
          <t>纳入A/D/Dh；若有Pair_ID则纳入CWR</t>
        </is>
      </c>
      <c r="O1251" t="inlineStr">
        <is>
          <t>自动管线检出的合格导管腔。</t>
        </is>
      </c>
      <c r="P1251" t="inlineStr">
        <is>
          <t>auto_pipeline;review_png_green</t>
        </is>
      </c>
      <c r="R1251" t="inlineStr">
        <is>
          <t>样品28</t>
        </is>
      </c>
    </row>
    <row r="1252">
      <c r="A1252" t="inlineStr">
        <is>
          <t>28(7)-V01</t>
        </is>
      </c>
      <c r="B1252" t="inlineStr">
        <is>
          <t>28 (7).tif</t>
        </is>
      </c>
      <c r="C1252" t="n">
        <v>569</v>
      </c>
      <c r="D1252" t="n">
        <v>367</v>
      </c>
      <c r="E1252" t="inlineStr">
        <is>
          <t>492,305,647,430</t>
        </is>
      </c>
      <c r="F1252" t="n">
        <v>305</v>
      </c>
      <c r="G1252" t="inlineStr">
        <is>
          <t>primary</t>
        </is>
      </c>
      <c r="H1252" t="inlineStr">
        <is>
          <t>AUTO_VESSEL</t>
        </is>
      </c>
      <c r="I1252" t="inlineStr">
        <is>
          <t>是</t>
        </is>
      </c>
      <c r="J1252" t="inlineStr">
        <is>
          <t>纳入</t>
        </is>
      </c>
      <c r="K1252" t="n">
        <v>708.4593572778828</v>
      </c>
      <c r="L1252">
        <f>导管母表_1781!G1252</f>
        <v/>
      </c>
      <c r="M1252" t="inlineStr">
        <is>
          <t>视野内部</t>
        </is>
      </c>
      <c r="N1252" t="inlineStr">
        <is>
          <t>纳入A/D/Dh；若有Pair_ID则纳入CWR</t>
        </is>
      </c>
      <c r="O1252" t="inlineStr">
        <is>
          <t>自动管线检出的合格导管腔。</t>
        </is>
      </c>
      <c r="P1252" t="inlineStr">
        <is>
          <t>auto_pipeline;review_png_green</t>
        </is>
      </c>
      <c r="R1252" t="inlineStr">
        <is>
          <t>样品28</t>
        </is>
      </c>
    </row>
    <row r="1253">
      <c r="A1253" t="inlineStr">
        <is>
          <t>28(7)-V02</t>
        </is>
      </c>
      <c r="B1253" t="inlineStr">
        <is>
          <t>28 (7).tif</t>
        </is>
      </c>
      <c r="C1253" t="n">
        <v>408</v>
      </c>
      <c r="D1253" t="n">
        <v>82</v>
      </c>
      <c r="E1253" t="inlineStr">
        <is>
          <t>375,58,442,107</t>
        </is>
      </c>
      <c r="F1253" t="n">
        <v>58</v>
      </c>
      <c r="G1253" t="inlineStr">
        <is>
          <t>primary</t>
        </is>
      </c>
      <c r="H1253" t="inlineStr">
        <is>
          <t>AUTO_VESSEL</t>
        </is>
      </c>
      <c r="I1253" t="inlineStr">
        <is>
          <t>是</t>
        </is>
      </c>
      <c r="J1253" t="inlineStr">
        <is>
          <t>纳入</t>
        </is>
      </c>
      <c r="K1253" t="n">
        <v>117.4385633270321</v>
      </c>
      <c r="L1253">
        <f>导管母表_1781!G1253</f>
        <v/>
      </c>
      <c r="M1253" t="inlineStr">
        <is>
          <t>视野内部</t>
        </is>
      </c>
      <c r="N1253" t="inlineStr">
        <is>
          <t>纳入A/D/Dh；若有Pair_ID则纳入CWR</t>
        </is>
      </c>
      <c r="O1253" t="inlineStr">
        <is>
          <t>自动管线检出的合格导管腔。</t>
        </is>
      </c>
      <c r="P1253" t="inlineStr">
        <is>
          <t>auto_pipeline;review_png_green</t>
        </is>
      </c>
      <c r="R1253" t="inlineStr">
        <is>
          <t>样品28</t>
        </is>
      </c>
    </row>
    <row r="1254">
      <c r="A1254" t="inlineStr">
        <is>
          <t>28(8)-V01</t>
        </is>
      </c>
      <c r="B1254" t="inlineStr">
        <is>
          <t>28 (8).tif</t>
        </is>
      </c>
      <c r="C1254" t="n">
        <v>458</v>
      </c>
      <c r="D1254" t="n">
        <v>448</v>
      </c>
      <c r="E1254" t="inlineStr">
        <is>
          <t>400,382,517,515</t>
        </is>
      </c>
      <c r="F1254" t="n">
        <v>253</v>
      </c>
      <c r="G1254" t="inlineStr">
        <is>
          <t>primary</t>
        </is>
      </c>
      <c r="H1254" t="inlineStr">
        <is>
          <t>AUTO_VESSEL</t>
        </is>
      </c>
      <c r="I1254" t="inlineStr">
        <is>
          <t>是</t>
        </is>
      </c>
      <c r="J1254" t="inlineStr">
        <is>
          <t>纳入</t>
        </is>
      </c>
      <c r="K1254" t="n">
        <v>566.6824196597354</v>
      </c>
      <c r="L1254">
        <f>导管母表_1781!G1254</f>
        <v/>
      </c>
      <c r="M1254" t="inlineStr">
        <is>
          <t>视野内部</t>
        </is>
      </c>
      <c r="N1254" t="inlineStr">
        <is>
          <t>纳入A/D/Dh；若有Pair_ID则纳入CWR</t>
        </is>
      </c>
      <c r="O1254" t="inlineStr">
        <is>
          <t>自动管线检出的合格导管腔。</t>
        </is>
      </c>
      <c r="P1254" t="inlineStr">
        <is>
          <t>auto_pipeline;review_png_green</t>
        </is>
      </c>
      <c r="Q1254" t="inlineStr">
        <is>
          <t>28(8)-P01</t>
        </is>
      </c>
      <c r="R1254" t="inlineStr">
        <is>
          <t>样品28</t>
        </is>
      </c>
    </row>
    <row r="1255">
      <c r="A1255" t="inlineStr">
        <is>
          <t>28(8)-V02</t>
        </is>
      </c>
      <c r="B1255" t="inlineStr">
        <is>
          <t>28 (8).tif</t>
        </is>
      </c>
      <c r="C1255" t="n">
        <v>560</v>
      </c>
      <c r="D1255" t="n">
        <v>346</v>
      </c>
      <c r="E1255" t="inlineStr">
        <is>
          <t>511,282,610,411</t>
        </is>
      </c>
      <c r="F1255" t="n">
        <v>282</v>
      </c>
      <c r="G1255" t="inlineStr">
        <is>
          <t>primary</t>
        </is>
      </c>
      <c r="H1255" t="inlineStr">
        <is>
          <t>AUTO_VESSEL</t>
        </is>
      </c>
      <c r="I1255" t="inlineStr">
        <is>
          <t>是</t>
        </is>
      </c>
      <c r="J1255" t="inlineStr">
        <is>
          <t>纳入</t>
        </is>
      </c>
      <c r="K1255" t="n">
        <v>462.6417769376181</v>
      </c>
      <c r="L1255">
        <f>导管母表_1781!G1255</f>
        <v/>
      </c>
      <c r="M1255" t="inlineStr">
        <is>
          <t>视野内部</t>
        </is>
      </c>
      <c r="N1255" t="inlineStr">
        <is>
          <t>纳入A/D/Dh；若有Pair_ID则纳入CWR</t>
        </is>
      </c>
      <c r="O1255" t="inlineStr">
        <is>
          <t>自动管线检出的合格导管腔。</t>
        </is>
      </c>
      <c r="P1255" t="inlineStr">
        <is>
          <t>auto_pipeline;review_png_green</t>
        </is>
      </c>
      <c r="Q1255" t="inlineStr">
        <is>
          <t>28(8)-P01</t>
        </is>
      </c>
      <c r="R1255" t="inlineStr">
        <is>
          <t>样品28</t>
        </is>
      </c>
    </row>
    <row r="1256">
      <c r="A1256" t="inlineStr">
        <is>
          <t>29(1)-V01</t>
        </is>
      </c>
      <c r="B1256" t="inlineStr">
        <is>
          <t>29 (1).tif</t>
        </is>
      </c>
      <c r="C1256" t="n">
        <v>442</v>
      </c>
      <c r="D1256" t="n">
        <v>390</v>
      </c>
      <c r="E1256" t="inlineStr">
        <is>
          <t>387,320,498,461</t>
        </is>
      </c>
      <c r="F1256" t="n">
        <v>307</v>
      </c>
      <c r="G1256" t="inlineStr">
        <is>
          <t>primary</t>
        </is>
      </c>
      <c r="H1256" t="inlineStr">
        <is>
          <t>AUTO_VESSEL</t>
        </is>
      </c>
      <c r="I1256" t="inlineStr">
        <is>
          <t>是</t>
        </is>
      </c>
      <c r="J1256" t="inlineStr">
        <is>
          <t>纳入</t>
        </is>
      </c>
      <c r="K1256" t="n">
        <v>568.9035916824197</v>
      </c>
      <c r="L1256">
        <f>导管母表_1781!G1256</f>
        <v/>
      </c>
      <c r="M1256" t="inlineStr">
        <is>
          <t>视野内部</t>
        </is>
      </c>
      <c r="N1256" t="inlineStr">
        <is>
          <t>纳入A/D/Dh；若有Pair_ID则纳入CWR</t>
        </is>
      </c>
      <c r="O1256" t="inlineStr">
        <is>
          <t>自动管线检出的合格导管腔。</t>
        </is>
      </c>
      <c r="P1256" t="inlineStr">
        <is>
          <t>auto_pipeline;review_png_green</t>
        </is>
      </c>
      <c r="Q1256" t="inlineStr">
        <is>
          <t>29(1)-P01</t>
        </is>
      </c>
      <c r="R1256" t="inlineStr">
        <is>
          <t>样品29</t>
        </is>
      </c>
    </row>
    <row r="1257">
      <c r="A1257" t="inlineStr">
        <is>
          <t>29(1)-V02</t>
        </is>
      </c>
      <c r="B1257" t="inlineStr">
        <is>
          <t>29 (1).tif</t>
        </is>
      </c>
      <c r="C1257" t="n">
        <v>549</v>
      </c>
      <c r="D1257" t="n">
        <v>304</v>
      </c>
      <c r="E1257" t="inlineStr">
        <is>
          <t>501,241,598,368</t>
        </is>
      </c>
      <c r="F1257" t="n">
        <v>241</v>
      </c>
      <c r="G1257" t="inlineStr">
        <is>
          <t>primary</t>
        </is>
      </c>
      <c r="H1257" t="inlineStr">
        <is>
          <t>AUTO_VESSEL</t>
        </is>
      </c>
      <c r="I1257" t="inlineStr">
        <is>
          <t>是</t>
        </is>
      </c>
      <c r="J1257" t="inlineStr">
        <is>
          <t>纳入</t>
        </is>
      </c>
      <c r="K1257" t="n">
        <v>437.3345935727788</v>
      </c>
      <c r="L1257">
        <f>导管母表_1781!G1257</f>
        <v/>
      </c>
      <c r="M1257" t="inlineStr">
        <is>
          <t>视野内部</t>
        </is>
      </c>
      <c r="N1257" t="inlineStr">
        <is>
          <t>纳入A/D/Dh；若有Pair_ID则纳入CWR</t>
        </is>
      </c>
      <c r="O1257" t="inlineStr">
        <is>
          <t>自动管线检出的合格导管腔。</t>
        </is>
      </c>
      <c r="P1257" t="inlineStr">
        <is>
          <t>auto_pipeline;review_png_green</t>
        </is>
      </c>
      <c r="Q1257" t="inlineStr">
        <is>
          <t>29(1)-P01</t>
        </is>
      </c>
      <c r="R1257" t="inlineStr">
        <is>
          <t>样品29</t>
        </is>
      </c>
    </row>
    <row r="1258">
      <c r="A1258" t="inlineStr">
        <is>
          <t>29(1)-V03</t>
        </is>
      </c>
      <c r="B1258" t="inlineStr">
        <is>
          <t>29 (1).tif</t>
        </is>
      </c>
      <c r="C1258" t="n">
        <v>571</v>
      </c>
      <c r="D1258" t="n">
        <v>207</v>
      </c>
      <c r="E1258" t="inlineStr">
        <is>
          <t>530,172,613,243</t>
        </is>
      </c>
      <c r="F1258" t="n">
        <v>172</v>
      </c>
      <c r="G1258" t="inlineStr">
        <is>
          <t>primary</t>
        </is>
      </c>
      <c r="H1258" t="inlineStr">
        <is>
          <t>AUTO_VESSEL</t>
        </is>
      </c>
      <c r="I1258" t="inlineStr">
        <is>
          <t>是</t>
        </is>
      </c>
      <c r="J1258" t="inlineStr">
        <is>
          <t>纳入</t>
        </is>
      </c>
      <c r="K1258" t="n">
        <v>187.9725897920605</v>
      </c>
      <c r="L1258">
        <f>导管母表_1781!G1258</f>
        <v/>
      </c>
      <c r="M1258" t="inlineStr">
        <is>
          <t>视野内部</t>
        </is>
      </c>
      <c r="N1258" t="inlineStr">
        <is>
          <t>纳入A/D/Dh；若有Pair_ID则纳入CWR</t>
        </is>
      </c>
      <c r="O1258" t="inlineStr">
        <is>
          <t>自动管线检出的合格导管腔。</t>
        </is>
      </c>
      <c r="P1258" t="inlineStr">
        <is>
          <t>auto_pipeline;review_png_green</t>
        </is>
      </c>
      <c r="R1258" t="inlineStr">
        <is>
          <t>样品29</t>
        </is>
      </c>
    </row>
    <row r="1259">
      <c r="A1259" t="inlineStr">
        <is>
          <t>29(2)-V01</t>
        </is>
      </c>
      <c r="B1259" t="inlineStr">
        <is>
          <t>29 (2).tif</t>
        </is>
      </c>
      <c r="C1259" t="n">
        <v>834</v>
      </c>
      <c r="D1259" t="n">
        <v>329</v>
      </c>
      <c r="E1259" t="inlineStr">
        <is>
          <t>759,258,910,401</t>
        </is>
      </c>
      <c r="F1259" t="n">
        <v>114</v>
      </c>
      <c r="G1259" t="inlineStr">
        <is>
          <t>primary</t>
        </is>
      </c>
      <c r="H1259" t="inlineStr">
        <is>
          <t>AUTO_VESSEL</t>
        </is>
      </c>
      <c r="I1259" t="inlineStr">
        <is>
          <t>是</t>
        </is>
      </c>
      <c r="J1259" t="inlineStr">
        <is>
          <t>纳入</t>
        </is>
      </c>
      <c r="K1259" t="n">
        <v>789.5557655954632</v>
      </c>
      <c r="L1259">
        <f>导管母表_1781!G1259</f>
        <v/>
      </c>
      <c r="M1259" t="inlineStr">
        <is>
          <t>视野内部</t>
        </is>
      </c>
      <c r="N1259" t="inlineStr">
        <is>
          <t>纳入A/D/Dh；若有Pair_ID则纳入CWR</t>
        </is>
      </c>
      <c r="O1259" t="inlineStr">
        <is>
          <t>自动管线检出的合格导管腔。</t>
        </is>
      </c>
      <c r="P1259" t="inlineStr">
        <is>
          <t>auto_pipeline;review_png_green</t>
        </is>
      </c>
      <c r="R1259" t="inlineStr">
        <is>
          <t>样品29</t>
        </is>
      </c>
    </row>
    <row r="1260">
      <c r="A1260" t="inlineStr">
        <is>
          <t>29(2)-V02</t>
        </is>
      </c>
      <c r="B1260" t="inlineStr">
        <is>
          <t>29 (2).tif</t>
        </is>
      </c>
      <c r="C1260" t="n">
        <v>458</v>
      </c>
      <c r="D1260" t="n">
        <v>90</v>
      </c>
      <c r="E1260" t="inlineStr">
        <is>
          <t>393,36,524,145</t>
        </is>
      </c>
      <c r="F1260" t="n">
        <v>36</v>
      </c>
      <c r="G1260" t="inlineStr">
        <is>
          <t>primary</t>
        </is>
      </c>
      <c r="H1260" t="inlineStr">
        <is>
          <t>AUTO_VESSEL</t>
        </is>
      </c>
      <c r="I1260" t="inlineStr">
        <is>
          <t>是</t>
        </is>
      </c>
      <c r="J1260" t="inlineStr">
        <is>
          <t>纳入</t>
        </is>
      </c>
      <c r="K1260" t="n">
        <v>520.5576559546314</v>
      </c>
      <c r="L1260">
        <f>导管母表_1781!G1260</f>
        <v/>
      </c>
      <c r="M1260" t="inlineStr">
        <is>
          <t>视野内部</t>
        </is>
      </c>
      <c r="N1260" t="inlineStr">
        <is>
          <t>纳入A/D/Dh；若有Pair_ID则纳入CWR</t>
        </is>
      </c>
      <c r="O1260" t="inlineStr">
        <is>
          <t>自动管线检出的合格导管腔。</t>
        </is>
      </c>
      <c r="P1260" t="inlineStr">
        <is>
          <t>auto_pipeline;review_png_green</t>
        </is>
      </c>
      <c r="R1260" t="inlineStr">
        <is>
          <t>样品29</t>
        </is>
      </c>
    </row>
    <row r="1261">
      <c r="A1261" t="inlineStr">
        <is>
          <t>29(2)-V03</t>
        </is>
      </c>
      <c r="B1261" t="inlineStr">
        <is>
          <t>29 (2).tif</t>
        </is>
      </c>
      <c r="C1261" t="n">
        <v>509</v>
      </c>
      <c r="D1261" t="n">
        <v>446</v>
      </c>
      <c r="E1261" t="inlineStr">
        <is>
          <t>461,390,558,503</t>
        </is>
      </c>
      <c r="F1261" t="n">
        <v>265</v>
      </c>
      <c r="G1261" t="inlineStr">
        <is>
          <t>primary</t>
        </is>
      </c>
      <c r="H1261" t="inlineStr">
        <is>
          <t>AUTO_VESSEL</t>
        </is>
      </c>
      <c r="I1261" t="inlineStr">
        <is>
          <t>是</t>
        </is>
      </c>
      <c r="J1261" t="inlineStr">
        <is>
          <t>纳入</t>
        </is>
      </c>
      <c r="K1261" t="n">
        <v>399.3383742911153</v>
      </c>
      <c r="L1261">
        <f>导管母表_1781!G1261</f>
        <v/>
      </c>
      <c r="M1261" t="inlineStr">
        <is>
          <t>视野内部</t>
        </is>
      </c>
      <c r="N1261" t="inlineStr">
        <is>
          <t>纳入A/D/Dh；若有Pair_ID则纳入CWR</t>
        </is>
      </c>
      <c r="O1261" t="inlineStr">
        <is>
          <t>自动管线检出的合格导管腔。</t>
        </is>
      </c>
      <c r="P1261" t="inlineStr">
        <is>
          <t>auto_pipeline;review_png_green</t>
        </is>
      </c>
      <c r="Q1261" t="inlineStr">
        <is>
          <t>29(2)-P01</t>
        </is>
      </c>
      <c r="R1261" t="inlineStr">
        <is>
          <t>样品29</t>
        </is>
      </c>
    </row>
    <row r="1262">
      <c r="A1262" t="inlineStr">
        <is>
          <t>29(2)-V04</t>
        </is>
      </c>
      <c r="B1262" t="inlineStr">
        <is>
          <t>29 (2).tif</t>
        </is>
      </c>
      <c r="C1262" t="n">
        <v>691</v>
      </c>
      <c r="D1262" t="n">
        <v>521</v>
      </c>
      <c r="E1262" t="inlineStr">
        <is>
          <t>642,467,741,576</t>
        </is>
      </c>
      <c r="F1262" t="n">
        <v>192</v>
      </c>
      <c r="G1262" t="inlineStr">
        <is>
          <t>primary</t>
        </is>
      </c>
      <c r="H1262" t="inlineStr">
        <is>
          <t>AUTO_VESSEL</t>
        </is>
      </c>
      <c r="I1262" t="inlineStr">
        <is>
          <t>是</t>
        </is>
      </c>
      <c r="J1262" t="inlineStr">
        <is>
          <t>纳入</t>
        </is>
      </c>
      <c r="K1262" t="n">
        <v>383.9792060491494</v>
      </c>
      <c r="L1262">
        <f>导管母表_1781!G1262</f>
        <v/>
      </c>
      <c r="M1262" t="inlineStr">
        <is>
          <t>视野内部</t>
        </is>
      </c>
      <c r="N1262" t="inlineStr">
        <is>
          <t>纳入A/D/Dh；若有Pair_ID则纳入CWR</t>
        </is>
      </c>
      <c r="O1262" t="inlineStr">
        <is>
          <t>自动管线检出的合格导管腔。</t>
        </is>
      </c>
      <c r="P1262" t="inlineStr">
        <is>
          <t>auto_pipeline;review_png_green</t>
        </is>
      </c>
      <c r="R1262" t="inlineStr">
        <is>
          <t>样品29</t>
        </is>
      </c>
    </row>
    <row r="1263">
      <c r="A1263" t="inlineStr">
        <is>
          <t>29(2)-V05</t>
        </is>
      </c>
      <c r="B1263" t="inlineStr">
        <is>
          <t>29 (2).tif</t>
        </is>
      </c>
      <c r="C1263" t="n">
        <v>262</v>
      </c>
      <c r="D1263" t="n">
        <v>491</v>
      </c>
      <c r="E1263" t="inlineStr">
        <is>
          <t>219,437,306,546</t>
        </is>
      </c>
      <c r="F1263" t="n">
        <v>219</v>
      </c>
      <c r="G1263" t="inlineStr">
        <is>
          <t>primary</t>
        </is>
      </c>
      <c r="H1263" t="inlineStr">
        <is>
          <t>AUTO_VESSEL</t>
        </is>
      </c>
      <c r="I1263" t="inlineStr">
        <is>
          <t>是</t>
        </is>
      </c>
      <c r="J1263" t="inlineStr">
        <is>
          <t>纳入</t>
        </is>
      </c>
      <c r="K1263" t="n">
        <v>334.4990548204159</v>
      </c>
      <c r="L1263">
        <f>导管母表_1781!G1263</f>
        <v/>
      </c>
      <c r="M1263" t="inlineStr">
        <is>
          <t>视野内部</t>
        </is>
      </c>
      <c r="N1263" t="inlineStr">
        <is>
          <t>纳入A/D/Dh；若有Pair_ID则纳入CWR</t>
        </is>
      </c>
      <c r="O1263" t="inlineStr">
        <is>
          <t>自动管线检出的合格导管腔。</t>
        </is>
      </c>
      <c r="P1263" t="inlineStr">
        <is>
          <t>auto_pipeline;review_png_green</t>
        </is>
      </c>
      <c r="R1263" t="inlineStr">
        <is>
          <t>样品29</t>
        </is>
      </c>
    </row>
    <row r="1264">
      <c r="A1264" t="inlineStr">
        <is>
          <t>29(2)-V06</t>
        </is>
      </c>
      <c r="B1264" t="inlineStr">
        <is>
          <t>29 (2).tif</t>
        </is>
      </c>
      <c r="C1264" t="n">
        <v>498</v>
      </c>
      <c r="D1264" t="n">
        <v>315</v>
      </c>
      <c r="E1264" t="inlineStr">
        <is>
          <t>450,269,547,362</t>
        </is>
      </c>
      <c r="F1264" t="n">
        <v>269</v>
      </c>
      <c r="G1264" t="inlineStr">
        <is>
          <t>primary</t>
        </is>
      </c>
      <c r="H1264" t="inlineStr">
        <is>
          <t>AUTO_VESSEL</t>
        </is>
      </c>
      <c r="I1264" t="inlineStr">
        <is>
          <t>是</t>
        </is>
      </c>
      <c r="J1264" t="inlineStr">
        <is>
          <t>纳入</t>
        </is>
      </c>
      <c r="K1264" t="n">
        <v>327.0085066162571</v>
      </c>
      <c r="L1264">
        <f>导管母表_1781!G1264</f>
        <v/>
      </c>
      <c r="M1264" t="inlineStr">
        <is>
          <t>视野内部</t>
        </is>
      </c>
      <c r="N1264" t="inlineStr">
        <is>
          <t>纳入A/D/Dh；若有Pair_ID则纳入CWR</t>
        </is>
      </c>
      <c r="O1264" t="inlineStr">
        <is>
          <t>自动管线检出的合格导管腔。</t>
        </is>
      </c>
      <c r="P1264" t="inlineStr">
        <is>
          <t>auto_pipeline;review_png_green</t>
        </is>
      </c>
      <c r="Q1264" t="inlineStr">
        <is>
          <t>29(2)-P01</t>
        </is>
      </c>
      <c r="R1264" t="inlineStr">
        <is>
          <t>样品29</t>
        </is>
      </c>
    </row>
    <row r="1265">
      <c r="A1265" t="inlineStr">
        <is>
          <t>29(2)-V07</t>
        </is>
      </c>
      <c r="B1265" t="inlineStr">
        <is>
          <t>29 (2).tif</t>
        </is>
      </c>
      <c r="C1265" t="n">
        <v>774</v>
      </c>
      <c r="D1265" t="n">
        <v>135</v>
      </c>
      <c r="E1265" t="inlineStr">
        <is>
          <t>734,85,815,186</t>
        </is>
      </c>
      <c r="F1265" t="n">
        <v>85</v>
      </c>
      <c r="G1265" t="inlineStr">
        <is>
          <t>primary</t>
        </is>
      </c>
      <c r="H1265" t="inlineStr">
        <is>
          <t>AUTO_VESSEL</t>
        </is>
      </c>
      <c r="I1265" t="inlineStr">
        <is>
          <t>是</t>
        </is>
      </c>
      <c r="J1265" t="inlineStr">
        <is>
          <t>纳入</t>
        </is>
      </c>
      <c r="K1265" t="n">
        <v>288.0434782608696</v>
      </c>
      <c r="L1265">
        <f>导管母表_1781!G1265</f>
        <v/>
      </c>
      <c r="M1265" t="inlineStr">
        <is>
          <t>视野内部</t>
        </is>
      </c>
      <c r="N1265" t="inlineStr">
        <is>
          <t>纳入A/D/Dh；若有Pair_ID则纳入CWR</t>
        </is>
      </c>
      <c r="O1265" t="inlineStr">
        <is>
          <t>自动管线检出的合格导管腔。</t>
        </is>
      </c>
      <c r="P1265" t="inlineStr">
        <is>
          <t>auto_pipeline;review_png_green</t>
        </is>
      </c>
      <c r="R1265" t="inlineStr">
        <is>
          <t>样品29</t>
        </is>
      </c>
    </row>
    <row r="1266">
      <c r="A1266" t="inlineStr">
        <is>
          <t>29(2)-V08</t>
        </is>
      </c>
      <c r="B1266" t="inlineStr">
        <is>
          <t>29 (2).tif</t>
        </is>
      </c>
      <c r="C1266" t="n">
        <v>223</v>
      </c>
      <c r="D1266" t="n">
        <v>583</v>
      </c>
      <c r="E1266" t="inlineStr">
        <is>
          <t>200,548,247,619</t>
        </is>
      </c>
      <c r="F1266" t="n">
        <v>149</v>
      </c>
      <c r="G1266" t="inlineStr">
        <is>
          <t>primary</t>
        </is>
      </c>
      <c r="H1266" t="inlineStr">
        <is>
          <t>AUTO_VESSEL</t>
        </is>
      </c>
      <c r="I1266" t="inlineStr">
        <is>
          <t>是</t>
        </is>
      </c>
      <c r="J1266" t="inlineStr">
        <is>
          <t>纳入</t>
        </is>
      </c>
      <c r="K1266" t="n">
        <v>119.8724007561437</v>
      </c>
      <c r="L1266">
        <f>导管母表_1781!G1266</f>
        <v/>
      </c>
      <c r="M1266" t="inlineStr">
        <is>
          <t>视野内部</t>
        </is>
      </c>
      <c r="N1266" t="inlineStr">
        <is>
          <t>纳入A/D/Dh；若有Pair_ID则纳入CWR</t>
        </is>
      </c>
      <c r="O1266" t="inlineStr">
        <is>
          <t>自动管线检出的合格导管腔。</t>
        </is>
      </c>
      <c r="P1266" t="inlineStr">
        <is>
          <t>auto_pipeline;review_png_green</t>
        </is>
      </c>
      <c r="R1266" t="inlineStr">
        <is>
          <t>样品29</t>
        </is>
      </c>
    </row>
    <row r="1267">
      <c r="A1267" t="inlineStr">
        <is>
          <t>29(3)-V01</t>
        </is>
      </c>
      <c r="B1267" t="inlineStr">
        <is>
          <t>29 (3).tif</t>
        </is>
      </c>
      <c r="C1267" t="n">
        <v>542</v>
      </c>
      <c r="D1267" t="n">
        <v>435</v>
      </c>
      <c r="E1267" t="inlineStr">
        <is>
          <t>482,372,603,499</t>
        </is>
      </c>
      <c r="F1267" t="n">
        <v>269</v>
      </c>
      <c r="G1267" t="inlineStr">
        <is>
          <t>primary</t>
        </is>
      </c>
      <c r="H1267" t="inlineStr">
        <is>
          <t>AUTO_VESSEL</t>
        </is>
      </c>
      <c r="I1267" t="inlineStr">
        <is>
          <t>是</t>
        </is>
      </c>
      <c r="J1267" t="inlineStr">
        <is>
          <t>纳入</t>
        </is>
      </c>
      <c r="K1267" t="n">
        <v>561.2948960302457</v>
      </c>
      <c r="L1267">
        <f>导管母表_1781!G1267</f>
        <v/>
      </c>
      <c r="M1267" t="inlineStr">
        <is>
          <t>视野内部</t>
        </is>
      </c>
      <c r="N1267" t="inlineStr">
        <is>
          <t>纳入A/D/Dh；若有Pair_ID则纳入CWR</t>
        </is>
      </c>
      <c r="O1267" t="inlineStr">
        <is>
          <t>自动管线检出的合格导管腔。</t>
        </is>
      </c>
      <c r="P1267" t="inlineStr">
        <is>
          <t>auto_pipeline;review_png_green</t>
        </is>
      </c>
      <c r="R1267" t="inlineStr">
        <is>
          <t>样品29</t>
        </is>
      </c>
    </row>
    <row r="1268">
      <c r="A1268" t="inlineStr">
        <is>
          <t>29(3)-V02</t>
        </is>
      </c>
      <c r="B1268" t="inlineStr">
        <is>
          <t>29 (3).tif</t>
        </is>
      </c>
      <c r="C1268" t="n">
        <v>229</v>
      </c>
      <c r="D1268" t="n">
        <v>267</v>
      </c>
      <c r="E1268" t="inlineStr">
        <is>
          <t>177,198,282,337</t>
        </is>
      </c>
      <c r="F1268" t="n">
        <v>177</v>
      </c>
      <c r="G1268" t="inlineStr">
        <is>
          <t>primary</t>
        </is>
      </c>
      <c r="H1268" t="inlineStr">
        <is>
          <t>AUTO_VESSEL</t>
        </is>
      </c>
      <c r="I1268" t="inlineStr">
        <is>
          <t>是</t>
        </is>
      </c>
      <c r="J1268" t="inlineStr">
        <is>
          <t>纳入</t>
        </is>
      </c>
      <c r="K1268" t="n">
        <v>518.7145557655955</v>
      </c>
      <c r="L1268">
        <f>导管母表_1781!G1268</f>
        <v/>
      </c>
      <c r="M1268" t="inlineStr">
        <is>
          <t>视野内部</t>
        </is>
      </c>
      <c r="N1268" t="inlineStr">
        <is>
          <t>纳入A/D/Dh；若有Pair_ID则纳入CWR</t>
        </is>
      </c>
      <c r="O1268" t="inlineStr">
        <is>
          <t>自动管线检出的合格导管腔。</t>
        </is>
      </c>
      <c r="P1268" t="inlineStr">
        <is>
          <t>auto_pipeline;review_png_green</t>
        </is>
      </c>
      <c r="R1268" t="inlineStr">
        <is>
          <t>样品29</t>
        </is>
      </c>
    </row>
    <row r="1269">
      <c r="A1269" t="inlineStr">
        <is>
          <t>29(3)-V03</t>
        </is>
      </c>
      <c r="B1269" t="inlineStr">
        <is>
          <t>29 (3).tif</t>
        </is>
      </c>
      <c r="C1269" t="n">
        <v>508</v>
      </c>
      <c r="D1269" t="n">
        <v>299</v>
      </c>
      <c r="E1269" t="inlineStr">
        <is>
          <t>447,247,570,352</t>
        </is>
      </c>
      <c r="F1269" t="n">
        <v>247</v>
      </c>
      <c r="G1269" t="inlineStr">
        <is>
          <t>primary</t>
        </is>
      </c>
      <c r="H1269" t="inlineStr">
        <is>
          <t>AUTO_VESSEL</t>
        </is>
      </c>
      <c r="I1269" t="inlineStr">
        <is>
          <t>是</t>
        </is>
      </c>
      <c r="J1269" t="inlineStr">
        <is>
          <t>纳入</t>
        </is>
      </c>
      <c r="K1269" t="n">
        <v>427.6937618147448</v>
      </c>
      <c r="L1269">
        <f>导管母表_1781!G1269</f>
        <v/>
      </c>
      <c r="M1269" t="inlineStr">
        <is>
          <t>视野内部</t>
        </is>
      </c>
      <c r="N1269" t="inlineStr">
        <is>
          <t>纳入A/D/Dh；若有Pair_ID则纳入CWR</t>
        </is>
      </c>
      <c r="O1269" t="inlineStr">
        <is>
          <t>自动管线检出的合格导管腔。</t>
        </is>
      </c>
      <c r="P1269" t="inlineStr">
        <is>
          <t>auto_pipeline;review_png_green</t>
        </is>
      </c>
      <c r="R1269" t="inlineStr">
        <is>
          <t>样品29</t>
        </is>
      </c>
    </row>
    <row r="1270">
      <c r="A1270" t="inlineStr">
        <is>
          <t>29(3)-V04</t>
        </is>
      </c>
      <c r="B1270" t="inlineStr">
        <is>
          <t>29 (3).tif</t>
        </is>
      </c>
      <c r="C1270" t="n">
        <v>609</v>
      </c>
      <c r="D1270" t="n">
        <v>570</v>
      </c>
      <c r="E1270" t="inlineStr">
        <is>
          <t>582,534,637,607</t>
        </is>
      </c>
      <c r="F1270" t="n">
        <v>161</v>
      </c>
      <c r="G1270" t="inlineStr">
        <is>
          <t>primary</t>
        </is>
      </c>
      <c r="H1270" t="inlineStr">
        <is>
          <t>AUTO_VESSEL</t>
        </is>
      </c>
      <c r="I1270" t="inlineStr">
        <is>
          <t>是</t>
        </is>
      </c>
      <c r="J1270" t="inlineStr">
        <is>
          <t>纳入</t>
        </is>
      </c>
      <c r="K1270" t="n">
        <v>137.8780718336484</v>
      </c>
      <c r="L1270">
        <f>导管母表_1781!G1270</f>
        <v/>
      </c>
      <c r="M1270" t="inlineStr">
        <is>
          <t>视野内部</t>
        </is>
      </c>
      <c r="N1270" t="inlineStr">
        <is>
          <t>纳入A/D/Dh；若有Pair_ID则纳入CWR</t>
        </is>
      </c>
      <c r="O1270" t="inlineStr">
        <is>
          <t>自动管线检出的合格导管腔。</t>
        </is>
      </c>
      <c r="P1270" t="inlineStr">
        <is>
          <t>auto_pipeline;review_png_green</t>
        </is>
      </c>
      <c r="R1270" t="inlineStr">
        <is>
          <t>样品29</t>
        </is>
      </c>
    </row>
    <row r="1271">
      <c r="A1271" t="inlineStr">
        <is>
          <t>29(4)-V01</t>
        </is>
      </c>
      <c r="B1271" t="inlineStr">
        <is>
          <t>29 (4).tif</t>
        </is>
      </c>
      <c r="C1271" t="n">
        <v>458</v>
      </c>
      <c r="D1271" t="n">
        <v>146</v>
      </c>
      <c r="E1271" t="inlineStr">
        <is>
          <t>385,79,532,214</t>
        </is>
      </c>
      <c r="F1271" t="n">
        <v>79</v>
      </c>
      <c r="G1271" t="inlineStr">
        <is>
          <t>primary</t>
        </is>
      </c>
      <c r="H1271" t="inlineStr">
        <is>
          <t>AUTO_VESSEL</t>
        </is>
      </c>
      <c r="I1271" t="inlineStr">
        <is>
          <t>是</t>
        </is>
      </c>
      <c r="J1271" t="inlineStr">
        <is>
          <t>纳入</t>
        </is>
      </c>
      <c r="K1271" t="n">
        <v>711.8147448015122</v>
      </c>
      <c r="L1271">
        <f>导管母表_1781!G1271</f>
        <v/>
      </c>
      <c r="M1271" t="inlineStr">
        <is>
          <t>视野内部</t>
        </is>
      </c>
      <c r="N1271" t="inlineStr">
        <is>
          <t>纳入A/D/Dh；若有Pair_ID则纳入CWR</t>
        </is>
      </c>
      <c r="O1271" t="inlineStr">
        <is>
          <t>自动管线检出的合格导管腔。</t>
        </is>
      </c>
      <c r="P1271" t="inlineStr">
        <is>
          <t>auto_pipeline;review_png_green</t>
        </is>
      </c>
      <c r="R1271" t="inlineStr">
        <is>
          <t>样品29</t>
        </is>
      </c>
    </row>
    <row r="1272">
      <c r="A1272" t="inlineStr">
        <is>
          <t>29(4)-V02</t>
        </is>
      </c>
      <c r="B1272" t="inlineStr">
        <is>
          <t>29 (4).tif</t>
        </is>
      </c>
      <c r="C1272" t="n">
        <v>549</v>
      </c>
      <c r="D1272" t="n">
        <v>446</v>
      </c>
      <c r="E1272" t="inlineStr">
        <is>
          <t>488,373,611,520</t>
        </is>
      </c>
      <c r="F1272" t="n">
        <v>248</v>
      </c>
      <c r="G1272" t="inlineStr">
        <is>
          <t>primary</t>
        </is>
      </c>
      <c r="H1272" t="inlineStr">
        <is>
          <t>AUTO_VESSEL</t>
        </is>
      </c>
      <c r="I1272" t="inlineStr">
        <is>
          <t>是</t>
        </is>
      </c>
      <c r="J1272" t="inlineStr">
        <is>
          <t>纳入</t>
        </is>
      </c>
      <c r="K1272" t="n">
        <v>661.6729678638941</v>
      </c>
      <c r="L1272">
        <f>导管母表_1781!G1272</f>
        <v/>
      </c>
      <c r="M1272" t="inlineStr">
        <is>
          <t>视野内部</t>
        </is>
      </c>
      <c r="N1272" t="inlineStr">
        <is>
          <t>纳入A/D/Dh；若有Pair_ID则纳入CWR</t>
        </is>
      </c>
      <c r="O1272" t="inlineStr">
        <is>
          <t>自动管线检出的合格导管腔。</t>
        </is>
      </c>
      <c r="P1272" t="inlineStr">
        <is>
          <t>auto_pipeline;review_png_green</t>
        </is>
      </c>
      <c r="R1272" t="inlineStr">
        <is>
          <t>样品29</t>
        </is>
      </c>
    </row>
    <row r="1273">
      <c r="A1273" t="inlineStr">
        <is>
          <t>29(4)-V03</t>
        </is>
      </c>
      <c r="B1273" t="inlineStr">
        <is>
          <t>29 (4).tif</t>
        </is>
      </c>
      <c r="C1273" t="n">
        <v>497</v>
      </c>
      <c r="D1273" t="n">
        <v>304</v>
      </c>
      <c r="E1273" t="inlineStr">
        <is>
          <t>438,255,557,354</t>
        </is>
      </c>
      <c r="F1273" t="n">
        <v>255</v>
      </c>
      <c r="G1273" t="inlineStr">
        <is>
          <t>primary</t>
        </is>
      </c>
      <c r="H1273" t="inlineStr">
        <is>
          <t>AUTO_VESSEL</t>
        </is>
      </c>
      <c r="I1273" t="inlineStr">
        <is>
          <t>是</t>
        </is>
      </c>
      <c r="J1273" t="inlineStr">
        <is>
          <t>纳入</t>
        </is>
      </c>
      <c r="K1273" t="n">
        <v>418.4310018903592</v>
      </c>
      <c r="L1273">
        <f>导管母表_1781!G1273</f>
        <v/>
      </c>
      <c r="M1273" t="inlineStr">
        <is>
          <t>视野内部</t>
        </is>
      </c>
      <c r="N1273" t="inlineStr">
        <is>
          <t>纳入A/D/Dh；若有Pair_ID则纳入CWR</t>
        </is>
      </c>
      <c r="O1273" t="inlineStr">
        <is>
          <t>自动管线检出的合格导管腔。</t>
        </is>
      </c>
      <c r="P1273" t="inlineStr">
        <is>
          <t>auto_pipeline;review_png_green</t>
        </is>
      </c>
      <c r="R1273" t="inlineStr">
        <is>
          <t>样品29</t>
        </is>
      </c>
    </row>
    <row r="1274">
      <c r="A1274" t="inlineStr">
        <is>
          <t>29(4)-V04</t>
        </is>
      </c>
      <c r="B1274" t="inlineStr">
        <is>
          <t>29 (4).tif</t>
        </is>
      </c>
      <c r="C1274" t="n">
        <v>765</v>
      </c>
      <c r="D1274" t="n">
        <v>640</v>
      </c>
      <c r="E1274" t="inlineStr">
        <is>
          <t>736,599,795,682</t>
        </is>
      </c>
      <c r="F1274" t="n">
        <v>86</v>
      </c>
      <c r="G1274" t="inlineStr">
        <is>
          <t>primary</t>
        </is>
      </c>
      <c r="H1274" t="inlineStr">
        <is>
          <t>AUTO_VESSEL</t>
        </is>
      </c>
      <c r="I1274" t="inlineStr">
        <is>
          <t>是</t>
        </is>
      </c>
      <c r="J1274" t="inlineStr">
        <is>
          <t>纳入</t>
        </is>
      </c>
      <c r="K1274" t="n">
        <v>166.375236294896</v>
      </c>
      <c r="L1274">
        <f>导管母表_1781!G1274</f>
        <v/>
      </c>
      <c r="M1274" t="inlineStr">
        <is>
          <t>视野内部</t>
        </is>
      </c>
      <c r="N1274" t="inlineStr">
        <is>
          <t>纳入A/D/Dh；若有Pair_ID则纳入CWR</t>
        </is>
      </c>
      <c r="O1274" t="inlineStr">
        <is>
          <t>自动管线检出的合格导管腔。</t>
        </is>
      </c>
      <c r="P1274" t="inlineStr">
        <is>
          <t>auto_pipeline;review_png_green</t>
        </is>
      </c>
      <c r="R1274" t="inlineStr">
        <is>
          <t>样品29</t>
        </is>
      </c>
    </row>
    <row r="1275">
      <c r="A1275" t="inlineStr">
        <is>
          <t>29(5)-V01</t>
        </is>
      </c>
      <c r="B1275" t="inlineStr">
        <is>
          <t>29 (5).tif</t>
        </is>
      </c>
      <c r="C1275" t="n">
        <v>655</v>
      </c>
      <c r="D1275" t="n">
        <v>394</v>
      </c>
      <c r="E1275" t="inlineStr">
        <is>
          <t>580,324,731,465</t>
        </is>
      </c>
      <c r="F1275" t="n">
        <v>293</v>
      </c>
      <c r="G1275" t="inlineStr">
        <is>
          <t>primary</t>
        </is>
      </c>
      <c r="H1275" t="inlineStr">
        <is>
          <t>AUTO_VESSEL</t>
        </is>
      </c>
      <c r="I1275" t="inlineStr">
        <is>
          <t>是</t>
        </is>
      </c>
      <c r="J1275" t="inlineStr">
        <is>
          <t>纳入</t>
        </is>
      </c>
      <c r="K1275" t="n">
        <v>779.0170132325142</v>
      </c>
      <c r="L1275">
        <f>导管母表_1781!G1275</f>
        <v/>
      </c>
      <c r="M1275" t="inlineStr">
        <is>
          <t>视野内部</t>
        </is>
      </c>
      <c r="N1275" t="inlineStr">
        <is>
          <t>纳入A/D/Dh；若有Pair_ID则纳入CWR</t>
        </is>
      </c>
      <c r="O1275" t="inlineStr">
        <is>
          <t>自动管线检出的合格导管腔。</t>
        </is>
      </c>
      <c r="P1275" t="inlineStr">
        <is>
          <t>auto_pipeline;review_png_green</t>
        </is>
      </c>
      <c r="R1275" t="inlineStr">
        <is>
          <t>样品29</t>
        </is>
      </c>
    </row>
    <row r="1276">
      <c r="A1276" t="inlineStr">
        <is>
          <t>29(5)-V02</t>
        </is>
      </c>
      <c r="B1276" t="inlineStr">
        <is>
          <t>29 (5).tif</t>
        </is>
      </c>
      <c r="C1276" t="n">
        <v>489</v>
      </c>
      <c r="D1276" t="n">
        <v>335</v>
      </c>
      <c r="E1276" t="inlineStr">
        <is>
          <t>427,263,552,408</t>
        </is>
      </c>
      <c r="F1276" t="n">
        <v>263</v>
      </c>
      <c r="G1276" t="inlineStr">
        <is>
          <t>primary</t>
        </is>
      </c>
      <c r="H1276" t="inlineStr">
        <is>
          <t>AUTO_VESSEL</t>
        </is>
      </c>
      <c r="I1276" t="inlineStr">
        <is>
          <t>是</t>
        </is>
      </c>
      <c r="J1276" t="inlineStr">
        <is>
          <t>纳入</t>
        </is>
      </c>
      <c r="K1276" t="n">
        <v>661.0586011342155</v>
      </c>
      <c r="L1276">
        <f>导管母表_1781!G1276</f>
        <v/>
      </c>
      <c r="M1276" t="inlineStr">
        <is>
          <t>视野内部</t>
        </is>
      </c>
      <c r="N1276" t="inlineStr">
        <is>
          <t>纳入A/D/Dh；若有Pair_ID则纳入CWR</t>
        </is>
      </c>
      <c r="O1276" t="inlineStr">
        <is>
          <t>自动管线检出的合格导管腔。</t>
        </is>
      </c>
      <c r="P1276" t="inlineStr">
        <is>
          <t>auto_pipeline;review_png_green</t>
        </is>
      </c>
      <c r="Q1276" t="inlineStr">
        <is>
          <t>29(5)-P01</t>
        </is>
      </c>
      <c r="R1276" t="inlineStr">
        <is>
          <t>样品29</t>
        </is>
      </c>
    </row>
    <row r="1277">
      <c r="A1277" t="inlineStr">
        <is>
          <t>29(5)-V03</t>
        </is>
      </c>
      <c r="B1277" t="inlineStr">
        <is>
          <t>29 (5).tif</t>
        </is>
      </c>
      <c r="C1277" t="n">
        <v>344</v>
      </c>
      <c r="D1277" t="n">
        <v>327</v>
      </c>
      <c r="E1277" t="inlineStr">
        <is>
          <t>281,263,408,392</t>
        </is>
      </c>
      <c r="F1277" t="n">
        <v>263</v>
      </c>
      <c r="G1277" t="inlineStr">
        <is>
          <t>primary</t>
        </is>
      </c>
      <c r="H1277" t="inlineStr">
        <is>
          <t>AUTO_VESSEL</t>
        </is>
      </c>
      <c r="I1277" t="inlineStr">
        <is>
          <t>是</t>
        </is>
      </c>
      <c r="J1277" t="inlineStr">
        <is>
          <t>纳入</t>
        </is>
      </c>
      <c r="K1277" t="n">
        <v>593.4310018903592</v>
      </c>
      <c r="L1277">
        <f>导管母表_1781!G1277</f>
        <v/>
      </c>
      <c r="M1277" t="inlineStr">
        <is>
          <t>视野内部</t>
        </is>
      </c>
      <c r="N1277" t="inlineStr">
        <is>
          <t>纳入A/D/Dh；若有Pair_ID则纳入CWR</t>
        </is>
      </c>
      <c r="O1277" t="inlineStr">
        <is>
          <t>自动管线检出的合格导管腔。</t>
        </is>
      </c>
      <c r="P1277" t="inlineStr">
        <is>
          <t>auto_pipeline;review_png_green</t>
        </is>
      </c>
      <c r="Q1277" t="inlineStr">
        <is>
          <t>29(5)-P01</t>
        </is>
      </c>
      <c r="R1277" t="inlineStr">
        <is>
          <t>样品29</t>
        </is>
      </c>
    </row>
    <row r="1278">
      <c r="A1278" t="inlineStr">
        <is>
          <t>29(5)-V04</t>
        </is>
      </c>
      <c r="B1278" t="inlineStr">
        <is>
          <t>29 (5).tif</t>
        </is>
      </c>
      <c r="C1278" t="n">
        <v>281</v>
      </c>
      <c r="D1278" t="n">
        <v>419</v>
      </c>
      <c r="E1278" t="inlineStr">
        <is>
          <t>236,379,327,460</t>
        </is>
      </c>
      <c r="F1278" t="n">
        <v>236</v>
      </c>
      <c r="G1278" t="inlineStr">
        <is>
          <t>primary</t>
        </is>
      </c>
      <c r="H1278" t="inlineStr">
        <is>
          <t>AUTO_VESSEL</t>
        </is>
      </c>
      <c r="I1278" t="inlineStr">
        <is>
          <t>是</t>
        </is>
      </c>
      <c r="J1278" t="inlineStr">
        <is>
          <t>纳入</t>
        </is>
      </c>
      <c r="K1278" t="n">
        <v>208.4357277882798</v>
      </c>
      <c r="L1278">
        <f>导管母表_1781!G1278</f>
        <v/>
      </c>
      <c r="M1278" t="inlineStr">
        <is>
          <t>视野内部</t>
        </is>
      </c>
      <c r="N1278" t="inlineStr">
        <is>
          <t>纳入A/D/Dh；若有Pair_ID则纳入CWR</t>
        </is>
      </c>
      <c r="O1278" t="inlineStr">
        <is>
          <t>自动管线检出的合格导管腔。</t>
        </is>
      </c>
      <c r="P1278" t="inlineStr">
        <is>
          <t>auto_pipeline;review_png_green</t>
        </is>
      </c>
      <c r="R1278" t="inlineStr">
        <is>
          <t>样品29</t>
        </is>
      </c>
    </row>
    <row r="1279">
      <c r="A1279" t="inlineStr">
        <is>
          <t>29(5)-V05</t>
        </is>
      </c>
      <c r="B1279" t="inlineStr">
        <is>
          <t>29 (5).tif</t>
        </is>
      </c>
      <c r="C1279" t="n">
        <v>804</v>
      </c>
      <c r="D1279" t="n">
        <v>554</v>
      </c>
      <c r="E1279" t="inlineStr">
        <is>
          <t>774,513,835,596</t>
        </is>
      </c>
      <c r="F1279" t="n">
        <v>172</v>
      </c>
      <c r="G1279" t="inlineStr">
        <is>
          <t>primary</t>
        </is>
      </c>
      <c r="H1279" t="inlineStr">
        <is>
          <t>AUTO_VESSEL</t>
        </is>
      </c>
      <c r="I1279" t="inlineStr">
        <is>
          <t>是</t>
        </is>
      </c>
      <c r="J1279" t="inlineStr">
        <is>
          <t>纳入</t>
        </is>
      </c>
      <c r="K1279" t="n">
        <v>176.4177693761815</v>
      </c>
      <c r="L1279">
        <f>导管母表_1781!G1279</f>
        <v/>
      </c>
      <c r="M1279" t="inlineStr">
        <is>
          <t>视野内部</t>
        </is>
      </c>
      <c r="N1279" t="inlineStr">
        <is>
          <t>纳入A/D/Dh；若有Pair_ID则纳入CWR</t>
        </is>
      </c>
      <c r="O1279" t="inlineStr">
        <is>
          <t>自动管线检出的合格导管腔。</t>
        </is>
      </c>
      <c r="P1279" t="inlineStr">
        <is>
          <t>auto_pipeline;review_png_green</t>
        </is>
      </c>
      <c r="R1279" t="inlineStr">
        <is>
          <t>样品29</t>
        </is>
      </c>
    </row>
    <row r="1280">
      <c r="A1280" t="inlineStr">
        <is>
          <t>29(5)-V06</t>
        </is>
      </c>
      <c r="B1280" t="inlineStr">
        <is>
          <t>29 (5).tif</t>
        </is>
      </c>
      <c r="C1280" t="n">
        <v>258</v>
      </c>
      <c r="D1280" t="n">
        <v>177</v>
      </c>
      <c r="E1280" t="inlineStr">
        <is>
          <t>209,134,308,221</t>
        </is>
      </c>
      <c r="F1280" t="n">
        <v>134</v>
      </c>
      <c r="G1280" t="inlineStr">
        <is>
          <t>primary</t>
        </is>
      </c>
      <c r="H1280" t="inlineStr">
        <is>
          <t>AUTO_VESSEL</t>
        </is>
      </c>
      <c r="I1280" t="inlineStr">
        <is>
          <t>是</t>
        </is>
      </c>
      <c r="J1280" t="inlineStr">
        <is>
          <t>纳入</t>
        </is>
      </c>
      <c r="K1280" t="n">
        <v>168.3364839319471</v>
      </c>
      <c r="L1280">
        <f>导管母表_1781!G1280</f>
        <v/>
      </c>
      <c r="M1280" t="inlineStr">
        <is>
          <t>视野内部</t>
        </is>
      </c>
      <c r="N1280" t="inlineStr">
        <is>
          <t>纳入A/D/Dh；若有Pair_ID则纳入CWR</t>
        </is>
      </c>
      <c r="O1280" t="inlineStr">
        <is>
          <t>自动管线检出的合格导管腔。</t>
        </is>
      </c>
      <c r="P1280" t="inlineStr">
        <is>
          <t>auto_pipeline;review_png_green</t>
        </is>
      </c>
      <c r="R1280" t="inlineStr">
        <is>
          <t>样品29</t>
        </is>
      </c>
    </row>
    <row r="1281">
      <c r="A1281" t="inlineStr">
        <is>
          <t>29(5)-V07</t>
        </is>
      </c>
      <c r="B1281" t="inlineStr">
        <is>
          <t>29 (5).tif</t>
        </is>
      </c>
      <c r="C1281" t="n">
        <v>136</v>
      </c>
      <c r="D1281" t="n">
        <v>137</v>
      </c>
      <c r="E1281" t="inlineStr">
        <is>
          <t>107,99,166,176</t>
        </is>
      </c>
      <c r="F1281" t="n">
        <v>99</v>
      </c>
      <c r="G1281" t="inlineStr">
        <is>
          <t>primary</t>
        </is>
      </c>
      <c r="H1281" t="inlineStr">
        <is>
          <t>AUTO_VESSEL</t>
        </is>
      </c>
      <c r="I1281" t="inlineStr">
        <is>
          <t>是</t>
        </is>
      </c>
      <c r="J1281" t="inlineStr">
        <is>
          <t>纳入</t>
        </is>
      </c>
      <c r="K1281" t="n">
        <v>154.2533081285444</v>
      </c>
      <c r="L1281">
        <f>导管母表_1781!G1281</f>
        <v/>
      </c>
      <c r="M1281" t="inlineStr">
        <is>
          <t>视野内部</t>
        </is>
      </c>
      <c r="N1281" t="inlineStr">
        <is>
          <t>纳入A/D/Dh；若有Pair_ID则纳入CWR</t>
        </is>
      </c>
      <c r="O1281" t="inlineStr">
        <is>
          <t>自动管线检出的合格导管腔。</t>
        </is>
      </c>
      <c r="P1281" t="inlineStr">
        <is>
          <t>auto_pipeline;review_png_green</t>
        </is>
      </c>
      <c r="R1281" t="inlineStr">
        <is>
          <t>样品29</t>
        </is>
      </c>
    </row>
    <row r="1282">
      <c r="A1282" t="inlineStr">
        <is>
          <t>29(5)-V08</t>
        </is>
      </c>
      <c r="B1282" t="inlineStr">
        <is>
          <t>29 (5).tif</t>
        </is>
      </c>
      <c r="C1282" t="n">
        <v>262</v>
      </c>
      <c r="D1282" t="n">
        <v>261</v>
      </c>
      <c r="E1282" t="inlineStr">
        <is>
          <t>229,228,296,295</t>
        </is>
      </c>
      <c r="F1282" t="n">
        <v>228</v>
      </c>
      <c r="G1282" t="inlineStr">
        <is>
          <t>primary</t>
        </is>
      </c>
      <c r="H1282" t="inlineStr">
        <is>
          <t>AUTO_VESSEL</t>
        </is>
      </c>
      <c r="I1282" t="inlineStr">
        <is>
          <t>是</t>
        </is>
      </c>
      <c r="J1282" t="inlineStr">
        <is>
          <t>纳入</t>
        </is>
      </c>
      <c r="K1282" t="n">
        <v>133.5302457466919</v>
      </c>
      <c r="L1282">
        <f>导管母表_1781!G1282</f>
        <v/>
      </c>
      <c r="M1282" t="inlineStr">
        <is>
          <t>视野内部</t>
        </is>
      </c>
      <c r="N1282" t="inlineStr">
        <is>
          <t>纳入A/D/Dh；若有Pair_ID则纳入CWR</t>
        </is>
      </c>
      <c r="O1282" t="inlineStr">
        <is>
          <t>自动管线检出的合格导管腔。</t>
        </is>
      </c>
      <c r="P1282" t="inlineStr">
        <is>
          <t>auto_pipeline;review_png_green</t>
        </is>
      </c>
      <c r="R1282" t="inlineStr">
        <is>
          <t>样品29</t>
        </is>
      </c>
    </row>
    <row r="1283">
      <c r="A1283" t="inlineStr">
        <is>
          <t>29(6)-V01</t>
        </is>
      </c>
      <c r="B1283" t="inlineStr">
        <is>
          <t>29 (6).tif</t>
        </is>
      </c>
      <c r="C1283" t="n">
        <v>534</v>
      </c>
      <c r="D1283" t="n">
        <v>268</v>
      </c>
      <c r="E1283" t="inlineStr">
        <is>
          <t>468,184,601,353</t>
        </is>
      </c>
      <c r="F1283" t="n">
        <v>184</v>
      </c>
      <c r="G1283" t="inlineStr">
        <is>
          <t>primary</t>
        </is>
      </c>
      <c r="H1283" t="inlineStr">
        <is>
          <t>AUTO_VESSEL</t>
        </is>
      </c>
      <c r="I1283" t="inlineStr">
        <is>
          <t>是</t>
        </is>
      </c>
      <c r="J1283" t="inlineStr">
        <is>
          <t>纳入</t>
        </is>
      </c>
      <c r="K1283" t="n">
        <v>817.0841209829867</v>
      </c>
      <c r="L1283">
        <f>导管母表_1781!G1283</f>
        <v/>
      </c>
      <c r="M1283" t="inlineStr">
        <is>
          <t>视野内部</t>
        </is>
      </c>
      <c r="N1283" t="inlineStr">
        <is>
          <t>纳入A/D/Dh；若有Pair_ID则纳入CWR</t>
        </is>
      </c>
      <c r="O1283" t="inlineStr">
        <is>
          <t>自动管线检出的合格导管腔。</t>
        </is>
      </c>
      <c r="P1283" t="inlineStr">
        <is>
          <t>auto_pipeline;review_png_green</t>
        </is>
      </c>
      <c r="R1283" t="inlineStr">
        <is>
          <t>样品29</t>
        </is>
      </c>
    </row>
    <row r="1284">
      <c r="A1284" t="inlineStr">
        <is>
          <t>29(6)-V02</t>
        </is>
      </c>
      <c r="B1284" t="inlineStr">
        <is>
          <t>29 (6).tif</t>
        </is>
      </c>
      <c r="C1284" t="n">
        <v>517</v>
      </c>
      <c r="D1284" t="n">
        <v>442</v>
      </c>
      <c r="E1284" t="inlineStr">
        <is>
          <t>443,376,592,509</t>
        </is>
      </c>
      <c r="F1284" t="n">
        <v>259</v>
      </c>
      <c r="G1284" t="inlineStr">
        <is>
          <t>primary</t>
        </is>
      </c>
      <c r="H1284" t="inlineStr">
        <is>
          <t>AUTO_VESSEL</t>
        </is>
      </c>
      <c r="I1284" t="inlineStr">
        <is>
          <t>是</t>
        </is>
      </c>
      <c r="J1284" t="inlineStr">
        <is>
          <t>纳入</t>
        </is>
      </c>
      <c r="K1284" t="n">
        <v>702.2684310018903</v>
      </c>
      <c r="L1284">
        <f>导管母表_1781!G1284</f>
        <v/>
      </c>
      <c r="M1284" t="inlineStr">
        <is>
          <t>视野内部</t>
        </is>
      </c>
      <c r="N1284" t="inlineStr">
        <is>
          <t>纳入A/D/Dh；若有Pair_ID则纳入CWR</t>
        </is>
      </c>
      <c r="O1284" t="inlineStr">
        <is>
          <t>自动管线检出的合格导管腔。</t>
        </is>
      </c>
      <c r="P1284" t="inlineStr">
        <is>
          <t>auto_pipeline;review_png_green</t>
        </is>
      </c>
      <c r="R1284" t="inlineStr">
        <is>
          <t>样品29</t>
        </is>
      </c>
    </row>
    <row r="1285">
      <c r="A1285" t="inlineStr">
        <is>
          <t>29(6)-V03</t>
        </is>
      </c>
      <c r="B1285" t="inlineStr">
        <is>
          <t>29 (6).tif</t>
        </is>
      </c>
      <c r="C1285" t="n">
        <v>495</v>
      </c>
      <c r="D1285" t="n">
        <v>603</v>
      </c>
      <c r="E1285" t="inlineStr">
        <is>
          <t>435,532,556,675</t>
        </is>
      </c>
      <c r="F1285" t="n">
        <v>93</v>
      </c>
      <c r="G1285" t="inlineStr">
        <is>
          <t>primary</t>
        </is>
      </c>
      <c r="H1285" t="inlineStr">
        <is>
          <t>AUTO_VESSEL</t>
        </is>
      </c>
      <c r="I1285" t="inlineStr">
        <is>
          <t>是</t>
        </is>
      </c>
      <c r="J1285" t="inlineStr">
        <is>
          <t>纳入</t>
        </is>
      </c>
      <c r="K1285" t="n">
        <v>612.0746691871456</v>
      </c>
      <c r="L1285">
        <f>导管母表_1781!G1285</f>
        <v/>
      </c>
      <c r="M1285" t="inlineStr">
        <is>
          <t>视野内部</t>
        </is>
      </c>
      <c r="N1285" t="inlineStr">
        <is>
          <t>纳入A/D/Dh；若有Pair_ID则纳入CWR</t>
        </is>
      </c>
      <c r="O1285" t="inlineStr">
        <is>
          <t>自动管线检出的合格导管腔。</t>
        </is>
      </c>
      <c r="P1285" t="inlineStr">
        <is>
          <t>auto_pipeline;review_png_green</t>
        </is>
      </c>
      <c r="R1285" t="inlineStr">
        <is>
          <t>样品29</t>
        </is>
      </c>
    </row>
    <row r="1286">
      <c r="A1286" t="inlineStr">
        <is>
          <t>29(7)-V01</t>
        </is>
      </c>
      <c r="B1286" t="inlineStr">
        <is>
          <t>29 (7).tif</t>
        </is>
      </c>
      <c r="C1286" t="n">
        <v>739</v>
      </c>
      <c r="D1286" t="n">
        <v>57</v>
      </c>
      <c r="E1286" t="inlineStr">
        <is>
          <t>639,14,840,101</t>
        </is>
      </c>
      <c r="F1286" t="n">
        <v>14</v>
      </c>
      <c r="G1286" t="inlineStr">
        <is>
          <t>primary</t>
        </is>
      </c>
      <c r="H1286" t="inlineStr">
        <is>
          <t>AUTO_VESSEL</t>
        </is>
      </c>
      <c r="I1286" t="inlineStr">
        <is>
          <t>是</t>
        </is>
      </c>
      <c r="J1286" t="inlineStr">
        <is>
          <t>纳入</t>
        </is>
      </c>
      <c r="K1286" t="n">
        <v>637.0037807183365</v>
      </c>
      <c r="L1286">
        <f>导管母表_1781!G1286</f>
        <v/>
      </c>
      <c r="M1286" t="inlineStr">
        <is>
          <t>近边缘（&lt;25 px）</t>
        </is>
      </c>
      <c r="N1286" t="inlineStr">
        <is>
          <t>纳入A/D/Dh；若有Pair_ID则纳入CWR</t>
        </is>
      </c>
      <c r="O1286" t="inlineStr">
        <is>
          <t>自动管线检出的合格导管腔。</t>
        </is>
      </c>
      <c r="P1286" t="inlineStr">
        <is>
          <t>auto_pipeline;review_png_green</t>
        </is>
      </c>
      <c r="R1286" t="inlineStr">
        <is>
          <t>样品29</t>
        </is>
      </c>
    </row>
    <row r="1287">
      <c r="A1287" t="inlineStr">
        <is>
          <t>29(7)-V02</t>
        </is>
      </c>
      <c r="B1287" t="inlineStr">
        <is>
          <t>29 (7).tif</t>
        </is>
      </c>
      <c r="C1287" t="n">
        <v>394</v>
      </c>
      <c r="D1287" t="n">
        <v>385</v>
      </c>
      <c r="E1287" t="inlineStr">
        <is>
          <t>327,324,462,447</t>
        </is>
      </c>
      <c r="F1287" t="n">
        <v>321</v>
      </c>
      <c r="G1287" t="inlineStr">
        <is>
          <t>primary</t>
        </is>
      </c>
      <c r="H1287" t="inlineStr">
        <is>
          <t>AUTO_VESSEL</t>
        </is>
      </c>
      <c r="I1287" t="inlineStr">
        <is>
          <t>是</t>
        </is>
      </c>
      <c r="J1287" t="inlineStr">
        <is>
          <t>纳入</t>
        </is>
      </c>
      <c r="K1287" t="n">
        <v>600.2835538752363</v>
      </c>
      <c r="L1287">
        <f>导管母表_1781!G1287</f>
        <v/>
      </c>
      <c r="M1287" t="inlineStr">
        <is>
          <t>视野内部</t>
        </is>
      </c>
      <c r="N1287" t="inlineStr">
        <is>
          <t>纳入A/D/Dh；若有Pair_ID则纳入CWR</t>
        </is>
      </c>
      <c r="O1287" t="inlineStr">
        <is>
          <t>自动管线检出的合格导管腔。</t>
        </is>
      </c>
      <c r="P1287" t="inlineStr">
        <is>
          <t>auto_pipeline;review_png_green</t>
        </is>
      </c>
      <c r="R1287" t="inlineStr">
        <is>
          <t>样品29</t>
        </is>
      </c>
    </row>
    <row r="1288">
      <c r="A1288" t="inlineStr">
        <is>
          <t>29(7)-V03</t>
        </is>
      </c>
      <c r="B1288" t="inlineStr">
        <is>
          <t>29 (7).tif</t>
        </is>
      </c>
      <c r="C1288" t="n">
        <v>793</v>
      </c>
      <c r="D1288" t="n">
        <v>302</v>
      </c>
      <c r="E1288" t="inlineStr">
        <is>
          <t>726,243,861,362</t>
        </is>
      </c>
      <c r="F1288" t="n">
        <v>163</v>
      </c>
      <c r="G1288" t="inlineStr">
        <is>
          <t>primary</t>
        </is>
      </c>
      <c r="H1288" t="inlineStr">
        <is>
          <t>AUTO_VESSEL</t>
        </is>
      </c>
      <c r="I1288" t="inlineStr">
        <is>
          <t>是</t>
        </is>
      </c>
      <c r="J1288" t="inlineStr">
        <is>
          <t>纳入</t>
        </is>
      </c>
      <c r="K1288" t="n">
        <v>574.1493383742911</v>
      </c>
      <c r="L1288">
        <f>导管母表_1781!G1288</f>
        <v/>
      </c>
      <c r="M1288" t="inlineStr">
        <is>
          <t>视野内部</t>
        </is>
      </c>
      <c r="N1288" t="inlineStr">
        <is>
          <t>纳入A/D/Dh；若有Pair_ID则纳入CWR</t>
        </is>
      </c>
      <c r="O1288" t="inlineStr">
        <is>
          <t>自动管线检出的合格导管腔。</t>
        </is>
      </c>
      <c r="P1288" t="inlineStr">
        <is>
          <t>auto_pipeline;review_png_green</t>
        </is>
      </c>
      <c r="R1288" t="inlineStr">
        <is>
          <t>样品29</t>
        </is>
      </c>
    </row>
    <row r="1289">
      <c r="A1289" t="inlineStr">
        <is>
          <t>29(7)-V04</t>
        </is>
      </c>
      <c r="B1289" t="inlineStr">
        <is>
          <t>29 (7).tif</t>
        </is>
      </c>
      <c r="C1289" t="n">
        <v>584</v>
      </c>
      <c r="D1289" t="n">
        <v>338</v>
      </c>
      <c r="E1289" t="inlineStr">
        <is>
          <t>517,286,652,391</t>
        </is>
      </c>
      <c r="F1289" t="n">
        <v>286</v>
      </c>
      <c r="G1289" t="inlineStr">
        <is>
          <t>primary</t>
        </is>
      </c>
      <c r="H1289" t="inlineStr">
        <is>
          <t>AUTO_VESSEL</t>
        </is>
      </c>
      <c r="I1289" t="inlineStr">
        <is>
          <t>是</t>
        </is>
      </c>
      <c r="J1289" t="inlineStr">
        <is>
          <t>纳入</t>
        </is>
      </c>
      <c r="K1289" t="n">
        <v>505.1748582230624</v>
      </c>
      <c r="L1289">
        <f>导管母表_1781!G1289</f>
        <v/>
      </c>
      <c r="M1289" t="inlineStr">
        <is>
          <t>视野内部</t>
        </is>
      </c>
      <c r="N1289" t="inlineStr">
        <is>
          <t>纳入A/D/Dh；若有Pair_ID则纳入CWR</t>
        </is>
      </c>
      <c r="O1289" t="inlineStr">
        <is>
          <t>自动管线检出的合格导管腔。</t>
        </is>
      </c>
      <c r="P1289" t="inlineStr">
        <is>
          <t>auto_pipeline;review_png_green</t>
        </is>
      </c>
      <c r="R1289" t="inlineStr">
        <is>
          <t>样品29</t>
        </is>
      </c>
    </row>
    <row r="1290">
      <c r="A1290" t="inlineStr">
        <is>
          <t>29(7)-V05</t>
        </is>
      </c>
      <c r="B1290" t="inlineStr">
        <is>
          <t>29 (7).tif</t>
        </is>
      </c>
      <c r="C1290" t="n">
        <v>197</v>
      </c>
      <c r="D1290" t="n">
        <v>442</v>
      </c>
      <c r="E1290" t="inlineStr">
        <is>
          <t>137,388,258,497</t>
        </is>
      </c>
      <c r="F1290" t="n">
        <v>137</v>
      </c>
      <c r="G1290" t="inlineStr">
        <is>
          <t>primary</t>
        </is>
      </c>
      <c r="H1290" t="inlineStr">
        <is>
          <t>AUTO_VESSEL</t>
        </is>
      </c>
      <c r="I1290" t="inlineStr">
        <is>
          <t>是</t>
        </is>
      </c>
      <c r="J1290" t="inlineStr">
        <is>
          <t>纳入</t>
        </is>
      </c>
      <c r="K1290" t="n">
        <v>470.0614366729679</v>
      </c>
      <c r="L1290">
        <f>导管母表_1781!G1290</f>
        <v/>
      </c>
      <c r="M1290" t="inlineStr">
        <is>
          <t>视野内部</t>
        </is>
      </c>
      <c r="N1290" t="inlineStr">
        <is>
          <t>纳入A/D/Dh；若有Pair_ID则纳入CWR</t>
        </is>
      </c>
      <c r="O1290" t="inlineStr">
        <is>
          <t>自动管线检出的合格导管腔。</t>
        </is>
      </c>
      <c r="P1290" t="inlineStr">
        <is>
          <t>auto_pipeline;review_png_green</t>
        </is>
      </c>
      <c r="R1290" t="inlineStr">
        <is>
          <t>样品29</t>
        </is>
      </c>
    </row>
    <row r="1291">
      <c r="A1291" t="inlineStr">
        <is>
          <t>29(7)-V06</t>
        </is>
      </c>
      <c r="B1291" t="inlineStr">
        <is>
          <t>29 (7).tif</t>
        </is>
      </c>
      <c r="C1291" t="n">
        <v>807</v>
      </c>
      <c r="D1291" t="n">
        <v>636</v>
      </c>
      <c r="E1291" t="inlineStr">
        <is>
          <t>744,605,871,668</t>
        </is>
      </c>
      <c r="F1291" t="n">
        <v>100</v>
      </c>
      <c r="G1291" t="inlineStr">
        <is>
          <t>primary</t>
        </is>
      </c>
      <c r="H1291" t="inlineStr">
        <is>
          <t>AUTO_VESSEL</t>
        </is>
      </c>
      <c r="I1291" t="inlineStr">
        <is>
          <t>是</t>
        </is>
      </c>
      <c r="J1291" t="inlineStr">
        <is>
          <t>纳入</t>
        </is>
      </c>
      <c r="K1291" t="n">
        <v>198.9130434782609</v>
      </c>
      <c r="L1291">
        <f>导管母表_1781!G1291</f>
        <v/>
      </c>
      <c r="M1291" t="inlineStr">
        <is>
          <t>视野内部</t>
        </is>
      </c>
      <c r="N1291" t="inlineStr">
        <is>
          <t>纳入A/D/Dh；若有Pair_ID则纳入CWR</t>
        </is>
      </c>
      <c r="O1291" t="inlineStr">
        <is>
          <t>自动管线检出的合格导管腔。</t>
        </is>
      </c>
      <c r="P1291" t="inlineStr">
        <is>
          <t>auto_pipeline;review_png_green</t>
        </is>
      </c>
      <c r="R1291" t="inlineStr">
        <is>
          <t>样品29</t>
        </is>
      </c>
    </row>
    <row r="1292">
      <c r="A1292" t="inlineStr">
        <is>
          <t>29(8)-V01</t>
        </is>
      </c>
      <c r="B1292" t="inlineStr">
        <is>
          <t>29 (8).tif</t>
        </is>
      </c>
      <c r="C1292" t="n">
        <v>534</v>
      </c>
      <c r="D1292" t="n">
        <v>322</v>
      </c>
      <c r="E1292" t="inlineStr">
        <is>
          <t>450,250,619,395</t>
        </is>
      </c>
      <c r="F1292" t="n">
        <v>250</v>
      </c>
      <c r="G1292" t="inlineStr">
        <is>
          <t>primary</t>
        </is>
      </c>
      <c r="H1292" t="inlineStr">
        <is>
          <t>AUTO_VESSEL</t>
        </is>
      </c>
      <c r="I1292" t="inlineStr">
        <is>
          <t>是</t>
        </is>
      </c>
      <c r="J1292" t="inlineStr">
        <is>
          <t>纳入</t>
        </is>
      </c>
      <c r="K1292" t="n">
        <v>892.8166351606806</v>
      </c>
      <c r="L1292">
        <f>导管母表_1781!G1292</f>
        <v/>
      </c>
      <c r="M1292" t="inlineStr">
        <is>
          <t>视野内部</t>
        </is>
      </c>
      <c r="N1292" t="inlineStr">
        <is>
          <t>纳入A/D/Dh；若有Pair_ID则纳入CWR</t>
        </is>
      </c>
      <c r="O1292" t="inlineStr">
        <is>
          <t>自动管线检出的合格导管腔。</t>
        </is>
      </c>
      <c r="P1292" t="inlineStr">
        <is>
          <t>auto_pipeline;review_png_green</t>
        </is>
      </c>
      <c r="R1292" t="inlineStr">
        <is>
          <t>样品29</t>
        </is>
      </c>
    </row>
    <row r="1293">
      <c r="A1293" t="inlineStr">
        <is>
          <t>29(8)-V02</t>
        </is>
      </c>
      <c r="B1293" t="inlineStr">
        <is>
          <t>29 (8).tif</t>
        </is>
      </c>
      <c r="C1293" t="n">
        <v>432</v>
      </c>
      <c r="D1293" t="n">
        <v>486</v>
      </c>
      <c r="E1293" t="inlineStr">
        <is>
          <t>351,424,514,549</t>
        </is>
      </c>
      <c r="F1293" t="n">
        <v>219</v>
      </c>
      <c r="G1293" t="inlineStr">
        <is>
          <t>primary</t>
        </is>
      </c>
      <c r="H1293" t="inlineStr">
        <is>
          <t>AUTO_VESSEL</t>
        </is>
      </c>
      <c r="I1293" t="inlineStr">
        <is>
          <t>是</t>
        </is>
      </c>
      <c r="J1293" t="inlineStr">
        <is>
          <t>纳入</t>
        </is>
      </c>
      <c r="K1293" t="n">
        <v>745.4867674858223</v>
      </c>
      <c r="L1293">
        <f>导管母表_1781!G1293</f>
        <v/>
      </c>
      <c r="M1293" t="inlineStr">
        <is>
          <t>视野内部</t>
        </is>
      </c>
      <c r="N1293" t="inlineStr">
        <is>
          <t>纳入A/D/Dh；若有Pair_ID则纳入CWR</t>
        </is>
      </c>
      <c r="O1293" t="inlineStr">
        <is>
          <t>自动管线检出的合格导管腔。</t>
        </is>
      </c>
      <c r="P1293" t="inlineStr">
        <is>
          <t>auto_pipeline;review_png_green</t>
        </is>
      </c>
      <c r="R1293" t="inlineStr">
        <is>
          <t>样品29</t>
        </is>
      </c>
    </row>
    <row r="1294">
      <c r="A1294" t="inlineStr">
        <is>
          <t>29(8)-V03</t>
        </is>
      </c>
      <c r="B1294" t="inlineStr">
        <is>
          <t>29 (8).tif</t>
        </is>
      </c>
      <c r="C1294" t="n">
        <v>72</v>
      </c>
      <c r="D1294" t="n">
        <v>402</v>
      </c>
      <c r="E1294" t="inlineStr">
        <is>
          <t>32,371,113,434</t>
        </is>
      </c>
      <c r="F1294" t="n">
        <v>32</v>
      </c>
      <c r="G1294" t="inlineStr">
        <is>
          <t>primary</t>
        </is>
      </c>
      <c r="H1294" t="inlineStr">
        <is>
          <t>AUTO_VESSEL</t>
        </is>
      </c>
      <c r="I1294" t="inlineStr">
        <is>
          <t>是</t>
        </is>
      </c>
      <c r="J1294" t="inlineStr">
        <is>
          <t>纳入</t>
        </is>
      </c>
      <c r="K1294" t="n">
        <v>175.023629489603</v>
      </c>
      <c r="L1294">
        <f>导管母表_1781!G1294</f>
        <v/>
      </c>
      <c r="M1294" t="inlineStr">
        <is>
          <t>视野内部</t>
        </is>
      </c>
      <c r="N1294" t="inlineStr">
        <is>
          <t>纳入A/D/Dh；若有Pair_ID则纳入CWR</t>
        </is>
      </c>
      <c r="O1294" t="inlineStr">
        <is>
          <t>自动管线检出的合格导管腔。</t>
        </is>
      </c>
      <c r="P1294" t="inlineStr">
        <is>
          <t>auto_pipeline;review_png_green</t>
        </is>
      </c>
      <c r="R1294" t="inlineStr">
        <is>
          <t>样品29</t>
        </is>
      </c>
    </row>
    <row r="1295">
      <c r="A1295" t="inlineStr">
        <is>
          <t>29(8)-V04</t>
        </is>
      </c>
      <c r="B1295" t="inlineStr">
        <is>
          <t>29 (8).tif</t>
        </is>
      </c>
      <c r="C1295" t="n">
        <v>479</v>
      </c>
      <c r="D1295" t="n">
        <v>183</v>
      </c>
      <c r="E1295" t="inlineStr">
        <is>
          <t>436,150,523,217</t>
        </is>
      </c>
      <c r="F1295" t="n">
        <v>150</v>
      </c>
      <c r="G1295" t="inlineStr">
        <is>
          <t>primary</t>
        </is>
      </c>
      <c r="H1295" t="inlineStr">
        <is>
          <t>AUTO_VESSEL</t>
        </is>
      </c>
      <c r="I1295" t="inlineStr">
        <is>
          <t>是</t>
        </is>
      </c>
      <c r="J1295" t="inlineStr">
        <is>
          <t>纳入</t>
        </is>
      </c>
      <c r="K1295" t="n">
        <v>148.5113421550095</v>
      </c>
      <c r="L1295">
        <f>导管母表_1781!G1295</f>
        <v/>
      </c>
      <c r="M1295" t="inlineStr">
        <is>
          <t>视野内部</t>
        </is>
      </c>
      <c r="N1295" t="inlineStr">
        <is>
          <t>纳入A/D/Dh；若有Pair_ID则纳入CWR</t>
        </is>
      </c>
      <c r="O1295" t="inlineStr">
        <is>
          <t>自动管线检出的合格导管腔。</t>
        </is>
      </c>
      <c r="P1295" t="inlineStr">
        <is>
          <t>auto_pipeline;review_png_green</t>
        </is>
      </c>
      <c r="R1295" t="inlineStr">
        <is>
          <t>样品29</t>
        </is>
      </c>
    </row>
    <row r="1296">
      <c r="A1296" t="inlineStr">
        <is>
          <t>29(8)-V05</t>
        </is>
      </c>
      <c r="B1296" t="inlineStr">
        <is>
          <t>29 (8).tif</t>
        </is>
      </c>
      <c r="C1296" t="n">
        <v>776</v>
      </c>
      <c r="D1296" t="n">
        <v>225</v>
      </c>
      <c r="E1296" t="inlineStr">
        <is>
          <t>751,185,802,266</t>
        </is>
      </c>
      <c r="F1296" t="n">
        <v>185</v>
      </c>
      <c r="G1296" t="inlineStr">
        <is>
          <t>primary</t>
        </is>
      </c>
      <c r="H1296" t="inlineStr">
        <is>
          <t>AUTO_VESSEL</t>
        </is>
      </c>
      <c r="I1296" t="inlineStr">
        <is>
          <t>是</t>
        </is>
      </c>
      <c r="J1296" t="inlineStr">
        <is>
          <t>纳入</t>
        </is>
      </c>
      <c r="K1296" t="n">
        <v>131.0018903591682</v>
      </c>
      <c r="L1296">
        <f>导管母表_1781!G1296</f>
        <v/>
      </c>
      <c r="M1296" t="inlineStr">
        <is>
          <t>视野内部</t>
        </is>
      </c>
      <c r="N1296" t="inlineStr">
        <is>
          <t>纳入A/D/Dh；若有Pair_ID则纳入CWR</t>
        </is>
      </c>
      <c r="O1296" t="inlineStr">
        <is>
          <t>自动管线检出的合格导管腔。</t>
        </is>
      </c>
      <c r="P1296" t="inlineStr">
        <is>
          <t>auto_pipeline;review_png_green</t>
        </is>
      </c>
      <c r="R1296" t="inlineStr">
        <is>
          <t>样品29</t>
        </is>
      </c>
    </row>
    <row r="1297">
      <c r="A1297" t="inlineStr">
        <is>
          <t>29(9)-V01</t>
        </is>
      </c>
      <c r="B1297" t="inlineStr">
        <is>
          <t>29 (9).tif</t>
        </is>
      </c>
      <c r="C1297" t="n">
        <v>398</v>
      </c>
      <c r="D1297" t="n">
        <v>294</v>
      </c>
      <c r="E1297" t="inlineStr">
        <is>
          <t>317,219,480,370</t>
        </is>
      </c>
      <c r="F1297" t="n">
        <v>219</v>
      </c>
      <c r="G1297" t="inlineStr">
        <is>
          <t>primary</t>
        </is>
      </c>
      <c r="H1297" t="inlineStr">
        <is>
          <t>AUTO_VESSEL</t>
        </is>
      </c>
      <c r="I1297" t="inlineStr">
        <is>
          <t>是</t>
        </is>
      </c>
      <c r="J1297" t="inlineStr">
        <is>
          <t>纳入</t>
        </is>
      </c>
      <c r="K1297" t="n">
        <v>833.5538752362949</v>
      </c>
      <c r="L1297">
        <f>导管母表_1781!G1297</f>
        <v/>
      </c>
      <c r="M1297" t="inlineStr">
        <is>
          <t>视野内部</t>
        </is>
      </c>
      <c r="N1297" t="inlineStr">
        <is>
          <t>纳入A/D/Dh；若有Pair_ID则纳入CWR</t>
        </is>
      </c>
      <c r="O1297" t="inlineStr">
        <is>
          <t>自动管线检出的合格导管腔。</t>
        </is>
      </c>
      <c r="P1297" t="inlineStr">
        <is>
          <t>auto_pipeline;review_png_green</t>
        </is>
      </c>
      <c r="Q1297" t="inlineStr">
        <is>
          <t>29(9)-P01</t>
        </is>
      </c>
      <c r="R1297" t="inlineStr">
        <is>
          <t>样品29</t>
        </is>
      </c>
    </row>
    <row r="1298">
      <c r="A1298" t="inlineStr">
        <is>
          <t>29(9)-V02</t>
        </is>
      </c>
      <c r="B1298" t="inlineStr">
        <is>
          <t>29 (9).tif</t>
        </is>
      </c>
      <c r="C1298" t="n">
        <v>554</v>
      </c>
      <c r="D1298" t="n">
        <v>383</v>
      </c>
      <c r="E1298" t="inlineStr">
        <is>
          <t>491,307,618,460</t>
        </is>
      </c>
      <c r="F1298" t="n">
        <v>307</v>
      </c>
      <c r="G1298" t="inlineStr">
        <is>
          <t>primary</t>
        </is>
      </c>
      <c r="H1298" t="inlineStr">
        <is>
          <t>AUTO_VESSEL</t>
        </is>
      </c>
      <c r="I1298" t="inlineStr">
        <is>
          <t>是</t>
        </is>
      </c>
      <c r="J1298" t="inlineStr">
        <is>
          <t>纳入</t>
        </is>
      </c>
      <c r="K1298" t="n">
        <v>709.1682419659735</v>
      </c>
      <c r="L1298">
        <f>导管母表_1781!G1298</f>
        <v/>
      </c>
      <c r="M1298" t="inlineStr">
        <is>
          <t>视野内部</t>
        </is>
      </c>
      <c r="N1298" t="inlineStr">
        <is>
          <t>纳入A/D/Dh；若有Pair_ID则纳入CWR</t>
        </is>
      </c>
      <c r="O1298" t="inlineStr">
        <is>
          <t>自动管线检出的合格导管腔。</t>
        </is>
      </c>
      <c r="P1298" t="inlineStr">
        <is>
          <t>auto_pipeline;review_png_green</t>
        </is>
      </c>
      <c r="Q1298" t="inlineStr">
        <is>
          <t>29(9)-P01</t>
        </is>
      </c>
      <c r="R1298" t="inlineStr">
        <is>
          <t>样品29</t>
        </is>
      </c>
    </row>
    <row r="1299">
      <c r="A1299" t="inlineStr">
        <is>
          <t>29(9)-V03</t>
        </is>
      </c>
      <c r="B1299" t="inlineStr">
        <is>
          <t>29 (9).tif</t>
        </is>
      </c>
      <c r="C1299" t="n">
        <v>694</v>
      </c>
      <c r="D1299" t="n">
        <v>472</v>
      </c>
      <c r="E1299" t="inlineStr">
        <is>
          <t>630,407,759,538</t>
        </is>
      </c>
      <c r="F1299" t="n">
        <v>230</v>
      </c>
      <c r="G1299" t="inlineStr">
        <is>
          <t>primary</t>
        </is>
      </c>
      <c r="H1299" t="inlineStr">
        <is>
          <t>AUTO_VESSEL</t>
        </is>
      </c>
      <c r="I1299" t="inlineStr">
        <is>
          <t>是</t>
        </is>
      </c>
      <c r="J1299" t="inlineStr">
        <is>
          <t>纳入</t>
        </is>
      </c>
      <c r="K1299" t="n">
        <v>614.3431001890359</v>
      </c>
      <c r="L1299">
        <f>导管母表_1781!G1299</f>
        <v/>
      </c>
      <c r="M1299" t="inlineStr">
        <is>
          <t>视野内部</t>
        </is>
      </c>
      <c r="N1299" t="inlineStr">
        <is>
          <t>纳入A/D/Dh；若有Pair_ID则纳入CWR</t>
        </is>
      </c>
      <c r="O1299" t="inlineStr">
        <is>
          <t>自动管线检出的合格导管腔。</t>
        </is>
      </c>
      <c r="P1299" t="inlineStr">
        <is>
          <t>auto_pipeline;review_png_green</t>
        </is>
      </c>
      <c r="R1299" t="inlineStr">
        <is>
          <t>样品29</t>
        </is>
      </c>
    </row>
    <row r="1300">
      <c r="A1300" t="inlineStr">
        <is>
          <t>30(1)-V01</t>
        </is>
      </c>
      <c r="B1300" t="inlineStr">
        <is>
          <t>30 (1).tif</t>
        </is>
      </c>
      <c r="C1300" t="n">
        <v>689</v>
      </c>
      <c r="D1300" t="n">
        <v>143</v>
      </c>
      <c r="E1300" t="inlineStr">
        <is>
          <t>610,39,769,248</t>
        </is>
      </c>
      <c r="F1300" t="n">
        <v>39</v>
      </c>
      <c r="G1300" t="inlineStr">
        <is>
          <t>primary</t>
        </is>
      </c>
      <c r="H1300" t="inlineStr">
        <is>
          <t>AUTO_VESSEL</t>
        </is>
      </c>
      <c r="I1300" t="inlineStr">
        <is>
          <t>是</t>
        </is>
      </c>
      <c r="J1300" t="inlineStr">
        <is>
          <t>纳入</t>
        </is>
      </c>
      <c r="K1300" t="n">
        <v>1158.199432892249</v>
      </c>
      <c r="L1300">
        <f>导管母表_1781!G1300</f>
        <v/>
      </c>
      <c r="M1300" t="inlineStr">
        <is>
          <t>视野内部</t>
        </is>
      </c>
      <c r="N1300" t="inlineStr">
        <is>
          <t>纳入A/D/Dh；若有Pair_ID则纳入CWR</t>
        </is>
      </c>
      <c r="O1300" t="inlineStr">
        <is>
          <t>自动管线检出的合格导管腔。</t>
        </is>
      </c>
      <c r="P1300" t="inlineStr">
        <is>
          <t>auto_pipeline;review_png_green</t>
        </is>
      </c>
      <c r="R1300" t="inlineStr">
        <is>
          <t>样品30</t>
        </is>
      </c>
    </row>
    <row r="1301">
      <c r="A1301" t="inlineStr">
        <is>
          <t>30(1)-V02</t>
        </is>
      </c>
      <c r="B1301" t="inlineStr">
        <is>
          <t>30 (1).tif</t>
        </is>
      </c>
      <c r="C1301" t="n">
        <v>322</v>
      </c>
      <c r="D1301" t="n">
        <v>130</v>
      </c>
      <c r="E1301" t="inlineStr">
        <is>
          <t>244,39,401,222</t>
        </is>
      </c>
      <c r="F1301" t="n">
        <v>39</v>
      </c>
      <c r="G1301" t="inlineStr">
        <is>
          <t>primary</t>
        </is>
      </c>
      <c r="H1301" t="inlineStr">
        <is>
          <t>AUTO_VESSEL</t>
        </is>
      </c>
      <c r="I1301" t="inlineStr">
        <is>
          <t>是</t>
        </is>
      </c>
      <c r="J1301" t="inlineStr">
        <is>
          <t>纳入</t>
        </is>
      </c>
      <c r="K1301" t="n">
        <v>1053.969754253308</v>
      </c>
      <c r="L1301">
        <f>导管母表_1781!G1301</f>
        <v/>
      </c>
      <c r="M1301" t="inlineStr">
        <is>
          <t>视野内部</t>
        </is>
      </c>
      <c r="N1301" t="inlineStr">
        <is>
          <t>纳入A/D/Dh；若有Pair_ID则纳入CWR</t>
        </is>
      </c>
      <c r="O1301" t="inlineStr">
        <is>
          <t>自动管线检出的合格导管腔。</t>
        </is>
      </c>
      <c r="P1301" t="inlineStr">
        <is>
          <t>auto_pipeline;review_png_green</t>
        </is>
      </c>
      <c r="R1301" t="inlineStr">
        <is>
          <t>样品30</t>
        </is>
      </c>
    </row>
    <row r="1302">
      <c r="A1302" t="inlineStr">
        <is>
          <t>30(1)-V03</t>
        </is>
      </c>
      <c r="B1302" t="inlineStr">
        <is>
          <t>30 (1).tif</t>
        </is>
      </c>
      <c r="C1302" t="n">
        <v>534</v>
      </c>
      <c r="D1302" t="n">
        <v>365</v>
      </c>
      <c r="E1302" t="inlineStr">
        <is>
          <t>479,298,590,433</t>
        </is>
      </c>
      <c r="F1302" t="n">
        <v>298</v>
      </c>
      <c r="G1302" t="inlineStr">
        <is>
          <t>primary</t>
        </is>
      </c>
      <c r="H1302" t="inlineStr">
        <is>
          <t>AUTO_VESSEL</t>
        </is>
      </c>
      <c r="I1302" t="inlineStr">
        <is>
          <t>是</t>
        </is>
      </c>
      <c r="J1302" t="inlineStr">
        <is>
          <t>纳入</t>
        </is>
      </c>
      <c r="K1302" t="n">
        <v>526.5122873345936</v>
      </c>
      <c r="L1302">
        <f>导管母表_1781!G1302</f>
        <v/>
      </c>
      <c r="M1302" t="inlineStr">
        <is>
          <t>视野内部</t>
        </is>
      </c>
      <c r="N1302" t="inlineStr">
        <is>
          <t>纳入A/D/Dh；若有Pair_ID则纳入CWR</t>
        </is>
      </c>
      <c r="O1302" t="inlineStr">
        <is>
          <t>自动管线检出的合格导管腔。</t>
        </is>
      </c>
      <c r="P1302" t="inlineStr">
        <is>
          <t>auto_pipeline;review_png_green</t>
        </is>
      </c>
      <c r="Q1302" t="inlineStr">
        <is>
          <t>30(1)-P01</t>
        </is>
      </c>
      <c r="R1302" t="inlineStr">
        <is>
          <t>样品30</t>
        </is>
      </c>
    </row>
    <row r="1303">
      <c r="A1303" t="inlineStr">
        <is>
          <t>30(1)-V04</t>
        </is>
      </c>
      <c r="B1303" t="inlineStr">
        <is>
          <t>30 (1).tif</t>
        </is>
      </c>
      <c r="C1303" t="n">
        <v>452</v>
      </c>
      <c r="D1303" t="n">
        <v>274</v>
      </c>
      <c r="E1303" t="inlineStr">
        <is>
          <t>401,207,504,342</t>
        </is>
      </c>
      <c r="F1303" t="n">
        <v>207</v>
      </c>
      <c r="G1303" t="inlineStr">
        <is>
          <t>primary</t>
        </is>
      </c>
      <c r="H1303" t="inlineStr">
        <is>
          <t>AUTO_VESSEL</t>
        </is>
      </c>
      <c r="I1303" t="inlineStr">
        <is>
          <t>是</t>
        </is>
      </c>
      <c r="J1303" t="inlineStr">
        <is>
          <t>纳入</t>
        </is>
      </c>
      <c r="K1303" t="n">
        <v>501.0869565217391</v>
      </c>
      <c r="L1303">
        <f>导管母表_1781!G1303</f>
        <v/>
      </c>
      <c r="M1303" t="inlineStr">
        <is>
          <t>视野内部</t>
        </is>
      </c>
      <c r="N1303" t="inlineStr">
        <is>
          <t>纳入A/D/Dh；若有Pair_ID则纳入CWR</t>
        </is>
      </c>
      <c r="O1303" t="inlineStr">
        <is>
          <t>自动管线检出的合格导管腔。</t>
        </is>
      </c>
      <c r="P1303" t="inlineStr">
        <is>
          <t>auto_pipeline;review_png_green</t>
        </is>
      </c>
      <c r="Q1303" t="inlineStr">
        <is>
          <t>30(1)-P01</t>
        </is>
      </c>
      <c r="R1303" t="inlineStr">
        <is>
          <t>样品30</t>
        </is>
      </c>
    </row>
    <row r="1304">
      <c r="A1304" t="inlineStr">
        <is>
          <t>30(1)-V05</t>
        </is>
      </c>
      <c r="B1304" t="inlineStr">
        <is>
          <t>30 (1).tif</t>
        </is>
      </c>
      <c r="C1304" t="n">
        <v>468</v>
      </c>
      <c r="D1304" t="n">
        <v>571</v>
      </c>
      <c r="E1304" t="inlineStr">
        <is>
          <t>429,518,508,625</t>
        </is>
      </c>
      <c r="F1304" t="n">
        <v>143</v>
      </c>
      <c r="G1304" t="inlineStr">
        <is>
          <t>primary</t>
        </is>
      </c>
      <c r="H1304" t="inlineStr">
        <is>
          <t>AUTO_VESSEL</t>
        </is>
      </c>
      <c r="I1304" t="inlineStr">
        <is>
          <t>是</t>
        </is>
      </c>
      <c r="J1304" t="inlineStr">
        <is>
          <t>纳入</t>
        </is>
      </c>
      <c r="K1304" t="n">
        <v>302.2448015122873</v>
      </c>
      <c r="L1304">
        <f>导管母表_1781!G1304</f>
        <v/>
      </c>
      <c r="M1304" t="inlineStr">
        <is>
          <t>视野内部</t>
        </is>
      </c>
      <c r="N1304" t="inlineStr">
        <is>
          <t>纳入A/D/Dh；若有Pair_ID则纳入CWR</t>
        </is>
      </c>
      <c r="O1304" t="inlineStr">
        <is>
          <t>自动管线检出的合格导管腔。</t>
        </is>
      </c>
      <c r="P1304" t="inlineStr">
        <is>
          <t>auto_pipeline;review_png_green</t>
        </is>
      </c>
      <c r="R1304" t="inlineStr">
        <is>
          <t>样品30</t>
        </is>
      </c>
    </row>
    <row r="1305">
      <c r="A1305" t="inlineStr">
        <is>
          <t>30(1)-V06</t>
        </is>
      </c>
      <c r="B1305" t="inlineStr">
        <is>
          <t>30 (1).tif</t>
        </is>
      </c>
      <c r="C1305" t="n">
        <v>574</v>
      </c>
      <c r="D1305" t="n">
        <v>85</v>
      </c>
      <c r="E1305" t="inlineStr">
        <is>
          <t>555,34,594,137</t>
        </is>
      </c>
      <c r="F1305" t="n">
        <v>34</v>
      </c>
      <c r="G1305" t="inlineStr">
        <is>
          <t>primary</t>
        </is>
      </c>
      <c r="H1305" t="inlineStr">
        <is>
          <t>AUTO_VESSEL</t>
        </is>
      </c>
      <c r="I1305" t="inlineStr">
        <is>
          <t>是</t>
        </is>
      </c>
      <c r="J1305" t="inlineStr">
        <is>
          <t>纳入</t>
        </is>
      </c>
      <c r="K1305" t="n">
        <v>143.5727788279773</v>
      </c>
      <c r="L1305">
        <f>导管母表_1781!G1305</f>
        <v/>
      </c>
      <c r="M1305" t="inlineStr">
        <is>
          <t>视野内部</t>
        </is>
      </c>
      <c r="N1305" t="inlineStr">
        <is>
          <t>纳入A/D/Dh；若有Pair_ID则纳入CWR</t>
        </is>
      </c>
      <c r="O1305" t="inlineStr">
        <is>
          <t>自动管线检出的合格导管腔。</t>
        </is>
      </c>
      <c r="P1305" t="inlineStr">
        <is>
          <t>auto_pipeline;review_png_green</t>
        </is>
      </c>
      <c r="R1305" t="inlineStr">
        <is>
          <t>样品30</t>
        </is>
      </c>
    </row>
    <row r="1306">
      <c r="A1306" t="inlineStr">
        <is>
          <t>30(2)-V01</t>
        </is>
      </c>
      <c r="B1306" t="inlineStr">
        <is>
          <t>30 (2).tif</t>
        </is>
      </c>
      <c r="C1306" t="n">
        <v>558</v>
      </c>
      <c r="D1306" t="n">
        <v>457</v>
      </c>
      <c r="E1306" t="inlineStr">
        <is>
          <t>490,377,627,538</t>
        </is>
      </c>
      <c r="F1306" t="n">
        <v>230</v>
      </c>
      <c r="G1306" t="inlineStr">
        <is>
          <t>primary</t>
        </is>
      </c>
      <c r="H1306" t="inlineStr">
        <is>
          <t>AUTO_VESSEL</t>
        </is>
      </c>
      <c r="I1306" t="inlineStr">
        <is>
          <t>是</t>
        </is>
      </c>
      <c r="J1306" t="inlineStr">
        <is>
          <t>纳入</t>
        </is>
      </c>
      <c r="K1306" t="n">
        <v>805.1748582230624</v>
      </c>
      <c r="L1306">
        <f>导管母表_1781!G1306</f>
        <v/>
      </c>
      <c r="M1306" t="inlineStr">
        <is>
          <t>视野内部</t>
        </is>
      </c>
      <c r="N1306" t="inlineStr">
        <is>
          <t>纳入A/D/Dh；若有Pair_ID则纳入CWR</t>
        </is>
      </c>
      <c r="O1306" t="inlineStr">
        <is>
          <t>自动管线检出的合格导管腔。</t>
        </is>
      </c>
      <c r="P1306" t="inlineStr">
        <is>
          <t>auto_pipeline;review_png_green</t>
        </is>
      </c>
      <c r="Q1306" t="inlineStr">
        <is>
          <t>30(2)-P01</t>
        </is>
      </c>
      <c r="R1306" t="inlineStr">
        <is>
          <t>样品30</t>
        </is>
      </c>
    </row>
    <row r="1307">
      <c r="A1307" t="inlineStr">
        <is>
          <t>30(2)-V02</t>
        </is>
      </c>
      <c r="B1307" t="inlineStr">
        <is>
          <t>30 (2).tif</t>
        </is>
      </c>
      <c r="C1307" t="n">
        <v>432</v>
      </c>
      <c r="D1307" t="n">
        <v>340</v>
      </c>
      <c r="E1307" t="inlineStr">
        <is>
          <t>371,269,494,412</t>
        </is>
      </c>
      <c r="F1307" t="n">
        <v>269</v>
      </c>
      <c r="G1307" t="inlineStr">
        <is>
          <t>primary</t>
        </is>
      </c>
      <c r="H1307" t="inlineStr">
        <is>
          <t>AUTO_VESSEL</t>
        </is>
      </c>
      <c r="I1307" t="inlineStr">
        <is>
          <t>是</t>
        </is>
      </c>
      <c r="J1307" t="inlineStr">
        <is>
          <t>纳入</t>
        </is>
      </c>
      <c r="K1307" t="n">
        <v>640.5954631379963</v>
      </c>
      <c r="L1307">
        <f>导管母表_1781!G1307</f>
        <v/>
      </c>
      <c r="M1307" t="inlineStr">
        <is>
          <t>视野内部</t>
        </is>
      </c>
      <c r="N1307" t="inlineStr">
        <is>
          <t>纳入A/D/Dh；若有Pair_ID则纳入CWR</t>
        </is>
      </c>
      <c r="O1307" t="inlineStr">
        <is>
          <t>自动管线检出的合格导管腔。</t>
        </is>
      </c>
      <c r="P1307" t="inlineStr">
        <is>
          <t>auto_pipeline;review_png_green</t>
        </is>
      </c>
      <c r="Q1307" t="inlineStr">
        <is>
          <t>30(2)-P01</t>
        </is>
      </c>
      <c r="R1307" t="inlineStr">
        <is>
          <t>样品30</t>
        </is>
      </c>
    </row>
    <row r="1308">
      <c r="A1308" t="inlineStr">
        <is>
          <t>30(2)-V03</t>
        </is>
      </c>
      <c r="B1308" t="inlineStr">
        <is>
          <t>30 (2).tif</t>
        </is>
      </c>
      <c r="C1308" t="n">
        <v>619</v>
      </c>
      <c r="D1308" t="n">
        <v>57</v>
      </c>
      <c r="E1308" t="inlineStr">
        <is>
          <t>578,30,661,85</t>
        </is>
      </c>
      <c r="F1308" t="n">
        <v>30</v>
      </c>
      <c r="G1308" t="inlineStr">
        <is>
          <t>primary</t>
        </is>
      </c>
      <c r="H1308" t="inlineStr">
        <is>
          <t>AUTO_VESSEL</t>
        </is>
      </c>
      <c r="I1308" t="inlineStr">
        <is>
          <t>是</t>
        </is>
      </c>
      <c r="J1308" t="inlineStr">
        <is>
          <t>纳入</t>
        </is>
      </c>
      <c r="K1308" t="n">
        <v>147.140831758034</v>
      </c>
      <c r="L1308">
        <f>导管母表_1781!G1308</f>
        <v/>
      </c>
      <c r="M1308" t="inlineStr">
        <is>
          <t>视野内部</t>
        </is>
      </c>
      <c r="N1308" t="inlineStr">
        <is>
          <t>纳入A/D/Dh；若有Pair_ID则纳入CWR</t>
        </is>
      </c>
      <c r="O1308" t="inlineStr">
        <is>
          <t>自动管线检出的合格导管腔。</t>
        </is>
      </c>
      <c r="P1308" t="inlineStr">
        <is>
          <t>auto_pipeline;review_png_green</t>
        </is>
      </c>
      <c r="R1308" t="inlineStr">
        <is>
          <t>样品30</t>
        </is>
      </c>
    </row>
    <row r="1309">
      <c r="A1309" t="inlineStr">
        <is>
          <t>30(3)-V01</t>
        </is>
      </c>
      <c r="B1309" t="inlineStr">
        <is>
          <t>30 (3).tif</t>
        </is>
      </c>
      <c r="C1309" t="n">
        <v>612</v>
      </c>
      <c r="D1309" t="n">
        <v>388</v>
      </c>
      <c r="E1309" t="inlineStr">
        <is>
          <t>555,319,670,458</t>
        </is>
      </c>
      <c r="F1309" t="n">
        <v>310</v>
      </c>
      <c r="G1309" t="inlineStr">
        <is>
          <t>primary</t>
        </is>
      </c>
      <c r="H1309" t="inlineStr">
        <is>
          <t>AUTO_VESSEL</t>
        </is>
      </c>
      <c r="I1309" t="inlineStr">
        <is>
          <t>是</t>
        </is>
      </c>
      <c r="J1309" t="inlineStr">
        <is>
          <t>纳入</t>
        </is>
      </c>
      <c r="K1309" t="n">
        <v>583.8374291115312</v>
      </c>
      <c r="L1309">
        <f>导管母表_1781!G1309</f>
        <v/>
      </c>
      <c r="M1309" t="inlineStr">
        <is>
          <t>视野内部</t>
        </is>
      </c>
      <c r="N1309" t="inlineStr">
        <is>
          <t>纳入A/D/Dh；若有Pair_ID则纳入CWR</t>
        </is>
      </c>
      <c r="O1309" t="inlineStr">
        <is>
          <t>自动管线检出的合格导管腔。</t>
        </is>
      </c>
      <c r="P1309" t="inlineStr">
        <is>
          <t>auto_pipeline;review_png_green</t>
        </is>
      </c>
      <c r="R1309" t="inlineStr">
        <is>
          <t>样品30</t>
        </is>
      </c>
    </row>
    <row r="1310">
      <c r="A1310" t="inlineStr">
        <is>
          <t>30(3)-V02</t>
        </is>
      </c>
      <c r="B1310" t="inlineStr">
        <is>
          <t>30 (3).tif</t>
        </is>
      </c>
      <c r="C1310" t="n">
        <v>792</v>
      </c>
      <c r="D1310" t="n">
        <v>444</v>
      </c>
      <c r="E1310" t="inlineStr">
        <is>
          <t>719,390,866,499</t>
        </is>
      </c>
      <c r="F1310" t="n">
        <v>158</v>
      </c>
      <c r="G1310" t="inlineStr">
        <is>
          <t>primary</t>
        </is>
      </c>
      <c r="H1310" t="inlineStr">
        <is>
          <t>AUTO_VESSEL</t>
        </is>
      </c>
      <c r="I1310" t="inlineStr">
        <is>
          <t>是</t>
        </is>
      </c>
      <c r="J1310" t="inlineStr">
        <is>
          <t>纳入</t>
        </is>
      </c>
      <c r="K1310" t="n">
        <v>567.6275992438564</v>
      </c>
      <c r="L1310">
        <f>导管母表_1781!G1310</f>
        <v/>
      </c>
      <c r="M1310" t="inlineStr">
        <is>
          <t>视野内部</t>
        </is>
      </c>
      <c r="N1310" t="inlineStr">
        <is>
          <t>纳入A/D/Dh；若有Pair_ID则纳入CWR</t>
        </is>
      </c>
      <c r="O1310" t="inlineStr">
        <is>
          <t>自动管线检出的合格导管腔。</t>
        </is>
      </c>
      <c r="P1310" t="inlineStr">
        <is>
          <t>auto_pipeline;review_png_green</t>
        </is>
      </c>
      <c r="R1310" t="inlineStr">
        <is>
          <t>样品30</t>
        </is>
      </c>
    </row>
    <row r="1311">
      <c r="A1311" t="inlineStr">
        <is>
          <t>30(3)-V03</t>
        </is>
      </c>
      <c r="B1311" t="inlineStr">
        <is>
          <t>30 (3).tif</t>
        </is>
      </c>
      <c r="C1311" t="n">
        <v>462</v>
      </c>
      <c r="D1311" t="n">
        <v>355</v>
      </c>
      <c r="E1311" t="inlineStr">
        <is>
          <t>401,300,524,411</t>
        </is>
      </c>
      <c r="F1311" t="n">
        <v>300</v>
      </c>
      <c r="G1311" t="inlineStr">
        <is>
          <t>primary</t>
        </is>
      </c>
      <c r="H1311" t="inlineStr">
        <is>
          <t>AUTO_VESSEL</t>
        </is>
      </c>
      <c r="I1311" t="inlineStr">
        <is>
          <t>是</t>
        </is>
      </c>
      <c r="J1311" t="inlineStr">
        <is>
          <t>纳入</t>
        </is>
      </c>
      <c r="K1311" t="n">
        <v>495.132325141777</v>
      </c>
      <c r="L1311">
        <f>导管母表_1781!G1311</f>
        <v/>
      </c>
      <c r="M1311" t="inlineStr">
        <is>
          <t>视野内部</t>
        </is>
      </c>
      <c r="N1311" t="inlineStr">
        <is>
          <t>纳入A/D/Dh；若有Pair_ID则纳入CWR</t>
        </is>
      </c>
      <c r="O1311" t="inlineStr">
        <is>
          <t>自动管线检出的合格导管腔。</t>
        </is>
      </c>
      <c r="P1311" t="inlineStr">
        <is>
          <t>auto_pipeline;review_png_green</t>
        </is>
      </c>
      <c r="R1311" t="inlineStr">
        <is>
          <t>样品30</t>
        </is>
      </c>
    </row>
    <row r="1312">
      <c r="A1312" t="inlineStr">
        <is>
          <t>30(3)-V04</t>
        </is>
      </c>
      <c r="B1312" t="inlineStr">
        <is>
          <t>30 (3).tif</t>
        </is>
      </c>
      <c r="C1312" t="n">
        <v>273</v>
      </c>
      <c r="D1312" t="n">
        <v>97</v>
      </c>
      <c r="E1312" t="inlineStr">
        <is>
          <t>231,69,316,126</t>
        </is>
      </c>
      <c r="F1312" t="n">
        <v>69</v>
      </c>
      <c r="G1312" t="inlineStr">
        <is>
          <t>primary</t>
        </is>
      </c>
      <c r="H1312" t="inlineStr">
        <is>
          <t>AUTO_VESSEL</t>
        </is>
      </c>
      <c r="I1312" t="inlineStr">
        <is>
          <t>是</t>
        </is>
      </c>
      <c r="J1312" t="inlineStr">
        <is>
          <t>纳入</t>
        </is>
      </c>
      <c r="K1312" t="n">
        <v>163.5396975425331</v>
      </c>
      <c r="L1312">
        <f>导管母表_1781!G1312</f>
        <v/>
      </c>
      <c r="M1312" t="inlineStr">
        <is>
          <t>视野内部</t>
        </is>
      </c>
      <c r="N1312" t="inlineStr">
        <is>
          <t>纳入A/D/Dh；若有Pair_ID则纳入CWR</t>
        </is>
      </c>
      <c r="O1312" t="inlineStr">
        <is>
          <t>自动管线检出的合格导管腔。</t>
        </is>
      </c>
      <c r="P1312" t="inlineStr">
        <is>
          <t>auto_pipeline;review_png_green</t>
        </is>
      </c>
      <c r="R1312" t="inlineStr">
        <is>
          <t>样品30</t>
        </is>
      </c>
    </row>
    <row r="1313">
      <c r="A1313" t="inlineStr">
        <is>
          <t>30(3)-V05</t>
        </is>
      </c>
      <c r="B1313" t="inlineStr">
        <is>
          <t>30 (3).tif</t>
        </is>
      </c>
      <c r="C1313" t="n">
        <v>149</v>
      </c>
      <c r="D1313" t="n">
        <v>316</v>
      </c>
      <c r="E1313" t="inlineStr">
        <is>
          <t>102,293,197,340</t>
        </is>
      </c>
      <c r="F1313" t="n">
        <v>102</v>
      </c>
      <c r="G1313" t="inlineStr">
        <is>
          <t>primary</t>
        </is>
      </c>
      <c r="H1313" t="inlineStr">
        <is>
          <t>AUTO_VESSEL</t>
        </is>
      </c>
      <c r="I1313" t="inlineStr">
        <is>
          <t>是</t>
        </is>
      </c>
      <c r="J1313" t="inlineStr">
        <is>
          <t>纳入</t>
        </is>
      </c>
      <c r="K1313" t="n">
        <v>150</v>
      </c>
      <c r="L1313">
        <f>导管母表_1781!G1313</f>
        <v/>
      </c>
      <c r="M1313" t="inlineStr">
        <is>
          <t>视野内部</t>
        </is>
      </c>
      <c r="N1313" t="inlineStr">
        <is>
          <t>纳入A/D/Dh；若有Pair_ID则纳入CWR</t>
        </is>
      </c>
      <c r="O1313" t="inlineStr">
        <is>
          <t>自动管线检出的合格导管腔。</t>
        </is>
      </c>
      <c r="P1313" t="inlineStr">
        <is>
          <t>auto_pipeline;review_png_green</t>
        </is>
      </c>
      <c r="R1313" t="inlineStr">
        <is>
          <t>样品30</t>
        </is>
      </c>
    </row>
    <row r="1314">
      <c r="A1314" t="inlineStr">
        <is>
          <t>30(3)-V06</t>
        </is>
      </c>
      <c r="B1314" t="inlineStr">
        <is>
          <t>30 (3).tif</t>
        </is>
      </c>
      <c r="C1314" t="n">
        <v>75</v>
      </c>
      <c r="D1314" t="n">
        <v>497</v>
      </c>
      <c r="E1314" t="inlineStr">
        <is>
          <t>43,468,108,527</t>
        </is>
      </c>
      <c r="F1314" t="n">
        <v>43</v>
      </c>
      <c r="G1314" t="inlineStr">
        <is>
          <t>primary</t>
        </is>
      </c>
      <c r="H1314" t="inlineStr">
        <is>
          <t>AUTO_VESSEL</t>
        </is>
      </c>
      <c r="I1314" t="inlineStr">
        <is>
          <t>是</t>
        </is>
      </c>
      <c r="J1314" t="inlineStr">
        <is>
          <t>纳入</t>
        </is>
      </c>
      <c r="K1314" t="n">
        <v>136.2003780718337</v>
      </c>
      <c r="L1314">
        <f>导管母表_1781!G1314</f>
        <v/>
      </c>
      <c r="M1314" t="inlineStr">
        <is>
          <t>视野内部</t>
        </is>
      </c>
      <c r="N1314" t="inlineStr">
        <is>
          <t>纳入A/D/Dh；若有Pair_ID则纳入CWR</t>
        </is>
      </c>
      <c r="O1314" t="inlineStr">
        <is>
          <t>自动管线检出的合格导管腔。</t>
        </is>
      </c>
      <c r="P1314" t="inlineStr">
        <is>
          <t>auto_pipeline;review_png_green</t>
        </is>
      </c>
      <c r="R1314" t="inlineStr">
        <is>
          <t>样品30</t>
        </is>
      </c>
    </row>
    <row r="1315">
      <c r="A1315" t="inlineStr">
        <is>
          <t>30(4)-V01</t>
        </is>
      </c>
      <c r="B1315" t="inlineStr">
        <is>
          <t>30 (4).tif</t>
        </is>
      </c>
      <c r="C1315" t="n">
        <v>425</v>
      </c>
      <c r="D1315" t="n">
        <v>301</v>
      </c>
      <c r="E1315" t="inlineStr">
        <is>
          <t>353,236,498,367</t>
        </is>
      </c>
      <c r="F1315" t="n">
        <v>236</v>
      </c>
      <c r="G1315" t="inlineStr">
        <is>
          <t>primary</t>
        </is>
      </c>
      <c r="H1315" t="inlineStr">
        <is>
          <t>AUTO_VESSEL</t>
        </is>
      </c>
      <c r="I1315" t="inlineStr">
        <is>
          <t>是</t>
        </is>
      </c>
      <c r="J1315" t="inlineStr">
        <is>
          <t>纳入</t>
        </is>
      </c>
      <c r="K1315" t="n">
        <v>693.194706994329</v>
      </c>
      <c r="L1315">
        <f>导管母表_1781!G1315</f>
        <v/>
      </c>
      <c r="M1315" t="inlineStr">
        <is>
          <t>视野内部</t>
        </is>
      </c>
      <c r="N1315" t="inlineStr">
        <is>
          <t>纳入A/D/Dh；若有Pair_ID则纳入CWR</t>
        </is>
      </c>
      <c r="O1315" t="inlineStr">
        <is>
          <t>自动管线检出的合格导管腔。</t>
        </is>
      </c>
      <c r="P1315" t="inlineStr">
        <is>
          <t>auto_pipeline;review_png_green</t>
        </is>
      </c>
      <c r="Q1315" t="inlineStr">
        <is>
          <t>30(4)-P01</t>
        </is>
      </c>
      <c r="R1315" t="inlineStr">
        <is>
          <t>样品30</t>
        </is>
      </c>
    </row>
    <row r="1316">
      <c r="A1316" t="inlineStr">
        <is>
          <t>30(4)-V02</t>
        </is>
      </c>
      <c r="B1316" t="inlineStr">
        <is>
          <t>30 (4).tif</t>
        </is>
      </c>
      <c r="C1316" t="n">
        <v>517</v>
      </c>
      <c r="D1316" t="n">
        <v>431</v>
      </c>
      <c r="E1316" t="inlineStr">
        <is>
          <t>455,365,580,498</t>
        </is>
      </c>
      <c r="F1316" t="n">
        <v>270</v>
      </c>
      <c r="G1316" t="inlineStr">
        <is>
          <t>primary</t>
        </is>
      </c>
      <c r="H1316" t="inlineStr">
        <is>
          <t>AUTO_VESSEL</t>
        </is>
      </c>
      <c r="I1316" t="inlineStr">
        <is>
          <t>是</t>
        </is>
      </c>
      <c r="J1316" t="inlineStr">
        <is>
          <t>纳入</t>
        </is>
      </c>
      <c r="K1316" t="n">
        <v>588.0198487712665</v>
      </c>
      <c r="L1316">
        <f>导管母表_1781!G1316</f>
        <v/>
      </c>
      <c r="M1316" t="inlineStr">
        <is>
          <t>视野内部</t>
        </is>
      </c>
      <c r="N1316" t="inlineStr">
        <is>
          <t>纳入A/D/Dh；若有Pair_ID则纳入CWR</t>
        </is>
      </c>
      <c r="O1316" t="inlineStr">
        <is>
          <t>自动管线检出的合格导管腔。</t>
        </is>
      </c>
      <c r="P1316" t="inlineStr">
        <is>
          <t>auto_pipeline;review_png_green</t>
        </is>
      </c>
      <c r="Q1316" t="inlineStr">
        <is>
          <t>30(4)-P01</t>
        </is>
      </c>
      <c r="R1316" t="inlineStr">
        <is>
          <t>样品30</t>
        </is>
      </c>
    </row>
    <row r="1317">
      <c r="A1317" t="inlineStr">
        <is>
          <t>30(4)-V03</t>
        </is>
      </c>
      <c r="B1317" t="inlineStr">
        <is>
          <t>30 (4).tif</t>
        </is>
      </c>
      <c r="C1317" t="n">
        <v>969</v>
      </c>
      <c r="D1317" t="n">
        <v>456</v>
      </c>
      <c r="E1317" t="inlineStr">
        <is>
          <t>931,373,1008,540</t>
        </is>
      </c>
      <c r="F1317" t="n">
        <v>16</v>
      </c>
      <c r="G1317" t="inlineStr">
        <is>
          <t>primary</t>
        </is>
      </c>
      <c r="H1317" t="inlineStr">
        <is>
          <t>AUTO_VESSEL</t>
        </is>
      </c>
      <c r="I1317" t="inlineStr">
        <is>
          <t>是</t>
        </is>
      </c>
      <c r="J1317" t="inlineStr">
        <is>
          <t>纳入</t>
        </is>
      </c>
      <c r="K1317" t="n">
        <v>461.1767485822306</v>
      </c>
      <c r="L1317">
        <f>导管母表_1781!G1317</f>
        <v/>
      </c>
      <c r="M1317" t="inlineStr">
        <is>
          <t>近边缘（&lt;25 px）</t>
        </is>
      </c>
      <c r="N1317" t="inlineStr">
        <is>
          <t>纳入A/D/Dh；若有Pair_ID则纳入CWR</t>
        </is>
      </c>
      <c r="O1317" t="inlineStr">
        <is>
          <t>自动管线检出的合格导管腔。</t>
        </is>
      </c>
      <c r="P1317" t="inlineStr">
        <is>
          <t>auto_pipeline;review_png_green</t>
        </is>
      </c>
      <c r="R1317" t="inlineStr">
        <is>
          <t>样品30</t>
        </is>
      </c>
    </row>
    <row r="1318">
      <c r="A1318" t="inlineStr">
        <is>
          <t>30(4)-V04</t>
        </is>
      </c>
      <c r="B1318" t="inlineStr">
        <is>
          <t>30 (4).tif</t>
        </is>
      </c>
      <c r="C1318" t="n">
        <v>130</v>
      </c>
      <c r="D1318" t="n">
        <v>116</v>
      </c>
      <c r="E1318" t="inlineStr">
        <is>
          <t>86,55,175,178</t>
        </is>
      </c>
      <c r="F1318" t="n">
        <v>55</v>
      </c>
      <c r="G1318" t="inlineStr">
        <is>
          <t>primary</t>
        </is>
      </c>
      <c r="H1318" t="inlineStr">
        <is>
          <t>AUTO_VESSEL</t>
        </is>
      </c>
      <c r="I1318" t="inlineStr">
        <is>
          <t>是</t>
        </is>
      </c>
      <c r="J1318" t="inlineStr">
        <is>
          <t>纳入</t>
        </is>
      </c>
      <c r="K1318" t="n">
        <v>392.296786389414</v>
      </c>
      <c r="L1318">
        <f>导管母表_1781!G1318</f>
        <v/>
      </c>
      <c r="M1318" t="inlineStr">
        <is>
          <t>视野内部</t>
        </is>
      </c>
      <c r="N1318" t="inlineStr">
        <is>
          <t>纳入A/D/Dh；若有Pair_ID则纳入CWR</t>
        </is>
      </c>
      <c r="O1318" t="inlineStr">
        <is>
          <t>自动管线检出的合格导管腔。</t>
        </is>
      </c>
      <c r="P1318" t="inlineStr">
        <is>
          <t>auto_pipeline;review_png_green</t>
        </is>
      </c>
      <c r="R1318" t="inlineStr">
        <is>
          <t>样品30</t>
        </is>
      </c>
    </row>
    <row r="1319">
      <c r="A1319" t="inlineStr">
        <is>
          <t>30(4)-V05</t>
        </is>
      </c>
      <c r="B1319" t="inlineStr">
        <is>
          <t>30 (4).tif</t>
        </is>
      </c>
      <c r="C1319" t="n">
        <v>268</v>
      </c>
      <c r="D1319" t="n">
        <v>81</v>
      </c>
      <c r="E1319" t="inlineStr">
        <is>
          <t>229,23,308,140</t>
        </is>
      </c>
      <c r="F1319" t="n">
        <v>23</v>
      </c>
      <c r="G1319" t="inlineStr">
        <is>
          <t>primary</t>
        </is>
      </c>
      <c r="H1319" t="inlineStr">
        <is>
          <t>AUTO_VESSEL</t>
        </is>
      </c>
      <c r="I1319" t="inlineStr">
        <is>
          <t>是</t>
        </is>
      </c>
      <c r="J1319" t="inlineStr">
        <is>
          <t>纳入</t>
        </is>
      </c>
      <c r="K1319" t="n">
        <v>307.6086956521739</v>
      </c>
      <c r="L1319">
        <f>导管母表_1781!G1319</f>
        <v/>
      </c>
      <c r="M1319" t="inlineStr">
        <is>
          <t>近边缘（&lt;25 px）</t>
        </is>
      </c>
      <c r="N1319" t="inlineStr">
        <is>
          <t>纳入A/D/Dh；若有Pair_ID则纳入CWR</t>
        </is>
      </c>
      <c r="O1319" t="inlineStr">
        <is>
          <t>自动管线检出的合格导管腔。</t>
        </is>
      </c>
      <c r="P1319" t="inlineStr">
        <is>
          <t>auto_pipeline;review_png_green</t>
        </is>
      </c>
      <c r="R1319" t="inlineStr">
        <is>
          <t>样品30</t>
        </is>
      </c>
    </row>
    <row r="1320">
      <c r="A1320" t="inlineStr">
        <is>
          <t>30(4)-V06</t>
        </is>
      </c>
      <c r="B1320" t="inlineStr">
        <is>
          <t>30 (4).tif</t>
        </is>
      </c>
      <c r="C1320" t="n">
        <v>760</v>
      </c>
      <c r="D1320" t="n">
        <v>299</v>
      </c>
      <c r="E1320" t="inlineStr">
        <is>
          <t>726,244,795,355</t>
        </is>
      </c>
      <c r="F1320" t="n">
        <v>229</v>
      </c>
      <c r="G1320" t="inlineStr">
        <is>
          <t>primary</t>
        </is>
      </c>
      <c r="H1320" t="inlineStr">
        <is>
          <t>AUTO_VESSEL</t>
        </is>
      </c>
      <c r="I1320" t="inlineStr">
        <is>
          <t>是</t>
        </is>
      </c>
      <c r="J1320" t="inlineStr">
        <is>
          <t>纳入</t>
        </is>
      </c>
      <c r="K1320" t="n">
        <v>241.0680529300567</v>
      </c>
      <c r="L1320">
        <f>导管母表_1781!G1320</f>
        <v/>
      </c>
      <c r="M1320" t="inlineStr">
        <is>
          <t>视野内部</t>
        </is>
      </c>
      <c r="N1320" t="inlineStr">
        <is>
          <t>纳入A/D/Dh；若有Pair_ID则纳入CWR</t>
        </is>
      </c>
      <c r="O1320" t="inlineStr">
        <is>
          <t>自动管线检出的合格导管腔。</t>
        </is>
      </c>
      <c r="P1320" t="inlineStr">
        <is>
          <t>auto_pipeline;review_png_green</t>
        </is>
      </c>
      <c r="R1320" t="inlineStr">
        <is>
          <t>样品30</t>
        </is>
      </c>
    </row>
    <row r="1321">
      <c r="A1321" t="inlineStr">
        <is>
          <t>30(4)-V07</t>
        </is>
      </c>
      <c r="B1321" t="inlineStr">
        <is>
          <t>30 (4).tif</t>
        </is>
      </c>
      <c r="C1321" t="n">
        <v>489</v>
      </c>
      <c r="D1321" t="n">
        <v>567</v>
      </c>
      <c r="E1321" t="inlineStr">
        <is>
          <t>458,522,521,613</t>
        </is>
      </c>
      <c r="F1321" t="n">
        <v>155</v>
      </c>
      <c r="G1321" t="inlineStr">
        <is>
          <t>primary</t>
        </is>
      </c>
      <c r="H1321" t="inlineStr">
        <is>
          <t>AUTO_VESSEL</t>
        </is>
      </c>
      <c r="I1321" t="inlineStr">
        <is>
          <t>是</t>
        </is>
      </c>
      <c r="J1321" t="inlineStr">
        <is>
          <t>纳入</t>
        </is>
      </c>
      <c r="K1321" t="n">
        <v>174.3383742911153</v>
      </c>
      <c r="L1321">
        <f>导管母表_1781!G1321</f>
        <v/>
      </c>
      <c r="M1321" t="inlineStr">
        <is>
          <t>视野内部</t>
        </is>
      </c>
      <c r="N1321" t="inlineStr">
        <is>
          <t>纳入A/D/Dh；若有Pair_ID则纳入CWR</t>
        </is>
      </c>
      <c r="O1321" t="inlineStr">
        <is>
          <t>自动管线检出的合格导管腔。</t>
        </is>
      </c>
      <c r="P1321" t="inlineStr">
        <is>
          <t>auto_pipeline;review_png_green</t>
        </is>
      </c>
      <c r="R1321" t="inlineStr">
        <is>
          <t>样品30</t>
        </is>
      </c>
    </row>
    <row r="1322">
      <c r="A1322" t="inlineStr">
        <is>
          <t>30(4)-V08</t>
        </is>
      </c>
      <c r="B1322" t="inlineStr">
        <is>
          <t>30 (4).tif</t>
        </is>
      </c>
      <c r="C1322" t="n">
        <v>316</v>
      </c>
      <c r="D1322" t="n">
        <v>217</v>
      </c>
      <c r="E1322" t="inlineStr">
        <is>
          <t>288,184,345,251</t>
        </is>
      </c>
      <c r="F1322" t="n">
        <v>184</v>
      </c>
      <c r="G1322" t="inlineStr">
        <is>
          <t>primary</t>
        </is>
      </c>
      <c r="H1322" t="inlineStr">
        <is>
          <t>AUTO_VESSEL</t>
        </is>
      </c>
      <c r="I1322" t="inlineStr">
        <is>
          <t>是</t>
        </is>
      </c>
      <c r="J1322" t="inlineStr">
        <is>
          <t>纳入</t>
        </is>
      </c>
      <c r="K1322" t="n">
        <v>137.3345935727788</v>
      </c>
      <c r="L1322">
        <f>导管母表_1781!G1322</f>
        <v/>
      </c>
      <c r="M1322" t="inlineStr">
        <is>
          <t>视野内部</t>
        </is>
      </c>
      <c r="N1322" t="inlineStr">
        <is>
          <t>纳入A/D/Dh；若有Pair_ID则纳入CWR</t>
        </is>
      </c>
      <c r="O1322" t="inlineStr">
        <is>
          <t>自动管线检出的合格导管腔。</t>
        </is>
      </c>
      <c r="P1322" t="inlineStr">
        <is>
          <t>auto_pipeline;review_png_green</t>
        </is>
      </c>
      <c r="R1322" t="inlineStr">
        <is>
          <t>样品30</t>
        </is>
      </c>
    </row>
    <row r="1323">
      <c r="A1323" t="inlineStr">
        <is>
          <t>30(5)-V01</t>
        </is>
      </c>
      <c r="B1323" t="inlineStr">
        <is>
          <t>30 (5).tif</t>
        </is>
      </c>
      <c r="C1323" t="n">
        <v>523</v>
      </c>
      <c r="D1323" t="n">
        <v>470</v>
      </c>
      <c r="E1323" t="inlineStr">
        <is>
          <t>443,400,604,541</t>
        </is>
      </c>
      <c r="F1323" t="n">
        <v>227</v>
      </c>
      <c r="G1323" t="inlineStr">
        <is>
          <t>primary</t>
        </is>
      </c>
      <c r="H1323" t="inlineStr">
        <is>
          <t>AUTO_VESSEL</t>
        </is>
      </c>
      <c r="I1323" t="inlineStr">
        <is>
          <t>是</t>
        </is>
      </c>
      <c r="J1323" t="inlineStr">
        <is>
          <t>纳入</t>
        </is>
      </c>
      <c r="K1323" t="n">
        <v>832.1833648393194</v>
      </c>
      <c r="L1323">
        <f>导管母表_1781!G1323</f>
        <v/>
      </c>
      <c r="M1323" t="inlineStr">
        <is>
          <t>视野内部</t>
        </is>
      </c>
      <c r="N1323" t="inlineStr">
        <is>
          <t>纳入A/D/Dh；若有Pair_ID则纳入CWR</t>
        </is>
      </c>
      <c r="O1323" t="inlineStr">
        <is>
          <t>自动管线检出的合格导管腔。</t>
        </is>
      </c>
      <c r="P1323" t="inlineStr">
        <is>
          <t>auto_pipeline;review_png_green</t>
        </is>
      </c>
      <c r="R1323" t="inlineStr">
        <is>
          <t>样品30</t>
        </is>
      </c>
    </row>
    <row r="1324">
      <c r="A1324" t="inlineStr">
        <is>
          <t>30(5)-V02</t>
        </is>
      </c>
      <c r="B1324" t="inlineStr">
        <is>
          <t>30 (5).tif</t>
        </is>
      </c>
      <c r="C1324" t="n">
        <v>398</v>
      </c>
      <c r="D1324" t="n">
        <v>502</v>
      </c>
      <c r="E1324" t="inlineStr">
        <is>
          <t>364,461,433,544</t>
        </is>
      </c>
      <c r="F1324" t="n">
        <v>224</v>
      </c>
      <c r="G1324" t="inlineStr">
        <is>
          <t>primary</t>
        </is>
      </c>
      <c r="H1324" t="inlineStr">
        <is>
          <t>AUTO_VESSEL</t>
        </is>
      </c>
      <c r="I1324" t="inlineStr">
        <is>
          <t>是</t>
        </is>
      </c>
      <c r="J1324" t="inlineStr">
        <is>
          <t>纳入</t>
        </is>
      </c>
      <c r="K1324" t="n">
        <v>207.2069943289225</v>
      </c>
      <c r="L1324">
        <f>导管母表_1781!G1324</f>
        <v/>
      </c>
      <c r="M1324" t="inlineStr">
        <is>
          <t>视野内部</t>
        </is>
      </c>
      <c r="N1324" t="inlineStr">
        <is>
          <t>纳入A/D/Dh；若有Pair_ID则纳入CWR</t>
        </is>
      </c>
      <c r="O1324" t="inlineStr">
        <is>
          <t>自动管线检出的合格导管腔。</t>
        </is>
      </c>
      <c r="P1324" t="inlineStr">
        <is>
          <t>auto_pipeline;review_png_green</t>
        </is>
      </c>
      <c r="R1324" t="inlineStr">
        <is>
          <t>样品30</t>
        </is>
      </c>
    </row>
    <row r="1325">
      <c r="A1325" t="inlineStr">
        <is>
          <t>30(5)-V03</t>
        </is>
      </c>
      <c r="B1325" t="inlineStr">
        <is>
          <t>30 (5).tif</t>
        </is>
      </c>
      <c r="C1325" t="n">
        <v>983</v>
      </c>
      <c r="D1325" t="n">
        <v>182</v>
      </c>
      <c r="E1325" t="inlineStr">
        <is>
          <t>952,145,1015,220</t>
        </is>
      </c>
      <c r="F1325" t="n">
        <v>9</v>
      </c>
      <c r="G1325" t="inlineStr">
        <is>
          <t>primary</t>
        </is>
      </c>
      <c r="H1325" t="inlineStr">
        <is>
          <t>AUTO_VESSEL</t>
        </is>
      </c>
      <c r="I1325" t="inlineStr">
        <is>
          <t>是</t>
        </is>
      </c>
      <c r="J1325" t="inlineStr">
        <is>
          <t>纳入</t>
        </is>
      </c>
      <c r="K1325" t="n">
        <v>162.1691871455577</v>
      </c>
      <c r="L1325">
        <f>导管母表_1781!G1325</f>
        <v/>
      </c>
      <c r="M1325" t="inlineStr">
        <is>
          <t>近边缘（&lt;25 px）</t>
        </is>
      </c>
      <c r="N1325" t="inlineStr">
        <is>
          <t>纳入A/D/Dh；若有Pair_ID则纳入CWR</t>
        </is>
      </c>
      <c r="O1325" t="inlineStr">
        <is>
          <t>自动管线检出的合格导管腔。</t>
        </is>
      </c>
      <c r="P1325" t="inlineStr">
        <is>
          <t>auto_pipeline;review_png_green</t>
        </is>
      </c>
      <c r="R1325" t="inlineStr">
        <is>
          <t>样品30</t>
        </is>
      </c>
    </row>
    <row r="1326">
      <c r="A1326" t="inlineStr">
        <is>
          <t>30(6)-V01</t>
        </is>
      </c>
      <c r="B1326" t="inlineStr">
        <is>
          <t>30 (6).tif</t>
        </is>
      </c>
      <c r="C1326" t="n">
        <v>425</v>
      </c>
      <c r="D1326" t="n">
        <v>362</v>
      </c>
      <c r="E1326" t="inlineStr">
        <is>
          <t>349,288,502,437</t>
        </is>
      </c>
      <c r="F1326" t="n">
        <v>288</v>
      </c>
      <c r="G1326" t="inlineStr">
        <is>
          <t>primary</t>
        </is>
      </c>
      <c r="H1326" t="inlineStr">
        <is>
          <t>AUTO_VESSEL</t>
        </is>
      </c>
      <c r="I1326" t="inlineStr">
        <is>
          <t>是</t>
        </is>
      </c>
      <c r="J1326" t="inlineStr">
        <is>
          <t>纳入</t>
        </is>
      </c>
      <c r="K1326" t="n">
        <v>832.9395085066162</v>
      </c>
      <c r="L1326">
        <f>导管母表_1781!G1326</f>
        <v/>
      </c>
      <c r="M1326" t="inlineStr">
        <is>
          <t>视野内部</t>
        </is>
      </c>
      <c r="N1326" t="inlineStr">
        <is>
          <t>纳入A/D/Dh；若有Pair_ID则纳入CWR</t>
        </is>
      </c>
      <c r="O1326" t="inlineStr">
        <is>
          <t>自动管线检出的合格导管腔。</t>
        </is>
      </c>
      <c r="P1326" t="inlineStr">
        <is>
          <t>auto_pipeline;review_png_green</t>
        </is>
      </c>
      <c r="Q1326" t="inlineStr">
        <is>
          <t>30(6)-P01</t>
        </is>
      </c>
      <c r="R1326" t="inlineStr">
        <is>
          <t>样品30</t>
        </is>
      </c>
    </row>
    <row r="1327">
      <c r="A1327" t="inlineStr">
        <is>
          <t>30(6)-V02</t>
        </is>
      </c>
      <c r="B1327" t="inlineStr">
        <is>
          <t>30 (6).tif</t>
        </is>
      </c>
      <c r="C1327" t="n">
        <v>945</v>
      </c>
      <c r="D1327" t="n">
        <v>87</v>
      </c>
      <c r="E1327" t="inlineStr">
        <is>
          <t>872,24,1019,151</t>
        </is>
      </c>
      <c r="F1327" t="n">
        <v>5</v>
      </c>
      <c r="G1327" t="inlineStr">
        <is>
          <t>primary</t>
        </is>
      </c>
      <c r="H1327" t="inlineStr">
        <is>
          <t>AUTO_VESSEL</t>
        </is>
      </c>
      <c r="I1327" t="inlineStr">
        <is>
          <t>是</t>
        </is>
      </c>
      <c r="J1327" t="inlineStr">
        <is>
          <t>纳入</t>
        </is>
      </c>
      <c r="K1327" t="n">
        <v>640.8317580340265</v>
      </c>
      <c r="L1327">
        <f>导管母表_1781!G1327</f>
        <v/>
      </c>
      <c r="M1327" t="inlineStr">
        <is>
          <t>近边缘（&lt;25 px）</t>
        </is>
      </c>
      <c r="N1327" t="inlineStr">
        <is>
          <t>纳入A/D/Dh；若有Pair_ID则纳入CWR</t>
        </is>
      </c>
      <c r="O1327" t="inlineStr">
        <is>
          <t>自动管线检出的合格导管腔。</t>
        </is>
      </c>
      <c r="P1327" t="inlineStr">
        <is>
          <t>auto_pipeline;review_png_green</t>
        </is>
      </c>
      <c r="R1327" t="inlineStr">
        <is>
          <t>样品30</t>
        </is>
      </c>
    </row>
    <row r="1328">
      <c r="A1328" t="inlineStr">
        <is>
          <t>30(6)-V03</t>
        </is>
      </c>
      <c r="B1328" t="inlineStr">
        <is>
          <t>30 (6).tif</t>
        </is>
      </c>
      <c r="C1328" t="n">
        <v>754</v>
      </c>
      <c r="D1328" t="n">
        <v>477</v>
      </c>
      <c r="E1328" t="inlineStr">
        <is>
          <t>695,422,814,533</t>
        </is>
      </c>
      <c r="F1328" t="n">
        <v>210</v>
      </c>
      <c r="G1328" t="inlineStr">
        <is>
          <t>primary</t>
        </is>
      </c>
      <c r="H1328" t="inlineStr">
        <is>
          <t>AUTO_VESSEL</t>
        </is>
      </c>
      <c r="I1328" t="inlineStr">
        <is>
          <t>是</t>
        </is>
      </c>
      <c r="J1328" t="inlineStr">
        <is>
          <t>纳入</t>
        </is>
      </c>
      <c r="K1328" t="n">
        <v>481.9234404536862</v>
      </c>
      <c r="L1328">
        <f>导管母表_1781!G1328</f>
        <v/>
      </c>
      <c r="M1328" t="inlineStr">
        <is>
          <t>视野内部</t>
        </is>
      </c>
      <c r="N1328" t="inlineStr">
        <is>
          <t>纳入A/D/Dh；若有Pair_ID则纳入CWR</t>
        </is>
      </c>
      <c r="O1328" t="inlineStr">
        <is>
          <t>自动管线检出的合格导管腔。</t>
        </is>
      </c>
      <c r="P1328" t="inlineStr">
        <is>
          <t>auto_pipeline;review_png_green</t>
        </is>
      </c>
      <c r="R1328" t="inlineStr">
        <is>
          <t>样品30</t>
        </is>
      </c>
    </row>
    <row r="1329">
      <c r="A1329" t="inlineStr">
        <is>
          <t>30(6)-V04</t>
        </is>
      </c>
      <c r="B1329" t="inlineStr">
        <is>
          <t>30 (6).tif</t>
        </is>
      </c>
      <c r="C1329" t="n">
        <v>734</v>
      </c>
      <c r="D1329" t="n">
        <v>200</v>
      </c>
      <c r="E1329" t="inlineStr">
        <is>
          <t>673,150,796,251</t>
        </is>
      </c>
      <c r="F1329" t="n">
        <v>150</v>
      </c>
      <c r="G1329" t="inlineStr">
        <is>
          <t>primary</t>
        </is>
      </c>
      <c r="H1329" t="inlineStr">
        <is>
          <t>AUTO_VESSEL</t>
        </is>
      </c>
      <c r="I1329" t="inlineStr">
        <is>
          <t>是</t>
        </is>
      </c>
      <c r="J1329" t="inlineStr">
        <is>
          <t>纳入</t>
        </is>
      </c>
      <c r="K1329" t="n">
        <v>452.9773156899811</v>
      </c>
      <c r="L1329">
        <f>导管母表_1781!G1329</f>
        <v/>
      </c>
      <c r="M1329" t="inlineStr">
        <is>
          <t>视野内部</t>
        </is>
      </c>
      <c r="N1329" t="inlineStr">
        <is>
          <t>纳入A/D/Dh；若有Pair_ID则纳入CWR</t>
        </is>
      </c>
      <c r="O1329" t="inlineStr">
        <is>
          <t>自动管线检出的合格导管腔。</t>
        </is>
      </c>
      <c r="P1329" t="inlineStr">
        <is>
          <t>auto_pipeline;review_png_green</t>
        </is>
      </c>
      <c r="R1329" t="inlineStr">
        <is>
          <t>样品30</t>
        </is>
      </c>
    </row>
    <row r="1330">
      <c r="A1330" t="inlineStr">
        <is>
          <t>30(6)-V05</t>
        </is>
      </c>
      <c r="B1330" t="inlineStr">
        <is>
          <t>30 (6).tif</t>
        </is>
      </c>
      <c r="C1330" t="n">
        <v>295</v>
      </c>
      <c r="D1330" t="n">
        <v>306</v>
      </c>
      <c r="E1330" t="inlineStr">
        <is>
          <t>256,246,335,367</t>
        </is>
      </c>
      <c r="F1330" t="n">
        <v>246</v>
      </c>
      <c r="G1330" t="inlineStr">
        <is>
          <t>primary</t>
        </is>
      </c>
      <c r="H1330" t="inlineStr">
        <is>
          <t>AUTO_VESSEL</t>
        </is>
      </c>
      <c r="I1330" t="inlineStr">
        <is>
          <t>是</t>
        </is>
      </c>
      <c r="J1330" t="inlineStr">
        <is>
          <t>纳入</t>
        </is>
      </c>
      <c r="K1330" t="n">
        <v>346.8572778827977</v>
      </c>
      <c r="L1330">
        <f>导管母表_1781!G1330</f>
        <v/>
      </c>
      <c r="M1330" t="inlineStr">
        <is>
          <t>视野内部</t>
        </is>
      </c>
      <c r="N1330" t="inlineStr">
        <is>
          <t>纳入A/D/Dh；若有Pair_ID则纳入CWR</t>
        </is>
      </c>
      <c r="O1330" t="inlineStr">
        <is>
          <t>自动管线检出的合格导管腔。</t>
        </is>
      </c>
      <c r="P1330" t="inlineStr">
        <is>
          <t>auto_pipeline;review_png_green</t>
        </is>
      </c>
      <c r="R1330" t="inlineStr">
        <is>
          <t>样品30</t>
        </is>
      </c>
    </row>
    <row r="1331">
      <c r="A1331" t="inlineStr">
        <is>
          <t>30(6)-V06</t>
        </is>
      </c>
      <c r="B1331" t="inlineStr">
        <is>
          <t>30 (6).tif</t>
        </is>
      </c>
      <c r="C1331" t="n">
        <v>554</v>
      </c>
      <c r="D1331" t="n">
        <v>397</v>
      </c>
      <c r="E1331" t="inlineStr">
        <is>
          <t>512,348,597,447</t>
        </is>
      </c>
      <c r="F1331" t="n">
        <v>321</v>
      </c>
      <c r="G1331" t="inlineStr">
        <is>
          <t>primary</t>
        </is>
      </c>
      <c r="H1331" t="inlineStr">
        <is>
          <t>AUTO_VESSEL</t>
        </is>
      </c>
      <c r="I1331" t="inlineStr">
        <is>
          <t>是</t>
        </is>
      </c>
      <c r="J1331" t="inlineStr">
        <is>
          <t>纳入</t>
        </is>
      </c>
      <c r="K1331" t="n">
        <v>302.5992438563327</v>
      </c>
      <c r="L1331">
        <f>导管母表_1781!G1331</f>
        <v/>
      </c>
      <c r="M1331" t="inlineStr">
        <is>
          <t>视野内部</t>
        </is>
      </c>
      <c r="N1331" t="inlineStr">
        <is>
          <t>纳入A/D/Dh；若有Pair_ID则纳入CWR</t>
        </is>
      </c>
      <c r="O1331" t="inlineStr">
        <is>
          <t>自动管线检出的合格导管腔。</t>
        </is>
      </c>
      <c r="P1331" t="inlineStr">
        <is>
          <t>auto_pipeline;review_png_green</t>
        </is>
      </c>
      <c r="Q1331" t="inlineStr">
        <is>
          <t>30(6)-P01</t>
        </is>
      </c>
      <c r="R1331" t="inlineStr">
        <is>
          <t>样品30</t>
        </is>
      </c>
    </row>
    <row r="1332">
      <c r="A1332" t="inlineStr">
        <is>
          <t>30(6)-V07</t>
        </is>
      </c>
      <c r="B1332" t="inlineStr">
        <is>
          <t>30 (6).tif</t>
        </is>
      </c>
      <c r="C1332" t="n">
        <v>423</v>
      </c>
      <c r="D1332" t="n">
        <v>493</v>
      </c>
      <c r="E1332" t="inlineStr">
        <is>
          <t>390,464,457,523</t>
        </is>
      </c>
      <c r="F1332" t="n">
        <v>245</v>
      </c>
      <c r="G1332" t="inlineStr">
        <is>
          <t>primary</t>
        </is>
      </c>
      <c r="H1332" t="inlineStr">
        <is>
          <t>AUTO_VESSEL</t>
        </is>
      </c>
      <c r="I1332" t="inlineStr">
        <is>
          <t>是</t>
        </is>
      </c>
      <c r="J1332" t="inlineStr">
        <is>
          <t>纳入</t>
        </is>
      </c>
      <c r="K1332" t="n">
        <v>141.8714555765596</v>
      </c>
      <c r="L1332">
        <f>导管母表_1781!G1332</f>
        <v/>
      </c>
      <c r="M1332" t="inlineStr">
        <is>
          <t>视野内部</t>
        </is>
      </c>
      <c r="N1332" t="inlineStr">
        <is>
          <t>纳入A/D/Dh；若有Pair_ID则纳入CWR</t>
        </is>
      </c>
      <c r="O1332" t="inlineStr">
        <is>
          <t>自动管线检出的合格导管腔。</t>
        </is>
      </c>
      <c r="P1332" t="inlineStr">
        <is>
          <t>auto_pipeline;review_png_green</t>
        </is>
      </c>
      <c r="R1332" t="inlineStr">
        <is>
          <t>样品30</t>
        </is>
      </c>
    </row>
    <row r="1333">
      <c r="A1333" t="inlineStr">
        <is>
          <t>30(6)-V08</t>
        </is>
      </c>
      <c r="B1333" t="inlineStr">
        <is>
          <t>30 (6).tif</t>
        </is>
      </c>
      <c r="C1333" t="n">
        <v>487</v>
      </c>
      <c r="D1333" t="n">
        <v>168</v>
      </c>
      <c r="E1333" t="inlineStr">
        <is>
          <t>459,134,516,203</t>
        </is>
      </c>
      <c r="F1333" t="n">
        <v>134</v>
      </c>
      <c r="G1333" t="inlineStr">
        <is>
          <t>primary</t>
        </is>
      </c>
      <c r="H1333" t="inlineStr">
        <is>
          <t>AUTO_VESSEL</t>
        </is>
      </c>
      <c r="I1333" t="inlineStr">
        <is>
          <t>是</t>
        </is>
      </c>
      <c r="J1333" t="inlineStr">
        <is>
          <t>纳入</t>
        </is>
      </c>
      <c r="K1333" t="n">
        <v>140.406427221172</v>
      </c>
      <c r="L1333">
        <f>导管母表_1781!G1333</f>
        <v/>
      </c>
      <c r="M1333" t="inlineStr">
        <is>
          <t>视野内部</t>
        </is>
      </c>
      <c r="N1333" t="inlineStr">
        <is>
          <t>纳入A/D/Dh；若有Pair_ID则纳入CWR</t>
        </is>
      </c>
      <c r="O1333" t="inlineStr">
        <is>
          <t>自动管线检出的合格导管腔。</t>
        </is>
      </c>
      <c r="P1333" t="inlineStr">
        <is>
          <t>auto_pipeline;review_png_green</t>
        </is>
      </c>
      <c r="R1333" t="inlineStr">
        <is>
          <t>样品30</t>
        </is>
      </c>
    </row>
    <row r="1334">
      <c r="A1334" t="inlineStr">
        <is>
          <t>30(7)-V01</t>
        </is>
      </c>
      <c r="B1334" t="inlineStr">
        <is>
          <t>30 (7).tif</t>
        </is>
      </c>
      <c r="C1334" t="n">
        <v>440</v>
      </c>
      <c r="D1334" t="n">
        <v>360</v>
      </c>
      <c r="E1334" t="inlineStr">
        <is>
          <t>364,297,517,424</t>
        </is>
      </c>
      <c r="F1334" t="n">
        <v>297</v>
      </c>
      <c r="G1334" t="inlineStr">
        <is>
          <t>primary</t>
        </is>
      </c>
      <c r="H1334" t="inlineStr">
        <is>
          <t>AUTO_VESSEL</t>
        </is>
      </c>
      <c r="I1334" t="inlineStr">
        <is>
          <t>是</t>
        </is>
      </c>
      <c r="J1334" t="inlineStr">
        <is>
          <t>纳入</t>
        </is>
      </c>
      <c r="K1334" t="n">
        <v>708.2466918714556</v>
      </c>
      <c r="L1334">
        <f>导管母表_1781!G1334</f>
        <v/>
      </c>
      <c r="M1334" t="inlineStr">
        <is>
          <t>视野内部</t>
        </is>
      </c>
      <c r="N1334" t="inlineStr">
        <is>
          <t>纳入A/D/Dh；若有Pair_ID则纳入CWR</t>
        </is>
      </c>
      <c r="O1334" t="inlineStr">
        <is>
          <t>自动管线检出的合格导管腔。</t>
        </is>
      </c>
      <c r="P1334" t="inlineStr">
        <is>
          <t>auto_pipeline;review_png_green</t>
        </is>
      </c>
      <c r="Q1334" t="inlineStr">
        <is>
          <t>30(7)-P01</t>
        </is>
      </c>
      <c r="R1334" t="inlineStr">
        <is>
          <t>样品30</t>
        </is>
      </c>
    </row>
    <row r="1335">
      <c r="A1335" t="inlineStr">
        <is>
          <t>30(7)-V02</t>
        </is>
      </c>
      <c r="B1335" t="inlineStr">
        <is>
          <t>30 (7).tif</t>
        </is>
      </c>
      <c r="C1335" t="n">
        <v>583</v>
      </c>
      <c r="D1335" t="n">
        <v>392</v>
      </c>
      <c r="E1335" t="inlineStr">
        <is>
          <t>526,334,641,451</t>
        </is>
      </c>
      <c r="F1335" t="n">
        <v>317</v>
      </c>
      <c r="G1335" t="inlineStr">
        <is>
          <t>primary</t>
        </is>
      </c>
      <c r="H1335" t="inlineStr">
        <is>
          <t>AUTO_VESSEL</t>
        </is>
      </c>
      <c r="I1335" t="inlineStr">
        <is>
          <t>是</t>
        </is>
      </c>
      <c r="J1335" t="inlineStr">
        <is>
          <t>纳入</t>
        </is>
      </c>
      <c r="K1335" t="n">
        <v>478.7570888468809</v>
      </c>
      <c r="L1335">
        <f>导管母表_1781!G1335</f>
        <v/>
      </c>
      <c r="M1335" t="inlineStr">
        <is>
          <t>视野内部</t>
        </is>
      </c>
      <c r="N1335" t="inlineStr">
        <is>
          <t>纳入A/D/Dh；若有Pair_ID则纳入CWR</t>
        </is>
      </c>
      <c r="O1335" t="inlineStr">
        <is>
          <t>自动管线检出的合格导管腔。</t>
        </is>
      </c>
      <c r="P1335" t="inlineStr">
        <is>
          <t>auto_pipeline;review_png_green</t>
        </is>
      </c>
      <c r="Q1335" t="inlineStr">
        <is>
          <t>30(7)-P01</t>
        </is>
      </c>
      <c r="R1335" t="inlineStr">
        <is>
          <t>样品30</t>
        </is>
      </c>
    </row>
    <row r="1336">
      <c r="A1336" t="inlineStr">
        <is>
          <t>30(7)-V03</t>
        </is>
      </c>
      <c r="B1336" t="inlineStr">
        <is>
          <t>30 (7).tif</t>
        </is>
      </c>
      <c r="C1336" t="n">
        <v>815</v>
      </c>
      <c r="D1336" t="n">
        <v>465</v>
      </c>
      <c r="E1336" t="inlineStr">
        <is>
          <t>770,424,861,507</t>
        </is>
      </c>
      <c r="F1336" t="n">
        <v>163</v>
      </c>
      <c r="G1336" t="inlineStr">
        <is>
          <t>primary</t>
        </is>
      </c>
      <c r="H1336" t="inlineStr">
        <is>
          <t>AUTO_VESSEL</t>
        </is>
      </c>
      <c r="I1336" t="inlineStr">
        <is>
          <t>是</t>
        </is>
      </c>
      <c r="J1336" t="inlineStr">
        <is>
          <t>纳入</t>
        </is>
      </c>
      <c r="K1336" t="n">
        <v>228.5680529300567</v>
      </c>
      <c r="L1336">
        <f>导管母表_1781!G1336</f>
        <v/>
      </c>
      <c r="M1336" t="inlineStr">
        <is>
          <t>视野内部</t>
        </is>
      </c>
      <c r="N1336" t="inlineStr">
        <is>
          <t>纳入A/D/Dh；若有Pair_ID则纳入CWR</t>
        </is>
      </c>
      <c r="O1336" t="inlineStr">
        <is>
          <t>自动管线检出的合格导管腔。</t>
        </is>
      </c>
      <c r="P1336" t="inlineStr">
        <is>
          <t>auto_pipeline;review_png_green</t>
        </is>
      </c>
      <c r="R1336" t="inlineStr">
        <is>
          <t>样品30</t>
        </is>
      </c>
    </row>
    <row r="1337">
      <c r="A1337" t="inlineStr">
        <is>
          <t>30(7)-V04</t>
        </is>
      </c>
      <c r="B1337" t="inlineStr">
        <is>
          <t>30 (7).tif</t>
        </is>
      </c>
      <c r="C1337" t="n">
        <v>717</v>
      </c>
      <c r="D1337" t="n">
        <v>417</v>
      </c>
      <c r="E1337" t="inlineStr">
        <is>
          <t>685,368,750,467</t>
        </is>
      </c>
      <c r="F1337" t="n">
        <v>274</v>
      </c>
      <c r="G1337" t="inlineStr">
        <is>
          <t>primary</t>
        </is>
      </c>
      <c r="H1337" t="inlineStr">
        <is>
          <t>AUTO_VESSEL</t>
        </is>
      </c>
      <c r="I1337" t="inlineStr">
        <is>
          <t>是</t>
        </is>
      </c>
      <c r="J1337" t="inlineStr">
        <is>
          <t>纳入</t>
        </is>
      </c>
      <c r="K1337" t="n">
        <v>219.6124763705104</v>
      </c>
      <c r="L1337">
        <f>导管母表_1781!G1337</f>
        <v/>
      </c>
      <c r="M1337" t="inlineStr">
        <is>
          <t>视野内部</t>
        </is>
      </c>
      <c r="N1337" t="inlineStr">
        <is>
          <t>纳入A/D/Dh；若有Pair_ID则纳入CWR</t>
        </is>
      </c>
      <c r="O1337" t="inlineStr">
        <is>
          <t>自动管线检出的合格导管腔。</t>
        </is>
      </c>
      <c r="P1337" t="inlineStr">
        <is>
          <t>auto_pipeline;review_png_green</t>
        </is>
      </c>
      <c r="R1337" t="inlineStr">
        <is>
          <t>样品30</t>
        </is>
      </c>
    </row>
    <row r="1338">
      <c r="A1338" t="inlineStr">
        <is>
          <t>30(7)-V05</t>
        </is>
      </c>
      <c r="B1338" t="inlineStr">
        <is>
          <t>30 (7).tif</t>
        </is>
      </c>
      <c r="C1338" t="n">
        <v>65</v>
      </c>
      <c r="D1338" t="n">
        <v>373</v>
      </c>
      <c r="E1338" t="inlineStr">
        <is>
          <t>34,351,97,396</t>
        </is>
      </c>
      <c r="F1338" t="n">
        <v>34</v>
      </c>
      <c r="G1338" t="inlineStr">
        <is>
          <t>primary</t>
        </is>
      </c>
      <c r="H1338" t="inlineStr">
        <is>
          <t>AUTO_VESSEL</t>
        </is>
      </c>
      <c r="I1338" t="inlineStr">
        <is>
          <t>是</t>
        </is>
      </c>
      <c r="J1338" t="inlineStr">
        <is>
          <t>纳入</t>
        </is>
      </c>
      <c r="K1338" t="n">
        <v>99.74007561436673</v>
      </c>
      <c r="L1338">
        <f>导管母表_1781!G1338</f>
        <v/>
      </c>
      <c r="M1338" t="inlineStr">
        <is>
          <t>视野内部</t>
        </is>
      </c>
      <c r="N1338" t="inlineStr">
        <is>
          <t>纳入A/D/Dh；若有Pair_ID则纳入CWR</t>
        </is>
      </c>
      <c r="O1338" t="inlineStr">
        <is>
          <t>自动管线检出的合格导管腔。</t>
        </is>
      </c>
      <c r="P1338" t="inlineStr">
        <is>
          <t>auto_pipeline;review_png_green</t>
        </is>
      </c>
      <c r="R1338" t="inlineStr">
        <is>
          <t>样品30</t>
        </is>
      </c>
    </row>
    <row r="1339">
      <c r="A1339" t="inlineStr">
        <is>
          <t>30(8)-V01</t>
        </is>
      </c>
      <c r="B1339" t="inlineStr">
        <is>
          <t>30 (8).tif</t>
        </is>
      </c>
      <c r="C1339" t="n">
        <v>217</v>
      </c>
      <c r="D1339" t="n">
        <v>386</v>
      </c>
      <c r="E1339" t="inlineStr">
        <is>
          <t>120,306,315,467</t>
        </is>
      </c>
      <c r="F1339" t="n">
        <v>120</v>
      </c>
      <c r="G1339" t="inlineStr">
        <is>
          <t>primary</t>
        </is>
      </c>
      <c r="H1339" t="inlineStr">
        <is>
          <t>AUTO_VESSEL</t>
        </is>
      </c>
      <c r="I1339" t="inlineStr">
        <is>
          <t>是</t>
        </is>
      </c>
      <c r="J1339" t="inlineStr">
        <is>
          <t>纳入</t>
        </is>
      </c>
      <c r="K1339" t="n">
        <v>1148.724007561437</v>
      </c>
      <c r="L1339">
        <f>导管母表_1781!G1339</f>
        <v/>
      </c>
      <c r="M1339" t="inlineStr">
        <is>
          <t>视野内部</t>
        </is>
      </c>
      <c r="N1339" t="inlineStr">
        <is>
          <t>纳入A/D/Dh；若有Pair_ID则纳入CWR</t>
        </is>
      </c>
      <c r="O1339" t="inlineStr">
        <is>
          <t>自动管线检出的合格导管腔。</t>
        </is>
      </c>
      <c r="P1339" t="inlineStr">
        <is>
          <t>auto_pipeline;review_png_green</t>
        </is>
      </c>
      <c r="R1339" t="inlineStr">
        <is>
          <t>样品30</t>
        </is>
      </c>
    </row>
    <row r="1340">
      <c r="A1340" t="inlineStr">
        <is>
          <t>30(8)-V02</t>
        </is>
      </c>
      <c r="B1340" t="inlineStr">
        <is>
          <t>30 (8).tif</t>
        </is>
      </c>
      <c r="C1340" t="n">
        <v>638</v>
      </c>
      <c r="D1340" t="n">
        <v>352</v>
      </c>
      <c r="E1340" t="inlineStr">
        <is>
          <t>553,277,724,428</t>
        </is>
      </c>
      <c r="F1340" t="n">
        <v>277</v>
      </c>
      <c r="G1340" t="inlineStr">
        <is>
          <t>primary</t>
        </is>
      </c>
      <c r="H1340" t="inlineStr">
        <is>
          <t>AUTO_VESSEL</t>
        </is>
      </c>
      <c r="I1340" t="inlineStr">
        <is>
          <t>是</t>
        </is>
      </c>
      <c r="J1340" t="inlineStr">
        <is>
          <t>纳入</t>
        </is>
      </c>
      <c r="K1340" t="n">
        <v>934.4517958412098</v>
      </c>
      <c r="L1340">
        <f>导管母表_1781!G1340</f>
        <v/>
      </c>
      <c r="M1340" t="inlineStr">
        <is>
          <t>视野内部</t>
        </is>
      </c>
      <c r="N1340" t="inlineStr">
        <is>
          <t>纳入A/D/Dh；若有Pair_ID则纳入CWR</t>
        </is>
      </c>
      <c r="O1340" t="inlineStr">
        <is>
          <t>自动管线检出的合格导管腔。</t>
        </is>
      </c>
      <c r="P1340" t="inlineStr">
        <is>
          <t>auto_pipeline;review_png_green</t>
        </is>
      </c>
      <c r="Q1340" t="inlineStr">
        <is>
          <t>30(8)-P01</t>
        </is>
      </c>
      <c r="R1340" t="inlineStr">
        <is>
          <t>样品30</t>
        </is>
      </c>
    </row>
    <row r="1341">
      <c r="A1341" t="inlineStr">
        <is>
          <t>30(8)-V03</t>
        </is>
      </c>
      <c r="B1341" t="inlineStr">
        <is>
          <t>30 (8).tif</t>
        </is>
      </c>
      <c r="C1341" t="n">
        <v>733</v>
      </c>
      <c r="D1341" t="n">
        <v>571</v>
      </c>
      <c r="E1341" t="inlineStr">
        <is>
          <t>647,505,820,638</t>
        </is>
      </c>
      <c r="F1341" t="n">
        <v>130</v>
      </c>
      <c r="G1341" t="inlineStr">
        <is>
          <t>primary</t>
        </is>
      </c>
      <c r="H1341" t="inlineStr">
        <is>
          <t>AUTO_VESSEL</t>
        </is>
      </c>
      <c r="I1341" t="inlineStr">
        <is>
          <t>是</t>
        </is>
      </c>
      <c r="J1341" t="inlineStr">
        <is>
          <t>纳入</t>
        </is>
      </c>
      <c r="K1341" t="n">
        <v>800.921550094518</v>
      </c>
      <c r="L1341">
        <f>导管母表_1781!G1341</f>
        <v/>
      </c>
      <c r="M1341" t="inlineStr">
        <is>
          <t>视野内部</t>
        </is>
      </c>
      <c r="N1341" t="inlineStr">
        <is>
          <t>纳入A/D/Dh；若有Pair_ID则纳入CWR</t>
        </is>
      </c>
      <c r="O1341" t="inlineStr">
        <is>
          <t>自动管线检出的合格导管腔。</t>
        </is>
      </c>
      <c r="P1341" t="inlineStr">
        <is>
          <t>auto_pipeline;review_png_green</t>
        </is>
      </c>
      <c r="R1341" t="inlineStr">
        <is>
          <t>样品30</t>
        </is>
      </c>
    </row>
    <row r="1342">
      <c r="A1342" t="inlineStr">
        <is>
          <t>30(8)-V04</t>
        </is>
      </c>
      <c r="B1342" t="inlineStr">
        <is>
          <t>30 (8).tif</t>
        </is>
      </c>
      <c r="C1342" t="n">
        <v>475</v>
      </c>
      <c r="D1342" t="n">
        <v>356</v>
      </c>
      <c r="E1342" t="inlineStr">
        <is>
          <t>397,287,554,426</t>
        </is>
      </c>
      <c r="F1342" t="n">
        <v>287</v>
      </c>
      <c r="G1342" t="inlineStr">
        <is>
          <t>primary</t>
        </is>
      </c>
      <c r="H1342" t="inlineStr">
        <is>
          <t>AUTO_VESSEL</t>
        </is>
      </c>
      <c r="I1342" t="inlineStr">
        <is>
          <t>是</t>
        </is>
      </c>
      <c r="J1342" t="inlineStr">
        <is>
          <t>纳入</t>
        </is>
      </c>
      <c r="K1342" t="n">
        <v>796.5500945179584</v>
      </c>
      <c r="L1342">
        <f>导管母表_1781!G1342</f>
        <v/>
      </c>
      <c r="M1342" t="inlineStr">
        <is>
          <t>视野内部</t>
        </is>
      </c>
      <c r="N1342" t="inlineStr">
        <is>
          <t>纳入A/D/Dh；若有Pair_ID则纳入CWR</t>
        </is>
      </c>
      <c r="O1342" t="inlineStr">
        <is>
          <t>自动管线检出的合格导管腔。</t>
        </is>
      </c>
      <c r="P1342" t="inlineStr">
        <is>
          <t>auto_pipeline;review_png_green</t>
        </is>
      </c>
      <c r="Q1342" t="inlineStr">
        <is>
          <t>30(8)-P01</t>
        </is>
      </c>
      <c r="R1342" t="inlineStr">
        <is>
          <t>样品30</t>
        </is>
      </c>
    </row>
    <row r="1343">
      <c r="A1343" t="inlineStr">
        <is>
          <t>30(8)-V05</t>
        </is>
      </c>
      <c r="B1343" t="inlineStr">
        <is>
          <t>30 (8).tif</t>
        </is>
      </c>
      <c r="C1343" t="n">
        <v>484</v>
      </c>
      <c r="D1343" t="n">
        <v>130</v>
      </c>
      <c r="E1343" t="inlineStr">
        <is>
          <t>438,89,531,172</t>
        </is>
      </c>
      <c r="F1343" t="n">
        <v>89</v>
      </c>
      <c r="G1343" t="inlineStr">
        <is>
          <t>primary</t>
        </is>
      </c>
      <c r="H1343" t="inlineStr">
        <is>
          <t>AUTO_VESSEL</t>
        </is>
      </c>
      <c r="I1343" t="inlineStr">
        <is>
          <t>是</t>
        </is>
      </c>
      <c r="J1343" t="inlineStr">
        <is>
          <t>纳入</t>
        </is>
      </c>
      <c r="K1343" t="n">
        <v>280.1039697542533</v>
      </c>
      <c r="L1343">
        <f>导管母表_1781!G1343</f>
        <v/>
      </c>
      <c r="M1343" t="inlineStr">
        <is>
          <t>视野内部</t>
        </is>
      </c>
      <c r="N1343" t="inlineStr">
        <is>
          <t>纳入A/D/Dh；若有Pair_ID则纳入CWR</t>
        </is>
      </c>
      <c r="O1343" t="inlineStr">
        <is>
          <t>自动管线检出的合格导管腔。</t>
        </is>
      </c>
      <c r="P1343" t="inlineStr">
        <is>
          <t>auto_pipeline;review_png_green</t>
        </is>
      </c>
      <c r="R1343" t="inlineStr">
        <is>
          <t>样品30</t>
        </is>
      </c>
    </row>
    <row r="1344">
      <c r="A1344" t="inlineStr">
        <is>
          <t>30(8)-V06</t>
        </is>
      </c>
      <c r="B1344" t="inlineStr">
        <is>
          <t>30 (8).tif</t>
        </is>
      </c>
      <c r="C1344" t="n">
        <v>574</v>
      </c>
      <c r="D1344" t="n">
        <v>585</v>
      </c>
      <c r="E1344" t="inlineStr">
        <is>
          <t>525,551,624,620</t>
        </is>
      </c>
      <c r="F1344" t="n">
        <v>148</v>
      </c>
      <c r="G1344" t="inlineStr">
        <is>
          <t>primary</t>
        </is>
      </c>
      <c r="H1344" t="inlineStr">
        <is>
          <t>AUTO_VESSEL</t>
        </is>
      </c>
      <c r="I1344" t="inlineStr">
        <is>
          <t>是</t>
        </is>
      </c>
      <c r="J1344" t="inlineStr">
        <is>
          <t>纳入</t>
        </is>
      </c>
      <c r="K1344" t="n">
        <v>246.9990548204159</v>
      </c>
      <c r="L1344">
        <f>导管母表_1781!G1344</f>
        <v/>
      </c>
      <c r="M1344" t="inlineStr">
        <is>
          <t>视野内部</t>
        </is>
      </c>
      <c r="N1344" t="inlineStr">
        <is>
          <t>纳入A/D/Dh；若有Pair_ID则纳入CWR</t>
        </is>
      </c>
      <c r="O1344" t="inlineStr">
        <is>
          <t>自动管线检出的合格导管腔。</t>
        </is>
      </c>
      <c r="P1344" t="inlineStr">
        <is>
          <t>auto_pipeline;review_png_green</t>
        </is>
      </c>
      <c r="R1344" t="inlineStr">
        <is>
          <t>样品30</t>
        </is>
      </c>
    </row>
    <row r="1345">
      <c r="A1345" t="inlineStr">
        <is>
          <t>30(8)-V07</t>
        </is>
      </c>
      <c r="B1345" t="inlineStr">
        <is>
          <t>30 (8).tif</t>
        </is>
      </c>
      <c r="C1345" t="n">
        <v>500</v>
      </c>
      <c r="D1345" t="n">
        <v>632</v>
      </c>
      <c r="E1345" t="inlineStr">
        <is>
          <t>456,594,545,671</t>
        </is>
      </c>
      <c r="F1345" t="n">
        <v>97</v>
      </c>
      <c r="G1345" t="inlineStr">
        <is>
          <t>primary</t>
        </is>
      </c>
      <c r="H1345" t="inlineStr">
        <is>
          <t>AUTO_VESSEL</t>
        </is>
      </c>
      <c r="I1345" t="inlineStr">
        <is>
          <t>是</t>
        </is>
      </c>
      <c r="J1345" t="inlineStr">
        <is>
          <t>纳入</t>
        </is>
      </c>
      <c r="K1345" t="n">
        <v>204.5368620037807</v>
      </c>
      <c r="L1345">
        <f>导管母表_1781!G1345</f>
        <v/>
      </c>
      <c r="M1345" t="inlineStr">
        <is>
          <t>视野内部</t>
        </is>
      </c>
      <c r="N1345" t="inlineStr">
        <is>
          <t>纳入A/D/Dh；若有Pair_ID则纳入CWR</t>
        </is>
      </c>
      <c r="O1345" t="inlineStr">
        <is>
          <t>自动管线检出的合格导管腔。</t>
        </is>
      </c>
      <c r="P1345" t="inlineStr">
        <is>
          <t>auto_pipeline;review_png_green</t>
        </is>
      </c>
      <c r="R1345" t="inlineStr">
        <is>
          <t>样品30</t>
        </is>
      </c>
    </row>
    <row r="1346">
      <c r="A1346" t="inlineStr">
        <is>
          <t>30(9)-V01</t>
        </is>
      </c>
      <c r="B1346" t="inlineStr">
        <is>
          <t>30 (9).tif</t>
        </is>
      </c>
      <c r="C1346" t="n">
        <v>299</v>
      </c>
      <c r="D1346" t="n">
        <v>183</v>
      </c>
      <c r="E1346" t="inlineStr">
        <is>
          <t>213,101,386,266</t>
        </is>
      </c>
      <c r="F1346" t="n">
        <v>101</v>
      </c>
      <c r="G1346" t="inlineStr">
        <is>
          <t>primary</t>
        </is>
      </c>
      <c r="H1346" t="inlineStr">
        <is>
          <t>AUTO_VESSEL</t>
        </is>
      </c>
      <c r="I1346" t="inlineStr">
        <is>
          <t>是</t>
        </is>
      </c>
      <c r="J1346" t="inlineStr">
        <is>
          <t>纳入</t>
        </is>
      </c>
      <c r="K1346" t="n">
        <v>1043.218336483932</v>
      </c>
      <c r="L1346">
        <f>导管母表_1781!G1346</f>
        <v/>
      </c>
      <c r="M1346" t="inlineStr">
        <is>
          <t>视野内部</t>
        </is>
      </c>
      <c r="N1346" t="inlineStr">
        <is>
          <t>纳入A/D/Dh；若有Pair_ID则纳入CWR</t>
        </is>
      </c>
      <c r="O1346" t="inlineStr">
        <is>
          <t>自动管线检出的合格导管腔。</t>
        </is>
      </c>
      <c r="P1346" t="inlineStr">
        <is>
          <t>auto_pipeline;review_png_green</t>
        </is>
      </c>
      <c r="R1346" t="inlineStr">
        <is>
          <t>样品30</t>
        </is>
      </c>
    </row>
    <row r="1347">
      <c r="A1347" t="inlineStr">
        <is>
          <t>30(9)-V02</t>
        </is>
      </c>
      <c r="B1347" t="inlineStr">
        <is>
          <t>30 (9).tif</t>
        </is>
      </c>
      <c r="C1347" t="n">
        <v>654</v>
      </c>
      <c r="D1347" t="n">
        <v>578</v>
      </c>
      <c r="E1347" t="inlineStr">
        <is>
          <t>586,520,723,637</t>
        </is>
      </c>
      <c r="F1347" t="n">
        <v>131</v>
      </c>
      <c r="G1347" t="inlineStr">
        <is>
          <t>primary</t>
        </is>
      </c>
      <c r="H1347" t="inlineStr">
        <is>
          <t>AUTO_VESSEL</t>
        </is>
      </c>
      <c r="I1347" t="inlineStr">
        <is>
          <t>是</t>
        </is>
      </c>
      <c r="J1347" t="inlineStr">
        <is>
          <t>纳入</t>
        </is>
      </c>
      <c r="K1347" t="n">
        <v>585.7041587901701</v>
      </c>
      <c r="L1347">
        <f>导管母表_1781!G1347</f>
        <v/>
      </c>
      <c r="M1347" t="inlineStr">
        <is>
          <t>视野内部</t>
        </is>
      </c>
      <c r="N1347" t="inlineStr">
        <is>
          <t>纳入A/D/Dh；若有Pair_ID则纳入CWR</t>
        </is>
      </c>
      <c r="O1347" t="inlineStr">
        <is>
          <t>自动管线检出的合格导管腔。</t>
        </is>
      </c>
      <c r="P1347" t="inlineStr">
        <is>
          <t>auto_pipeline;review_png_green</t>
        </is>
      </c>
      <c r="R1347" t="inlineStr">
        <is>
          <t>样品30</t>
        </is>
      </c>
    </row>
    <row r="1348">
      <c r="A1348" t="inlineStr">
        <is>
          <t>30(9)-V03</t>
        </is>
      </c>
      <c r="B1348" t="inlineStr">
        <is>
          <t>30 (9).tif</t>
        </is>
      </c>
      <c r="C1348" t="n">
        <v>444</v>
      </c>
      <c r="D1348" t="n">
        <v>360</v>
      </c>
      <c r="E1348" t="inlineStr">
        <is>
          <t>386,301,503,420</t>
        </is>
      </c>
      <c r="F1348" t="n">
        <v>301</v>
      </c>
      <c r="G1348" t="inlineStr">
        <is>
          <t>primary</t>
        </is>
      </c>
      <c r="H1348" t="inlineStr">
        <is>
          <t>AUTO_VESSEL</t>
        </is>
      </c>
      <c r="I1348" t="inlineStr">
        <is>
          <t>是</t>
        </is>
      </c>
      <c r="J1348" t="inlineStr">
        <is>
          <t>纳入</t>
        </is>
      </c>
      <c r="K1348" t="n">
        <v>503.2608695652174</v>
      </c>
      <c r="L1348">
        <f>导管母表_1781!G1348</f>
        <v/>
      </c>
      <c r="M1348" t="inlineStr">
        <is>
          <t>视野内部</t>
        </is>
      </c>
      <c r="N1348" t="inlineStr">
        <is>
          <t>纳入A/D/Dh；若有Pair_ID则纳入CWR</t>
        </is>
      </c>
      <c r="O1348" t="inlineStr">
        <is>
          <t>自动管线检出的合格导管腔。</t>
        </is>
      </c>
      <c r="P1348" t="inlineStr">
        <is>
          <t>auto_pipeline;review_png_green</t>
        </is>
      </c>
      <c r="Q1348" t="inlineStr">
        <is>
          <t>30(9)-P01</t>
        </is>
      </c>
      <c r="R1348" t="inlineStr">
        <is>
          <t>样品30</t>
        </is>
      </c>
    </row>
    <row r="1349">
      <c r="A1349" t="inlineStr">
        <is>
          <t>30(9)-V04</t>
        </is>
      </c>
      <c r="B1349" t="inlineStr">
        <is>
          <t>30 (9).tif</t>
        </is>
      </c>
      <c r="C1349" t="n">
        <v>734</v>
      </c>
      <c r="D1349" t="n">
        <v>367</v>
      </c>
      <c r="E1349" t="inlineStr">
        <is>
          <t>674,318,795,417</t>
        </is>
      </c>
      <c r="F1349" t="n">
        <v>229</v>
      </c>
      <c r="G1349" t="inlineStr">
        <is>
          <t>primary</t>
        </is>
      </c>
      <c r="H1349" t="inlineStr">
        <is>
          <t>AUTO_VESSEL</t>
        </is>
      </c>
      <c r="I1349" t="inlineStr">
        <is>
          <t>是</t>
        </is>
      </c>
      <c r="J1349" t="inlineStr">
        <is>
          <t>纳入</t>
        </is>
      </c>
      <c r="K1349" t="n">
        <v>434.3336483931947</v>
      </c>
      <c r="L1349">
        <f>导管母表_1781!G1349</f>
        <v/>
      </c>
      <c r="M1349" t="inlineStr">
        <is>
          <t>视野内部</t>
        </is>
      </c>
      <c r="N1349" t="inlineStr">
        <is>
          <t>纳入A/D/Dh；若有Pair_ID则纳入CWR</t>
        </is>
      </c>
      <c r="O1349" t="inlineStr">
        <is>
          <t>自动管线检出的合格导管腔。</t>
        </is>
      </c>
      <c r="P1349" t="inlineStr">
        <is>
          <t>auto_pipeline;review_png_green</t>
        </is>
      </c>
      <c r="R1349" t="inlineStr">
        <is>
          <t>样品30</t>
        </is>
      </c>
    </row>
    <row r="1350">
      <c r="A1350" t="inlineStr">
        <is>
          <t>30(9)-V05</t>
        </is>
      </c>
      <c r="B1350" t="inlineStr">
        <is>
          <t>30 (9).tif</t>
        </is>
      </c>
      <c r="C1350" t="n">
        <v>512</v>
      </c>
      <c r="D1350" t="n">
        <v>602</v>
      </c>
      <c r="E1350" t="inlineStr">
        <is>
          <t>468,542,557,663</t>
        </is>
      </c>
      <c r="F1350" t="n">
        <v>105</v>
      </c>
      <c r="G1350" t="inlineStr">
        <is>
          <t>primary</t>
        </is>
      </c>
      <c r="H1350" t="inlineStr">
        <is>
          <t>AUTO_VESSEL</t>
        </is>
      </c>
      <c r="I1350" t="inlineStr">
        <is>
          <t>是</t>
        </is>
      </c>
      <c r="J1350" t="inlineStr">
        <is>
          <t>纳入</t>
        </is>
      </c>
      <c r="K1350" t="n">
        <v>377.6228733459357</v>
      </c>
      <c r="L1350">
        <f>导管母表_1781!G1350</f>
        <v/>
      </c>
      <c r="M1350" t="inlineStr">
        <is>
          <t>视野内部</t>
        </is>
      </c>
      <c r="N1350" t="inlineStr">
        <is>
          <t>纳入A/D/Dh；若有Pair_ID则纳入CWR</t>
        </is>
      </c>
      <c r="O1350" t="inlineStr">
        <is>
          <t>自动管线检出的合格导管腔。</t>
        </is>
      </c>
      <c r="P1350" t="inlineStr">
        <is>
          <t>auto_pipeline;review_png_green</t>
        </is>
      </c>
      <c r="R1350" t="inlineStr">
        <is>
          <t>样品30</t>
        </is>
      </c>
    </row>
    <row r="1351">
      <c r="A1351" t="inlineStr">
        <is>
          <t>30(9)-V06</t>
        </is>
      </c>
      <c r="B1351" t="inlineStr">
        <is>
          <t>30 (9).tif</t>
        </is>
      </c>
      <c r="C1351" t="n">
        <v>558</v>
      </c>
      <c r="D1351" t="n">
        <v>364</v>
      </c>
      <c r="E1351" t="inlineStr">
        <is>
          <t>518,307,599,422</t>
        </is>
      </c>
      <c r="F1351" t="n">
        <v>307</v>
      </c>
      <c r="G1351" t="inlineStr">
        <is>
          <t>primary</t>
        </is>
      </c>
      <c r="H1351" t="inlineStr">
        <is>
          <t>AUTO_VESSEL</t>
        </is>
      </c>
      <c r="I1351" t="inlineStr">
        <is>
          <t>是</t>
        </is>
      </c>
      <c r="J1351" t="inlineStr">
        <is>
          <t>纳入</t>
        </is>
      </c>
      <c r="K1351" t="n">
        <v>338.8468809073724</v>
      </c>
      <c r="L1351">
        <f>导管母表_1781!G1351</f>
        <v/>
      </c>
      <c r="M1351" t="inlineStr">
        <is>
          <t>视野内部</t>
        </is>
      </c>
      <c r="N1351" t="inlineStr">
        <is>
          <t>纳入A/D/Dh；若有Pair_ID则纳入CWR</t>
        </is>
      </c>
      <c r="O1351" t="inlineStr">
        <is>
          <t>自动管线检出的合格导管腔。</t>
        </is>
      </c>
      <c r="P1351" t="inlineStr">
        <is>
          <t>auto_pipeline;review_png_green</t>
        </is>
      </c>
      <c r="Q1351" t="inlineStr">
        <is>
          <t>30(9)-P01</t>
        </is>
      </c>
      <c r="R1351" t="inlineStr">
        <is>
          <t>样品30</t>
        </is>
      </c>
    </row>
    <row r="1352">
      <c r="A1352" t="inlineStr">
        <is>
          <t>30(9)-V07</t>
        </is>
      </c>
      <c r="B1352" t="inlineStr">
        <is>
          <t>30 (9).tif</t>
        </is>
      </c>
      <c r="C1352" t="n">
        <v>830</v>
      </c>
      <c r="D1352" t="n">
        <v>239</v>
      </c>
      <c r="E1352" t="inlineStr">
        <is>
          <t>782,205,879,274</t>
        </is>
      </c>
      <c r="F1352" t="n">
        <v>145</v>
      </c>
      <c r="G1352" t="inlineStr">
        <is>
          <t>primary</t>
        </is>
      </c>
      <c r="H1352" t="inlineStr">
        <is>
          <t>AUTO_VESSEL</t>
        </is>
      </c>
      <c r="I1352" t="inlineStr">
        <is>
          <t>是</t>
        </is>
      </c>
      <c r="J1352" t="inlineStr">
        <is>
          <t>纳入</t>
        </is>
      </c>
      <c r="K1352" t="n">
        <v>216.5642722117202</v>
      </c>
      <c r="L1352">
        <f>导管母表_1781!G1352</f>
        <v/>
      </c>
      <c r="M1352" t="inlineStr">
        <is>
          <t>视野内部</t>
        </is>
      </c>
      <c r="N1352" t="inlineStr">
        <is>
          <t>纳入A/D/Dh；若有Pair_ID则纳入CWR</t>
        </is>
      </c>
      <c r="O1352" t="inlineStr">
        <is>
          <t>自动管线检出的合格导管腔。</t>
        </is>
      </c>
      <c r="P1352" t="inlineStr">
        <is>
          <t>auto_pipeline;review_png_green</t>
        </is>
      </c>
      <c r="R1352" t="inlineStr">
        <is>
          <t>样品30</t>
        </is>
      </c>
    </row>
    <row r="1353">
      <c r="A1353" t="inlineStr">
        <is>
          <t>30(9)-V08</t>
        </is>
      </c>
      <c r="B1353" t="inlineStr">
        <is>
          <t>30 (9).tif</t>
        </is>
      </c>
      <c r="C1353" t="n">
        <v>249</v>
      </c>
      <c r="D1353" t="n">
        <v>516</v>
      </c>
      <c r="E1353" t="inlineStr">
        <is>
          <t>193,496,306,537</t>
        </is>
      </c>
      <c r="F1353" t="n">
        <v>193</v>
      </c>
      <c r="G1353" t="inlineStr">
        <is>
          <t>primary</t>
        </is>
      </c>
      <c r="H1353" t="inlineStr">
        <is>
          <t>AUTO_VESSEL</t>
        </is>
      </c>
      <c r="I1353" t="inlineStr">
        <is>
          <t>是</t>
        </is>
      </c>
      <c r="J1353" t="inlineStr">
        <is>
          <t>纳入</t>
        </is>
      </c>
      <c r="K1353" t="n">
        <v>166.351606805293</v>
      </c>
      <c r="L1353">
        <f>导管母表_1781!G1353</f>
        <v/>
      </c>
      <c r="M1353" t="inlineStr">
        <is>
          <t>视野内部</t>
        </is>
      </c>
      <c r="N1353" t="inlineStr">
        <is>
          <t>纳入A/D/Dh；若有Pair_ID则纳入CWR</t>
        </is>
      </c>
      <c r="O1353" t="inlineStr">
        <is>
          <t>自动管线检出的合格导管腔。</t>
        </is>
      </c>
      <c r="P1353" t="inlineStr">
        <is>
          <t>auto_pipeline;review_png_green</t>
        </is>
      </c>
      <c r="R1353" t="inlineStr">
        <is>
          <t>样品30</t>
        </is>
      </c>
    </row>
    <row r="1354">
      <c r="A1354" t="inlineStr">
        <is>
          <t>31(1)-V01</t>
        </is>
      </c>
      <c r="B1354" t="inlineStr">
        <is>
          <t>31 (1).tif</t>
        </is>
      </c>
      <c r="C1354" t="n">
        <v>441</v>
      </c>
      <c r="D1354" t="n">
        <v>423</v>
      </c>
      <c r="E1354" t="inlineStr">
        <is>
          <t>354,358,529,489</t>
        </is>
      </c>
      <c r="F1354" t="n">
        <v>279</v>
      </c>
      <c r="G1354" t="inlineStr">
        <is>
          <t>primary</t>
        </is>
      </c>
      <c r="H1354" t="inlineStr">
        <is>
          <t>AUTO_VESSEL</t>
        </is>
      </c>
      <c r="I1354" t="inlineStr">
        <is>
          <t>是</t>
        </is>
      </c>
      <c r="J1354" t="inlineStr">
        <is>
          <t>纳入</t>
        </is>
      </c>
      <c r="K1354" t="n">
        <v>824.7873345935728</v>
      </c>
      <c r="L1354">
        <f>导管母表_1781!G1354</f>
        <v/>
      </c>
      <c r="M1354" t="inlineStr">
        <is>
          <t>视野内部</t>
        </is>
      </c>
      <c r="N1354" t="inlineStr">
        <is>
          <t>纳入A/D/Dh；若有Pair_ID则纳入CWR</t>
        </is>
      </c>
      <c r="O1354" t="inlineStr">
        <is>
          <t>自动管线检出的合格导管腔。</t>
        </is>
      </c>
      <c r="P1354" t="inlineStr">
        <is>
          <t>auto_pipeline;review_png_green</t>
        </is>
      </c>
      <c r="Q1354" t="inlineStr">
        <is>
          <t>31(1)-P01</t>
        </is>
      </c>
      <c r="R1354" t="inlineStr">
        <is>
          <t>样品31</t>
        </is>
      </c>
    </row>
    <row r="1355">
      <c r="A1355" t="inlineStr">
        <is>
          <t>31(1)-V02</t>
        </is>
      </c>
      <c r="B1355" t="inlineStr">
        <is>
          <t>31 (1).tif</t>
        </is>
      </c>
      <c r="C1355" t="n">
        <v>557</v>
      </c>
      <c r="D1355" t="n">
        <v>303</v>
      </c>
      <c r="E1355" t="inlineStr">
        <is>
          <t>474,246,641,361</t>
        </is>
      </c>
      <c r="F1355" t="n">
        <v>246</v>
      </c>
      <c r="G1355" t="inlineStr">
        <is>
          <t>primary</t>
        </is>
      </c>
      <c r="H1355" t="inlineStr">
        <is>
          <t>AUTO_VESSEL</t>
        </is>
      </c>
      <c r="I1355" t="inlineStr">
        <is>
          <t>是</t>
        </is>
      </c>
      <c r="J1355" t="inlineStr">
        <is>
          <t>纳入</t>
        </is>
      </c>
      <c r="K1355" t="n">
        <v>701.7013232514178</v>
      </c>
      <c r="L1355">
        <f>导管母表_1781!G1355</f>
        <v/>
      </c>
      <c r="M1355" t="inlineStr">
        <is>
          <t>视野内部</t>
        </is>
      </c>
      <c r="N1355" t="inlineStr">
        <is>
          <t>纳入A/D/Dh；若有Pair_ID则纳入CWR</t>
        </is>
      </c>
      <c r="O1355" t="inlineStr">
        <is>
          <t>自动管线检出的合格导管腔。</t>
        </is>
      </c>
      <c r="P1355" t="inlineStr">
        <is>
          <t>auto_pipeline;review_png_green</t>
        </is>
      </c>
      <c r="Q1355" t="inlineStr">
        <is>
          <t>31(1)-P01</t>
        </is>
      </c>
      <c r="R1355" t="inlineStr">
        <is>
          <t>样品31</t>
        </is>
      </c>
    </row>
    <row r="1356">
      <c r="A1356" t="inlineStr">
        <is>
          <t>31(1)-V03</t>
        </is>
      </c>
      <c r="B1356" t="inlineStr">
        <is>
          <t>31 (1).tif</t>
        </is>
      </c>
      <c r="C1356" t="n">
        <v>701</v>
      </c>
      <c r="D1356" t="n">
        <v>119</v>
      </c>
      <c r="E1356" t="inlineStr">
        <is>
          <t>636,61,767,178</t>
        </is>
      </c>
      <c r="F1356" t="n">
        <v>61</v>
      </c>
      <c r="G1356" t="inlineStr">
        <is>
          <t>primary</t>
        </is>
      </c>
      <c r="H1356" t="inlineStr">
        <is>
          <t>AUTO_VESSEL</t>
        </is>
      </c>
      <c r="I1356" t="inlineStr">
        <is>
          <t>是</t>
        </is>
      </c>
      <c r="J1356" t="inlineStr">
        <is>
          <t>纳入</t>
        </is>
      </c>
      <c r="K1356" t="n">
        <v>321.3374291115312</v>
      </c>
      <c r="L1356">
        <f>导管母表_1781!G1356</f>
        <v/>
      </c>
      <c r="M1356" t="inlineStr">
        <is>
          <t>视野内部</t>
        </is>
      </c>
      <c r="N1356" t="inlineStr">
        <is>
          <t>纳入A/D/Dh；若有Pair_ID则纳入CWR</t>
        </is>
      </c>
      <c r="O1356" t="inlineStr">
        <is>
          <t>自动管线检出的合格导管腔。</t>
        </is>
      </c>
      <c r="P1356" t="inlineStr">
        <is>
          <t>auto_pipeline;review_png_green</t>
        </is>
      </c>
      <c r="R1356" t="inlineStr">
        <is>
          <t>样品31</t>
        </is>
      </c>
    </row>
    <row r="1357">
      <c r="A1357" t="inlineStr">
        <is>
          <t>31(2)-V01</t>
        </is>
      </c>
      <c r="B1357" t="inlineStr">
        <is>
          <t>31 (2).tif</t>
        </is>
      </c>
      <c r="C1357" t="n">
        <v>374</v>
      </c>
      <c r="D1357" t="n">
        <v>382</v>
      </c>
      <c r="E1357" t="inlineStr">
        <is>
          <t>296,303,453,462</t>
        </is>
      </c>
      <c r="F1357" t="n">
        <v>296</v>
      </c>
      <c r="G1357" t="inlineStr">
        <is>
          <t>primary</t>
        </is>
      </c>
      <c r="H1357" t="inlineStr">
        <is>
          <t>AUTO_VESSEL</t>
        </is>
      </c>
      <c r="I1357" t="inlineStr">
        <is>
          <t>是</t>
        </is>
      </c>
      <c r="J1357" t="inlineStr">
        <is>
          <t>纳入</t>
        </is>
      </c>
      <c r="K1357" t="n">
        <v>900.8270321361059</v>
      </c>
      <c r="L1357">
        <f>导管母表_1781!G1357</f>
        <v/>
      </c>
      <c r="M1357" t="inlineStr">
        <is>
          <t>视野内部</t>
        </is>
      </c>
      <c r="N1357" t="inlineStr">
        <is>
          <t>纳入A/D/Dh；若有Pair_ID则纳入CWR</t>
        </is>
      </c>
      <c r="O1357" t="inlineStr">
        <is>
          <t>自动管线检出的合格导管腔。</t>
        </is>
      </c>
      <c r="P1357" t="inlineStr">
        <is>
          <t>auto_pipeline;review_png_green</t>
        </is>
      </c>
      <c r="R1357" t="inlineStr">
        <is>
          <t>样品31</t>
        </is>
      </c>
    </row>
    <row r="1358">
      <c r="A1358" t="inlineStr">
        <is>
          <t>31(2)-V02</t>
        </is>
      </c>
      <c r="B1358" t="inlineStr">
        <is>
          <t>31 (2).tif</t>
        </is>
      </c>
      <c r="C1358" t="n">
        <v>537</v>
      </c>
      <c r="D1358" t="n">
        <v>412</v>
      </c>
      <c r="E1358" t="inlineStr">
        <is>
          <t>465,347,610,478</t>
        </is>
      </c>
      <c r="F1358" t="n">
        <v>290</v>
      </c>
      <c r="G1358" t="inlineStr">
        <is>
          <t>primary</t>
        </is>
      </c>
      <c r="H1358" t="inlineStr">
        <is>
          <t>AUTO_VESSEL</t>
        </is>
      </c>
      <c r="I1358" t="inlineStr">
        <is>
          <t>是</t>
        </is>
      </c>
      <c r="J1358" t="inlineStr">
        <is>
          <t>纳入</t>
        </is>
      </c>
      <c r="K1358" t="n">
        <v>694.8724007561436</v>
      </c>
      <c r="L1358">
        <f>导管母表_1781!G1358</f>
        <v/>
      </c>
      <c r="M1358" t="inlineStr">
        <is>
          <t>视野内部</t>
        </is>
      </c>
      <c r="N1358" t="inlineStr">
        <is>
          <t>纳入A/D/Dh；若有Pair_ID则纳入CWR</t>
        </is>
      </c>
      <c r="O1358" t="inlineStr">
        <is>
          <t>自动管线检出的合格导管腔。</t>
        </is>
      </c>
      <c r="P1358" t="inlineStr">
        <is>
          <t>auto_pipeline;review_png_green</t>
        </is>
      </c>
      <c r="R1358" t="inlineStr">
        <is>
          <t>样品31</t>
        </is>
      </c>
    </row>
    <row r="1359">
      <c r="A1359" t="inlineStr">
        <is>
          <t>31(2)-V03</t>
        </is>
      </c>
      <c r="B1359" t="inlineStr">
        <is>
          <t>31 (2).tif</t>
        </is>
      </c>
      <c r="C1359" t="n">
        <v>903</v>
      </c>
      <c r="D1359" t="n">
        <v>68</v>
      </c>
      <c r="E1359" t="inlineStr">
        <is>
          <t>851,23,956,114</t>
        </is>
      </c>
      <c r="F1359" t="n">
        <v>23</v>
      </c>
      <c r="G1359" t="inlineStr">
        <is>
          <t>primary</t>
        </is>
      </c>
      <c r="H1359" t="inlineStr">
        <is>
          <t>AUTO_VESSEL</t>
        </is>
      </c>
      <c r="I1359" t="inlineStr">
        <is>
          <t>是</t>
        </is>
      </c>
      <c r="J1359" t="inlineStr">
        <is>
          <t>纳入</t>
        </is>
      </c>
      <c r="K1359" t="n">
        <v>333.1758034026465</v>
      </c>
      <c r="L1359">
        <f>导管母表_1781!G1359</f>
        <v/>
      </c>
      <c r="M1359" t="inlineStr">
        <is>
          <t>近边缘（&lt;25 px）</t>
        </is>
      </c>
      <c r="N1359" t="inlineStr">
        <is>
          <t>纳入A/D/Dh；若有Pair_ID则纳入CWR</t>
        </is>
      </c>
      <c r="O1359" t="inlineStr">
        <is>
          <t>自动管线检出的合格导管腔。</t>
        </is>
      </c>
      <c r="P1359" t="inlineStr">
        <is>
          <t>auto_pipeline;review_png_green</t>
        </is>
      </c>
      <c r="R1359" t="inlineStr">
        <is>
          <t>样品31</t>
        </is>
      </c>
    </row>
    <row r="1360">
      <c r="A1360" t="inlineStr">
        <is>
          <t>31(2)-V04</t>
        </is>
      </c>
      <c r="B1360" t="inlineStr">
        <is>
          <t>31 (2).tif</t>
        </is>
      </c>
      <c r="C1360" t="n">
        <v>147</v>
      </c>
      <c r="D1360" t="n">
        <v>551</v>
      </c>
      <c r="E1360" t="inlineStr">
        <is>
          <t>85,530,210,573</t>
        </is>
      </c>
      <c r="F1360" t="n">
        <v>85</v>
      </c>
      <c r="G1360" t="inlineStr">
        <is>
          <t>primary</t>
        </is>
      </c>
      <c r="H1360" t="inlineStr">
        <is>
          <t>AUTO_VESSEL</t>
        </is>
      </c>
      <c r="I1360" t="inlineStr">
        <is>
          <t>是</t>
        </is>
      </c>
      <c r="J1360" t="inlineStr">
        <is>
          <t>纳入</t>
        </is>
      </c>
      <c r="K1360" t="n">
        <v>152.0321361058601</v>
      </c>
      <c r="L1360">
        <f>导管母表_1781!G1360</f>
        <v/>
      </c>
      <c r="M1360" t="inlineStr">
        <is>
          <t>视野内部</t>
        </is>
      </c>
      <c r="N1360" t="inlineStr">
        <is>
          <t>纳入A/D/Dh；若有Pair_ID则纳入CWR</t>
        </is>
      </c>
      <c r="O1360" t="inlineStr">
        <is>
          <t>自动管线检出的合格导管腔。</t>
        </is>
      </c>
      <c r="P1360" t="inlineStr">
        <is>
          <t>auto_pipeline;review_png_green</t>
        </is>
      </c>
      <c r="R1360" t="inlineStr">
        <is>
          <t>样品31</t>
        </is>
      </c>
    </row>
    <row r="1361">
      <c r="A1361" t="inlineStr">
        <is>
          <t>31(2)-V05</t>
        </is>
      </c>
      <c r="B1361" t="inlineStr">
        <is>
          <t>31 (2).tif</t>
        </is>
      </c>
      <c r="C1361" t="n">
        <v>65</v>
      </c>
      <c r="D1361" t="n">
        <v>607</v>
      </c>
      <c r="E1361" t="inlineStr">
        <is>
          <t>30,579,101,636</t>
        </is>
      </c>
      <c r="F1361" t="n">
        <v>30</v>
      </c>
      <c r="G1361" t="inlineStr">
        <is>
          <t>primary</t>
        </is>
      </c>
      <c r="H1361" t="inlineStr">
        <is>
          <t>AUTO_VESSEL</t>
        </is>
      </c>
      <c r="I1361" t="inlineStr">
        <is>
          <t>是</t>
        </is>
      </c>
      <c r="J1361" t="inlineStr">
        <is>
          <t>纳入</t>
        </is>
      </c>
      <c r="K1361" t="n">
        <v>127.5992438563327</v>
      </c>
      <c r="L1361">
        <f>导管母表_1781!G1361</f>
        <v/>
      </c>
      <c r="M1361" t="inlineStr">
        <is>
          <t>视野内部</t>
        </is>
      </c>
      <c r="N1361" t="inlineStr">
        <is>
          <t>纳入A/D/Dh；若有Pair_ID则纳入CWR</t>
        </is>
      </c>
      <c r="O1361" t="inlineStr">
        <is>
          <t>自动管线检出的合格导管腔。</t>
        </is>
      </c>
      <c r="P1361" t="inlineStr">
        <is>
          <t>auto_pipeline;review_png_green</t>
        </is>
      </c>
      <c r="R1361" t="inlineStr">
        <is>
          <t>样品31</t>
        </is>
      </c>
    </row>
    <row r="1362">
      <c r="A1362" t="inlineStr">
        <is>
          <t>31(3)-V01</t>
        </is>
      </c>
      <c r="B1362" t="inlineStr">
        <is>
          <t>31 (3).tif</t>
        </is>
      </c>
      <c r="C1362" t="n">
        <v>71</v>
      </c>
      <c r="D1362" t="n">
        <v>383</v>
      </c>
      <c r="E1362" t="inlineStr">
        <is>
          <t>1,315,142,452</t>
        </is>
      </c>
      <c r="F1362" t="n">
        <v>1</v>
      </c>
      <c r="G1362" t="inlineStr">
        <is>
          <t>primary</t>
        </is>
      </c>
      <c r="H1362" t="inlineStr">
        <is>
          <t>AUTO_VESSEL</t>
        </is>
      </c>
      <c r="I1362" t="inlineStr">
        <is>
          <t>是</t>
        </is>
      </c>
      <c r="J1362" t="inlineStr">
        <is>
          <t>纳入</t>
        </is>
      </c>
      <c r="K1362" t="n">
        <v>705.9310018903592</v>
      </c>
      <c r="L1362">
        <f>导管母表_1781!G1362</f>
        <v/>
      </c>
      <c r="M1362" t="inlineStr">
        <is>
          <t>近边缘（&lt;25 px）</t>
        </is>
      </c>
      <c r="N1362" t="inlineStr">
        <is>
          <t>纳入A/D/Dh；若有Pair_ID则纳入CWR</t>
        </is>
      </c>
      <c r="O1362" t="inlineStr">
        <is>
          <t>自动管线检出的合格导管腔。</t>
        </is>
      </c>
      <c r="P1362" t="inlineStr">
        <is>
          <t>auto_pipeline;review_png_green</t>
        </is>
      </c>
      <c r="R1362" t="inlineStr">
        <is>
          <t>样品31</t>
        </is>
      </c>
    </row>
    <row r="1363">
      <c r="A1363" t="inlineStr">
        <is>
          <t>31(3)-V02</t>
        </is>
      </c>
      <c r="B1363" t="inlineStr">
        <is>
          <t>31 (3).tif</t>
        </is>
      </c>
      <c r="C1363" t="n">
        <v>568</v>
      </c>
      <c r="D1363" t="n">
        <v>432</v>
      </c>
      <c r="E1363" t="inlineStr">
        <is>
          <t>493,368,644,497</t>
        </is>
      </c>
      <c r="F1363" t="n">
        <v>271</v>
      </c>
      <c r="G1363" t="inlineStr">
        <is>
          <t>primary</t>
        </is>
      </c>
      <c r="H1363" t="inlineStr">
        <is>
          <t>AUTO_VESSEL</t>
        </is>
      </c>
      <c r="I1363" t="inlineStr">
        <is>
          <t>是</t>
        </is>
      </c>
      <c r="J1363" t="inlineStr">
        <is>
          <t>纳入</t>
        </is>
      </c>
      <c r="K1363" t="n">
        <v>680.4820415879017</v>
      </c>
      <c r="L1363">
        <f>导管母表_1781!G1363</f>
        <v/>
      </c>
      <c r="M1363" t="inlineStr">
        <is>
          <t>视野内部</t>
        </is>
      </c>
      <c r="N1363" t="inlineStr">
        <is>
          <t>纳入A/D/Dh；若有Pair_ID则纳入CWR</t>
        </is>
      </c>
      <c r="O1363" t="inlineStr">
        <is>
          <t>自动管线检出的合格导管腔。</t>
        </is>
      </c>
      <c r="P1363" t="inlineStr">
        <is>
          <t>auto_pipeline;review_png_green</t>
        </is>
      </c>
      <c r="Q1363" t="inlineStr">
        <is>
          <t>31(3)-P01</t>
        </is>
      </c>
      <c r="R1363" t="inlineStr">
        <is>
          <t>样品31</t>
        </is>
      </c>
    </row>
    <row r="1364">
      <c r="A1364" t="inlineStr">
        <is>
          <t>31(3)-V03</t>
        </is>
      </c>
      <c r="B1364" t="inlineStr">
        <is>
          <t>31 (3).tif</t>
        </is>
      </c>
      <c r="C1364" t="n">
        <v>394</v>
      </c>
      <c r="D1364" t="n">
        <v>400</v>
      </c>
      <c r="E1364" t="inlineStr">
        <is>
          <t>324,347,465,454</t>
        </is>
      </c>
      <c r="F1364" t="n">
        <v>314</v>
      </c>
      <c r="G1364" t="inlineStr">
        <is>
          <t>primary</t>
        </is>
      </c>
      <c r="H1364" t="inlineStr">
        <is>
          <t>AUTO_VESSEL</t>
        </is>
      </c>
      <c r="I1364" t="inlineStr">
        <is>
          <t>是</t>
        </is>
      </c>
      <c r="J1364" t="inlineStr">
        <is>
          <t>纳入</t>
        </is>
      </c>
      <c r="K1364" t="n">
        <v>548.5822306238185</v>
      </c>
      <c r="L1364">
        <f>导管母表_1781!G1364</f>
        <v/>
      </c>
      <c r="M1364" t="inlineStr">
        <is>
          <t>视野内部</t>
        </is>
      </c>
      <c r="N1364" t="inlineStr">
        <is>
          <t>纳入A/D/Dh；若有Pair_ID则纳入CWR</t>
        </is>
      </c>
      <c r="O1364" t="inlineStr">
        <is>
          <t>自动管线检出的合格导管腔。</t>
        </is>
      </c>
      <c r="P1364" t="inlineStr">
        <is>
          <t>auto_pipeline;review_png_green</t>
        </is>
      </c>
      <c r="Q1364" t="inlineStr">
        <is>
          <t>31(3)-P01</t>
        </is>
      </c>
      <c r="R1364" t="inlineStr">
        <is>
          <t>样品31</t>
        </is>
      </c>
    </row>
    <row r="1365">
      <c r="A1365" t="inlineStr">
        <is>
          <t>31(3)-V04</t>
        </is>
      </c>
      <c r="B1365" t="inlineStr">
        <is>
          <t>31 (3).tif</t>
        </is>
      </c>
      <c r="C1365" t="n">
        <v>510</v>
      </c>
      <c r="D1365" t="n">
        <v>69</v>
      </c>
      <c r="E1365" t="inlineStr">
        <is>
          <t>475,39,546,100</t>
        </is>
      </c>
      <c r="F1365" t="n">
        <v>39</v>
      </c>
      <c r="G1365" t="inlineStr">
        <is>
          <t>primary</t>
        </is>
      </c>
      <c r="H1365" t="inlineStr">
        <is>
          <t>AUTO_VESSEL</t>
        </is>
      </c>
      <c r="I1365" t="inlineStr">
        <is>
          <t>是</t>
        </is>
      </c>
      <c r="J1365" t="inlineStr">
        <is>
          <t>纳入</t>
        </is>
      </c>
      <c r="K1365" t="n">
        <v>136.7202268431002</v>
      </c>
      <c r="L1365">
        <f>导管母表_1781!G1365</f>
        <v/>
      </c>
      <c r="M1365" t="inlineStr">
        <is>
          <t>视野内部</t>
        </is>
      </c>
      <c r="N1365" t="inlineStr">
        <is>
          <t>纳入A/D/Dh；若有Pair_ID则纳入CWR</t>
        </is>
      </c>
      <c r="O1365" t="inlineStr">
        <is>
          <t>自动管线检出的合格导管腔。</t>
        </is>
      </c>
      <c r="P1365" t="inlineStr">
        <is>
          <t>auto_pipeline;review_png_green</t>
        </is>
      </c>
      <c r="R1365" t="inlineStr">
        <is>
          <t>样品31</t>
        </is>
      </c>
    </row>
    <row r="1366">
      <c r="A1366" t="inlineStr">
        <is>
          <t>31(3)-V05</t>
        </is>
      </c>
      <c r="B1366" t="inlineStr">
        <is>
          <t>31 (3).tif</t>
        </is>
      </c>
      <c r="C1366" t="n">
        <v>106</v>
      </c>
      <c r="D1366" t="n">
        <v>114</v>
      </c>
      <c r="E1366" t="inlineStr">
        <is>
          <t>77,84,136,145</t>
        </is>
      </c>
      <c r="F1366" t="n">
        <v>77</v>
      </c>
      <c r="G1366" t="inlineStr">
        <is>
          <t>primary</t>
        </is>
      </c>
      <c r="H1366" t="inlineStr">
        <is>
          <t>AUTO_VESSEL</t>
        </is>
      </c>
      <c r="I1366" t="inlineStr">
        <is>
          <t>是</t>
        </is>
      </c>
      <c r="J1366" t="inlineStr">
        <is>
          <t>纳入</t>
        </is>
      </c>
      <c r="K1366" t="n">
        <v>128.3553875236295</v>
      </c>
      <c r="L1366">
        <f>导管母表_1781!G1366</f>
        <v/>
      </c>
      <c r="M1366" t="inlineStr">
        <is>
          <t>视野内部</t>
        </is>
      </c>
      <c r="N1366" t="inlineStr">
        <is>
          <t>纳入A/D/Dh；若有Pair_ID则纳入CWR</t>
        </is>
      </c>
      <c r="O1366" t="inlineStr">
        <is>
          <t>自动管线检出的合格导管腔。</t>
        </is>
      </c>
      <c r="P1366" t="inlineStr">
        <is>
          <t>auto_pipeline;review_png_green</t>
        </is>
      </c>
      <c r="R1366" t="inlineStr">
        <is>
          <t>样品31</t>
        </is>
      </c>
    </row>
    <row r="1367">
      <c r="A1367" t="inlineStr">
        <is>
          <t>31(4)-V01</t>
        </is>
      </c>
      <c r="B1367" t="inlineStr">
        <is>
          <t>31 (4).tif</t>
        </is>
      </c>
      <c r="C1367" t="n">
        <v>473</v>
      </c>
      <c r="D1367" t="n">
        <v>329</v>
      </c>
      <c r="E1367" t="inlineStr">
        <is>
          <t>403,266,544,393</t>
        </is>
      </c>
      <c r="F1367" t="n">
        <v>266</v>
      </c>
      <c r="G1367" t="inlineStr">
        <is>
          <t>primary</t>
        </is>
      </c>
      <c r="H1367" t="inlineStr">
        <is>
          <t>AUTO_VESSEL</t>
        </is>
      </c>
      <c r="I1367" t="inlineStr">
        <is>
          <t>是</t>
        </is>
      </c>
      <c r="J1367" t="inlineStr">
        <is>
          <t>纳入</t>
        </is>
      </c>
      <c r="K1367" t="n">
        <v>616.351606805293</v>
      </c>
      <c r="L1367">
        <f>导管母表_1781!G1367</f>
        <v/>
      </c>
      <c r="M1367" t="inlineStr">
        <is>
          <t>视野内部</t>
        </is>
      </c>
      <c r="N1367" t="inlineStr">
        <is>
          <t>纳入A/D/Dh；若有Pair_ID则纳入CWR</t>
        </is>
      </c>
      <c r="O1367" t="inlineStr">
        <is>
          <t>自动管线检出的合格导管腔。</t>
        </is>
      </c>
      <c r="P1367" t="inlineStr">
        <is>
          <t>auto_pipeline;review_png_green</t>
        </is>
      </c>
      <c r="R1367" t="inlineStr">
        <is>
          <t>样品31</t>
        </is>
      </c>
    </row>
    <row r="1368">
      <c r="A1368" t="inlineStr">
        <is>
          <t>31(4)-V02</t>
        </is>
      </c>
      <c r="B1368" t="inlineStr">
        <is>
          <t>31 (4).tif</t>
        </is>
      </c>
      <c r="C1368" t="n">
        <v>235</v>
      </c>
      <c r="D1368" t="n">
        <v>389</v>
      </c>
      <c r="E1368" t="inlineStr">
        <is>
          <t>198,354,273,425</t>
        </is>
      </c>
      <c r="F1368" t="n">
        <v>198</v>
      </c>
      <c r="G1368" t="inlineStr">
        <is>
          <t>primary</t>
        </is>
      </c>
      <c r="H1368" t="inlineStr">
        <is>
          <t>AUTO_VESSEL</t>
        </is>
      </c>
      <c r="I1368" t="inlineStr">
        <is>
          <t>是</t>
        </is>
      </c>
      <c r="J1368" t="inlineStr">
        <is>
          <t>纳入</t>
        </is>
      </c>
      <c r="K1368" t="n">
        <v>184.617202268431</v>
      </c>
      <c r="L1368">
        <f>导管母表_1781!G1368</f>
        <v/>
      </c>
      <c r="M1368" t="inlineStr">
        <is>
          <t>视野内部</t>
        </is>
      </c>
      <c r="N1368" t="inlineStr">
        <is>
          <t>纳入A/D/Dh；若有Pair_ID则纳入CWR</t>
        </is>
      </c>
      <c r="O1368" t="inlineStr">
        <is>
          <t>自动管线检出的合格导管腔。</t>
        </is>
      </c>
      <c r="P1368" t="inlineStr">
        <is>
          <t>auto_pipeline;review_png_green</t>
        </is>
      </c>
      <c r="R1368" t="inlineStr">
        <is>
          <t>样品31</t>
        </is>
      </c>
    </row>
    <row r="1369">
      <c r="A1369" t="inlineStr">
        <is>
          <t>31(4)-V03</t>
        </is>
      </c>
      <c r="B1369" t="inlineStr">
        <is>
          <t>31 (4).tif</t>
        </is>
      </c>
      <c r="C1369" t="n">
        <v>645</v>
      </c>
      <c r="D1369" t="n">
        <v>583</v>
      </c>
      <c r="E1369" t="inlineStr">
        <is>
          <t>607,552,684,615</t>
        </is>
      </c>
      <c r="F1369" t="n">
        <v>153</v>
      </c>
      <c r="G1369" t="inlineStr">
        <is>
          <t>primary</t>
        </is>
      </c>
      <c r="H1369" t="inlineStr">
        <is>
          <t>AUTO_VESSEL</t>
        </is>
      </c>
      <c r="I1369" t="inlineStr">
        <is>
          <t>是</t>
        </is>
      </c>
      <c r="J1369" t="inlineStr">
        <is>
          <t>纳入</t>
        </is>
      </c>
      <c r="K1369" t="n">
        <v>152.930056710775</v>
      </c>
      <c r="L1369">
        <f>导管母表_1781!G1369</f>
        <v/>
      </c>
      <c r="M1369" t="inlineStr">
        <is>
          <t>视野内部</t>
        </is>
      </c>
      <c r="N1369" t="inlineStr">
        <is>
          <t>纳入A/D/Dh；若有Pair_ID则纳入CWR</t>
        </is>
      </c>
      <c r="O1369" t="inlineStr">
        <is>
          <t>自动管线检出的合格导管腔。</t>
        </is>
      </c>
      <c r="P1369" t="inlineStr">
        <is>
          <t>auto_pipeline;review_png_green</t>
        </is>
      </c>
      <c r="R1369" t="inlineStr">
        <is>
          <t>样品31</t>
        </is>
      </c>
    </row>
    <row r="1370">
      <c r="A1370" t="inlineStr">
        <is>
          <t>31(4)-V04</t>
        </is>
      </c>
      <c r="B1370" t="inlineStr">
        <is>
          <t>31 (4).tif</t>
        </is>
      </c>
      <c r="C1370" t="n">
        <v>925</v>
      </c>
      <c r="D1370" t="n">
        <v>306</v>
      </c>
      <c r="E1370" t="inlineStr">
        <is>
          <t>877,287,974,326</t>
        </is>
      </c>
      <c r="F1370" t="n">
        <v>50</v>
      </c>
      <c r="G1370" t="inlineStr">
        <is>
          <t>primary</t>
        </is>
      </c>
      <c r="H1370" t="inlineStr">
        <is>
          <t>AUTO_VESSEL</t>
        </is>
      </c>
      <c r="I1370" t="inlineStr">
        <is>
          <t>是</t>
        </is>
      </c>
      <c r="J1370" t="inlineStr">
        <is>
          <t>纳入</t>
        </is>
      </c>
      <c r="K1370" t="n">
        <v>110.8459357277883</v>
      </c>
      <c r="L1370">
        <f>导管母表_1781!G1370</f>
        <v/>
      </c>
      <c r="M1370" t="inlineStr">
        <is>
          <t>视野内部</t>
        </is>
      </c>
      <c r="N1370" t="inlineStr">
        <is>
          <t>纳入A/D/Dh；若有Pair_ID则纳入CWR</t>
        </is>
      </c>
      <c r="O1370" t="inlineStr">
        <is>
          <t>自动管线检出的合格导管腔。</t>
        </is>
      </c>
      <c r="P1370" t="inlineStr">
        <is>
          <t>auto_pipeline;review_png_green</t>
        </is>
      </c>
      <c r="R1370" t="inlineStr">
        <is>
          <t>样品31</t>
        </is>
      </c>
    </row>
    <row r="1371">
      <c r="A1371" t="inlineStr">
        <is>
          <t>31(5)-V01</t>
        </is>
      </c>
      <c r="B1371" t="inlineStr">
        <is>
          <t>31 (5).tif</t>
        </is>
      </c>
      <c r="C1371" t="n">
        <v>579</v>
      </c>
      <c r="D1371" t="n">
        <v>320</v>
      </c>
      <c r="E1371" t="inlineStr">
        <is>
          <t>501,245,658,396</t>
        </is>
      </c>
      <c r="F1371" t="n">
        <v>245</v>
      </c>
      <c r="G1371" t="inlineStr">
        <is>
          <t>primary</t>
        </is>
      </c>
      <c r="H1371" t="inlineStr">
        <is>
          <t>AUTO_VESSEL</t>
        </is>
      </c>
      <c r="I1371" t="inlineStr">
        <is>
          <t>是</t>
        </is>
      </c>
      <c r="J1371" t="inlineStr">
        <is>
          <t>纳入</t>
        </is>
      </c>
      <c r="K1371" t="n">
        <v>862.1455576559547</v>
      </c>
      <c r="L1371">
        <f>导管母表_1781!G1371</f>
        <v/>
      </c>
      <c r="M1371" t="inlineStr">
        <is>
          <t>视野内部</t>
        </is>
      </c>
      <c r="N1371" t="inlineStr">
        <is>
          <t>纳入A/D/Dh；若有Pair_ID则纳入CWR</t>
        </is>
      </c>
      <c r="O1371" t="inlineStr">
        <is>
          <t>自动管线检出的合格导管腔。</t>
        </is>
      </c>
      <c r="P1371" t="inlineStr">
        <is>
          <t>auto_pipeline;review_png_green</t>
        </is>
      </c>
      <c r="Q1371" t="inlineStr">
        <is>
          <t>31(5)-P01</t>
        </is>
      </c>
      <c r="R1371" t="inlineStr">
        <is>
          <t>样品31</t>
        </is>
      </c>
    </row>
    <row r="1372">
      <c r="A1372" t="inlineStr">
        <is>
          <t>31(5)-V02</t>
        </is>
      </c>
      <c r="B1372" t="inlineStr">
        <is>
          <t>31 (5).tif</t>
        </is>
      </c>
      <c r="C1372" t="n">
        <v>816</v>
      </c>
      <c r="D1372" t="n">
        <v>478</v>
      </c>
      <c r="E1372" t="inlineStr">
        <is>
          <t>753,407,880,550</t>
        </is>
      </c>
      <c r="F1372" t="n">
        <v>144</v>
      </c>
      <c r="G1372" t="inlineStr">
        <is>
          <t>primary</t>
        </is>
      </c>
      <c r="H1372" t="inlineStr">
        <is>
          <t>AUTO_VESSEL</t>
        </is>
      </c>
      <c r="I1372" t="inlineStr">
        <is>
          <t>是</t>
        </is>
      </c>
      <c r="J1372" t="inlineStr">
        <is>
          <t>纳入</t>
        </is>
      </c>
      <c r="K1372" t="n">
        <v>651.6776937618148</v>
      </c>
      <c r="L1372">
        <f>导管母表_1781!G1372</f>
        <v/>
      </c>
      <c r="M1372" t="inlineStr">
        <is>
          <t>视野内部</t>
        </is>
      </c>
      <c r="N1372" t="inlineStr">
        <is>
          <t>纳入A/D/Dh；若有Pair_ID则纳入CWR</t>
        </is>
      </c>
      <c r="O1372" t="inlineStr">
        <is>
          <t>自动管线检出的合格导管腔。</t>
        </is>
      </c>
      <c r="P1372" t="inlineStr">
        <is>
          <t>auto_pipeline;review_png_green</t>
        </is>
      </c>
      <c r="R1372" t="inlineStr">
        <is>
          <t>样品31</t>
        </is>
      </c>
    </row>
    <row r="1373">
      <c r="A1373" t="inlineStr">
        <is>
          <t>31(5)-V03</t>
        </is>
      </c>
      <c r="B1373" t="inlineStr">
        <is>
          <t>31 (5).tif</t>
        </is>
      </c>
      <c r="C1373" t="n">
        <v>497</v>
      </c>
      <c r="D1373" t="n">
        <v>472</v>
      </c>
      <c r="E1373" t="inlineStr">
        <is>
          <t>429,412,566,533</t>
        </is>
      </c>
      <c r="F1373" t="n">
        <v>235</v>
      </c>
      <c r="G1373" t="inlineStr">
        <is>
          <t>primary</t>
        </is>
      </c>
      <c r="H1373" t="inlineStr">
        <is>
          <t>AUTO_VESSEL</t>
        </is>
      </c>
      <c r="I1373" t="inlineStr">
        <is>
          <t>是</t>
        </is>
      </c>
      <c r="J1373" t="inlineStr">
        <is>
          <t>纳入</t>
        </is>
      </c>
      <c r="K1373" t="n">
        <v>594.3761814744802</v>
      </c>
      <c r="L1373">
        <f>导管母表_1781!G1373</f>
        <v/>
      </c>
      <c r="M1373" t="inlineStr">
        <is>
          <t>视野内部</t>
        </is>
      </c>
      <c r="N1373" t="inlineStr">
        <is>
          <t>纳入A/D/Dh；若有Pair_ID则纳入CWR</t>
        </is>
      </c>
      <c r="O1373" t="inlineStr">
        <is>
          <t>自动管线检出的合格导管腔。</t>
        </is>
      </c>
      <c r="P1373" t="inlineStr">
        <is>
          <t>auto_pipeline;review_png_green</t>
        </is>
      </c>
      <c r="Q1373" t="inlineStr">
        <is>
          <t>31(5)-P01</t>
        </is>
      </c>
      <c r="R1373" t="inlineStr">
        <is>
          <t>样品31</t>
        </is>
      </c>
    </row>
    <row r="1374">
      <c r="A1374" t="inlineStr">
        <is>
          <t>31(5)-V04</t>
        </is>
      </c>
      <c r="B1374" t="inlineStr">
        <is>
          <t>31 (5).tif</t>
        </is>
      </c>
      <c r="C1374" t="n">
        <v>255</v>
      </c>
      <c r="D1374" t="n">
        <v>99</v>
      </c>
      <c r="E1374" t="inlineStr">
        <is>
          <t>197,43,314,156</t>
        </is>
      </c>
      <c r="F1374" t="n">
        <v>43</v>
      </c>
      <c r="G1374" t="inlineStr">
        <is>
          <t>primary</t>
        </is>
      </c>
      <c r="H1374" t="inlineStr">
        <is>
          <t>AUTO_VESSEL</t>
        </is>
      </c>
      <c r="I1374" t="inlineStr">
        <is>
          <t>是</t>
        </is>
      </c>
      <c r="J1374" t="inlineStr">
        <is>
          <t>纳入</t>
        </is>
      </c>
      <c r="K1374" t="n">
        <v>465.9026465028355</v>
      </c>
      <c r="L1374">
        <f>导管母表_1781!G1374</f>
        <v/>
      </c>
      <c r="M1374" t="inlineStr">
        <is>
          <t>视野内部</t>
        </is>
      </c>
      <c r="N1374" t="inlineStr">
        <is>
          <t>纳入A/D/Dh；若有Pair_ID则纳入CWR</t>
        </is>
      </c>
      <c r="O1374" t="inlineStr">
        <is>
          <t>自动管线检出的合格导管腔。</t>
        </is>
      </c>
      <c r="P1374" t="inlineStr">
        <is>
          <t>auto_pipeline;review_png_green</t>
        </is>
      </c>
      <c r="R1374" t="inlineStr">
        <is>
          <t>样品31</t>
        </is>
      </c>
    </row>
    <row r="1375">
      <c r="A1375" t="inlineStr">
        <is>
          <t>31(5)-V05</t>
        </is>
      </c>
      <c r="B1375" t="inlineStr">
        <is>
          <t>31 (5).tif</t>
        </is>
      </c>
      <c r="C1375" t="n">
        <v>276</v>
      </c>
      <c r="D1375" t="n">
        <v>390</v>
      </c>
      <c r="E1375" t="inlineStr">
        <is>
          <t>242,351,311,430</t>
        </is>
      </c>
      <c r="F1375" t="n">
        <v>242</v>
      </c>
      <c r="G1375" t="inlineStr">
        <is>
          <t>primary</t>
        </is>
      </c>
      <c r="H1375" t="inlineStr">
        <is>
          <t>AUTO_VESSEL</t>
        </is>
      </c>
      <c r="I1375" t="inlineStr">
        <is>
          <t>是</t>
        </is>
      </c>
      <c r="J1375" t="inlineStr">
        <is>
          <t>纳入</t>
        </is>
      </c>
      <c r="K1375" t="n">
        <v>164.3431001890359</v>
      </c>
      <c r="L1375">
        <f>导管母表_1781!G1375</f>
        <v/>
      </c>
      <c r="M1375" t="inlineStr">
        <is>
          <t>视野内部</t>
        </is>
      </c>
      <c r="N1375" t="inlineStr">
        <is>
          <t>纳入A/D/Dh；若有Pair_ID则纳入CWR</t>
        </is>
      </c>
      <c r="O1375" t="inlineStr">
        <is>
          <t>自动管线检出的合格导管腔。</t>
        </is>
      </c>
      <c r="P1375" t="inlineStr">
        <is>
          <t>auto_pipeline;review_png_green</t>
        </is>
      </c>
      <c r="R1375" t="inlineStr">
        <is>
          <t>样品31</t>
        </is>
      </c>
    </row>
    <row r="1376">
      <c r="A1376" t="inlineStr">
        <is>
          <t>31(5)-V06</t>
        </is>
      </c>
      <c r="B1376" t="inlineStr">
        <is>
          <t>31 (5).tif</t>
        </is>
      </c>
      <c r="C1376" t="n">
        <v>726</v>
      </c>
      <c r="D1376" t="n">
        <v>526</v>
      </c>
      <c r="E1376" t="inlineStr">
        <is>
          <t>703,486,750,567</t>
        </is>
      </c>
      <c r="F1376" t="n">
        <v>201</v>
      </c>
      <c r="G1376" t="inlineStr">
        <is>
          <t>primary</t>
        </is>
      </c>
      <c r="H1376" t="inlineStr">
        <is>
          <t>AUTO_VESSEL</t>
        </is>
      </c>
      <c r="I1376" t="inlineStr">
        <is>
          <t>是</t>
        </is>
      </c>
      <c r="J1376" t="inlineStr">
        <is>
          <t>纳入</t>
        </is>
      </c>
      <c r="K1376" t="n">
        <v>130.9782608695652</v>
      </c>
      <c r="L1376">
        <f>导管母表_1781!G1376</f>
        <v/>
      </c>
      <c r="M1376" t="inlineStr">
        <is>
          <t>视野内部</t>
        </is>
      </c>
      <c r="N1376" t="inlineStr">
        <is>
          <t>纳入A/D/Dh；若有Pair_ID则纳入CWR</t>
        </is>
      </c>
      <c r="O1376" t="inlineStr">
        <is>
          <t>自动管线检出的合格导管腔。</t>
        </is>
      </c>
      <c r="P1376" t="inlineStr">
        <is>
          <t>auto_pipeline;review_png_green</t>
        </is>
      </c>
      <c r="R1376" t="inlineStr">
        <is>
          <t>样品31</t>
        </is>
      </c>
    </row>
    <row r="1377">
      <c r="A1377" t="inlineStr">
        <is>
          <t>31(5)-V07</t>
        </is>
      </c>
      <c r="B1377" t="inlineStr">
        <is>
          <t>31 (5).tif</t>
        </is>
      </c>
      <c r="C1377" t="n">
        <v>693</v>
      </c>
      <c r="D1377" t="n">
        <v>143</v>
      </c>
      <c r="E1377" t="inlineStr">
        <is>
          <t>664,108,723,179</t>
        </is>
      </c>
      <c r="F1377" t="n">
        <v>108</v>
      </c>
      <c r="G1377" t="inlineStr">
        <is>
          <t>primary</t>
        </is>
      </c>
      <c r="H1377" t="inlineStr">
        <is>
          <t>AUTO_VESSEL</t>
        </is>
      </c>
      <c r="I1377" t="inlineStr">
        <is>
          <t>是</t>
        </is>
      </c>
      <c r="J1377" t="inlineStr">
        <is>
          <t>纳入</t>
        </is>
      </c>
      <c r="K1377" t="n">
        <v>121.9281663516068</v>
      </c>
      <c r="L1377">
        <f>导管母表_1781!G1377</f>
        <v/>
      </c>
      <c r="M1377" t="inlineStr">
        <is>
          <t>视野内部</t>
        </is>
      </c>
      <c r="N1377" t="inlineStr">
        <is>
          <t>纳入A/D/Dh；若有Pair_ID则纳入CWR</t>
        </is>
      </c>
      <c r="O1377" t="inlineStr">
        <is>
          <t>自动管线检出的合格导管腔。</t>
        </is>
      </c>
      <c r="P1377" t="inlineStr">
        <is>
          <t>auto_pipeline;review_png_green</t>
        </is>
      </c>
      <c r="R1377" t="inlineStr">
        <is>
          <t>样品31</t>
        </is>
      </c>
    </row>
    <row r="1378">
      <c r="A1378" t="inlineStr">
        <is>
          <t>31(5)-V08</t>
        </is>
      </c>
      <c r="B1378" t="inlineStr">
        <is>
          <t>31 (5).tif</t>
        </is>
      </c>
      <c r="C1378" t="n">
        <v>65</v>
      </c>
      <c r="D1378" t="n">
        <v>295</v>
      </c>
      <c r="E1378" t="inlineStr">
        <is>
          <t>31,258,100,333</t>
        </is>
      </c>
      <c r="F1378" t="n">
        <v>31</v>
      </c>
      <c r="G1378" t="inlineStr">
        <is>
          <t>primary</t>
        </is>
      </c>
      <c r="H1378" t="inlineStr">
        <is>
          <t>AUTO_VESSEL</t>
        </is>
      </c>
      <c r="I1378" t="inlineStr">
        <is>
          <t>是</t>
        </is>
      </c>
      <c r="J1378" t="inlineStr">
        <is>
          <t>纳入</t>
        </is>
      </c>
      <c r="K1378" t="n">
        <v>114.1540642722117</v>
      </c>
      <c r="L1378">
        <f>导管母表_1781!G1378</f>
        <v/>
      </c>
      <c r="M1378" t="inlineStr">
        <is>
          <t>视野内部</t>
        </is>
      </c>
      <c r="N1378" t="inlineStr">
        <is>
          <t>纳入A/D/Dh；若有Pair_ID则纳入CWR</t>
        </is>
      </c>
      <c r="O1378" t="inlineStr">
        <is>
          <t>自动管线检出的合格导管腔。</t>
        </is>
      </c>
      <c r="P1378" t="inlineStr">
        <is>
          <t>auto_pipeline;review_png_green</t>
        </is>
      </c>
      <c r="R1378" t="inlineStr">
        <is>
          <t>样品31</t>
        </is>
      </c>
    </row>
    <row r="1379">
      <c r="A1379" t="inlineStr">
        <is>
          <t>31(6)-V01</t>
        </is>
      </c>
      <c r="B1379" t="inlineStr">
        <is>
          <t>31 (6).tif</t>
        </is>
      </c>
      <c r="C1379" t="n">
        <v>435</v>
      </c>
      <c r="D1379" t="n">
        <v>340</v>
      </c>
      <c r="E1379" t="inlineStr">
        <is>
          <t>361,265,510,416</t>
        </is>
      </c>
      <c r="F1379" t="n">
        <v>265</v>
      </c>
      <c r="G1379" t="inlineStr">
        <is>
          <t>primary</t>
        </is>
      </c>
      <c r="H1379" t="inlineStr">
        <is>
          <t>AUTO_VESSEL</t>
        </is>
      </c>
      <c r="I1379" t="inlineStr">
        <is>
          <t>是</t>
        </is>
      </c>
      <c r="J1379" t="inlineStr">
        <is>
          <t>纳入</t>
        </is>
      </c>
      <c r="K1379" t="n">
        <v>801.0869565217391</v>
      </c>
      <c r="L1379">
        <f>导管母表_1781!G1379</f>
        <v/>
      </c>
      <c r="M1379" t="inlineStr">
        <is>
          <t>视野内部</t>
        </is>
      </c>
      <c r="N1379" t="inlineStr">
        <is>
          <t>纳入A/D/Dh；若有Pair_ID则纳入CWR</t>
        </is>
      </c>
      <c r="O1379" t="inlineStr">
        <is>
          <t>自动管线检出的合格导管腔。</t>
        </is>
      </c>
      <c r="P1379" t="inlineStr">
        <is>
          <t>auto_pipeline;review_png_green</t>
        </is>
      </c>
      <c r="Q1379" t="inlineStr">
        <is>
          <t>31(6)-P01</t>
        </is>
      </c>
      <c r="R1379" t="inlineStr">
        <is>
          <t>样品31</t>
        </is>
      </c>
    </row>
    <row r="1380">
      <c r="A1380" t="inlineStr">
        <is>
          <t>31(6)-V02</t>
        </is>
      </c>
      <c r="B1380" t="inlineStr">
        <is>
          <t>31 (6).tif</t>
        </is>
      </c>
      <c r="C1380" t="n">
        <v>554</v>
      </c>
      <c r="D1380" t="n">
        <v>411</v>
      </c>
      <c r="E1380" t="inlineStr">
        <is>
          <t>492,349,617,474</t>
        </is>
      </c>
      <c r="F1380" t="n">
        <v>294</v>
      </c>
      <c r="G1380" t="inlineStr">
        <is>
          <t>primary</t>
        </is>
      </c>
      <c r="H1380" t="inlineStr">
        <is>
          <t>AUTO_VESSEL</t>
        </is>
      </c>
      <c r="I1380" t="inlineStr">
        <is>
          <t>是</t>
        </is>
      </c>
      <c r="J1380" t="inlineStr">
        <is>
          <t>纳入</t>
        </is>
      </c>
      <c r="K1380" t="n">
        <v>562.5708884688091</v>
      </c>
      <c r="L1380">
        <f>导管母表_1781!G1380</f>
        <v/>
      </c>
      <c r="M1380" t="inlineStr">
        <is>
          <t>视野内部</t>
        </is>
      </c>
      <c r="N1380" t="inlineStr">
        <is>
          <t>纳入A/D/Dh；若有Pair_ID则纳入CWR</t>
        </is>
      </c>
      <c r="O1380" t="inlineStr">
        <is>
          <t>自动管线检出的合格导管腔。</t>
        </is>
      </c>
      <c r="P1380" t="inlineStr">
        <is>
          <t>auto_pipeline;review_png_green</t>
        </is>
      </c>
      <c r="Q1380" t="inlineStr">
        <is>
          <t>31(6)-P01</t>
        </is>
      </c>
      <c r="R1380" t="inlineStr">
        <is>
          <t>样品31</t>
        </is>
      </c>
    </row>
    <row r="1381">
      <c r="A1381" t="inlineStr">
        <is>
          <t>31(6)-V03</t>
        </is>
      </c>
      <c r="B1381" t="inlineStr">
        <is>
          <t>31 (6).tif</t>
        </is>
      </c>
      <c r="C1381" t="n">
        <v>833</v>
      </c>
      <c r="D1381" t="n">
        <v>66</v>
      </c>
      <c r="E1381" t="inlineStr">
        <is>
          <t>771,7,896,126</t>
        </is>
      </c>
      <c r="F1381" t="n">
        <v>7</v>
      </c>
      <c r="G1381" t="inlineStr">
        <is>
          <t>primary</t>
        </is>
      </c>
      <c r="H1381" t="inlineStr">
        <is>
          <t>AUTO_VESSEL</t>
        </is>
      </c>
      <c r="I1381" t="inlineStr">
        <is>
          <t>是</t>
        </is>
      </c>
      <c r="J1381" t="inlineStr">
        <is>
          <t>纳入</t>
        </is>
      </c>
      <c r="K1381" t="n">
        <v>528.6389413988658</v>
      </c>
      <c r="L1381">
        <f>导管母表_1781!G1381</f>
        <v/>
      </c>
      <c r="M1381" t="inlineStr">
        <is>
          <t>近边缘（&lt;25 px）</t>
        </is>
      </c>
      <c r="N1381" t="inlineStr">
        <is>
          <t>纳入A/D/Dh；若有Pair_ID则纳入CWR</t>
        </is>
      </c>
      <c r="O1381" t="inlineStr">
        <is>
          <t>自动管线检出的合格导管腔。</t>
        </is>
      </c>
      <c r="P1381" t="inlineStr">
        <is>
          <t>auto_pipeline;review_png_green</t>
        </is>
      </c>
      <c r="Q1381" t="inlineStr">
        <is>
          <t>31(6)-P02</t>
        </is>
      </c>
      <c r="R1381" t="inlineStr">
        <is>
          <t>样品31</t>
        </is>
      </c>
    </row>
    <row r="1382">
      <c r="A1382" t="inlineStr">
        <is>
          <t>31(6)-V04</t>
        </is>
      </c>
      <c r="B1382" t="inlineStr">
        <is>
          <t>31 (6).tif</t>
        </is>
      </c>
      <c r="C1382" t="n">
        <v>916</v>
      </c>
      <c r="D1382" t="n">
        <v>165</v>
      </c>
      <c r="E1382" t="inlineStr">
        <is>
          <t>840,130,993,201</t>
        </is>
      </c>
      <c r="F1382" t="n">
        <v>31</v>
      </c>
      <c r="G1382" t="inlineStr">
        <is>
          <t>primary</t>
        </is>
      </c>
      <c r="H1382" t="inlineStr">
        <is>
          <t>AUTO_VESSEL</t>
        </is>
      </c>
      <c r="I1382" t="inlineStr">
        <is>
          <t>是</t>
        </is>
      </c>
      <c r="J1382" t="inlineStr">
        <is>
          <t>纳入</t>
        </is>
      </c>
      <c r="K1382" t="n">
        <v>395.3686200378072</v>
      </c>
      <c r="L1382">
        <f>导管母表_1781!G1382</f>
        <v/>
      </c>
      <c r="M1382" t="inlineStr">
        <is>
          <t>视野内部</t>
        </is>
      </c>
      <c r="N1382" t="inlineStr">
        <is>
          <t>纳入A/D/Dh；若有Pair_ID则纳入CWR</t>
        </is>
      </c>
      <c r="O1382" t="inlineStr">
        <is>
          <t>自动管线检出的合格导管腔。</t>
        </is>
      </c>
      <c r="P1382" t="inlineStr">
        <is>
          <t>auto_pipeline;review_png_green</t>
        </is>
      </c>
      <c r="Q1382" t="inlineStr">
        <is>
          <t>31(6)-P02</t>
        </is>
      </c>
      <c r="R1382" t="inlineStr">
        <is>
          <t>样品31</t>
        </is>
      </c>
    </row>
    <row r="1383">
      <c r="A1383" t="inlineStr">
        <is>
          <t>31(6)-V05</t>
        </is>
      </c>
      <c r="B1383" t="inlineStr">
        <is>
          <t>31 (6).tif</t>
        </is>
      </c>
      <c r="C1383" t="n">
        <v>858</v>
      </c>
      <c r="D1383" t="n">
        <v>301</v>
      </c>
      <c r="E1383" t="inlineStr">
        <is>
          <t>819,277,898,326</t>
        </is>
      </c>
      <c r="F1383" t="n">
        <v>126</v>
      </c>
      <c r="G1383" t="inlineStr">
        <is>
          <t>primary</t>
        </is>
      </c>
      <c r="H1383" t="inlineStr">
        <is>
          <t>AUTO_VESSEL</t>
        </is>
      </c>
      <c r="I1383" t="inlineStr">
        <is>
          <t>是</t>
        </is>
      </c>
      <c r="J1383" t="inlineStr">
        <is>
          <t>纳入</t>
        </is>
      </c>
      <c r="K1383" t="n">
        <v>136.507561436673</v>
      </c>
      <c r="L1383">
        <f>导管母表_1781!G1383</f>
        <v/>
      </c>
      <c r="M1383" t="inlineStr">
        <is>
          <t>视野内部</t>
        </is>
      </c>
      <c r="N1383" t="inlineStr">
        <is>
          <t>纳入A/D/Dh；若有Pair_ID则纳入CWR</t>
        </is>
      </c>
      <c r="O1383" t="inlineStr">
        <is>
          <t>自动管线检出的合格导管腔。</t>
        </is>
      </c>
      <c r="P1383" t="inlineStr">
        <is>
          <t>auto_pipeline;review_png_green</t>
        </is>
      </c>
      <c r="R1383" t="inlineStr">
        <is>
          <t>样品31</t>
        </is>
      </c>
    </row>
    <row r="1384">
      <c r="A1384" t="inlineStr">
        <is>
          <t>31(6)-V06</t>
        </is>
      </c>
      <c r="B1384" t="inlineStr">
        <is>
          <t>31 (6).tif</t>
        </is>
      </c>
      <c r="C1384" t="n">
        <v>132</v>
      </c>
      <c r="D1384" t="n">
        <v>400</v>
      </c>
      <c r="E1384" t="inlineStr">
        <is>
          <t>86,365,179,436</t>
        </is>
      </c>
      <c r="F1384" t="n">
        <v>86</v>
      </c>
      <c r="G1384" t="inlineStr">
        <is>
          <t>primary</t>
        </is>
      </c>
      <c r="H1384" t="inlineStr">
        <is>
          <t>AUTO_VESSEL</t>
        </is>
      </c>
      <c r="I1384" t="inlineStr">
        <is>
          <t>是</t>
        </is>
      </c>
      <c r="J1384" t="inlineStr">
        <is>
          <t>纳入</t>
        </is>
      </c>
      <c r="K1384" t="n">
        <v>124.9054820415879</v>
      </c>
      <c r="L1384">
        <f>导管母表_1781!G1384</f>
        <v/>
      </c>
      <c r="M1384" t="inlineStr">
        <is>
          <t>视野内部</t>
        </is>
      </c>
      <c r="N1384" t="inlineStr">
        <is>
          <t>纳入A/D/Dh；若有Pair_ID则纳入CWR</t>
        </is>
      </c>
      <c r="O1384" t="inlineStr">
        <is>
          <t>自动管线检出的合格导管腔。</t>
        </is>
      </c>
      <c r="P1384" t="inlineStr">
        <is>
          <t>auto_pipeline;review_png_green</t>
        </is>
      </c>
      <c r="R1384" t="inlineStr">
        <is>
          <t>样品31</t>
        </is>
      </c>
    </row>
    <row r="1385">
      <c r="A1385" t="inlineStr">
        <is>
          <t>31(6)-V07</t>
        </is>
      </c>
      <c r="B1385" t="inlineStr">
        <is>
          <t>31 (6).tif</t>
        </is>
      </c>
      <c r="C1385" t="n">
        <v>895</v>
      </c>
      <c r="D1385" t="n">
        <v>627</v>
      </c>
      <c r="E1385" t="inlineStr">
        <is>
          <t>858,600,933,655</t>
        </is>
      </c>
      <c r="F1385" t="n">
        <v>91</v>
      </c>
      <c r="G1385" t="inlineStr">
        <is>
          <t>primary</t>
        </is>
      </c>
      <c r="H1385" t="inlineStr">
        <is>
          <t>AUTO_VESSEL</t>
        </is>
      </c>
      <c r="I1385" t="inlineStr">
        <is>
          <t>是</t>
        </is>
      </c>
      <c r="J1385" t="inlineStr">
        <is>
          <t>纳入</t>
        </is>
      </c>
      <c r="K1385" t="n">
        <v>121.9517958412098</v>
      </c>
      <c r="L1385">
        <f>导管母表_1781!G1385</f>
        <v/>
      </c>
      <c r="M1385" t="inlineStr">
        <is>
          <t>视野内部</t>
        </is>
      </c>
      <c r="N1385" t="inlineStr">
        <is>
          <t>纳入A/D/Dh；若有Pair_ID则纳入CWR</t>
        </is>
      </c>
      <c r="O1385" t="inlineStr">
        <is>
          <t>自动管线检出的合格导管腔。</t>
        </is>
      </c>
      <c r="P1385" t="inlineStr">
        <is>
          <t>auto_pipeline;review_png_green</t>
        </is>
      </c>
      <c r="R1385" t="inlineStr">
        <is>
          <t>样品31</t>
        </is>
      </c>
    </row>
    <row r="1386">
      <c r="A1386" t="inlineStr">
        <is>
          <t>31(6)-V08</t>
        </is>
      </c>
      <c r="B1386" t="inlineStr">
        <is>
          <t>31 (6).tif</t>
        </is>
      </c>
      <c r="C1386" t="n">
        <v>973</v>
      </c>
      <c r="D1386" t="n">
        <v>61</v>
      </c>
      <c r="E1386" t="inlineStr">
        <is>
          <t>940,34,1007,89</t>
        </is>
      </c>
      <c r="F1386" t="n">
        <v>17</v>
      </c>
      <c r="G1386" t="inlineStr">
        <is>
          <t>primary</t>
        </is>
      </c>
      <c r="H1386" t="inlineStr">
        <is>
          <t>AUTO_VESSEL</t>
        </is>
      </c>
      <c r="I1386" t="inlineStr">
        <is>
          <t>是</t>
        </is>
      </c>
      <c r="J1386" t="inlineStr">
        <is>
          <t>纳入</t>
        </is>
      </c>
      <c r="K1386" t="n">
        <v>112.547258979206</v>
      </c>
      <c r="L1386">
        <f>导管母表_1781!G1386</f>
        <v/>
      </c>
      <c r="M1386" t="inlineStr">
        <is>
          <t>近边缘（&lt;25 px）</t>
        </is>
      </c>
      <c r="N1386" t="inlineStr">
        <is>
          <t>纳入A/D/Dh；若有Pair_ID则纳入CWR</t>
        </is>
      </c>
      <c r="O1386" t="inlineStr">
        <is>
          <t>自动管线检出的合格导管腔。</t>
        </is>
      </c>
      <c r="P1386" t="inlineStr">
        <is>
          <t>auto_pipeline;review_png_green</t>
        </is>
      </c>
      <c r="R1386" t="inlineStr">
        <is>
          <t>样品31</t>
        </is>
      </c>
    </row>
    <row r="1387">
      <c r="A1387" t="inlineStr">
        <is>
          <t>31(7)-V01</t>
        </is>
      </c>
      <c r="B1387" t="inlineStr">
        <is>
          <t>31 (7).tif</t>
        </is>
      </c>
      <c r="C1387" t="n">
        <v>478</v>
      </c>
      <c r="D1387" t="n">
        <v>303</v>
      </c>
      <c r="E1387" t="inlineStr">
        <is>
          <t>400,227,557,380</t>
        </is>
      </c>
      <c r="F1387" t="n">
        <v>227</v>
      </c>
      <c r="G1387" t="inlineStr">
        <is>
          <t>primary</t>
        </is>
      </c>
      <c r="H1387" t="inlineStr">
        <is>
          <t>AUTO_VESSEL</t>
        </is>
      </c>
      <c r="I1387" t="inlineStr">
        <is>
          <t>是</t>
        </is>
      </c>
      <c r="J1387" t="inlineStr">
        <is>
          <t>纳入</t>
        </is>
      </c>
      <c r="K1387" t="n">
        <v>876.7013232514178</v>
      </c>
      <c r="L1387">
        <f>导管母表_1781!G1387</f>
        <v/>
      </c>
      <c r="M1387" t="inlineStr">
        <is>
          <t>视野内部</t>
        </is>
      </c>
      <c r="N1387" t="inlineStr">
        <is>
          <t>纳入A/D/Dh；若有Pair_ID则纳入CWR</t>
        </is>
      </c>
      <c r="O1387" t="inlineStr">
        <is>
          <t>自动管线检出的合格导管腔。</t>
        </is>
      </c>
      <c r="P1387" t="inlineStr">
        <is>
          <t>auto_pipeline;review_png_green</t>
        </is>
      </c>
      <c r="Q1387" t="inlineStr">
        <is>
          <t>31(7)-P01</t>
        </is>
      </c>
      <c r="R1387" t="inlineStr">
        <is>
          <t>样品31</t>
        </is>
      </c>
    </row>
    <row r="1388">
      <c r="A1388" t="inlineStr">
        <is>
          <t>31(7)-V02</t>
        </is>
      </c>
      <c r="B1388" t="inlineStr">
        <is>
          <t>31 (7).tif</t>
        </is>
      </c>
      <c r="C1388" t="n">
        <v>476</v>
      </c>
      <c r="D1388" t="n">
        <v>468</v>
      </c>
      <c r="E1388" t="inlineStr">
        <is>
          <t>418,404,535,533</t>
        </is>
      </c>
      <c r="F1388" t="n">
        <v>235</v>
      </c>
      <c r="G1388" t="inlineStr">
        <is>
          <t>primary</t>
        </is>
      </c>
      <c r="H1388" t="inlineStr">
        <is>
          <t>AUTO_VESSEL</t>
        </is>
      </c>
      <c r="I1388" t="inlineStr">
        <is>
          <t>是</t>
        </is>
      </c>
      <c r="J1388" t="inlineStr">
        <is>
          <t>纳入</t>
        </is>
      </c>
      <c r="K1388" t="n">
        <v>549.1020793950851</v>
      </c>
      <c r="L1388">
        <f>导管母表_1781!G1388</f>
        <v/>
      </c>
      <c r="M1388" t="inlineStr">
        <is>
          <t>视野内部</t>
        </is>
      </c>
      <c r="N1388" t="inlineStr">
        <is>
          <t>纳入A/D/Dh；若有Pair_ID则纳入CWR</t>
        </is>
      </c>
      <c r="O1388" t="inlineStr">
        <is>
          <t>自动管线检出的合格导管腔。</t>
        </is>
      </c>
      <c r="P1388" t="inlineStr">
        <is>
          <t>auto_pipeline;review_png_green</t>
        </is>
      </c>
      <c r="Q1388" t="inlineStr">
        <is>
          <t>31(7)-P01</t>
        </is>
      </c>
      <c r="R1388" t="inlineStr">
        <is>
          <t>样品31</t>
        </is>
      </c>
    </row>
    <row r="1389">
      <c r="A1389" t="inlineStr">
        <is>
          <t>31(7)-V03</t>
        </is>
      </c>
      <c r="B1389" t="inlineStr">
        <is>
          <t>31 (7).tif</t>
        </is>
      </c>
      <c r="C1389" t="n">
        <v>471</v>
      </c>
      <c r="D1389" t="n">
        <v>628</v>
      </c>
      <c r="E1389" t="inlineStr">
        <is>
          <t>427,608,516,649</t>
        </is>
      </c>
      <c r="F1389" t="n">
        <v>119</v>
      </c>
      <c r="G1389" t="inlineStr">
        <is>
          <t>primary</t>
        </is>
      </c>
      <c r="H1389" t="inlineStr">
        <is>
          <t>AUTO_VESSEL</t>
        </is>
      </c>
      <c r="I1389" t="inlineStr">
        <is>
          <t>是</t>
        </is>
      </c>
      <c r="J1389" t="inlineStr">
        <is>
          <t>纳入</t>
        </is>
      </c>
      <c r="K1389" t="n">
        <v>109.1682419659735</v>
      </c>
      <c r="L1389">
        <f>导管母表_1781!G1389</f>
        <v/>
      </c>
      <c r="M1389" t="inlineStr">
        <is>
          <t>视野内部</t>
        </is>
      </c>
      <c r="N1389" t="inlineStr">
        <is>
          <t>纳入A/D/Dh；若有Pair_ID则纳入CWR</t>
        </is>
      </c>
      <c r="O1389" t="inlineStr">
        <is>
          <t>自动管线检出的合格导管腔。</t>
        </is>
      </c>
      <c r="P1389" t="inlineStr">
        <is>
          <t>auto_pipeline;review_png_green</t>
        </is>
      </c>
      <c r="R1389" t="inlineStr">
        <is>
          <t>样品31</t>
        </is>
      </c>
    </row>
    <row r="1390">
      <c r="A1390" t="inlineStr">
        <is>
          <t>31(8)-V01</t>
        </is>
      </c>
      <c r="B1390" t="inlineStr">
        <is>
          <t>31 (8).tif</t>
        </is>
      </c>
      <c r="C1390" t="n">
        <v>437</v>
      </c>
      <c r="D1390" t="n">
        <v>503</v>
      </c>
      <c r="E1390" t="inlineStr">
        <is>
          <t>348,427,527,580</t>
        </is>
      </c>
      <c r="F1390" t="n">
        <v>188</v>
      </c>
      <c r="G1390" t="inlineStr">
        <is>
          <t>primary</t>
        </is>
      </c>
      <c r="H1390" t="inlineStr">
        <is>
          <t>AUTO_VESSEL</t>
        </is>
      </c>
      <c r="I1390" t="inlineStr">
        <is>
          <t>是</t>
        </is>
      </c>
      <c r="J1390" t="inlineStr">
        <is>
          <t>纳入</t>
        </is>
      </c>
      <c r="K1390" t="n">
        <v>980.3402646502835</v>
      </c>
      <c r="L1390">
        <f>导管母表_1781!G1390</f>
        <v/>
      </c>
      <c r="M1390" t="inlineStr">
        <is>
          <t>视野内部</t>
        </is>
      </c>
      <c r="N1390" t="inlineStr">
        <is>
          <t>纳入A/D/Dh；若有Pair_ID则纳入CWR</t>
        </is>
      </c>
      <c r="O1390" t="inlineStr">
        <is>
          <t>自动管线检出的合格导管腔。</t>
        </is>
      </c>
      <c r="P1390" t="inlineStr">
        <is>
          <t>auto_pipeline;review_png_green</t>
        </is>
      </c>
      <c r="Q1390" t="inlineStr">
        <is>
          <t>31(8)-P01</t>
        </is>
      </c>
      <c r="R1390" t="inlineStr">
        <is>
          <t>样品31</t>
        </is>
      </c>
    </row>
    <row r="1391">
      <c r="A1391" t="inlineStr">
        <is>
          <t>31(8)-V02</t>
        </is>
      </c>
      <c r="B1391" t="inlineStr">
        <is>
          <t>31 (8).tif</t>
        </is>
      </c>
      <c r="C1391" t="n">
        <v>770</v>
      </c>
      <c r="D1391" t="n">
        <v>129</v>
      </c>
      <c r="E1391" t="inlineStr">
        <is>
          <t>706,51,835,208</t>
        </is>
      </c>
      <c r="F1391" t="n">
        <v>51</v>
      </c>
      <c r="G1391" t="inlineStr">
        <is>
          <t>primary</t>
        </is>
      </c>
      <c r="H1391" t="inlineStr">
        <is>
          <t>AUTO_VESSEL</t>
        </is>
      </c>
      <c r="I1391" t="inlineStr">
        <is>
          <t>是</t>
        </is>
      </c>
      <c r="J1391" t="inlineStr">
        <is>
          <t>纳入</t>
        </is>
      </c>
      <c r="K1391" t="n">
        <v>714.5557655954632</v>
      </c>
      <c r="L1391">
        <f>导管母表_1781!G1391</f>
        <v/>
      </c>
      <c r="M1391" t="inlineStr">
        <is>
          <t>视野内部</t>
        </is>
      </c>
      <c r="N1391" t="inlineStr">
        <is>
          <t>纳入A/D/Dh；若有Pair_ID则纳入CWR</t>
        </is>
      </c>
      <c r="O1391" t="inlineStr">
        <is>
          <t>自动管线检出的合格导管腔。</t>
        </is>
      </c>
      <c r="P1391" t="inlineStr">
        <is>
          <t>auto_pipeline;review_png_green</t>
        </is>
      </c>
      <c r="R1391" t="inlineStr">
        <is>
          <t>样品31</t>
        </is>
      </c>
    </row>
    <row r="1392">
      <c r="A1392" t="inlineStr">
        <is>
          <t>31(8)-V03</t>
        </is>
      </c>
      <c r="B1392" t="inlineStr">
        <is>
          <t>31 (8).tif</t>
        </is>
      </c>
      <c r="C1392" t="n">
        <v>531</v>
      </c>
      <c r="D1392" t="n">
        <v>376</v>
      </c>
      <c r="E1392" t="inlineStr">
        <is>
          <t>457,325,606,428</t>
        </is>
      </c>
      <c r="F1392" t="n">
        <v>325</v>
      </c>
      <c r="G1392" t="inlineStr">
        <is>
          <t>primary</t>
        </is>
      </c>
      <c r="H1392" t="inlineStr">
        <is>
          <t>AUTO_VESSEL</t>
        </is>
      </c>
      <c r="I1392" t="inlineStr">
        <is>
          <t>是</t>
        </is>
      </c>
      <c r="J1392" t="inlineStr">
        <is>
          <t>纳入</t>
        </is>
      </c>
      <c r="K1392" t="n">
        <v>525.945179584121</v>
      </c>
      <c r="L1392">
        <f>导管母表_1781!G1392</f>
        <v/>
      </c>
      <c r="M1392" t="inlineStr">
        <is>
          <t>视野内部</t>
        </is>
      </c>
      <c r="N1392" t="inlineStr">
        <is>
          <t>纳入A/D/Dh；若有Pair_ID则纳入CWR</t>
        </is>
      </c>
      <c r="O1392" t="inlineStr">
        <is>
          <t>自动管线检出的合格导管腔。</t>
        </is>
      </c>
      <c r="P1392" t="inlineStr">
        <is>
          <t>auto_pipeline;review_png_green</t>
        </is>
      </c>
      <c r="Q1392" t="inlineStr">
        <is>
          <t>31(8)-P01</t>
        </is>
      </c>
      <c r="R1392" t="inlineStr">
        <is>
          <t>样品31</t>
        </is>
      </c>
    </row>
    <row r="1393">
      <c r="A1393" t="inlineStr">
        <is>
          <t>31(8)-V04</t>
        </is>
      </c>
      <c r="B1393" t="inlineStr">
        <is>
          <t>31 (8).tif</t>
        </is>
      </c>
      <c r="C1393" t="n">
        <v>621</v>
      </c>
      <c r="D1393" t="n">
        <v>261</v>
      </c>
      <c r="E1393" t="inlineStr">
        <is>
          <t>568,212,675,311</t>
        </is>
      </c>
      <c r="F1393" t="n">
        <v>212</v>
      </c>
      <c r="G1393" t="inlineStr">
        <is>
          <t>primary</t>
        </is>
      </c>
      <c r="H1393" t="inlineStr">
        <is>
          <t>AUTO_VESSEL</t>
        </is>
      </c>
      <c r="I1393" t="inlineStr">
        <is>
          <t>是</t>
        </is>
      </c>
      <c r="J1393" t="inlineStr">
        <is>
          <t>纳入</t>
        </is>
      </c>
      <c r="K1393" t="n">
        <v>373.8657844990548</v>
      </c>
      <c r="L1393">
        <f>导管母表_1781!G1393</f>
        <v/>
      </c>
      <c r="M1393" t="inlineStr">
        <is>
          <t>视野内部</t>
        </is>
      </c>
      <c r="N1393" t="inlineStr">
        <is>
          <t>纳入A/D/Dh；若有Pair_ID则纳入CWR</t>
        </is>
      </c>
      <c r="O1393" t="inlineStr">
        <is>
          <t>自动管线检出的合格导管腔。</t>
        </is>
      </c>
      <c r="P1393" t="inlineStr">
        <is>
          <t>auto_pipeline;review_png_green</t>
        </is>
      </c>
      <c r="R1393" t="inlineStr">
        <is>
          <t>样品31</t>
        </is>
      </c>
    </row>
    <row r="1394">
      <c r="A1394" t="inlineStr">
        <is>
          <t>31(8)-V05</t>
        </is>
      </c>
      <c r="B1394" t="inlineStr">
        <is>
          <t>31 (8).tif</t>
        </is>
      </c>
      <c r="C1394" t="n">
        <v>639</v>
      </c>
      <c r="D1394" t="n">
        <v>113</v>
      </c>
      <c r="E1394" t="inlineStr">
        <is>
          <t>598,67,681,160</t>
        </is>
      </c>
      <c r="F1394" t="n">
        <v>67</v>
      </c>
      <c r="G1394" t="inlineStr">
        <is>
          <t>primary</t>
        </is>
      </c>
      <c r="H1394" t="inlineStr">
        <is>
          <t>AUTO_VESSEL</t>
        </is>
      </c>
      <c r="I1394" t="inlineStr">
        <is>
          <t>是</t>
        </is>
      </c>
      <c r="J1394" t="inlineStr">
        <is>
          <t>纳入</t>
        </is>
      </c>
      <c r="K1394" t="n">
        <v>195.0378071833648</v>
      </c>
      <c r="L1394">
        <f>导管母表_1781!G1394</f>
        <v/>
      </c>
      <c r="M1394" t="inlineStr">
        <is>
          <t>视野内部</t>
        </is>
      </c>
      <c r="N1394" t="inlineStr">
        <is>
          <t>纳入A/D/Dh；若有Pair_ID则纳入CWR</t>
        </is>
      </c>
      <c r="O1394" t="inlineStr">
        <is>
          <t>自动管线检出的合格导管腔。</t>
        </is>
      </c>
      <c r="P1394" t="inlineStr">
        <is>
          <t>auto_pipeline;review_png_green</t>
        </is>
      </c>
      <c r="R1394" t="inlineStr">
        <is>
          <t>样品31</t>
        </is>
      </c>
    </row>
    <row r="1395">
      <c r="A1395" t="inlineStr">
        <is>
          <t>32(1)-V01</t>
        </is>
      </c>
      <c r="B1395" t="inlineStr">
        <is>
          <t>32 (1).tif</t>
        </is>
      </c>
      <c r="C1395" t="n">
        <v>436</v>
      </c>
      <c r="D1395" t="n">
        <v>348</v>
      </c>
      <c r="E1395" t="inlineStr">
        <is>
          <t>364,283,509,414</t>
        </is>
      </c>
      <c r="F1395" t="n">
        <v>283</v>
      </c>
      <c r="G1395" t="inlineStr">
        <is>
          <t>primary</t>
        </is>
      </c>
      <c r="H1395" t="inlineStr">
        <is>
          <t>AUTO_VESSEL</t>
        </is>
      </c>
      <c r="I1395" t="inlineStr">
        <is>
          <t>是</t>
        </is>
      </c>
      <c r="J1395" t="inlineStr">
        <is>
          <t>纳入</t>
        </is>
      </c>
      <c r="K1395" t="n">
        <v>695.0378071833649</v>
      </c>
      <c r="L1395">
        <f>导管母表_1781!G1395</f>
        <v/>
      </c>
      <c r="M1395" t="inlineStr">
        <is>
          <t>视野内部</t>
        </is>
      </c>
      <c r="N1395" t="inlineStr">
        <is>
          <t>纳入A/D/Dh；若有Pair_ID则纳入CWR</t>
        </is>
      </c>
      <c r="O1395" t="inlineStr">
        <is>
          <t>自动管线检出的合格导管腔。</t>
        </is>
      </c>
      <c r="P1395" t="inlineStr">
        <is>
          <t>auto_pipeline;review_png_green</t>
        </is>
      </c>
      <c r="Q1395" t="inlineStr">
        <is>
          <t>32(1)-P01</t>
        </is>
      </c>
      <c r="R1395" t="inlineStr">
        <is>
          <t>样品32</t>
        </is>
      </c>
    </row>
    <row r="1396">
      <c r="A1396" t="inlineStr">
        <is>
          <t>32(1)-V02</t>
        </is>
      </c>
      <c r="B1396" t="inlineStr">
        <is>
          <t>32 (1).tif</t>
        </is>
      </c>
      <c r="C1396" t="n">
        <v>573</v>
      </c>
      <c r="D1396" t="n">
        <v>382</v>
      </c>
      <c r="E1396" t="inlineStr">
        <is>
          <t>522,332,625,433</t>
        </is>
      </c>
      <c r="F1396" t="n">
        <v>332</v>
      </c>
      <c r="G1396" t="inlineStr">
        <is>
          <t>primary</t>
        </is>
      </c>
      <c r="H1396" t="inlineStr">
        <is>
          <t>AUTO_VESSEL</t>
        </is>
      </c>
      <c r="I1396" t="inlineStr">
        <is>
          <t>是</t>
        </is>
      </c>
      <c r="J1396" t="inlineStr">
        <is>
          <t>纳入</t>
        </is>
      </c>
      <c r="K1396" t="n">
        <v>377.930056710775</v>
      </c>
      <c r="L1396">
        <f>导管母表_1781!G1396</f>
        <v/>
      </c>
      <c r="M1396" t="inlineStr">
        <is>
          <t>视野内部</t>
        </is>
      </c>
      <c r="N1396" t="inlineStr">
        <is>
          <t>纳入A/D/Dh；若有Pair_ID则纳入CWR</t>
        </is>
      </c>
      <c r="O1396" t="inlineStr">
        <is>
          <t>自动管线检出的合格导管腔。</t>
        </is>
      </c>
      <c r="P1396" t="inlineStr">
        <is>
          <t>auto_pipeline;review_png_green</t>
        </is>
      </c>
      <c r="Q1396" t="inlineStr">
        <is>
          <t>32(1)-P01</t>
        </is>
      </c>
      <c r="R1396" t="inlineStr">
        <is>
          <t>样品32</t>
        </is>
      </c>
    </row>
    <row r="1397">
      <c r="A1397" t="inlineStr">
        <is>
          <t>32(2)-V01</t>
        </is>
      </c>
      <c r="B1397" t="inlineStr">
        <is>
          <t>32 (2).tif</t>
        </is>
      </c>
      <c r="C1397" t="n">
        <v>475</v>
      </c>
      <c r="D1397" t="n">
        <v>428</v>
      </c>
      <c r="E1397" t="inlineStr">
        <is>
          <t>412,362,539,495</t>
        </is>
      </c>
      <c r="F1397" t="n">
        <v>273</v>
      </c>
      <c r="G1397" t="inlineStr">
        <is>
          <t>primary</t>
        </is>
      </c>
      <c r="H1397" t="inlineStr">
        <is>
          <t>AUTO_VESSEL</t>
        </is>
      </c>
      <c r="I1397" t="inlineStr">
        <is>
          <t>是</t>
        </is>
      </c>
      <c r="J1397" t="inlineStr">
        <is>
          <t>纳入</t>
        </is>
      </c>
      <c r="K1397" t="n">
        <v>616.6824196597354</v>
      </c>
      <c r="L1397">
        <f>导管母表_1781!G1397</f>
        <v/>
      </c>
      <c r="M1397" t="inlineStr">
        <is>
          <t>视野内部</t>
        </is>
      </c>
      <c r="N1397" t="inlineStr">
        <is>
          <t>纳入A/D/Dh；若有Pair_ID则纳入CWR</t>
        </is>
      </c>
      <c r="O1397" t="inlineStr">
        <is>
          <t>自动管线检出的合格导管腔。</t>
        </is>
      </c>
      <c r="P1397" t="inlineStr">
        <is>
          <t>auto_pipeline;review_png_green</t>
        </is>
      </c>
      <c r="Q1397" t="inlineStr">
        <is>
          <t>32(2)-P01</t>
        </is>
      </c>
      <c r="R1397" t="inlineStr">
        <is>
          <t>样品32</t>
        </is>
      </c>
    </row>
    <row r="1398">
      <c r="A1398" t="inlineStr">
        <is>
          <t>32(2)-V02</t>
        </is>
      </c>
      <c r="B1398" t="inlineStr">
        <is>
          <t>32 (2).tif</t>
        </is>
      </c>
      <c r="C1398" t="n">
        <v>582</v>
      </c>
      <c r="D1398" t="n">
        <v>349</v>
      </c>
      <c r="E1398" t="inlineStr">
        <is>
          <t>522,283,643,416</t>
        </is>
      </c>
      <c r="F1398" t="n">
        <v>283</v>
      </c>
      <c r="G1398" t="inlineStr">
        <is>
          <t>primary</t>
        </is>
      </c>
      <c r="H1398" t="inlineStr">
        <is>
          <t>AUTO_VESSEL</t>
        </is>
      </c>
      <c r="I1398" t="inlineStr">
        <is>
          <t>是</t>
        </is>
      </c>
      <c r="J1398" t="inlineStr">
        <is>
          <t>纳入</t>
        </is>
      </c>
      <c r="K1398" t="n">
        <v>586.3894139886578</v>
      </c>
      <c r="L1398">
        <f>导管母表_1781!G1398</f>
        <v/>
      </c>
      <c r="M1398" t="inlineStr">
        <is>
          <t>视野内部</t>
        </is>
      </c>
      <c r="N1398" t="inlineStr">
        <is>
          <t>纳入A/D/Dh；若有Pair_ID则纳入CWR</t>
        </is>
      </c>
      <c r="O1398" t="inlineStr">
        <is>
          <t>自动管线检出的合格导管腔。</t>
        </is>
      </c>
      <c r="P1398" t="inlineStr">
        <is>
          <t>auto_pipeline;review_png_green</t>
        </is>
      </c>
      <c r="Q1398" t="inlineStr">
        <is>
          <t>32(2)-P01</t>
        </is>
      </c>
      <c r="R1398" t="inlineStr">
        <is>
          <t>样品32</t>
        </is>
      </c>
    </row>
    <row r="1399">
      <c r="A1399" t="inlineStr">
        <is>
          <t>32(2)-V03</t>
        </is>
      </c>
      <c r="B1399" t="inlineStr">
        <is>
          <t>32 (2).tif</t>
        </is>
      </c>
      <c r="C1399" t="n">
        <v>327</v>
      </c>
      <c r="D1399" t="n">
        <v>68</v>
      </c>
      <c r="E1399" t="inlineStr">
        <is>
          <t>264,19,391,118</t>
        </is>
      </c>
      <c r="F1399" t="n">
        <v>19</v>
      </c>
      <c r="G1399" t="inlineStr">
        <is>
          <t>primary</t>
        </is>
      </c>
      <c r="H1399" t="inlineStr">
        <is>
          <t>AUTO_VESSEL</t>
        </is>
      </c>
      <c r="I1399" t="inlineStr">
        <is>
          <t>是</t>
        </is>
      </c>
      <c r="J1399" t="inlineStr">
        <is>
          <t>纳入</t>
        </is>
      </c>
      <c r="K1399" t="n">
        <v>440.0519848771266</v>
      </c>
      <c r="L1399">
        <f>导管母表_1781!G1399</f>
        <v/>
      </c>
      <c r="M1399" t="inlineStr">
        <is>
          <t>近边缘（&lt;25 px）</t>
        </is>
      </c>
      <c r="N1399" t="inlineStr">
        <is>
          <t>纳入A/D/Dh；若有Pair_ID则纳入CWR</t>
        </is>
      </c>
      <c r="O1399" t="inlineStr">
        <is>
          <t>自动管线检出的合格导管腔。</t>
        </is>
      </c>
      <c r="P1399" t="inlineStr">
        <is>
          <t>auto_pipeline;review_png_green</t>
        </is>
      </c>
      <c r="R1399" t="inlineStr">
        <is>
          <t>样品32</t>
        </is>
      </c>
    </row>
    <row r="1400">
      <c r="A1400" t="inlineStr">
        <is>
          <t>32(2)-V04</t>
        </is>
      </c>
      <c r="B1400" t="inlineStr">
        <is>
          <t>32 (2).tif</t>
        </is>
      </c>
      <c r="C1400" t="n">
        <v>168</v>
      </c>
      <c r="D1400" t="n">
        <v>407</v>
      </c>
      <c r="E1400" t="inlineStr">
        <is>
          <t>121,368,216,447</t>
        </is>
      </c>
      <c r="F1400" t="n">
        <v>121</v>
      </c>
      <c r="G1400" t="inlineStr">
        <is>
          <t>primary</t>
        </is>
      </c>
      <c r="H1400" t="inlineStr">
        <is>
          <t>AUTO_VESSEL</t>
        </is>
      </c>
      <c r="I1400" t="inlineStr">
        <is>
          <t>是</t>
        </is>
      </c>
      <c r="J1400" t="inlineStr">
        <is>
          <t>纳入</t>
        </is>
      </c>
      <c r="K1400" t="n">
        <v>164.0831758034026</v>
      </c>
      <c r="L1400">
        <f>导管母表_1781!G1400</f>
        <v/>
      </c>
      <c r="M1400" t="inlineStr">
        <is>
          <t>视野内部</t>
        </is>
      </c>
      <c r="N1400" t="inlineStr">
        <is>
          <t>纳入A/D/Dh；若有Pair_ID则纳入CWR</t>
        </is>
      </c>
      <c r="O1400" t="inlineStr">
        <is>
          <t>自动管线检出的合格导管腔。</t>
        </is>
      </c>
      <c r="P1400" t="inlineStr">
        <is>
          <t>auto_pipeline;review_png_green</t>
        </is>
      </c>
      <c r="R1400" t="inlineStr">
        <is>
          <t>样品32</t>
        </is>
      </c>
    </row>
    <row r="1401">
      <c r="A1401" t="inlineStr">
        <is>
          <t>32(2)-V05</t>
        </is>
      </c>
      <c r="B1401" t="inlineStr">
        <is>
          <t>32 (2).tif</t>
        </is>
      </c>
      <c r="C1401" t="n">
        <v>917</v>
      </c>
      <c r="D1401" t="n">
        <v>258</v>
      </c>
      <c r="E1401" t="inlineStr">
        <is>
          <t>877,233,958,284</t>
        </is>
      </c>
      <c r="F1401" t="n">
        <v>66</v>
      </c>
      <c r="G1401" t="inlineStr">
        <is>
          <t>primary</t>
        </is>
      </c>
      <c r="H1401" t="inlineStr">
        <is>
          <t>AUTO_VESSEL</t>
        </is>
      </c>
      <c r="I1401" t="inlineStr">
        <is>
          <t>是</t>
        </is>
      </c>
      <c r="J1401" t="inlineStr">
        <is>
          <t>纳入</t>
        </is>
      </c>
      <c r="K1401" t="n">
        <v>148.5822306238185</v>
      </c>
      <c r="L1401">
        <f>导管母表_1781!G1401</f>
        <v/>
      </c>
      <c r="M1401" t="inlineStr">
        <is>
          <t>视野内部</t>
        </is>
      </c>
      <c r="N1401" t="inlineStr">
        <is>
          <t>纳入A/D/Dh；若有Pair_ID则纳入CWR</t>
        </is>
      </c>
      <c r="O1401" t="inlineStr">
        <is>
          <t>自动管线检出的合格导管腔。</t>
        </is>
      </c>
      <c r="P1401" t="inlineStr">
        <is>
          <t>auto_pipeline;review_png_green</t>
        </is>
      </c>
      <c r="R1401" t="inlineStr">
        <is>
          <t>样品32</t>
        </is>
      </c>
    </row>
    <row r="1402">
      <c r="A1402" t="inlineStr">
        <is>
          <t>32(2)-V06</t>
        </is>
      </c>
      <c r="B1402" t="inlineStr">
        <is>
          <t>32 (2).tif</t>
        </is>
      </c>
      <c r="C1402" t="n">
        <v>243</v>
      </c>
      <c r="D1402" t="n">
        <v>127</v>
      </c>
      <c r="E1402" t="inlineStr">
        <is>
          <t>218,96,269,159</t>
        </is>
      </c>
      <c r="F1402" t="n">
        <v>96</v>
      </c>
      <c r="G1402" t="inlineStr">
        <is>
          <t>primary</t>
        </is>
      </c>
      <c r="H1402" t="inlineStr">
        <is>
          <t>AUTO_VESSEL</t>
        </is>
      </c>
      <c r="I1402" t="inlineStr">
        <is>
          <t>是</t>
        </is>
      </c>
      <c r="J1402" t="inlineStr">
        <is>
          <t>纳入</t>
        </is>
      </c>
      <c r="K1402" t="n">
        <v>109.6880907372401</v>
      </c>
      <c r="L1402">
        <f>导管母表_1781!G1402</f>
        <v/>
      </c>
      <c r="M1402" t="inlineStr">
        <is>
          <t>视野内部</t>
        </is>
      </c>
      <c r="N1402" t="inlineStr">
        <is>
          <t>纳入A/D/Dh；若有Pair_ID则纳入CWR</t>
        </is>
      </c>
      <c r="O1402" t="inlineStr">
        <is>
          <t>自动管线检出的合格导管腔。</t>
        </is>
      </c>
      <c r="P1402" t="inlineStr">
        <is>
          <t>auto_pipeline;review_png_green</t>
        </is>
      </c>
      <c r="R1402" t="inlineStr">
        <is>
          <t>样品32</t>
        </is>
      </c>
    </row>
    <row r="1403">
      <c r="A1403" t="inlineStr">
        <is>
          <t>32(3)-V01</t>
        </is>
      </c>
      <c r="B1403" t="inlineStr">
        <is>
          <t>32 (3).tif</t>
        </is>
      </c>
      <c r="C1403" t="n">
        <v>521</v>
      </c>
      <c r="D1403" t="n">
        <v>325</v>
      </c>
      <c r="E1403" t="inlineStr">
        <is>
          <t>450,252,593,399</t>
        </is>
      </c>
      <c r="F1403" t="n">
        <v>252</v>
      </c>
      <c r="G1403" t="inlineStr">
        <is>
          <t>primary</t>
        </is>
      </c>
      <c r="H1403" t="inlineStr">
        <is>
          <t>AUTO_VESSEL</t>
        </is>
      </c>
      <c r="I1403" t="inlineStr">
        <is>
          <t>是</t>
        </is>
      </c>
      <c r="J1403" t="inlineStr">
        <is>
          <t>纳入</t>
        </is>
      </c>
      <c r="K1403" t="n">
        <v>768.3364839319471</v>
      </c>
      <c r="L1403">
        <f>导管母表_1781!G1403</f>
        <v/>
      </c>
      <c r="M1403" t="inlineStr">
        <is>
          <t>视野内部</t>
        </is>
      </c>
      <c r="N1403" t="inlineStr">
        <is>
          <t>纳入A/D/Dh；若有Pair_ID则纳入CWR</t>
        </is>
      </c>
      <c r="O1403" t="inlineStr">
        <is>
          <t>自动管线检出的合格导管腔。</t>
        </is>
      </c>
      <c r="P1403" t="inlineStr">
        <is>
          <t>auto_pipeline;review_png_green</t>
        </is>
      </c>
      <c r="Q1403" t="inlineStr">
        <is>
          <t>32(3)-P01</t>
        </is>
      </c>
      <c r="R1403" t="inlineStr">
        <is>
          <t>样品32</t>
        </is>
      </c>
    </row>
    <row r="1404">
      <c r="A1404" t="inlineStr">
        <is>
          <t>32(3)-V02</t>
        </is>
      </c>
      <c r="B1404" t="inlineStr">
        <is>
          <t>32 (3).tif</t>
        </is>
      </c>
      <c r="C1404" t="n">
        <v>397</v>
      </c>
      <c r="D1404" t="n">
        <v>406</v>
      </c>
      <c r="E1404" t="inlineStr">
        <is>
          <t>326,343,469,470</t>
        </is>
      </c>
      <c r="F1404" t="n">
        <v>298</v>
      </c>
      <c r="G1404" t="inlineStr">
        <is>
          <t>primary</t>
        </is>
      </c>
      <c r="H1404" t="inlineStr">
        <is>
          <t>AUTO_VESSEL</t>
        </is>
      </c>
      <c r="I1404" t="inlineStr">
        <is>
          <t>是</t>
        </is>
      </c>
      <c r="J1404" t="inlineStr">
        <is>
          <t>纳入</t>
        </is>
      </c>
      <c r="K1404" t="n">
        <v>661.3894139886578</v>
      </c>
      <c r="L1404">
        <f>导管母表_1781!G1404</f>
        <v/>
      </c>
      <c r="M1404" t="inlineStr">
        <is>
          <t>视野内部</t>
        </is>
      </c>
      <c r="N1404" t="inlineStr">
        <is>
          <t>纳入A/D/Dh；若有Pair_ID则纳入CWR</t>
        </is>
      </c>
      <c r="O1404" t="inlineStr">
        <is>
          <t>自动管线检出的合格导管腔。</t>
        </is>
      </c>
      <c r="P1404" t="inlineStr">
        <is>
          <t>auto_pipeline;review_png_green</t>
        </is>
      </c>
      <c r="Q1404" t="inlineStr">
        <is>
          <t>32(3)-P01</t>
        </is>
      </c>
      <c r="R1404" t="inlineStr">
        <is>
          <t>样品32</t>
        </is>
      </c>
    </row>
    <row r="1405">
      <c r="A1405" t="inlineStr">
        <is>
          <t>32(3)-V03</t>
        </is>
      </c>
      <c r="B1405" t="inlineStr">
        <is>
          <t>32 (3).tif</t>
        </is>
      </c>
      <c r="C1405" t="n">
        <v>821</v>
      </c>
      <c r="D1405" t="n">
        <v>76</v>
      </c>
      <c r="E1405" t="inlineStr">
        <is>
          <t>760,26,883,127</t>
        </is>
      </c>
      <c r="F1405" t="n">
        <v>26</v>
      </c>
      <c r="G1405" t="inlineStr">
        <is>
          <t>primary</t>
        </is>
      </c>
      <c r="H1405" t="inlineStr">
        <is>
          <t>AUTO_VESSEL</t>
        </is>
      </c>
      <c r="I1405" t="inlineStr">
        <is>
          <t>是</t>
        </is>
      </c>
      <c r="J1405" t="inlineStr">
        <is>
          <t>纳入</t>
        </is>
      </c>
      <c r="K1405" t="n">
        <v>434.0737240075615</v>
      </c>
      <c r="L1405">
        <f>导管母表_1781!G1405</f>
        <v/>
      </c>
      <c r="M1405" t="inlineStr">
        <is>
          <t>视野内部</t>
        </is>
      </c>
      <c r="N1405" t="inlineStr">
        <is>
          <t>纳入A/D/Dh；若有Pair_ID则纳入CWR</t>
        </is>
      </c>
      <c r="O1405" t="inlineStr">
        <is>
          <t>自动管线检出的合格导管腔。</t>
        </is>
      </c>
      <c r="P1405" t="inlineStr">
        <is>
          <t>auto_pipeline;review_png_green</t>
        </is>
      </c>
      <c r="R1405" t="inlineStr">
        <is>
          <t>样品32</t>
        </is>
      </c>
    </row>
    <row r="1406">
      <c r="A1406" t="inlineStr">
        <is>
          <t>32(3)-V04</t>
        </is>
      </c>
      <c r="B1406" t="inlineStr">
        <is>
          <t>32 (3).tif</t>
        </is>
      </c>
      <c r="C1406" t="n">
        <v>661</v>
      </c>
      <c r="D1406" t="n">
        <v>416</v>
      </c>
      <c r="E1406" t="inlineStr">
        <is>
          <t>612,376,711,457</t>
        </is>
      </c>
      <c r="F1406" t="n">
        <v>311</v>
      </c>
      <c r="G1406" t="inlineStr">
        <is>
          <t>primary</t>
        </is>
      </c>
      <c r="H1406" t="inlineStr">
        <is>
          <t>AUTO_VESSEL</t>
        </is>
      </c>
      <c r="I1406" t="inlineStr">
        <is>
          <t>是</t>
        </is>
      </c>
      <c r="J1406" t="inlineStr">
        <is>
          <t>纳入</t>
        </is>
      </c>
      <c r="K1406" t="n">
        <v>160.3969754253308</v>
      </c>
      <c r="L1406">
        <f>导管母表_1781!G1406</f>
        <v/>
      </c>
      <c r="M1406" t="inlineStr">
        <is>
          <t>视野内部</t>
        </is>
      </c>
      <c r="N1406" t="inlineStr">
        <is>
          <t>纳入A/D/Dh；若有Pair_ID则纳入CWR</t>
        </is>
      </c>
      <c r="O1406" t="inlineStr">
        <is>
          <t>自动管线检出的合格导管腔。</t>
        </is>
      </c>
      <c r="P1406" t="inlineStr">
        <is>
          <t>auto_pipeline;review_png_green</t>
        </is>
      </c>
      <c r="R1406" t="inlineStr">
        <is>
          <t>样品32</t>
        </is>
      </c>
    </row>
    <row r="1407">
      <c r="A1407" t="inlineStr">
        <is>
          <t>32(3)-V05</t>
        </is>
      </c>
      <c r="B1407" t="inlineStr">
        <is>
          <t>32 (3).tif</t>
        </is>
      </c>
      <c r="C1407" t="n">
        <v>176</v>
      </c>
      <c r="D1407" t="n">
        <v>79</v>
      </c>
      <c r="E1407" t="inlineStr">
        <is>
          <t>130,62,223,97</t>
        </is>
      </c>
      <c r="F1407" t="n">
        <v>62</v>
      </c>
      <c r="G1407" t="inlineStr">
        <is>
          <t>primary</t>
        </is>
      </c>
      <c r="H1407" t="inlineStr">
        <is>
          <t>AUTO_VESSEL</t>
        </is>
      </c>
      <c r="I1407" t="inlineStr">
        <is>
          <t>是</t>
        </is>
      </c>
      <c r="J1407" t="inlineStr">
        <is>
          <t>纳入</t>
        </is>
      </c>
      <c r="K1407" t="n">
        <v>109.4045368620038</v>
      </c>
      <c r="L1407">
        <f>导管母表_1781!G1407</f>
        <v/>
      </c>
      <c r="M1407" t="inlineStr">
        <is>
          <t>视野内部</t>
        </is>
      </c>
      <c r="N1407" t="inlineStr">
        <is>
          <t>纳入A/D/Dh；若有Pair_ID则纳入CWR</t>
        </is>
      </c>
      <c r="O1407" t="inlineStr">
        <is>
          <t>自动管线检出的合格导管腔。</t>
        </is>
      </c>
      <c r="P1407" t="inlineStr">
        <is>
          <t>auto_pipeline;review_png_green</t>
        </is>
      </c>
      <c r="R1407" t="inlineStr">
        <is>
          <t>样品32</t>
        </is>
      </c>
    </row>
    <row r="1408">
      <c r="A1408" t="inlineStr">
        <is>
          <t>32(3)-V06</t>
        </is>
      </c>
      <c r="B1408" t="inlineStr">
        <is>
          <t>32 (3).tif</t>
        </is>
      </c>
      <c r="C1408" t="n">
        <v>737</v>
      </c>
      <c r="D1408" t="n">
        <v>137</v>
      </c>
      <c r="E1408" t="inlineStr">
        <is>
          <t>713,106,762,169</t>
        </is>
      </c>
      <c r="F1408" t="n">
        <v>106</v>
      </c>
      <c r="G1408" t="inlineStr">
        <is>
          <t>primary</t>
        </is>
      </c>
      <c r="H1408" t="inlineStr">
        <is>
          <t>AUTO_VESSEL</t>
        </is>
      </c>
      <c r="I1408" t="inlineStr">
        <is>
          <t>是</t>
        </is>
      </c>
      <c r="J1408" t="inlineStr">
        <is>
          <t>纳入</t>
        </is>
      </c>
      <c r="K1408" t="n">
        <v>104.5368620037807</v>
      </c>
      <c r="L1408">
        <f>导管母表_1781!G1408</f>
        <v/>
      </c>
      <c r="M1408" t="inlineStr">
        <is>
          <t>视野内部</t>
        </is>
      </c>
      <c r="N1408" t="inlineStr">
        <is>
          <t>纳入A/D/Dh；若有Pair_ID则纳入CWR</t>
        </is>
      </c>
      <c r="O1408" t="inlineStr">
        <is>
          <t>自动管线检出的合格导管腔。</t>
        </is>
      </c>
      <c r="P1408" t="inlineStr">
        <is>
          <t>auto_pipeline;review_png_green</t>
        </is>
      </c>
      <c r="R1408" t="inlineStr">
        <is>
          <t>样品32</t>
        </is>
      </c>
    </row>
    <row r="1409">
      <c r="A1409" t="inlineStr">
        <is>
          <t>32(4)-V01</t>
        </is>
      </c>
      <c r="B1409" t="inlineStr">
        <is>
          <t>32 (4).tif</t>
        </is>
      </c>
      <c r="C1409" t="n">
        <v>452</v>
      </c>
      <c r="D1409" t="n">
        <v>298</v>
      </c>
      <c r="E1409" t="inlineStr">
        <is>
          <t>381,215,524,382</t>
        </is>
      </c>
      <c r="F1409" t="n">
        <v>215</v>
      </c>
      <c r="G1409" t="inlineStr">
        <is>
          <t>primary</t>
        </is>
      </c>
      <c r="H1409" t="inlineStr">
        <is>
          <t>AUTO_VESSEL</t>
        </is>
      </c>
      <c r="I1409" t="inlineStr">
        <is>
          <t>是</t>
        </is>
      </c>
      <c r="J1409" t="inlineStr">
        <is>
          <t>纳入</t>
        </is>
      </c>
      <c r="K1409" t="n">
        <v>872.7079395085066</v>
      </c>
      <c r="L1409">
        <f>导管母表_1781!G1409</f>
        <v/>
      </c>
      <c r="M1409" t="inlineStr">
        <is>
          <t>视野内部</t>
        </is>
      </c>
      <c r="N1409" t="inlineStr">
        <is>
          <t>纳入A/D/Dh；若有Pair_ID则纳入CWR</t>
        </is>
      </c>
      <c r="O1409" t="inlineStr">
        <is>
          <t>自动管线检出的合格导管腔。</t>
        </is>
      </c>
      <c r="P1409" t="inlineStr">
        <is>
          <t>auto_pipeline;review_png_green</t>
        </is>
      </c>
      <c r="R1409" t="inlineStr">
        <is>
          <t>样品32</t>
        </is>
      </c>
    </row>
    <row r="1410">
      <c r="A1410" t="inlineStr">
        <is>
          <t>32(4)-V02</t>
        </is>
      </c>
      <c r="B1410" t="inlineStr">
        <is>
          <t>32 (4).tif</t>
        </is>
      </c>
      <c r="C1410" t="n">
        <v>665</v>
      </c>
      <c r="D1410" t="n">
        <v>214</v>
      </c>
      <c r="E1410" t="inlineStr">
        <is>
          <t>613,139,718,290</t>
        </is>
      </c>
      <c r="F1410" t="n">
        <v>139</v>
      </c>
      <c r="G1410" t="inlineStr">
        <is>
          <t>primary</t>
        </is>
      </c>
      <c r="H1410" t="inlineStr">
        <is>
          <t>AUTO_VESSEL</t>
        </is>
      </c>
      <c r="I1410" t="inlineStr">
        <is>
          <t>是</t>
        </is>
      </c>
      <c r="J1410" t="inlineStr">
        <is>
          <t>纳入</t>
        </is>
      </c>
      <c r="K1410" t="n">
        <v>566.7769376181475</v>
      </c>
      <c r="L1410">
        <f>导管母表_1781!G1410</f>
        <v/>
      </c>
      <c r="M1410" t="inlineStr">
        <is>
          <t>视野内部</t>
        </is>
      </c>
      <c r="N1410" t="inlineStr">
        <is>
          <t>纳入A/D/Dh；若有Pair_ID则纳入CWR</t>
        </is>
      </c>
      <c r="O1410" t="inlineStr">
        <is>
          <t>自动管线检出的合格导管腔。</t>
        </is>
      </c>
      <c r="P1410" t="inlineStr">
        <is>
          <t>auto_pipeline;review_png_green</t>
        </is>
      </c>
      <c r="R1410" t="inlineStr">
        <is>
          <t>样品32</t>
        </is>
      </c>
    </row>
    <row r="1411">
      <c r="A1411" t="inlineStr">
        <is>
          <t>32(4)-V03</t>
        </is>
      </c>
      <c r="B1411" t="inlineStr">
        <is>
          <t>32 (4).tif</t>
        </is>
      </c>
      <c r="C1411" t="n">
        <v>789</v>
      </c>
      <c r="D1411" t="n">
        <v>333</v>
      </c>
      <c r="E1411" t="inlineStr">
        <is>
          <t>726,281,853,386</t>
        </is>
      </c>
      <c r="F1411" t="n">
        <v>171</v>
      </c>
      <c r="G1411" t="inlineStr">
        <is>
          <t>primary</t>
        </is>
      </c>
      <c r="H1411" t="inlineStr">
        <is>
          <t>AUTO_VESSEL</t>
        </is>
      </c>
      <c r="I1411" t="inlineStr">
        <is>
          <t>是</t>
        </is>
      </c>
      <c r="J1411" t="inlineStr">
        <is>
          <t>纳入</t>
        </is>
      </c>
      <c r="K1411" t="n">
        <v>479.6313799621928</v>
      </c>
      <c r="L1411">
        <f>导管母表_1781!G1411</f>
        <v/>
      </c>
      <c r="M1411" t="inlineStr">
        <is>
          <t>视野内部</t>
        </is>
      </c>
      <c r="N1411" t="inlineStr">
        <is>
          <t>纳入A/D/Dh；若有Pair_ID则纳入CWR</t>
        </is>
      </c>
      <c r="O1411" t="inlineStr">
        <is>
          <t>自动管线检出的合格导管腔。</t>
        </is>
      </c>
      <c r="P1411" t="inlineStr">
        <is>
          <t>auto_pipeline;review_png_green</t>
        </is>
      </c>
      <c r="R1411" t="inlineStr">
        <is>
          <t>样品32</t>
        </is>
      </c>
    </row>
    <row r="1412">
      <c r="A1412" t="inlineStr">
        <is>
          <t>32(4)-V04</t>
        </is>
      </c>
      <c r="B1412" t="inlineStr">
        <is>
          <t>32 (4).tif</t>
        </is>
      </c>
      <c r="C1412" t="n">
        <v>68</v>
      </c>
      <c r="D1412" t="n">
        <v>284</v>
      </c>
      <c r="E1412" t="inlineStr">
        <is>
          <t>17,223,120,346</t>
        </is>
      </c>
      <c r="F1412" t="n">
        <v>17</v>
      </c>
      <c r="G1412" t="inlineStr">
        <is>
          <t>primary</t>
        </is>
      </c>
      <c r="H1412" t="inlineStr">
        <is>
          <t>AUTO_VESSEL</t>
        </is>
      </c>
      <c r="I1412" t="inlineStr">
        <is>
          <t>是</t>
        </is>
      </c>
      <c r="J1412" t="inlineStr">
        <is>
          <t>纳入</t>
        </is>
      </c>
      <c r="K1412" t="n">
        <v>449.054820415879</v>
      </c>
      <c r="L1412">
        <f>导管母表_1781!G1412</f>
        <v/>
      </c>
      <c r="M1412" t="inlineStr">
        <is>
          <t>近边缘（&lt;25 px）</t>
        </is>
      </c>
      <c r="N1412" t="inlineStr">
        <is>
          <t>纳入A/D/Dh；若有Pair_ID则纳入CWR</t>
        </is>
      </c>
      <c r="O1412" t="inlineStr">
        <is>
          <t>自动管线检出的合格导管腔。</t>
        </is>
      </c>
      <c r="P1412" t="inlineStr">
        <is>
          <t>auto_pipeline;review_png_green</t>
        </is>
      </c>
      <c r="R1412" t="inlineStr">
        <is>
          <t>样品32</t>
        </is>
      </c>
    </row>
    <row r="1413">
      <c r="A1413" t="inlineStr">
        <is>
          <t>32(4)-V05</t>
        </is>
      </c>
      <c r="B1413" t="inlineStr">
        <is>
          <t>32 (4).tif</t>
        </is>
      </c>
      <c r="C1413" t="n">
        <v>173</v>
      </c>
      <c r="D1413" t="n">
        <v>369</v>
      </c>
      <c r="E1413" t="inlineStr">
        <is>
          <t>147,317,200,422</t>
        </is>
      </c>
      <c r="F1413" t="n">
        <v>147</v>
      </c>
      <c r="G1413" t="inlineStr">
        <is>
          <t>primary</t>
        </is>
      </c>
      <c r="H1413" t="inlineStr">
        <is>
          <t>AUTO_VESSEL</t>
        </is>
      </c>
      <c r="I1413" t="inlineStr">
        <is>
          <t>是</t>
        </is>
      </c>
      <c r="J1413" t="inlineStr">
        <is>
          <t>纳入</t>
        </is>
      </c>
      <c r="K1413" t="n">
        <v>192.8638941398866</v>
      </c>
      <c r="L1413">
        <f>导管母表_1781!G1413</f>
        <v/>
      </c>
      <c r="M1413" t="inlineStr">
        <is>
          <t>视野内部</t>
        </is>
      </c>
      <c r="N1413" t="inlineStr">
        <is>
          <t>纳入A/D/Dh；若有Pair_ID则纳入CWR</t>
        </is>
      </c>
      <c r="O1413" t="inlineStr">
        <is>
          <t>自动管线检出的合格导管腔。</t>
        </is>
      </c>
      <c r="P1413" t="inlineStr">
        <is>
          <t>auto_pipeline;review_png_green</t>
        </is>
      </c>
      <c r="R1413" t="inlineStr">
        <is>
          <t>样品32</t>
        </is>
      </c>
    </row>
    <row r="1414">
      <c r="A1414" t="inlineStr">
        <is>
          <t>32(5)-V01</t>
        </is>
      </c>
      <c r="B1414" t="inlineStr">
        <is>
          <t>32 (5).tif</t>
        </is>
      </c>
      <c r="C1414" t="n">
        <v>753</v>
      </c>
      <c r="D1414" t="n">
        <v>315</v>
      </c>
      <c r="E1414" t="inlineStr">
        <is>
          <t>606,189,901,442</t>
        </is>
      </c>
      <c r="F1414" t="n">
        <v>123</v>
      </c>
      <c r="G1414" t="inlineStr">
        <is>
          <t>primary</t>
        </is>
      </c>
      <c r="H1414" t="inlineStr">
        <is>
          <t>AUTO_VESSEL</t>
        </is>
      </c>
      <c r="I1414" t="inlineStr">
        <is>
          <t>是</t>
        </is>
      </c>
      <c r="J1414" t="inlineStr">
        <is>
          <t>纳入</t>
        </is>
      </c>
      <c r="K1414" t="n">
        <v>2344.966918714556</v>
      </c>
      <c r="L1414">
        <f>导管母表_1781!G1414</f>
        <v/>
      </c>
      <c r="M1414" t="inlineStr">
        <is>
          <t>视野内部</t>
        </is>
      </c>
      <c r="N1414" t="inlineStr">
        <is>
          <t>纳入A/D/Dh；若有Pair_ID则纳入CWR</t>
        </is>
      </c>
      <c r="O1414" t="inlineStr">
        <is>
          <t>自动管线检出的合格导管腔。</t>
        </is>
      </c>
      <c r="P1414" t="inlineStr">
        <is>
          <t>auto_pipeline;review_png_green</t>
        </is>
      </c>
      <c r="Q1414" t="inlineStr">
        <is>
          <t>32(5)-P01</t>
        </is>
      </c>
      <c r="R1414" t="inlineStr">
        <is>
          <t>样品32</t>
        </is>
      </c>
    </row>
    <row r="1415">
      <c r="A1415" t="inlineStr">
        <is>
          <t>32(5)-V02</t>
        </is>
      </c>
      <c r="B1415" t="inlineStr">
        <is>
          <t>32 (5).tif</t>
        </is>
      </c>
      <c r="C1415" t="n">
        <v>528</v>
      </c>
      <c r="D1415" t="n">
        <v>477</v>
      </c>
      <c r="E1415" t="inlineStr">
        <is>
          <t>435,387,622,568</t>
        </is>
      </c>
      <c r="F1415" t="n">
        <v>200</v>
      </c>
      <c r="G1415" t="inlineStr">
        <is>
          <t>primary</t>
        </is>
      </c>
      <c r="H1415" t="inlineStr">
        <is>
          <t>AUTO_VESSEL</t>
        </is>
      </c>
      <c r="I1415" t="inlineStr">
        <is>
          <t>是</t>
        </is>
      </c>
      <c r="J1415" t="inlineStr">
        <is>
          <t>纳入</t>
        </is>
      </c>
      <c r="K1415" t="n">
        <v>1241.682419659735</v>
      </c>
      <c r="L1415">
        <f>导管母表_1781!G1415</f>
        <v/>
      </c>
      <c r="M1415" t="inlineStr">
        <is>
          <t>视野内部</t>
        </is>
      </c>
      <c r="N1415" t="inlineStr">
        <is>
          <t>纳入A/D/Dh；若有Pair_ID则纳入CWR</t>
        </is>
      </c>
      <c r="O1415" t="inlineStr">
        <is>
          <t>自动管线检出的合格导管腔。</t>
        </is>
      </c>
      <c r="P1415" t="inlineStr">
        <is>
          <t>auto_pipeline;review_png_green</t>
        </is>
      </c>
      <c r="R1415" t="inlineStr">
        <is>
          <t>样品32</t>
        </is>
      </c>
    </row>
    <row r="1416">
      <c r="A1416" t="inlineStr">
        <is>
          <t>32(5)-V03</t>
        </is>
      </c>
      <c r="B1416" t="inlineStr">
        <is>
          <t>32 (5).tif</t>
        </is>
      </c>
      <c r="C1416" t="n">
        <v>541</v>
      </c>
      <c r="D1416" t="n">
        <v>291</v>
      </c>
      <c r="E1416" t="inlineStr">
        <is>
          <t>468,217,615,366</t>
        </is>
      </c>
      <c r="F1416" t="n">
        <v>217</v>
      </c>
      <c r="G1416" t="inlineStr">
        <is>
          <t>primary</t>
        </is>
      </c>
      <c r="H1416" t="inlineStr">
        <is>
          <t>AUTO_VESSEL</t>
        </is>
      </c>
      <c r="I1416" t="inlineStr">
        <is>
          <t>是</t>
        </is>
      </c>
      <c r="J1416" t="inlineStr">
        <is>
          <t>纳入</t>
        </is>
      </c>
      <c r="K1416" t="n">
        <v>800</v>
      </c>
      <c r="L1416">
        <f>导管母表_1781!G1416</f>
        <v/>
      </c>
      <c r="M1416" t="inlineStr">
        <is>
          <t>视野内部</t>
        </is>
      </c>
      <c r="N1416" t="inlineStr">
        <is>
          <t>纳入A/D/Dh；若有Pair_ID则纳入CWR</t>
        </is>
      </c>
      <c r="O1416" t="inlineStr">
        <is>
          <t>自动管线检出的合格导管腔。</t>
        </is>
      </c>
      <c r="P1416" t="inlineStr">
        <is>
          <t>auto_pipeline;review_png_green</t>
        </is>
      </c>
      <c r="R1416" t="inlineStr">
        <is>
          <t>样品32</t>
        </is>
      </c>
    </row>
    <row r="1417">
      <c r="A1417" t="inlineStr">
        <is>
          <t>32(5)-V04</t>
        </is>
      </c>
      <c r="B1417" t="inlineStr">
        <is>
          <t>32 (5).tif</t>
        </is>
      </c>
      <c r="C1417" t="n">
        <v>106</v>
      </c>
      <c r="D1417" t="n">
        <v>435</v>
      </c>
      <c r="E1417" t="inlineStr">
        <is>
          <t>30,361,183,510</t>
        </is>
      </c>
      <c r="F1417" t="n">
        <v>30</v>
      </c>
      <c r="G1417" t="inlineStr">
        <is>
          <t>primary</t>
        </is>
      </c>
      <c r="H1417" t="inlineStr">
        <is>
          <t>AUTO_VESSEL</t>
        </is>
      </c>
      <c r="I1417" t="inlineStr">
        <is>
          <t>是</t>
        </is>
      </c>
      <c r="J1417" t="inlineStr">
        <is>
          <t>纳入</t>
        </is>
      </c>
      <c r="K1417" t="n">
        <v>795.5576559546314</v>
      </c>
      <c r="L1417">
        <f>导管母表_1781!G1417</f>
        <v/>
      </c>
      <c r="M1417" t="inlineStr">
        <is>
          <t>视野内部</t>
        </is>
      </c>
      <c r="N1417" t="inlineStr">
        <is>
          <t>纳入A/D/Dh；若有Pair_ID则纳入CWR</t>
        </is>
      </c>
      <c r="O1417" t="inlineStr">
        <is>
          <t>自动管线检出的合格导管腔。</t>
        </is>
      </c>
      <c r="P1417" t="inlineStr">
        <is>
          <t>auto_pipeline;review_png_green</t>
        </is>
      </c>
      <c r="R1417" t="inlineStr">
        <is>
          <t>样品32</t>
        </is>
      </c>
    </row>
    <row r="1418">
      <c r="A1418" t="inlineStr">
        <is>
          <t>32(5)-V05</t>
        </is>
      </c>
      <c r="B1418" t="inlineStr">
        <is>
          <t>32 (5).tif</t>
        </is>
      </c>
      <c r="C1418" t="n">
        <v>173</v>
      </c>
      <c r="D1418" t="n">
        <v>585</v>
      </c>
      <c r="E1418" t="inlineStr">
        <is>
          <t>91,535,256,636</t>
        </is>
      </c>
      <c r="F1418" t="n">
        <v>91</v>
      </c>
      <c r="G1418" t="inlineStr">
        <is>
          <t>primary</t>
        </is>
      </c>
      <c r="H1418" t="inlineStr">
        <is>
          <t>AUTO_VESSEL</t>
        </is>
      </c>
      <c r="I1418" t="inlineStr">
        <is>
          <t>是</t>
        </is>
      </c>
      <c r="J1418" t="inlineStr">
        <is>
          <t>纳入</t>
        </is>
      </c>
      <c r="K1418" t="n">
        <v>608.8374291115312</v>
      </c>
      <c r="L1418">
        <f>导管母表_1781!G1418</f>
        <v/>
      </c>
      <c r="M1418" t="inlineStr">
        <is>
          <t>视野内部</t>
        </is>
      </c>
      <c r="N1418" t="inlineStr">
        <is>
          <t>纳入A/D/Dh；若有Pair_ID则纳入CWR</t>
        </is>
      </c>
      <c r="O1418" t="inlineStr">
        <is>
          <t>自动管线检出的合格导管腔。</t>
        </is>
      </c>
      <c r="P1418" t="inlineStr">
        <is>
          <t>auto_pipeline;review_png_green</t>
        </is>
      </c>
      <c r="R1418" t="inlineStr">
        <is>
          <t>样品32</t>
        </is>
      </c>
    </row>
    <row r="1419">
      <c r="A1419" t="inlineStr">
        <is>
          <t>32(5)-V06</t>
        </is>
      </c>
      <c r="B1419" t="inlineStr">
        <is>
          <t>32 (5).tif</t>
        </is>
      </c>
      <c r="C1419" t="n">
        <v>845</v>
      </c>
      <c r="D1419" t="n">
        <v>377</v>
      </c>
      <c r="E1419" t="inlineStr">
        <is>
          <t>791,318,900,437</t>
        </is>
      </c>
      <c r="F1419" t="n">
        <v>124</v>
      </c>
      <c r="G1419" t="inlineStr">
        <is>
          <t>primary</t>
        </is>
      </c>
      <c r="H1419" t="inlineStr">
        <is>
          <t>AUTO_VESSEL</t>
        </is>
      </c>
      <c r="I1419" t="inlineStr">
        <is>
          <t>是</t>
        </is>
      </c>
      <c r="J1419" t="inlineStr">
        <is>
          <t>纳入</t>
        </is>
      </c>
      <c r="K1419" t="n">
        <v>471.7155009451796</v>
      </c>
      <c r="L1419">
        <f>导管母表_1781!G1419</f>
        <v/>
      </c>
      <c r="M1419" t="inlineStr">
        <is>
          <t>视野内部</t>
        </is>
      </c>
      <c r="N1419" t="inlineStr">
        <is>
          <t>纳入A/D/Dh；若有Pair_ID则纳入CWR</t>
        </is>
      </c>
      <c r="O1419" t="inlineStr">
        <is>
          <t>自动管线检出的合格导管腔。</t>
        </is>
      </c>
      <c r="P1419" t="inlineStr">
        <is>
          <t>auto_pipeline;review_png_green</t>
        </is>
      </c>
      <c r="Q1419" t="inlineStr">
        <is>
          <t>32(5)-P01</t>
        </is>
      </c>
      <c r="R1419" t="inlineStr">
        <is>
          <t>样品32</t>
        </is>
      </c>
    </row>
    <row r="1420">
      <c r="A1420" t="inlineStr">
        <is>
          <t>32(5)-V07</t>
        </is>
      </c>
      <c r="B1420" t="inlineStr">
        <is>
          <t>32 (5).tif</t>
        </is>
      </c>
      <c r="C1420" t="n">
        <v>834</v>
      </c>
      <c r="D1420" t="n">
        <v>506</v>
      </c>
      <c r="E1420" t="inlineStr">
        <is>
          <t>783,451,886,562</t>
        </is>
      </c>
      <c r="F1420" t="n">
        <v>138</v>
      </c>
      <c r="G1420" t="inlineStr">
        <is>
          <t>primary</t>
        </is>
      </c>
      <c r="H1420" t="inlineStr">
        <is>
          <t>AUTO_VESSEL</t>
        </is>
      </c>
      <c r="I1420" t="inlineStr">
        <is>
          <t>是</t>
        </is>
      </c>
      <c r="J1420" t="inlineStr">
        <is>
          <t>纳入</t>
        </is>
      </c>
      <c r="K1420" t="n">
        <v>416.5406427221172</v>
      </c>
      <c r="L1420">
        <f>导管母表_1781!G1420</f>
        <v/>
      </c>
      <c r="M1420" t="inlineStr">
        <is>
          <t>视野内部</t>
        </is>
      </c>
      <c r="N1420" t="inlineStr">
        <is>
          <t>纳入A/D/Dh；若有Pair_ID则纳入CWR</t>
        </is>
      </c>
      <c r="O1420" t="inlineStr">
        <is>
          <t>自动管线检出的合格导管腔。</t>
        </is>
      </c>
      <c r="P1420" t="inlineStr">
        <is>
          <t>auto_pipeline;review_png_green</t>
        </is>
      </c>
      <c r="R1420" t="inlineStr">
        <is>
          <t>样品32</t>
        </is>
      </c>
    </row>
    <row r="1421">
      <c r="A1421" t="inlineStr">
        <is>
          <t>32(5)-V08</t>
        </is>
      </c>
      <c r="B1421" t="inlineStr">
        <is>
          <t>32 (5).tif</t>
        </is>
      </c>
      <c r="C1421" t="n">
        <v>74</v>
      </c>
      <c r="D1421" t="n">
        <v>313</v>
      </c>
      <c r="E1421" t="inlineStr">
        <is>
          <t>41,279,108,348</t>
        </is>
      </c>
      <c r="F1421" t="n">
        <v>41</v>
      </c>
      <c r="G1421" t="inlineStr">
        <is>
          <t>primary</t>
        </is>
      </c>
      <c r="H1421" t="inlineStr">
        <is>
          <t>AUTO_VESSEL</t>
        </is>
      </c>
      <c r="I1421" t="inlineStr">
        <is>
          <t>是</t>
        </is>
      </c>
      <c r="J1421" t="inlineStr">
        <is>
          <t>纳入</t>
        </is>
      </c>
      <c r="K1421" t="n">
        <v>157.65595463138</v>
      </c>
      <c r="L1421">
        <f>导管母表_1781!G1421</f>
        <v/>
      </c>
      <c r="M1421" t="inlineStr">
        <is>
          <t>视野内部</t>
        </is>
      </c>
      <c r="N1421" t="inlineStr">
        <is>
          <t>纳入A/D/Dh；若有Pair_ID则纳入CWR</t>
        </is>
      </c>
      <c r="O1421" t="inlineStr">
        <is>
          <t>自动管线检出的合格导管腔。</t>
        </is>
      </c>
      <c r="P1421" t="inlineStr">
        <is>
          <t>auto_pipeline;review_png_green</t>
        </is>
      </c>
      <c r="R1421" t="inlineStr">
        <is>
          <t>样品32</t>
        </is>
      </c>
    </row>
    <row r="1422">
      <c r="A1422" t="inlineStr">
        <is>
          <t>32(5)-V09</t>
        </is>
      </c>
      <c r="B1422" t="inlineStr">
        <is>
          <t>32 (5).tif</t>
        </is>
      </c>
      <c r="C1422" t="n">
        <v>834</v>
      </c>
      <c r="D1422" t="n">
        <v>609</v>
      </c>
      <c r="E1422" t="inlineStr">
        <is>
          <t>805,577,864,642</t>
        </is>
      </c>
      <c r="F1422" t="n">
        <v>126</v>
      </c>
      <c r="G1422" t="inlineStr">
        <is>
          <t>primary</t>
        </is>
      </c>
      <c r="H1422" t="inlineStr">
        <is>
          <t>AUTO_VESSEL</t>
        </is>
      </c>
      <c r="I1422" t="inlineStr">
        <is>
          <t>是</t>
        </is>
      </c>
      <c r="J1422" t="inlineStr">
        <is>
          <t>纳入</t>
        </is>
      </c>
      <c r="K1422" t="n">
        <v>137.3109640831758</v>
      </c>
      <c r="L1422">
        <f>导管母表_1781!G1422</f>
        <v/>
      </c>
      <c r="M1422" t="inlineStr">
        <is>
          <t>视野内部</t>
        </is>
      </c>
      <c r="N1422" t="inlineStr">
        <is>
          <t>纳入A/D/Dh；若有Pair_ID则纳入CWR</t>
        </is>
      </c>
      <c r="O1422" t="inlineStr">
        <is>
          <t>自动管线检出的合格导管腔。</t>
        </is>
      </c>
      <c r="P1422" t="inlineStr">
        <is>
          <t>auto_pipeline;review_png_green</t>
        </is>
      </c>
      <c r="R1422" t="inlineStr">
        <is>
          <t>样品32</t>
        </is>
      </c>
    </row>
    <row r="1423">
      <c r="A1423" t="inlineStr">
        <is>
          <t>32(6)-V01</t>
        </is>
      </c>
      <c r="B1423" t="inlineStr">
        <is>
          <t>32 (6).tif</t>
        </is>
      </c>
      <c r="C1423" t="n">
        <v>477</v>
      </c>
      <c r="D1423" t="n">
        <v>438</v>
      </c>
      <c r="E1423" t="inlineStr">
        <is>
          <t>420,374,535,503</t>
        </is>
      </c>
      <c r="F1423" t="n">
        <v>265</v>
      </c>
      <c r="G1423" t="inlineStr">
        <is>
          <t>primary</t>
        </is>
      </c>
      <c r="H1423" t="inlineStr">
        <is>
          <t>AUTO_VESSEL</t>
        </is>
      </c>
      <c r="I1423" t="inlineStr">
        <is>
          <t>是</t>
        </is>
      </c>
      <c r="J1423" t="inlineStr">
        <is>
          <t>纳入</t>
        </is>
      </c>
      <c r="K1423" t="n">
        <v>541.7060491493384</v>
      </c>
      <c r="L1423">
        <f>导管母表_1781!G1423</f>
        <v/>
      </c>
      <c r="M1423" t="inlineStr">
        <is>
          <t>视野内部</t>
        </is>
      </c>
      <c r="N1423" t="inlineStr">
        <is>
          <t>纳入A/D/Dh；若有Pair_ID则纳入CWR</t>
        </is>
      </c>
      <c r="O1423" t="inlineStr">
        <is>
          <t>自动管线检出的合格导管腔。</t>
        </is>
      </c>
      <c r="P1423" t="inlineStr">
        <is>
          <t>auto_pipeline;review_png_green</t>
        </is>
      </c>
      <c r="Q1423" t="inlineStr">
        <is>
          <t>32(6)-P01</t>
        </is>
      </c>
      <c r="R1423" t="inlineStr">
        <is>
          <t>样品32</t>
        </is>
      </c>
    </row>
    <row r="1424">
      <c r="A1424" t="inlineStr">
        <is>
          <t>32(6)-V02</t>
        </is>
      </c>
      <c r="B1424" t="inlineStr">
        <is>
          <t>32 (6).tif</t>
        </is>
      </c>
      <c r="C1424" t="n">
        <v>544</v>
      </c>
      <c r="D1424" t="n">
        <v>307</v>
      </c>
      <c r="E1424" t="inlineStr">
        <is>
          <t>488,238,601,377</t>
        </is>
      </c>
      <c r="F1424" t="n">
        <v>238</v>
      </c>
      <c r="G1424" t="inlineStr">
        <is>
          <t>primary</t>
        </is>
      </c>
      <c r="H1424" t="inlineStr">
        <is>
          <t>AUTO_VESSEL</t>
        </is>
      </c>
      <c r="I1424" t="inlineStr">
        <is>
          <t>是</t>
        </is>
      </c>
      <c r="J1424" t="inlineStr">
        <is>
          <t>纳入</t>
        </is>
      </c>
      <c r="K1424" t="n">
        <v>538.0198487712665</v>
      </c>
      <c r="L1424">
        <f>导管母表_1781!G1424</f>
        <v/>
      </c>
      <c r="M1424" t="inlineStr">
        <is>
          <t>视野内部</t>
        </is>
      </c>
      <c r="N1424" t="inlineStr">
        <is>
          <t>纳入A/D/Dh；若有Pair_ID则纳入CWR</t>
        </is>
      </c>
      <c r="O1424" t="inlineStr">
        <is>
          <t>自动管线检出的合格导管腔。</t>
        </is>
      </c>
      <c r="P1424" t="inlineStr">
        <is>
          <t>auto_pipeline;review_png_green</t>
        </is>
      </c>
      <c r="Q1424" t="inlineStr">
        <is>
          <t>32(6)-P01</t>
        </is>
      </c>
      <c r="R1424" t="inlineStr">
        <is>
          <t>样品32</t>
        </is>
      </c>
    </row>
    <row r="1425">
      <c r="A1425" t="inlineStr">
        <is>
          <t>32(6)-V03</t>
        </is>
      </c>
      <c r="B1425" t="inlineStr">
        <is>
          <t>32 (6).tif</t>
        </is>
      </c>
      <c r="C1425" t="n">
        <v>621</v>
      </c>
      <c r="D1425" t="n">
        <v>57</v>
      </c>
      <c r="E1425" t="inlineStr">
        <is>
          <t>573,14,670,101</t>
        </is>
      </c>
      <c r="F1425" t="n">
        <v>14</v>
      </c>
      <c r="G1425" t="inlineStr">
        <is>
          <t>primary</t>
        </is>
      </c>
      <c r="H1425" t="inlineStr">
        <is>
          <t>AUTO_VESSEL</t>
        </is>
      </c>
      <c r="I1425" t="inlineStr">
        <is>
          <t>是</t>
        </is>
      </c>
      <c r="J1425" t="inlineStr">
        <is>
          <t>纳入</t>
        </is>
      </c>
      <c r="K1425" t="n">
        <v>258.601134215501</v>
      </c>
      <c r="L1425">
        <f>导管母表_1781!G1425</f>
        <v/>
      </c>
      <c r="M1425" t="inlineStr">
        <is>
          <t>近边缘（&lt;25 px）</t>
        </is>
      </c>
      <c r="N1425" t="inlineStr">
        <is>
          <t>纳入A/D/Dh；若有Pair_ID则纳入CWR</t>
        </is>
      </c>
      <c r="O1425" t="inlineStr">
        <is>
          <t>自动管线检出的合格导管腔。</t>
        </is>
      </c>
      <c r="P1425" t="inlineStr">
        <is>
          <t>auto_pipeline;review_png_green</t>
        </is>
      </c>
      <c r="R1425" t="inlineStr">
        <is>
          <t>样品32</t>
        </is>
      </c>
    </row>
    <row r="1426">
      <c r="A1426" t="inlineStr">
        <is>
          <t>32(7)-V01</t>
        </is>
      </c>
      <c r="B1426" t="inlineStr">
        <is>
          <t>32 (7).tif</t>
        </is>
      </c>
      <c r="C1426" t="n">
        <v>801</v>
      </c>
      <c r="D1426" t="n">
        <v>616</v>
      </c>
      <c r="E1426" t="inlineStr">
        <is>
          <t>718,548,885,685</t>
        </is>
      </c>
      <c r="F1426" t="n">
        <v>83</v>
      </c>
      <c r="G1426" t="inlineStr">
        <is>
          <t>primary</t>
        </is>
      </c>
      <c r="H1426" t="inlineStr">
        <is>
          <t>AUTO_VESSEL</t>
        </is>
      </c>
      <c r="I1426" t="inlineStr">
        <is>
          <t>是</t>
        </is>
      </c>
      <c r="J1426" t="inlineStr">
        <is>
          <t>纳入</t>
        </is>
      </c>
      <c r="K1426" t="n">
        <v>837.429111531191</v>
      </c>
      <c r="L1426">
        <f>导管母表_1781!G1426</f>
        <v/>
      </c>
      <c r="M1426" t="inlineStr">
        <is>
          <t>视野内部</t>
        </is>
      </c>
      <c r="N1426" t="inlineStr">
        <is>
          <t>纳入A/D/Dh；若有Pair_ID则纳入CWR</t>
        </is>
      </c>
      <c r="O1426" t="inlineStr">
        <is>
          <t>自动管线检出的合格导管腔。</t>
        </is>
      </c>
      <c r="P1426" t="inlineStr">
        <is>
          <t>auto_pipeline;review_png_green</t>
        </is>
      </c>
      <c r="R1426" t="inlineStr">
        <is>
          <t>样品32</t>
        </is>
      </c>
    </row>
    <row r="1427">
      <c r="A1427" t="inlineStr">
        <is>
          <t>32(7)-V02</t>
        </is>
      </c>
      <c r="B1427" t="inlineStr">
        <is>
          <t>32 (7).tif</t>
        </is>
      </c>
      <c r="C1427" t="n">
        <v>534</v>
      </c>
      <c r="D1427" t="n">
        <v>386</v>
      </c>
      <c r="E1427" t="inlineStr">
        <is>
          <t>466,315,603,458</t>
        </is>
      </c>
      <c r="F1427" t="n">
        <v>310</v>
      </c>
      <c r="G1427" t="inlineStr">
        <is>
          <t>primary</t>
        </is>
      </c>
      <c r="H1427" t="inlineStr">
        <is>
          <t>AUTO_VESSEL</t>
        </is>
      </c>
      <c r="I1427" t="inlineStr">
        <is>
          <t>是</t>
        </is>
      </c>
      <c r="J1427" t="inlineStr">
        <is>
          <t>纳入</t>
        </is>
      </c>
      <c r="K1427" t="n">
        <v>715.31190926276</v>
      </c>
      <c r="L1427">
        <f>导管母表_1781!G1427</f>
        <v/>
      </c>
      <c r="M1427" t="inlineStr">
        <is>
          <t>视野内部</t>
        </is>
      </c>
      <c r="N1427" t="inlineStr">
        <is>
          <t>纳入A/D/Dh；若有Pair_ID则纳入CWR</t>
        </is>
      </c>
      <c r="O1427" t="inlineStr">
        <is>
          <t>自动管线检出的合格导管腔。</t>
        </is>
      </c>
      <c r="P1427" t="inlineStr">
        <is>
          <t>auto_pipeline;review_png_green</t>
        </is>
      </c>
      <c r="R1427" t="inlineStr">
        <is>
          <t>样品32</t>
        </is>
      </c>
    </row>
    <row r="1428">
      <c r="A1428" t="inlineStr">
        <is>
          <t>32(8)-V01</t>
        </is>
      </c>
      <c r="B1428" t="inlineStr">
        <is>
          <t>32 (8).tif</t>
        </is>
      </c>
      <c r="C1428" t="n">
        <v>343</v>
      </c>
      <c r="D1428" t="n">
        <v>365</v>
      </c>
      <c r="E1428" t="inlineStr">
        <is>
          <t>257,286,430,445</t>
        </is>
      </c>
      <c r="F1428" t="n">
        <v>257</v>
      </c>
      <c r="G1428" t="inlineStr">
        <is>
          <t>primary</t>
        </is>
      </c>
      <c r="H1428" t="inlineStr">
        <is>
          <t>AUTO_VESSEL</t>
        </is>
      </c>
      <c r="I1428" t="inlineStr">
        <is>
          <t>是</t>
        </is>
      </c>
      <c r="J1428" t="inlineStr">
        <is>
          <t>纳入</t>
        </is>
      </c>
      <c r="K1428" t="n">
        <v>1007.703213610586</v>
      </c>
      <c r="L1428">
        <f>导管母表_1781!G1428</f>
        <v/>
      </c>
      <c r="M1428" t="inlineStr">
        <is>
          <t>视野内部</t>
        </is>
      </c>
      <c r="N1428" t="inlineStr">
        <is>
          <t>纳入A/D/Dh；若有Pair_ID则纳入CWR</t>
        </is>
      </c>
      <c r="O1428" t="inlineStr">
        <is>
          <t>自动管线检出的合格导管腔。</t>
        </is>
      </c>
      <c r="P1428" t="inlineStr">
        <is>
          <t>auto_pipeline;review_png_green</t>
        </is>
      </c>
      <c r="Q1428" t="inlineStr">
        <is>
          <t>32(8)-P01</t>
        </is>
      </c>
      <c r="R1428" t="inlineStr">
        <is>
          <t>样品32</t>
        </is>
      </c>
    </row>
    <row r="1429">
      <c r="A1429" t="inlineStr">
        <is>
          <t>32(8)-V02</t>
        </is>
      </c>
      <c r="B1429" t="inlineStr">
        <is>
          <t>32 (8).tif</t>
        </is>
      </c>
      <c r="C1429" t="n">
        <v>696</v>
      </c>
      <c r="D1429" t="n">
        <v>516</v>
      </c>
      <c r="E1429" t="inlineStr">
        <is>
          <t>614,449,779,584</t>
        </is>
      </c>
      <c r="F1429" t="n">
        <v>184</v>
      </c>
      <c r="G1429" t="inlineStr">
        <is>
          <t>primary</t>
        </is>
      </c>
      <c r="H1429" t="inlineStr">
        <is>
          <t>AUTO_VESSEL</t>
        </is>
      </c>
      <c r="I1429" t="inlineStr">
        <is>
          <t>是</t>
        </is>
      </c>
      <c r="J1429" t="inlineStr">
        <is>
          <t>纳入</t>
        </is>
      </c>
      <c r="K1429" t="n">
        <v>815.3355387523629</v>
      </c>
      <c r="L1429">
        <f>导管母表_1781!G1429</f>
        <v/>
      </c>
      <c r="M1429" t="inlineStr">
        <is>
          <t>视野内部</t>
        </is>
      </c>
      <c r="N1429" t="inlineStr">
        <is>
          <t>纳入A/D/Dh；若有Pair_ID则纳入CWR</t>
        </is>
      </c>
      <c r="O1429" t="inlineStr">
        <is>
          <t>自动管线检出的合格导管腔。</t>
        </is>
      </c>
      <c r="P1429" t="inlineStr">
        <is>
          <t>auto_pipeline;review_png_green</t>
        </is>
      </c>
      <c r="R1429" t="inlineStr">
        <is>
          <t>样品32</t>
        </is>
      </c>
    </row>
    <row r="1430">
      <c r="A1430" t="inlineStr">
        <is>
          <t>32(8)-V03</t>
        </is>
      </c>
      <c r="B1430" t="inlineStr">
        <is>
          <t>32 (8).tif</t>
        </is>
      </c>
      <c r="C1430" t="n">
        <v>495</v>
      </c>
      <c r="D1430" t="n">
        <v>424</v>
      </c>
      <c r="E1430" t="inlineStr">
        <is>
          <t>437,363,554,486</t>
        </is>
      </c>
      <c r="F1430" t="n">
        <v>282</v>
      </c>
      <c r="G1430" t="inlineStr">
        <is>
          <t>primary</t>
        </is>
      </c>
      <c r="H1430" t="inlineStr">
        <is>
          <t>AUTO_VESSEL</t>
        </is>
      </c>
      <c r="I1430" t="inlineStr">
        <is>
          <t>是</t>
        </is>
      </c>
      <c r="J1430" t="inlineStr">
        <is>
          <t>纳入</t>
        </is>
      </c>
      <c r="K1430" t="n">
        <v>513.1143667296786</v>
      </c>
      <c r="L1430">
        <f>导管母表_1781!G1430</f>
        <v/>
      </c>
      <c r="M1430" t="inlineStr">
        <is>
          <t>视野内部</t>
        </is>
      </c>
      <c r="N1430" t="inlineStr">
        <is>
          <t>纳入A/D/Dh；若有Pair_ID则纳入CWR</t>
        </is>
      </c>
      <c r="O1430" t="inlineStr">
        <is>
          <t>自动管线检出的合格导管腔。</t>
        </is>
      </c>
      <c r="P1430" t="inlineStr">
        <is>
          <t>auto_pipeline;review_png_green</t>
        </is>
      </c>
      <c r="Q1430" t="inlineStr">
        <is>
          <t>32(8)-P01</t>
        </is>
      </c>
      <c r="R1430" t="inlineStr">
        <is>
          <t>样品32</t>
        </is>
      </c>
    </row>
    <row r="1431">
      <c r="A1431" t="inlineStr">
        <is>
          <t>33(1)-V01</t>
        </is>
      </c>
      <c r="B1431" t="inlineStr">
        <is>
          <t>33 (1).tif</t>
        </is>
      </c>
      <c r="C1431" t="n">
        <v>583</v>
      </c>
      <c r="D1431" t="n">
        <v>375</v>
      </c>
      <c r="E1431" t="inlineStr">
        <is>
          <t>475,275,692,476</t>
        </is>
      </c>
      <c r="F1431" t="n">
        <v>275</v>
      </c>
      <c r="G1431" t="inlineStr">
        <is>
          <t>primary</t>
        </is>
      </c>
      <c r="H1431" t="inlineStr">
        <is>
          <t>AUTO_VESSEL</t>
        </is>
      </c>
      <c r="I1431" t="inlineStr">
        <is>
          <t>是</t>
        </is>
      </c>
      <c r="J1431" t="inlineStr">
        <is>
          <t>纳入</t>
        </is>
      </c>
      <c r="K1431" t="n">
        <v>1563.634215500945</v>
      </c>
      <c r="L1431">
        <f>导管母表_1781!G1431</f>
        <v/>
      </c>
      <c r="M1431" t="inlineStr">
        <is>
          <t>视野内部</t>
        </is>
      </c>
      <c r="N1431" t="inlineStr">
        <is>
          <t>纳入A/D/Dh；若有Pair_ID则纳入CWR</t>
        </is>
      </c>
      <c r="O1431" t="inlineStr">
        <is>
          <t>自动管线检出的合格导管腔。</t>
        </is>
      </c>
      <c r="P1431" t="inlineStr">
        <is>
          <t>auto_pipeline;review_png_green</t>
        </is>
      </c>
      <c r="Q1431" t="inlineStr">
        <is>
          <t>33(1)-P01</t>
        </is>
      </c>
      <c r="R1431" t="inlineStr">
        <is>
          <t>样品33</t>
        </is>
      </c>
    </row>
    <row r="1432">
      <c r="A1432" t="inlineStr">
        <is>
          <t>33(1)-V02</t>
        </is>
      </c>
      <c r="B1432" t="inlineStr">
        <is>
          <t>33 (1).tif</t>
        </is>
      </c>
      <c r="C1432" t="n">
        <v>349</v>
      </c>
      <c r="D1432" t="n">
        <v>345</v>
      </c>
      <c r="E1432" t="inlineStr">
        <is>
          <t>257,245,442,446</t>
        </is>
      </c>
      <c r="F1432" t="n">
        <v>245</v>
      </c>
      <c r="G1432" t="inlineStr">
        <is>
          <t>primary</t>
        </is>
      </c>
      <c r="H1432" t="inlineStr">
        <is>
          <t>AUTO_VESSEL</t>
        </is>
      </c>
      <c r="I1432" t="inlineStr">
        <is>
          <t>是</t>
        </is>
      </c>
      <c r="J1432" t="inlineStr">
        <is>
          <t>纳入</t>
        </is>
      </c>
      <c r="K1432" t="n">
        <v>1325.897920604915</v>
      </c>
      <c r="L1432">
        <f>导管母表_1781!G1432</f>
        <v/>
      </c>
      <c r="M1432" t="inlineStr">
        <is>
          <t>视野内部</t>
        </is>
      </c>
      <c r="N1432" t="inlineStr">
        <is>
          <t>纳入A/D/Dh；若有Pair_ID则纳入CWR</t>
        </is>
      </c>
      <c r="O1432" t="inlineStr">
        <is>
          <t>自动管线检出的合格导管腔。</t>
        </is>
      </c>
      <c r="P1432" t="inlineStr">
        <is>
          <t>auto_pipeline;review_png_green</t>
        </is>
      </c>
      <c r="Q1432" t="inlineStr">
        <is>
          <t>33(1)-P01</t>
        </is>
      </c>
      <c r="R1432" t="inlineStr">
        <is>
          <t>样品33</t>
        </is>
      </c>
    </row>
    <row r="1433">
      <c r="A1433" t="inlineStr">
        <is>
          <t>33(1)-V03</t>
        </is>
      </c>
      <c r="B1433" t="inlineStr">
        <is>
          <t>33 (1).tif</t>
        </is>
      </c>
      <c r="C1433" t="n">
        <v>896</v>
      </c>
      <c r="D1433" t="n">
        <v>517</v>
      </c>
      <c r="E1433" t="inlineStr">
        <is>
          <t>814,451,979,584</t>
        </is>
      </c>
      <c r="F1433" t="n">
        <v>45</v>
      </c>
      <c r="G1433" t="inlineStr">
        <is>
          <t>primary</t>
        </is>
      </c>
      <c r="H1433" t="inlineStr">
        <is>
          <t>AUTO_VESSEL</t>
        </is>
      </c>
      <c r="I1433" t="inlineStr">
        <is>
          <t>是</t>
        </is>
      </c>
      <c r="J1433" t="inlineStr">
        <is>
          <t>纳入</t>
        </is>
      </c>
      <c r="K1433" t="n">
        <v>786.2712665406427</v>
      </c>
      <c r="L1433">
        <f>导管母表_1781!G1433</f>
        <v/>
      </c>
      <c r="M1433" t="inlineStr">
        <is>
          <t>视野内部</t>
        </is>
      </c>
      <c r="N1433" t="inlineStr">
        <is>
          <t>纳入A/D/Dh；若有Pair_ID则纳入CWR</t>
        </is>
      </c>
      <c r="O1433" t="inlineStr">
        <is>
          <t>自动管线检出的合格导管腔。</t>
        </is>
      </c>
      <c r="P1433" t="inlineStr">
        <is>
          <t>auto_pipeline;review_png_green</t>
        </is>
      </c>
      <c r="R1433" t="inlineStr">
        <is>
          <t>样品33</t>
        </is>
      </c>
    </row>
    <row r="1434">
      <c r="A1434" t="inlineStr">
        <is>
          <t>33(1)-V04</t>
        </is>
      </c>
      <c r="B1434" t="inlineStr">
        <is>
          <t>33 (1).tif</t>
        </is>
      </c>
      <c r="C1434" t="n">
        <v>106</v>
      </c>
      <c r="D1434" t="n">
        <v>236</v>
      </c>
      <c r="E1434" t="inlineStr">
        <is>
          <t>61,193,152,280</t>
        </is>
      </c>
      <c r="F1434" t="n">
        <v>61</v>
      </c>
      <c r="G1434" t="inlineStr">
        <is>
          <t>primary</t>
        </is>
      </c>
      <c r="H1434" t="inlineStr">
        <is>
          <t>AUTO_VESSEL</t>
        </is>
      </c>
      <c r="I1434" t="inlineStr">
        <is>
          <t>是</t>
        </is>
      </c>
      <c r="J1434" t="inlineStr">
        <is>
          <t>纳入</t>
        </is>
      </c>
      <c r="K1434" t="n">
        <v>287.5708884688091</v>
      </c>
      <c r="L1434">
        <f>导管母表_1781!G1434</f>
        <v/>
      </c>
      <c r="M1434" t="inlineStr">
        <is>
          <t>视野内部</t>
        </is>
      </c>
      <c r="N1434" t="inlineStr">
        <is>
          <t>纳入A/D/Dh；若有Pair_ID则纳入CWR</t>
        </is>
      </c>
      <c r="O1434" t="inlineStr">
        <is>
          <t>自动管线检出的合格导管腔。</t>
        </is>
      </c>
      <c r="P1434" t="inlineStr">
        <is>
          <t>auto_pipeline;review_png_green</t>
        </is>
      </c>
      <c r="R1434" t="inlineStr">
        <is>
          <t>样品33</t>
        </is>
      </c>
    </row>
    <row r="1435">
      <c r="A1435" t="inlineStr">
        <is>
          <t>33(1)-V05</t>
        </is>
      </c>
      <c r="B1435" t="inlineStr">
        <is>
          <t>33 (1).tif</t>
        </is>
      </c>
      <c r="C1435" t="n">
        <v>905</v>
      </c>
      <c r="D1435" t="n">
        <v>47</v>
      </c>
      <c r="E1435" t="inlineStr">
        <is>
          <t>846,18,965,77</t>
        </is>
      </c>
      <c r="F1435" t="n">
        <v>18</v>
      </c>
      <c r="G1435" t="inlineStr">
        <is>
          <t>primary</t>
        </is>
      </c>
      <c r="H1435" t="inlineStr">
        <is>
          <t>AUTO_VESSEL</t>
        </is>
      </c>
      <c r="I1435" t="inlineStr">
        <is>
          <t>是</t>
        </is>
      </c>
      <c r="J1435" t="inlineStr">
        <is>
          <t>纳入</t>
        </is>
      </c>
      <c r="K1435" t="n">
        <v>226.1342155009452</v>
      </c>
      <c r="L1435">
        <f>导管母表_1781!G1435</f>
        <v/>
      </c>
      <c r="M1435" t="inlineStr">
        <is>
          <t>近边缘（&lt;25 px）</t>
        </is>
      </c>
      <c r="N1435" t="inlineStr">
        <is>
          <t>纳入A/D/Dh；若有Pair_ID则纳入CWR</t>
        </is>
      </c>
      <c r="O1435" t="inlineStr">
        <is>
          <t>自动管线检出的合格导管腔。</t>
        </is>
      </c>
      <c r="P1435" t="inlineStr">
        <is>
          <t>auto_pipeline;review_png_green</t>
        </is>
      </c>
      <c r="R1435" t="inlineStr">
        <is>
          <t>样品33</t>
        </is>
      </c>
    </row>
    <row r="1436">
      <c r="A1436" t="inlineStr">
        <is>
          <t>33(1)-V06</t>
        </is>
      </c>
      <c r="B1436" t="inlineStr">
        <is>
          <t>33 (1).tif</t>
        </is>
      </c>
      <c r="C1436" t="n">
        <v>275</v>
      </c>
      <c r="D1436" t="n">
        <v>624</v>
      </c>
      <c r="E1436" t="inlineStr">
        <is>
          <t>239,593,312,656</t>
        </is>
      </c>
      <c r="F1436" t="n">
        <v>112</v>
      </c>
      <c r="G1436" t="inlineStr">
        <is>
          <t>primary</t>
        </is>
      </c>
      <c r="H1436" t="inlineStr">
        <is>
          <t>AUTO_VESSEL</t>
        </is>
      </c>
      <c r="I1436" t="inlineStr">
        <is>
          <t>是</t>
        </is>
      </c>
      <c r="J1436" t="inlineStr">
        <is>
          <t>纳入</t>
        </is>
      </c>
      <c r="K1436" t="n">
        <v>156.0255198487713</v>
      </c>
      <c r="L1436">
        <f>导管母表_1781!G1436</f>
        <v/>
      </c>
      <c r="M1436" t="inlineStr">
        <is>
          <t>视野内部</t>
        </is>
      </c>
      <c r="N1436" t="inlineStr">
        <is>
          <t>纳入A/D/Dh；若有Pair_ID则纳入CWR</t>
        </is>
      </c>
      <c r="O1436" t="inlineStr">
        <is>
          <t>自动管线检出的合格导管腔。</t>
        </is>
      </c>
      <c r="P1436" t="inlineStr">
        <is>
          <t>auto_pipeline;review_png_green</t>
        </is>
      </c>
      <c r="R1436" t="inlineStr">
        <is>
          <t>样品33</t>
        </is>
      </c>
    </row>
    <row r="1437">
      <c r="A1437" t="inlineStr">
        <is>
          <t>33(1)-V07</t>
        </is>
      </c>
      <c r="B1437" t="inlineStr">
        <is>
          <t>33 (1).tif</t>
        </is>
      </c>
      <c r="C1437" t="n">
        <v>121</v>
      </c>
      <c r="D1437" t="n">
        <v>530</v>
      </c>
      <c r="E1437" t="inlineStr">
        <is>
          <t>77,499,166,562</t>
        </is>
      </c>
      <c r="F1437" t="n">
        <v>77</v>
      </c>
      <c r="G1437" t="inlineStr">
        <is>
          <t>primary</t>
        </is>
      </c>
      <c r="H1437" t="inlineStr">
        <is>
          <t>AUTO_VESSEL</t>
        </is>
      </c>
      <c r="I1437" t="inlineStr">
        <is>
          <t>是</t>
        </is>
      </c>
      <c r="J1437" t="inlineStr">
        <is>
          <t>纳入</t>
        </is>
      </c>
      <c r="K1437" t="n">
        <v>152.2684310018903</v>
      </c>
      <c r="L1437">
        <f>导管母表_1781!G1437</f>
        <v/>
      </c>
      <c r="M1437" t="inlineStr">
        <is>
          <t>视野内部</t>
        </is>
      </c>
      <c r="N1437" t="inlineStr">
        <is>
          <t>纳入A/D/Dh；若有Pair_ID则纳入CWR</t>
        </is>
      </c>
      <c r="O1437" t="inlineStr">
        <is>
          <t>自动管线检出的合格导管腔。</t>
        </is>
      </c>
      <c r="P1437" t="inlineStr">
        <is>
          <t>auto_pipeline;review_png_green</t>
        </is>
      </c>
      <c r="R1437" t="inlineStr">
        <is>
          <t>样品33</t>
        </is>
      </c>
    </row>
    <row r="1438">
      <c r="A1438" t="inlineStr">
        <is>
          <t>33(1)-V08</t>
        </is>
      </c>
      <c r="B1438" t="inlineStr">
        <is>
          <t>33 (1).tif</t>
        </is>
      </c>
      <c r="C1438" t="n">
        <v>201</v>
      </c>
      <c r="D1438" t="n">
        <v>587</v>
      </c>
      <c r="E1438" t="inlineStr">
        <is>
          <t>169,561,234,614</t>
        </is>
      </c>
      <c r="F1438" t="n">
        <v>154</v>
      </c>
      <c r="G1438" t="inlineStr">
        <is>
          <t>primary</t>
        </is>
      </c>
      <c r="H1438" t="inlineStr">
        <is>
          <t>AUTO_VESSEL</t>
        </is>
      </c>
      <c r="I1438" t="inlineStr">
        <is>
          <t>是</t>
        </is>
      </c>
      <c r="J1438" t="inlineStr">
        <is>
          <t>纳入</t>
        </is>
      </c>
      <c r="K1438" t="n">
        <v>104.4423440453686</v>
      </c>
      <c r="L1438">
        <f>导管母表_1781!G1438</f>
        <v/>
      </c>
      <c r="M1438" t="inlineStr">
        <is>
          <t>视野内部</t>
        </is>
      </c>
      <c r="N1438" t="inlineStr">
        <is>
          <t>纳入A/D/Dh；若有Pair_ID则纳入CWR</t>
        </is>
      </c>
      <c r="O1438" t="inlineStr">
        <is>
          <t>自动管线检出的合格导管腔。</t>
        </is>
      </c>
      <c r="P1438" t="inlineStr">
        <is>
          <t>auto_pipeline;review_png_green</t>
        </is>
      </c>
      <c r="R1438" t="inlineStr">
        <is>
          <t>样品33</t>
        </is>
      </c>
    </row>
    <row r="1439">
      <c r="A1439" t="inlineStr">
        <is>
          <t>33(2)-V01</t>
        </is>
      </c>
      <c r="B1439" t="inlineStr">
        <is>
          <t>33 (2).tif</t>
        </is>
      </c>
      <c r="C1439" t="n">
        <v>481</v>
      </c>
      <c r="D1439" t="n">
        <v>443</v>
      </c>
      <c r="E1439" t="inlineStr">
        <is>
          <t>409,368,554,519</t>
        </is>
      </c>
      <c r="F1439" t="n">
        <v>249</v>
      </c>
      <c r="G1439" t="inlineStr">
        <is>
          <t>primary</t>
        </is>
      </c>
      <c r="H1439" t="inlineStr">
        <is>
          <t>AUTO_VESSEL</t>
        </is>
      </c>
      <c r="I1439" t="inlineStr">
        <is>
          <t>是</t>
        </is>
      </c>
      <c r="J1439" t="inlineStr">
        <is>
          <t>纳入</t>
        </is>
      </c>
      <c r="K1439" t="n">
        <v>796.1011342155009</v>
      </c>
      <c r="L1439">
        <f>导管母表_1781!G1439</f>
        <v/>
      </c>
      <c r="M1439" t="inlineStr">
        <is>
          <t>视野内部</t>
        </is>
      </c>
      <c r="N1439" t="inlineStr">
        <is>
          <t>纳入A/D/Dh；若有Pair_ID则纳入CWR</t>
        </is>
      </c>
      <c r="O1439" t="inlineStr">
        <is>
          <t>自动管线检出的合格导管腔。</t>
        </is>
      </c>
      <c r="P1439" t="inlineStr">
        <is>
          <t>auto_pipeline;review_png_green</t>
        </is>
      </c>
      <c r="R1439" t="inlineStr">
        <is>
          <t>样品33</t>
        </is>
      </c>
    </row>
    <row r="1440">
      <c r="A1440" t="inlineStr">
        <is>
          <t>33(2)-V02</t>
        </is>
      </c>
      <c r="B1440" t="inlineStr">
        <is>
          <t>33 (2).tif</t>
        </is>
      </c>
      <c r="C1440" t="n">
        <v>233</v>
      </c>
      <c r="D1440" t="n">
        <v>370</v>
      </c>
      <c r="E1440" t="inlineStr">
        <is>
          <t>171,299,296,442</t>
        </is>
      </c>
      <c r="F1440" t="n">
        <v>171</v>
      </c>
      <c r="G1440" t="inlineStr">
        <is>
          <t>primary</t>
        </is>
      </c>
      <c r="H1440" t="inlineStr">
        <is>
          <t>AUTO_VESSEL</t>
        </is>
      </c>
      <c r="I1440" t="inlineStr">
        <is>
          <t>是</t>
        </is>
      </c>
      <c r="J1440" t="inlineStr">
        <is>
          <t>纳入</t>
        </is>
      </c>
      <c r="K1440" t="n">
        <v>648.8185255198488</v>
      </c>
      <c r="L1440">
        <f>导管母表_1781!G1440</f>
        <v/>
      </c>
      <c r="M1440" t="inlineStr">
        <is>
          <t>视野内部</t>
        </is>
      </c>
      <c r="N1440" t="inlineStr">
        <is>
          <t>纳入A/D/Dh；若有Pair_ID则纳入CWR</t>
        </is>
      </c>
      <c r="O1440" t="inlineStr">
        <is>
          <t>自动管线检出的合格导管腔。</t>
        </is>
      </c>
      <c r="P1440" t="inlineStr">
        <is>
          <t>auto_pipeline;review_png_green</t>
        </is>
      </c>
      <c r="R1440" t="inlineStr">
        <is>
          <t>样品33</t>
        </is>
      </c>
    </row>
    <row r="1441">
      <c r="A1441" t="inlineStr">
        <is>
          <t>33(2)-V03</t>
        </is>
      </c>
      <c r="B1441" t="inlineStr">
        <is>
          <t>33 (2).tif</t>
        </is>
      </c>
      <c r="C1441" t="n">
        <v>229</v>
      </c>
      <c r="D1441" t="n">
        <v>236</v>
      </c>
      <c r="E1441" t="inlineStr">
        <is>
          <t>198,206,261,267</t>
        </is>
      </c>
      <c r="F1441" t="n">
        <v>198</v>
      </c>
      <c r="G1441" t="inlineStr">
        <is>
          <t>primary</t>
        </is>
      </c>
      <c r="H1441" t="inlineStr">
        <is>
          <t>AUTO_VESSEL</t>
        </is>
      </c>
      <c r="I1441" t="inlineStr">
        <is>
          <t>是</t>
        </is>
      </c>
      <c r="J1441" t="inlineStr">
        <is>
          <t>纳入</t>
        </is>
      </c>
      <c r="K1441" t="n">
        <v>137.7599243856333</v>
      </c>
      <c r="L1441">
        <f>导管母表_1781!G1441</f>
        <v/>
      </c>
      <c r="M1441" t="inlineStr">
        <is>
          <t>视野内部</t>
        </is>
      </c>
      <c r="N1441" t="inlineStr">
        <is>
          <t>纳入A/D/Dh；若有Pair_ID则纳入CWR</t>
        </is>
      </c>
      <c r="O1441" t="inlineStr">
        <is>
          <t>自动管线检出的合格导管腔。</t>
        </is>
      </c>
      <c r="P1441" t="inlineStr">
        <is>
          <t>auto_pipeline;review_png_green</t>
        </is>
      </c>
      <c r="R1441" t="inlineStr">
        <is>
          <t>样品33</t>
        </is>
      </c>
    </row>
    <row r="1442">
      <c r="A1442" t="inlineStr">
        <is>
          <t>33(2)-V04</t>
        </is>
      </c>
      <c r="B1442" t="inlineStr">
        <is>
          <t>33 (2).tif</t>
        </is>
      </c>
      <c r="C1442" t="n">
        <v>117</v>
      </c>
      <c r="D1442" t="n">
        <v>534</v>
      </c>
      <c r="E1442" t="inlineStr">
        <is>
          <t>89,502,146,567</t>
        </is>
      </c>
      <c r="F1442" t="n">
        <v>89</v>
      </c>
      <c r="G1442" t="inlineStr">
        <is>
          <t>primary</t>
        </is>
      </c>
      <c r="H1442" t="inlineStr">
        <is>
          <t>AUTO_VESSEL</t>
        </is>
      </c>
      <c r="I1442" t="inlineStr">
        <is>
          <t>是</t>
        </is>
      </c>
      <c r="J1442" t="inlineStr">
        <is>
          <t>纳入</t>
        </is>
      </c>
      <c r="K1442" t="n">
        <v>131.9706994328922</v>
      </c>
      <c r="L1442">
        <f>导管母表_1781!G1442</f>
        <v/>
      </c>
      <c r="M1442" t="inlineStr">
        <is>
          <t>视野内部</t>
        </is>
      </c>
      <c r="N1442" t="inlineStr">
        <is>
          <t>纳入A/D/Dh；若有Pair_ID则纳入CWR</t>
        </is>
      </c>
      <c r="O1442" t="inlineStr">
        <is>
          <t>自动管线检出的合格导管腔。</t>
        </is>
      </c>
      <c r="P1442" t="inlineStr">
        <is>
          <t>auto_pipeline;review_png_green</t>
        </is>
      </c>
      <c r="R1442" t="inlineStr">
        <is>
          <t>样品33</t>
        </is>
      </c>
    </row>
    <row r="1443">
      <c r="A1443" t="inlineStr">
        <is>
          <t>33(3)-V01</t>
        </is>
      </c>
      <c r="B1443" t="inlineStr">
        <is>
          <t>33 (3).tif</t>
        </is>
      </c>
      <c r="C1443" t="n">
        <v>588</v>
      </c>
      <c r="D1443" t="n">
        <v>315</v>
      </c>
      <c r="E1443" t="inlineStr">
        <is>
          <t>506,235,671,396</t>
        </is>
      </c>
      <c r="F1443" t="n">
        <v>235</v>
      </c>
      <c r="G1443" t="inlineStr">
        <is>
          <t>primary</t>
        </is>
      </c>
      <c r="H1443" t="inlineStr">
        <is>
          <t>AUTO_VESSEL</t>
        </is>
      </c>
      <c r="I1443" t="inlineStr">
        <is>
          <t>是</t>
        </is>
      </c>
      <c r="J1443" t="inlineStr">
        <is>
          <t>纳入</t>
        </is>
      </c>
      <c r="K1443" t="n">
        <v>969.6597353497165</v>
      </c>
      <c r="L1443">
        <f>导管母表_1781!G1443</f>
        <v/>
      </c>
      <c r="M1443" t="inlineStr">
        <is>
          <t>视野内部</t>
        </is>
      </c>
      <c r="N1443" t="inlineStr">
        <is>
          <t>纳入A/D/Dh；若有Pair_ID则纳入CWR</t>
        </is>
      </c>
      <c r="O1443" t="inlineStr">
        <is>
          <t>自动管线检出的合格导管腔。</t>
        </is>
      </c>
      <c r="P1443" t="inlineStr">
        <is>
          <t>auto_pipeline;review_png_green</t>
        </is>
      </c>
      <c r="R1443" t="inlineStr">
        <is>
          <t>样品33</t>
        </is>
      </c>
    </row>
    <row r="1444">
      <c r="A1444" t="inlineStr">
        <is>
          <t>33(3)-V02</t>
        </is>
      </c>
      <c r="B1444" t="inlineStr">
        <is>
          <t>33 (3).tif</t>
        </is>
      </c>
      <c r="C1444" t="n">
        <v>431</v>
      </c>
      <c r="D1444" t="n">
        <v>423</v>
      </c>
      <c r="E1444" t="inlineStr">
        <is>
          <t>358,344,505,503</t>
        </is>
      </c>
      <c r="F1444" t="n">
        <v>265</v>
      </c>
      <c r="G1444" t="inlineStr">
        <is>
          <t>primary</t>
        </is>
      </c>
      <c r="H1444" t="inlineStr">
        <is>
          <t>AUTO_VESSEL</t>
        </is>
      </c>
      <c r="I1444" t="inlineStr">
        <is>
          <t>是</t>
        </is>
      </c>
      <c r="J1444" t="inlineStr">
        <is>
          <t>纳入</t>
        </is>
      </c>
      <c r="K1444" t="n">
        <v>835.5151228733459</v>
      </c>
      <c r="L1444">
        <f>导管母表_1781!G1444</f>
        <v/>
      </c>
      <c r="M1444" t="inlineStr">
        <is>
          <t>视野内部</t>
        </is>
      </c>
      <c r="N1444" t="inlineStr">
        <is>
          <t>纳入A/D/Dh；若有Pair_ID则纳入CWR</t>
        </is>
      </c>
      <c r="O1444" t="inlineStr">
        <is>
          <t>自动管线检出的合格导管腔。</t>
        </is>
      </c>
      <c r="P1444" t="inlineStr">
        <is>
          <t>auto_pipeline;review_png_green</t>
        </is>
      </c>
      <c r="R1444" t="inlineStr">
        <is>
          <t>样品33</t>
        </is>
      </c>
    </row>
    <row r="1445">
      <c r="A1445" t="inlineStr">
        <is>
          <t>33(3)-V03</t>
        </is>
      </c>
      <c r="B1445" t="inlineStr">
        <is>
          <t>33 (3).tif</t>
        </is>
      </c>
      <c r="C1445" t="n">
        <v>187</v>
      </c>
      <c r="D1445" t="n">
        <v>252</v>
      </c>
      <c r="E1445" t="inlineStr">
        <is>
          <t>144,204,231,301</t>
        </is>
      </c>
      <c r="F1445" t="n">
        <v>144</v>
      </c>
      <c r="G1445" t="inlineStr">
        <is>
          <t>primary</t>
        </is>
      </c>
      <c r="H1445" t="inlineStr">
        <is>
          <t>AUTO_VESSEL</t>
        </is>
      </c>
      <c r="I1445" t="inlineStr">
        <is>
          <t>是</t>
        </is>
      </c>
      <c r="J1445" t="inlineStr">
        <is>
          <t>纳入</t>
        </is>
      </c>
      <c r="K1445" t="n">
        <v>232.5141776937618</v>
      </c>
      <c r="L1445">
        <f>导管母表_1781!G1445</f>
        <v/>
      </c>
      <c r="M1445" t="inlineStr">
        <is>
          <t>视野内部</t>
        </is>
      </c>
      <c r="N1445" t="inlineStr">
        <is>
          <t>纳入A/D/Dh；若有Pair_ID则纳入CWR</t>
        </is>
      </c>
      <c r="O1445" t="inlineStr">
        <is>
          <t>自动管线检出的合格导管腔。</t>
        </is>
      </c>
      <c r="P1445" t="inlineStr">
        <is>
          <t>auto_pipeline;review_png_green</t>
        </is>
      </c>
      <c r="R1445" t="inlineStr">
        <is>
          <t>样品33</t>
        </is>
      </c>
    </row>
    <row r="1446">
      <c r="A1446" t="inlineStr">
        <is>
          <t>33(3)-V04</t>
        </is>
      </c>
      <c r="B1446" t="inlineStr">
        <is>
          <t>33 (3).tif</t>
        </is>
      </c>
      <c r="C1446" t="n">
        <v>605</v>
      </c>
      <c r="D1446" t="n">
        <v>144</v>
      </c>
      <c r="E1446" t="inlineStr">
        <is>
          <t>574,112,637,177</t>
        </is>
      </c>
      <c r="F1446" t="n">
        <v>112</v>
      </c>
      <c r="G1446" t="inlineStr">
        <is>
          <t>primary</t>
        </is>
      </c>
      <c r="H1446" t="inlineStr">
        <is>
          <t>AUTO_VESSEL</t>
        </is>
      </c>
      <c r="I1446" t="inlineStr">
        <is>
          <t>是</t>
        </is>
      </c>
      <c r="J1446" t="inlineStr">
        <is>
          <t>纳入</t>
        </is>
      </c>
      <c r="K1446" t="n">
        <v>130.2457466918715</v>
      </c>
      <c r="L1446">
        <f>导管母表_1781!G1446</f>
        <v/>
      </c>
      <c r="M1446" t="inlineStr">
        <is>
          <t>视野内部</t>
        </is>
      </c>
      <c r="N1446" t="inlineStr">
        <is>
          <t>纳入A/D/Dh；若有Pair_ID则纳入CWR</t>
        </is>
      </c>
      <c r="O1446" t="inlineStr">
        <is>
          <t>自动管线检出的合格导管腔。</t>
        </is>
      </c>
      <c r="P1446" t="inlineStr">
        <is>
          <t>auto_pipeline;review_png_green</t>
        </is>
      </c>
      <c r="R1446" t="inlineStr">
        <is>
          <t>样品33</t>
        </is>
      </c>
    </row>
    <row r="1447">
      <c r="A1447" t="inlineStr">
        <is>
          <t>33(3)-V05</t>
        </is>
      </c>
      <c r="B1447" t="inlineStr">
        <is>
          <t>33 (3).tif</t>
        </is>
      </c>
      <c r="C1447" t="n">
        <v>172</v>
      </c>
      <c r="D1447" t="n">
        <v>359</v>
      </c>
      <c r="E1447" t="inlineStr">
        <is>
          <t>140,333,205,386</t>
        </is>
      </c>
      <c r="F1447" t="n">
        <v>140</v>
      </c>
      <c r="G1447" t="inlineStr">
        <is>
          <t>primary</t>
        </is>
      </c>
      <c r="H1447" t="inlineStr">
        <is>
          <t>AUTO_VESSEL</t>
        </is>
      </c>
      <c r="I1447" t="inlineStr">
        <is>
          <t>是</t>
        </is>
      </c>
      <c r="J1447" t="inlineStr">
        <is>
          <t>纳入</t>
        </is>
      </c>
      <c r="K1447" t="n">
        <v>124.2911153119093</v>
      </c>
      <c r="L1447">
        <f>导管母表_1781!G1447</f>
        <v/>
      </c>
      <c r="M1447" t="inlineStr">
        <is>
          <t>视野内部</t>
        </is>
      </c>
      <c r="N1447" t="inlineStr">
        <is>
          <t>纳入A/D/Dh；若有Pair_ID则纳入CWR</t>
        </is>
      </c>
      <c r="O1447" t="inlineStr">
        <is>
          <t>自动管线检出的合格导管腔。</t>
        </is>
      </c>
      <c r="P1447" t="inlineStr">
        <is>
          <t>auto_pipeline;review_png_green</t>
        </is>
      </c>
      <c r="R1447" t="inlineStr">
        <is>
          <t>样品33</t>
        </is>
      </c>
    </row>
    <row r="1448">
      <c r="A1448" t="inlineStr">
        <is>
          <t>33(3)-V06</t>
        </is>
      </c>
      <c r="B1448" t="inlineStr">
        <is>
          <t>33 (3).tif</t>
        </is>
      </c>
      <c r="C1448" t="n">
        <v>148</v>
      </c>
      <c r="D1448" t="n">
        <v>298</v>
      </c>
      <c r="E1448" t="inlineStr">
        <is>
          <t>108,277,189,320</t>
        </is>
      </c>
      <c r="F1448" t="n">
        <v>108</v>
      </c>
      <c r="G1448" t="inlineStr">
        <is>
          <t>primary</t>
        </is>
      </c>
      <c r="H1448" t="inlineStr">
        <is>
          <t>AUTO_VESSEL</t>
        </is>
      </c>
      <c r="I1448" t="inlineStr">
        <is>
          <t>是</t>
        </is>
      </c>
      <c r="J1448" t="inlineStr">
        <is>
          <t>纳入</t>
        </is>
      </c>
      <c r="K1448" t="n">
        <v>115.5245746691871</v>
      </c>
      <c r="L1448">
        <f>导管母表_1781!G1448</f>
        <v/>
      </c>
      <c r="M1448" t="inlineStr">
        <is>
          <t>视野内部</t>
        </is>
      </c>
      <c r="N1448" t="inlineStr">
        <is>
          <t>纳入A/D/Dh；若有Pair_ID则纳入CWR</t>
        </is>
      </c>
      <c r="O1448" t="inlineStr">
        <is>
          <t>自动管线检出的合格导管腔。</t>
        </is>
      </c>
      <c r="P1448" t="inlineStr">
        <is>
          <t>auto_pipeline;review_png_green</t>
        </is>
      </c>
      <c r="R1448" t="inlineStr">
        <is>
          <t>样品33</t>
        </is>
      </c>
    </row>
    <row r="1449">
      <c r="A1449" t="inlineStr">
        <is>
          <t>33(4)-V01</t>
        </is>
      </c>
      <c r="B1449" t="inlineStr">
        <is>
          <t>33 (4).tif</t>
        </is>
      </c>
      <c r="C1449" t="n">
        <v>943</v>
      </c>
      <c r="D1449" t="n">
        <v>252</v>
      </c>
      <c r="E1449" t="inlineStr">
        <is>
          <t>870,197,1017,308</t>
        </is>
      </c>
      <c r="F1449" t="n">
        <v>7</v>
      </c>
      <c r="G1449" t="inlineStr">
        <is>
          <t>primary</t>
        </is>
      </c>
      <c r="H1449" t="inlineStr">
        <is>
          <t>AUTO_VESSEL</t>
        </is>
      </c>
      <c r="I1449" t="inlineStr">
        <is>
          <t>是</t>
        </is>
      </c>
      <c r="J1449" t="inlineStr">
        <is>
          <t>纳入</t>
        </is>
      </c>
      <c r="K1449" t="n">
        <v>595.8175803402646</v>
      </c>
      <c r="L1449">
        <f>导管母表_1781!G1449</f>
        <v/>
      </c>
      <c r="M1449" t="inlineStr">
        <is>
          <t>近边缘（&lt;25 px）</t>
        </is>
      </c>
      <c r="N1449" t="inlineStr">
        <is>
          <t>纳入A/D/Dh；若有Pair_ID则纳入CWR</t>
        </is>
      </c>
      <c r="O1449" t="inlineStr">
        <is>
          <t>自动管线检出的合格导管腔。</t>
        </is>
      </c>
      <c r="P1449" t="inlineStr">
        <is>
          <t>auto_pipeline;review_png_green</t>
        </is>
      </c>
      <c r="R1449" t="inlineStr">
        <is>
          <t>样品33</t>
        </is>
      </c>
    </row>
    <row r="1450">
      <c r="A1450" t="inlineStr">
        <is>
          <t>33(4)-V02</t>
        </is>
      </c>
      <c r="B1450" t="inlineStr">
        <is>
          <t>33 (4).tif</t>
        </is>
      </c>
      <c r="C1450" t="n">
        <v>416</v>
      </c>
      <c r="D1450" t="n">
        <v>386</v>
      </c>
      <c r="E1450" t="inlineStr">
        <is>
          <t>363,337,470,436</t>
        </is>
      </c>
      <c r="F1450" t="n">
        <v>332</v>
      </c>
      <c r="G1450" t="inlineStr">
        <is>
          <t>primary</t>
        </is>
      </c>
      <c r="H1450" t="inlineStr">
        <is>
          <t>AUTO_VESSEL</t>
        </is>
      </c>
      <c r="I1450" t="inlineStr">
        <is>
          <t>是</t>
        </is>
      </c>
      <c r="J1450" t="inlineStr">
        <is>
          <t>纳入</t>
        </is>
      </c>
      <c r="K1450" t="n">
        <v>384.6880907372401</v>
      </c>
      <c r="L1450">
        <f>导管母表_1781!G1450</f>
        <v/>
      </c>
      <c r="M1450" t="inlineStr">
        <is>
          <t>视野内部</t>
        </is>
      </c>
      <c r="N1450" t="inlineStr">
        <is>
          <t>纳入A/D/Dh；若有Pair_ID则纳入CWR</t>
        </is>
      </c>
      <c r="O1450" t="inlineStr">
        <is>
          <t>自动管线检出的合格导管腔。</t>
        </is>
      </c>
      <c r="P1450" t="inlineStr">
        <is>
          <t>auto_pipeline;review_png_green</t>
        </is>
      </c>
      <c r="R1450" t="inlineStr">
        <is>
          <t>样品33</t>
        </is>
      </c>
    </row>
    <row r="1451">
      <c r="A1451" t="inlineStr">
        <is>
          <t>33(4)-V03</t>
        </is>
      </c>
      <c r="B1451" t="inlineStr">
        <is>
          <t>33 (4).tif</t>
        </is>
      </c>
      <c r="C1451" t="n">
        <v>254</v>
      </c>
      <c r="D1451" t="n">
        <v>368</v>
      </c>
      <c r="E1451" t="inlineStr">
        <is>
          <t>206,321,303,416</t>
        </is>
      </c>
      <c r="F1451" t="n">
        <v>206</v>
      </c>
      <c r="G1451" t="inlineStr">
        <is>
          <t>primary</t>
        </is>
      </c>
      <c r="H1451" t="inlineStr">
        <is>
          <t>AUTO_VESSEL</t>
        </is>
      </c>
      <c r="I1451" t="inlineStr">
        <is>
          <t>是</t>
        </is>
      </c>
      <c r="J1451" t="inlineStr">
        <is>
          <t>纳入</t>
        </is>
      </c>
      <c r="K1451" t="n">
        <v>335.1606805293006</v>
      </c>
      <c r="L1451">
        <f>导管母表_1781!G1451</f>
        <v/>
      </c>
      <c r="M1451" t="inlineStr">
        <is>
          <t>视野内部</t>
        </is>
      </c>
      <c r="N1451" t="inlineStr">
        <is>
          <t>纳入A/D/Dh；若有Pair_ID则纳入CWR</t>
        </is>
      </c>
      <c r="O1451" t="inlineStr">
        <is>
          <t>自动管线检出的合格导管腔。</t>
        </is>
      </c>
      <c r="P1451" t="inlineStr">
        <is>
          <t>auto_pipeline;review_png_green</t>
        </is>
      </c>
      <c r="R1451" t="inlineStr">
        <is>
          <t>样品33</t>
        </is>
      </c>
    </row>
    <row r="1452">
      <c r="A1452" t="inlineStr">
        <is>
          <t>33(4)-V04</t>
        </is>
      </c>
      <c r="B1452" t="inlineStr">
        <is>
          <t>33 (4).tif</t>
        </is>
      </c>
      <c r="C1452" t="n">
        <v>550</v>
      </c>
      <c r="D1452" t="n">
        <v>392</v>
      </c>
      <c r="E1452" t="inlineStr">
        <is>
          <t>498,349,603,436</t>
        </is>
      </c>
      <c r="F1452" t="n">
        <v>332</v>
      </c>
      <c r="G1452" t="inlineStr">
        <is>
          <t>primary</t>
        </is>
      </c>
      <c r="H1452" t="inlineStr">
        <is>
          <t>AUTO_VESSEL</t>
        </is>
      </c>
      <c r="I1452" t="inlineStr">
        <is>
          <t>是</t>
        </is>
      </c>
      <c r="J1452" t="inlineStr">
        <is>
          <t>纳入</t>
        </is>
      </c>
      <c r="K1452" t="n">
        <v>330.2693761814745</v>
      </c>
      <c r="L1452">
        <f>导管母表_1781!G1452</f>
        <v/>
      </c>
      <c r="M1452" t="inlineStr">
        <is>
          <t>视野内部</t>
        </is>
      </c>
      <c r="N1452" t="inlineStr">
        <is>
          <t>纳入A/D/Dh；若有Pair_ID则纳入CWR</t>
        </is>
      </c>
      <c r="O1452" t="inlineStr">
        <is>
          <t>自动管线检出的合格导管腔。</t>
        </is>
      </c>
      <c r="P1452" t="inlineStr">
        <is>
          <t>auto_pipeline;review_png_green</t>
        </is>
      </c>
      <c r="R1452" t="inlineStr">
        <is>
          <t>样品33</t>
        </is>
      </c>
    </row>
    <row r="1453">
      <c r="A1453" t="inlineStr">
        <is>
          <t>33(4)-V05</t>
        </is>
      </c>
      <c r="B1453" t="inlineStr">
        <is>
          <t>33 (4).tif</t>
        </is>
      </c>
      <c r="C1453" t="n">
        <v>339</v>
      </c>
      <c r="D1453" t="n">
        <v>57</v>
      </c>
      <c r="E1453" t="inlineStr">
        <is>
          <t>310,17,369,98</t>
        </is>
      </c>
      <c r="F1453" t="n">
        <v>17</v>
      </c>
      <c r="G1453" t="inlineStr">
        <is>
          <t>primary</t>
        </is>
      </c>
      <c r="H1453" t="inlineStr">
        <is>
          <t>AUTO_VESSEL</t>
        </is>
      </c>
      <c r="I1453" t="inlineStr">
        <is>
          <t>是</t>
        </is>
      </c>
      <c r="J1453" t="inlineStr">
        <is>
          <t>纳入</t>
        </is>
      </c>
      <c r="K1453" t="n">
        <v>137.1219281663516</v>
      </c>
      <c r="L1453">
        <f>导管母表_1781!G1453</f>
        <v/>
      </c>
      <c r="M1453" t="inlineStr">
        <is>
          <t>近边缘（&lt;25 px）</t>
        </is>
      </c>
      <c r="N1453" t="inlineStr">
        <is>
          <t>纳入A/D/Dh；若有Pair_ID则纳入CWR</t>
        </is>
      </c>
      <c r="O1453" t="inlineStr">
        <is>
          <t>自动管线检出的合格导管腔。</t>
        </is>
      </c>
      <c r="P1453" t="inlineStr">
        <is>
          <t>auto_pipeline;review_png_green</t>
        </is>
      </c>
      <c r="R1453" t="inlineStr">
        <is>
          <t>样品33</t>
        </is>
      </c>
    </row>
    <row r="1454">
      <c r="A1454" t="inlineStr">
        <is>
          <t>33(4)-V06</t>
        </is>
      </c>
      <c r="B1454" t="inlineStr">
        <is>
          <t>33 (4).tif</t>
        </is>
      </c>
      <c r="C1454" t="n">
        <v>149</v>
      </c>
      <c r="D1454" t="n">
        <v>134</v>
      </c>
      <c r="E1454" t="inlineStr">
        <is>
          <t>116,112,183,157</t>
        </is>
      </c>
      <c r="F1454" t="n">
        <v>112</v>
      </c>
      <c r="G1454" t="inlineStr">
        <is>
          <t>primary</t>
        </is>
      </c>
      <c r="H1454" t="inlineStr">
        <is>
          <t>AUTO_VESSEL</t>
        </is>
      </c>
      <c r="I1454" t="inlineStr">
        <is>
          <t>是</t>
        </is>
      </c>
      <c r="J1454" t="inlineStr">
        <is>
          <t>纳入</t>
        </is>
      </c>
      <c r="K1454" t="n">
        <v>108.3648393194707</v>
      </c>
      <c r="L1454">
        <f>导管母表_1781!G1454</f>
        <v/>
      </c>
      <c r="M1454" t="inlineStr">
        <is>
          <t>视野内部</t>
        </is>
      </c>
      <c r="N1454" t="inlineStr">
        <is>
          <t>纳入A/D/Dh；若有Pair_ID则纳入CWR</t>
        </is>
      </c>
      <c r="O1454" t="inlineStr">
        <is>
          <t>自动管线检出的合格导管腔。</t>
        </is>
      </c>
      <c r="P1454" t="inlineStr">
        <is>
          <t>auto_pipeline;review_png_green</t>
        </is>
      </c>
      <c r="R1454" t="inlineStr">
        <is>
          <t>样品33</t>
        </is>
      </c>
    </row>
    <row r="1455">
      <c r="A1455" t="inlineStr">
        <is>
          <t>33(5)-V01</t>
        </is>
      </c>
      <c r="B1455" t="inlineStr">
        <is>
          <t>33 (5).tif</t>
        </is>
      </c>
      <c r="C1455" t="n">
        <v>477</v>
      </c>
      <c r="D1455" t="n">
        <v>314</v>
      </c>
      <c r="E1455" t="inlineStr">
        <is>
          <t>402,234,553,395</t>
        </is>
      </c>
      <c r="F1455" t="n">
        <v>234</v>
      </c>
      <c r="G1455" t="inlineStr">
        <is>
          <t>primary</t>
        </is>
      </c>
      <c r="H1455" t="inlineStr">
        <is>
          <t>AUTO_VESSEL</t>
        </is>
      </c>
      <c r="I1455" t="inlineStr">
        <is>
          <t>是</t>
        </is>
      </c>
      <c r="J1455" t="inlineStr">
        <is>
          <t>纳入</t>
        </is>
      </c>
      <c r="K1455" t="n">
        <v>882.632325141777</v>
      </c>
      <c r="L1455">
        <f>导管母表_1781!G1455</f>
        <v/>
      </c>
      <c r="M1455" t="inlineStr">
        <is>
          <t>视野内部</t>
        </is>
      </c>
      <c r="N1455" t="inlineStr">
        <is>
          <t>纳入A/D/Dh；若有Pair_ID则纳入CWR</t>
        </is>
      </c>
      <c r="O1455" t="inlineStr">
        <is>
          <t>自动管线检出的合格导管腔。</t>
        </is>
      </c>
      <c r="P1455" t="inlineStr">
        <is>
          <t>auto_pipeline;review_png_green</t>
        </is>
      </c>
      <c r="R1455" t="inlineStr">
        <is>
          <t>样品33</t>
        </is>
      </c>
    </row>
    <row r="1456">
      <c r="A1456" t="inlineStr">
        <is>
          <t>33(5)-V02</t>
        </is>
      </c>
      <c r="B1456" t="inlineStr">
        <is>
          <t>33 (5).tif</t>
        </is>
      </c>
      <c r="C1456" t="n">
        <v>579</v>
      </c>
      <c r="D1456" t="n">
        <v>475</v>
      </c>
      <c r="E1456" t="inlineStr">
        <is>
          <t>507,407,652,544</t>
        </is>
      </c>
      <c r="F1456" t="n">
        <v>224</v>
      </c>
      <c r="G1456" t="inlineStr">
        <is>
          <t>primary</t>
        </is>
      </c>
      <c r="H1456" t="inlineStr">
        <is>
          <t>AUTO_VESSEL</t>
        </is>
      </c>
      <c r="I1456" t="inlineStr">
        <is>
          <t>是</t>
        </is>
      </c>
      <c r="J1456" t="inlineStr">
        <is>
          <t>纳入</t>
        </is>
      </c>
      <c r="K1456" t="n">
        <v>710.1843100189036</v>
      </c>
      <c r="L1456">
        <f>导管母表_1781!G1456</f>
        <v/>
      </c>
      <c r="M1456" t="inlineStr">
        <is>
          <t>视野内部</t>
        </is>
      </c>
      <c r="N1456" t="inlineStr">
        <is>
          <t>纳入A/D/Dh；若有Pair_ID则纳入CWR</t>
        </is>
      </c>
      <c r="O1456" t="inlineStr">
        <is>
          <t>自动管线检出的合格导管腔。</t>
        </is>
      </c>
      <c r="P1456" t="inlineStr">
        <is>
          <t>auto_pipeline;review_png_green</t>
        </is>
      </c>
      <c r="R1456" t="inlineStr">
        <is>
          <t>样品33</t>
        </is>
      </c>
    </row>
    <row r="1457">
      <c r="A1457" t="inlineStr">
        <is>
          <t>33(5)-V03</t>
        </is>
      </c>
      <c r="B1457" t="inlineStr">
        <is>
          <t>33 (5).tif</t>
        </is>
      </c>
      <c r="C1457" t="n">
        <v>96</v>
      </c>
      <c r="D1457" t="n">
        <v>572</v>
      </c>
      <c r="E1457" t="inlineStr">
        <is>
          <t>63,539,130,606</t>
        </is>
      </c>
      <c r="F1457" t="n">
        <v>63</v>
      </c>
      <c r="G1457" t="inlineStr">
        <is>
          <t>primary</t>
        </is>
      </c>
      <c r="H1457" t="inlineStr">
        <is>
          <t>AUTO_VESSEL</t>
        </is>
      </c>
      <c r="I1457" t="inlineStr">
        <is>
          <t>是</t>
        </is>
      </c>
      <c r="J1457" t="inlineStr">
        <is>
          <t>纳入</t>
        </is>
      </c>
      <c r="K1457" t="n">
        <v>121.2665406427221</v>
      </c>
      <c r="L1457">
        <f>导管母表_1781!G1457</f>
        <v/>
      </c>
      <c r="M1457" t="inlineStr">
        <is>
          <t>视野内部</t>
        </is>
      </c>
      <c r="N1457" t="inlineStr">
        <is>
          <t>纳入A/D/Dh；若有Pair_ID则纳入CWR</t>
        </is>
      </c>
      <c r="O1457" t="inlineStr">
        <is>
          <t>自动管线检出的合格导管腔。</t>
        </is>
      </c>
      <c r="P1457" t="inlineStr">
        <is>
          <t>auto_pipeline;review_png_green</t>
        </is>
      </c>
      <c r="R1457" t="inlineStr">
        <is>
          <t>样品33</t>
        </is>
      </c>
    </row>
    <row r="1458">
      <c r="A1458" t="inlineStr">
        <is>
          <t>33(6)-V01</t>
        </is>
      </c>
      <c r="B1458" t="inlineStr">
        <is>
          <t>33 (6).tif</t>
        </is>
      </c>
      <c r="C1458" t="n">
        <v>681</v>
      </c>
      <c r="D1458" t="n">
        <v>176</v>
      </c>
      <c r="E1458" t="inlineStr">
        <is>
          <t>610,99,753,254</t>
        </is>
      </c>
      <c r="F1458" t="n">
        <v>99</v>
      </c>
      <c r="G1458" t="inlineStr">
        <is>
          <t>primary</t>
        </is>
      </c>
      <c r="H1458" t="inlineStr">
        <is>
          <t>AUTO_VESSEL</t>
        </is>
      </c>
      <c r="I1458" t="inlineStr">
        <is>
          <t>是</t>
        </is>
      </c>
      <c r="J1458" t="inlineStr">
        <is>
          <t>纳入</t>
        </is>
      </c>
      <c r="K1458" t="n">
        <v>791.351606805293</v>
      </c>
      <c r="L1458">
        <f>导管母表_1781!G1458</f>
        <v/>
      </c>
      <c r="M1458" t="inlineStr">
        <is>
          <t>视野内部</t>
        </is>
      </c>
      <c r="N1458" t="inlineStr">
        <is>
          <t>纳入A/D/Dh；若有Pair_ID则纳入CWR</t>
        </is>
      </c>
      <c r="O1458" t="inlineStr">
        <is>
          <t>自动管线检出的合格导管腔。</t>
        </is>
      </c>
      <c r="P1458" t="inlineStr">
        <is>
          <t>auto_pipeline;review_png_green</t>
        </is>
      </c>
      <c r="Q1458" t="inlineStr">
        <is>
          <t>33(6)-P01</t>
        </is>
      </c>
      <c r="R1458" t="inlineStr">
        <is>
          <t>样品33</t>
        </is>
      </c>
    </row>
    <row r="1459">
      <c r="A1459" t="inlineStr">
        <is>
          <t>33(6)-V02</t>
        </is>
      </c>
      <c r="B1459" t="inlineStr">
        <is>
          <t>33 (6).tif</t>
        </is>
      </c>
      <c r="C1459" t="n">
        <v>501</v>
      </c>
      <c r="D1459" t="n">
        <v>450</v>
      </c>
      <c r="E1459" t="inlineStr">
        <is>
          <t>434,393,569,508</t>
        </is>
      </c>
      <c r="F1459" t="n">
        <v>260</v>
      </c>
      <c r="G1459" t="inlineStr">
        <is>
          <t>primary</t>
        </is>
      </c>
      <c r="H1459" t="inlineStr">
        <is>
          <t>AUTO_VESSEL</t>
        </is>
      </c>
      <c r="I1459" t="inlineStr">
        <is>
          <t>是</t>
        </is>
      </c>
      <c r="J1459" t="inlineStr">
        <is>
          <t>纳入</t>
        </is>
      </c>
      <c r="K1459" t="n">
        <v>550.6143667296786</v>
      </c>
      <c r="L1459">
        <f>导管母表_1781!G1459</f>
        <v/>
      </c>
      <c r="M1459" t="inlineStr">
        <is>
          <t>视野内部</t>
        </is>
      </c>
      <c r="N1459" t="inlineStr">
        <is>
          <t>纳入A/D/Dh；若有Pair_ID则纳入CWR</t>
        </is>
      </c>
      <c r="O1459" t="inlineStr">
        <is>
          <t>自动管线检出的合格导管腔。</t>
        </is>
      </c>
      <c r="P1459" t="inlineStr">
        <is>
          <t>auto_pipeline;review_png_green</t>
        </is>
      </c>
      <c r="R1459" t="inlineStr">
        <is>
          <t>样品33</t>
        </is>
      </c>
    </row>
    <row r="1460">
      <c r="A1460" t="inlineStr">
        <is>
          <t>33(6)-V03</t>
        </is>
      </c>
      <c r="B1460" t="inlineStr">
        <is>
          <t>33 (6).tif</t>
        </is>
      </c>
      <c r="C1460" t="n">
        <v>78</v>
      </c>
      <c r="D1460" t="n">
        <v>88</v>
      </c>
      <c r="E1460" t="inlineStr">
        <is>
          <t>24,13,133,164</t>
        </is>
      </c>
      <c r="F1460" t="n">
        <v>13</v>
      </c>
      <c r="G1460" t="inlineStr">
        <is>
          <t>primary</t>
        </is>
      </c>
      <c r="H1460" t="inlineStr">
        <is>
          <t>AUTO_VESSEL</t>
        </is>
      </c>
      <c r="I1460" t="inlineStr">
        <is>
          <t>是</t>
        </is>
      </c>
      <c r="J1460" t="inlineStr">
        <is>
          <t>纳入</t>
        </is>
      </c>
      <c r="K1460" t="n">
        <v>541.0207939508507</v>
      </c>
      <c r="L1460">
        <f>导管母表_1781!G1460</f>
        <v/>
      </c>
      <c r="M1460" t="inlineStr">
        <is>
          <t>近边缘（&lt;25 px）</t>
        </is>
      </c>
      <c r="N1460" t="inlineStr">
        <is>
          <t>纳入A/D/Dh；若有Pair_ID则纳入CWR</t>
        </is>
      </c>
      <c r="O1460" t="inlineStr">
        <is>
          <t>自动管线检出的合格导管腔。</t>
        </is>
      </c>
      <c r="P1460" t="inlineStr">
        <is>
          <t>auto_pipeline;review_png_green</t>
        </is>
      </c>
      <c r="R1460" t="inlineStr">
        <is>
          <t>样品33</t>
        </is>
      </c>
    </row>
    <row r="1461">
      <c r="A1461" t="inlineStr">
        <is>
          <t>33(6)-V04</t>
        </is>
      </c>
      <c r="B1461" t="inlineStr">
        <is>
          <t>33 (6).tif</t>
        </is>
      </c>
      <c r="C1461" t="n">
        <v>488</v>
      </c>
      <c r="D1461" t="n">
        <v>332</v>
      </c>
      <c r="E1461" t="inlineStr">
        <is>
          <t>431,288,546,377</t>
        </is>
      </c>
      <c r="F1461" t="n">
        <v>288</v>
      </c>
      <c r="G1461" t="inlineStr">
        <is>
          <t>primary</t>
        </is>
      </c>
      <c r="H1461" t="inlineStr">
        <is>
          <t>AUTO_VESSEL</t>
        </is>
      </c>
      <c r="I1461" t="inlineStr">
        <is>
          <t>是</t>
        </is>
      </c>
      <c r="J1461" t="inlineStr">
        <is>
          <t>纳入</t>
        </is>
      </c>
      <c r="K1461" t="n">
        <v>369.8960302457467</v>
      </c>
      <c r="L1461">
        <f>导管母表_1781!G1461</f>
        <v/>
      </c>
      <c r="M1461" t="inlineStr">
        <is>
          <t>视野内部</t>
        </is>
      </c>
      <c r="N1461" t="inlineStr">
        <is>
          <t>纳入A/D/Dh；若有Pair_ID则纳入CWR</t>
        </is>
      </c>
      <c r="O1461" t="inlineStr">
        <is>
          <t>自动管线检出的合格导管腔。</t>
        </is>
      </c>
      <c r="P1461" t="inlineStr">
        <is>
          <t>auto_pipeline;review_png_green</t>
        </is>
      </c>
      <c r="R1461" t="inlineStr">
        <is>
          <t>样品33</t>
        </is>
      </c>
    </row>
    <row r="1462">
      <c r="A1462" t="inlineStr">
        <is>
          <t>33(6)-V05</t>
        </is>
      </c>
      <c r="B1462" t="inlineStr">
        <is>
          <t>33 (6).tif</t>
        </is>
      </c>
      <c r="C1462" t="n">
        <v>540</v>
      </c>
      <c r="D1462" t="n">
        <v>114</v>
      </c>
      <c r="E1462" t="inlineStr">
        <is>
          <t>491,62,590,167</t>
        </is>
      </c>
      <c r="F1462" t="n">
        <v>62</v>
      </c>
      <c r="G1462" t="inlineStr">
        <is>
          <t>primary</t>
        </is>
      </c>
      <c r="H1462" t="inlineStr">
        <is>
          <t>AUTO_VESSEL</t>
        </is>
      </c>
      <c r="I1462" t="inlineStr">
        <is>
          <t>是</t>
        </is>
      </c>
      <c r="J1462" t="inlineStr">
        <is>
          <t>纳入</t>
        </is>
      </c>
      <c r="K1462" t="n">
        <v>365.6190926275992</v>
      </c>
      <c r="L1462">
        <f>导管母表_1781!G1462</f>
        <v/>
      </c>
      <c r="M1462" t="inlineStr">
        <is>
          <t>视野内部</t>
        </is>
      </c>
      <c r="N1462" t="inlineStr">
        <is>
          <t>纳入A/D/Dh；若有Pair_ID则纳入CWR</t>
        </is>
      </c>
      <c r="O1462" t="inlineStr">
        <is>
          <t>自动管线检出的合格导管腔。</t>
        </is>
      </c>
      <c r="P1462" t="inlineStr">
        <is>
          <t>auto_pipeline;review_png_green</t>
        </is>
      </c>
      <c r="Q1462" t="inlineStr">
        <is>
          <t>33(6)-P01</t>
        </is>
      </c>
      <c r="R1462" t="inlineStr">
        <is>
          <t>样品33</t>
        </is>
      </c>
    </row>
    <row r="1463">
      <c r="A1463" t="inlineStr">
        <is>
          <t>33(6)-V06</t>
        </is>
      </c>
      <c r="B1463" t="inlineStr">
        <is>
          <t>33 (6).tif</t>
        </is>
      </c>
      <c r="C1463" t="n">
        <v>150</v>
      </c>
      <c r="D1463" t="n">
        <v>402</v>
      </c>
      <c r="E1463" t="inlineStr">
        <is>
          <t>109,371,192,434</t>
        </is>
      </c>
      <c r="F1463" t="n">
        <v>109</v>
      </c>
      <c r="G1463" t="inlineStr">
        <is>
          <t>primary</t>
        </is>
      </c>
      <c r="H1463" t="inlineStr">
        <is>
          <t>AUTO_VESSEL</t>
        </is>
      </c>
      <c r="I1463" t="inlineStr">
        <is>
          <t>是</t>
        </is>
      </c>
      <c r="J1463" t="inlineStr">
        <is>
          <t>纳入</t>
        </is>
      </c>
      <c r="K1463" t="n">
        <v>187.4054820415879</v>
      </c>
      <c r="L1463">
        <f>导管母表_1781!G1463</f>
        <v/>
      </c>
      <c r="M1463" t="inlineStr">
        <is>
          <t>视野内部</t>
        </is>
      </c>
      <c r="N1463" t="inlineStr">
        <is>
          <t>纳入A/D/Dh；若有Pair_ID则纳入CWR</t>
        </is>
      </c>
      <c r="O1463" t="inlineStr">
        <is>
          <t>自动管线检出的合格导管腔。</t>
        </is>
      </c>
      <c r="P1463" t="inlineStr">
        <is>
          <t>auto_pipeline;review_png_green</t>
        </is>
      </c>
      <c r="R1463" t="inlineStr">
        <is>
          <t>样品33</t>
        </is>
      </c>
    </row>
    <row r="1464">
      <c r="A1464" t="inlineStr">
        <is>
          <t>33(6)-V07</t>
        </is>
      </c>
      <c r="B1464" t="inlineStr">
        <is>
          <t>33 (6).tif</t>
        </is>
      </c>
      <c r="C1464" t="n">
        <v>454</v>
      </c>
      <c r="D1464" t="n">
        <v>243</v>
      </c>
      <c r="E1464" t="inlineStr">
        <is>
          <t>386,202,523,285</t>
        </is>
      </c>
      <c r="F1464" t="n">
        <v>202</v>
      </c>
      <c r="G1464" t="inlineStr">
        <is>
          <t>primary</t>
        </is>
      </c>
      <c r="H1464" t="inlineStr">
        <is>
          <t>AUTO_VESSEL</t>
        </is>
      </c>
      <c r="I1464" t="inlineStr">
        <is>
          <t>是</t>
        </is>
      </c>
      <c r="J1464" t="inlineStr">
        <is>
          <t>纳入</t>
        </is>
      </c>
      <c r="K1464" t="n">
        <v>174.2911153119093</v>
      </c>
      <c r="L1464">
        <f>导管母表_1781!G1464</f>
        <v/>
      </c>
      <c r="M1464" t="inlineStr">
        <is>
          <t>视野内部</t>
        </is>
      </c>
      <c r="N1464" t="inlineStr">
        <is>
          <t>纳入A/D/Dh；若有Pair_ID则纳入CWR</t>
        </is>
      </c>
      <c r="O1464" t="inlineStr">
        <is>
          <t>自动管线检出的合格导管腔。</t>
        </is>
      </c>
      <c r="P1464" t="inlineStr">
        <is>
          <t>auto_pipeline;review_png_green</t>
        </is>
      </c>
      <c r="R1464" t="inlineStr">
        <is>
          <t>样品33</t>
        </is>
      </c>
    </row>
    <row r="1465">
      <c r="A1465" t="inlineStr">
        <is>
          <t>33(6)-V08</t>
        </is>
      </c>
      <c r="B1465" t="inlineStr">
        <is>
          <t>33 (6).tif</t>
        </is>
      </c>
      <c r="C1465" t="n">
        <v>787</v>
      </c>
      <c r="D1465" t="n">
        <v>620</v>
      </c>
      <c r="E1465" t="inlineStr">
        <is>
          <t>754,579,821,662</t>
        </is>
      </c>
      <c r="F1465" t="n">
        <v>106</v>
      </c>
      <c r="G1465" t="inlineStr">
        <is>
          <t>primary</t>
        </is>
      </c>
      <c r="H1465" t="inlineStr">
        <is>
          <t>AUTO_VESSEL</t>
        </is>
      </c>
      <c r="I1465" t="inlineStr">
        <is>
          <t>是</t>
        </is>
      </c>
      <c r="J1465" t="inlineStr">
        <is>
          <t>纳入</t>
        </is>
      </c>
      <c r="K1465" t="n">
        <v>131.2854442344045</v>
      </c>
      <c r="L1465">
        <f>导管母表_1781!G1465</f>
        <v/>
      </c>
      <c r="M1465" t="inlineStr">
        <is>
          <t>视野内部</t>
        </is>
      </c>
      <c r="N1465" t="inlineStr">
        <is>
          <t>纳入A/D/Dh；若有Pair_ID则纳入CWR</t>
        </is>
      </c>
      <c r="O1465" t="inlineStr">
        <is>
          <t>自动管线检出的合格导管腔。</t>
        </is>
      </c>
      <c r="P1465" t="inlineStr">
        <is>
          <t>auto_pipeline;review_png_green</t>
        </is>
      </c>
      <c r="R1465" t="inlineStr">
        <is>
          <t>样品33</t>
        </is>
      </c>
    </row>
    <row r="1466">
      <c r="A1466" t="inlineStr">
        <is>
          <t>33(6)-V09</t>
        </is>
      </c>
      <c r="B1466" t="inlineStr">
        <is>
          <t>33 (6).tif</t>
        </is>
      </c>
      <c r="C1466" t="n">
        <v>498</v>
      </c>
      <c r="D1466" t="n">
        <v>255</v>
      </c>
      <c r="E1466" t="inlineStr">
        <is>
          <t>469,226,528,285</t>
        </is>
      </c>
      <c r="F1466" t="n">
        <v>226</v>
      </c>
      <c r="G1466" t="inlineStr">
        <is>
          <t>primary</t>
        </is>
      </c>
      <c r="H1466" t="inlineStr">
        <is>
          <t>AUTO_VESSEL</t>
        </is>
      </c>
      <c r="I1466" t="inlineStr">
        <is>
          <t>是</t>
        </is>
      </c>
      <c r="J1466" t="inlineStr">
        <is>
          <t>纳入</t>
        </is>
      </c>
      <c r="K1466" t="n">
        <v>120.3213610586011</v>
      </c>
      <c r="L1466">
        <f>导管母表_1781!G1466</f>
        <v/>
      </c>
      <c r="M1466" t="inlineStr">
        <is>
          <t>视野内部</t>
        </is>
      </c>
      <c r="N1466" t="inlineStr">
        <is>
          <t>纳入A/D/Dh；若有Pair_ID则纳入CWR</t>
        </is>
      </c>
      <c r="O1466" t="inlineStr">
        <is>
          <t>自动管线检出的合格导管腔。</t>
        </is>
      </c>
      <c r="P1466" t="inlineStr">
        <is>
          <t>auto_pipeline;review_png_green</t>
        </is>
      </c>
      <c r="R1466" t="inlineStr">
        <is>
          <t>样品33</t>
        </is>
      </c>
    </row>
    <row r="1467">
      <c r="A1467" t="inlineStr">
        <is>
          <t>33(7)-V01</t>
        </is>
      </c>
      <c r="B1467" t="inlineStr">
        <is>
          <t>33 (7).tif</t>
        </is>
      </c>
      <c r="C1467" t="n">
        <v>520</v>
      </c>
      <c r="D1467" t="n">
        <v>495</v>
      </c>
      <c r="E1467" t="inlineStr">
        <is>
          <t>442,411,599,580</t>
        </is>
      </c>
      <c r="F1467" t="n">
        <v>188</v>
      </c>
      <c r="G1467" t="inlineStr">
        <is>
          <t>primary</t>
        </is>
      </c>
      <c r="H1467" t="inlineStr">
        <is>
          <t>AUTO_VESSEL</t>
        </is>
      </c>
      <c r="I1467" t="inlineStr">
        <is>
          <t>是</t>
        </is>
      </c>
      <c r="J1467" t="inlineStr">
        <is>
          <t>纳入</t>
        </is>
      </c>
      <c r="K1467" t="n">
        <v>982.4196597353497</v>
      </c>
      <c r="L1467">
        <f>导管母表_1781!G1467</f>
        <v/>
      </c>
      <c r="M1467" t="inlineStr">
        <is>
          <t>视野内部</t>
        </is>
      </c>
      <c r="N1467" t="inlineStr">
        <is>
          <t>纳入A/D/Dh；若有Pair_ID则纳入CWR</t>
        </is>
      </c>
      <c r="O1467" t="inlineStr">
        <is>
          <t>自动管线检出的合格导管腔。</t>
        </is>
      </c>
      <c r="P1467" t="inlineStr">
        <is>
          <t>auto_pipeline;review_png_green</t>
        </is>
      </c>
      <c r="Q1467" t="inlineStr">
        <is>
          <t>33(7)-P01</t>
        </is>
      </c>
      <c r="R1467" t="inlineStr">
        <is>
          <t>样品33</t>
        </is>
      </c>
    </row>
    <row r="1468">
      <c r="A1468" t="inlineStr">
        <is>
          <t>33(7)-V02</t>
        </is>
      </c>
      <c r="B1468" t="inlineStr">
        <is>
          <t>33 (7).tif</t>
        </is>
      </c>
      <c r="C1468" t="n">
        <v>873</v>
      </c>
      <c r="D1468" t="n">
        <v>575</v>
      </c>
      <c r="E1468" t="inlineStr">
        <is>
          <t>799,492,948,659</t>
        </is>
      </c>
      <c r="F1468" t="n">
        <v>76</v>
      </c>
      <c r="G1468" t="inlineStr">
        <is>
          <t>primary</t>
        </is>
      </c>
      <c r="H1468" t="inlineStr">
        <is>
          <t>AUTO_VESSEL</t>
        </is>
      </c>
      <c r="I1468" t="inlineStr">
        <is>
          <t>是</t>
        </is>
      </c>
      <c r="J1468" t="inlineStr">
        <is>
          <t>纳入</t>
        </is>
      </c>
      <c r="K1468" t="n">
        <v>907.3251417769376</v>
      </c>
      <c r="L1468">
        <f>导管母表_1781!G1468</f>
        <v/>
      </c>
      <c r="M1468" t="inlineStr">
        <is>
          <t>视野内部</t>
        </is>
      </c>
      <c r="N1468" t="inlineStr">
        <is>
          <t>纳入A/D/Dh；若有Pair_ID则纳入CWR</t>
        </is>
      </c>
      <c r="O1468" t="inlineStr">
        <is>
          <t>自动管线检出的合格导管腔。</t>
        </is>
      </c>
      <c r="P1468" t="inlineStr">
        <is>
          <t>auto_pipeline;review_png_green</t>
        </is>
      </c>
      <c r="R1468" t="inlineStr">
        <is>
          <t>样品33</t>
        </is>
      </c>
    </row>
    <row r="1469">
      <c r="A1469" t="inlineStr">
        <is>
          <t>33(7)-V03</t>
        </is>
      </c>
      <c r="B1469" t="inlineStr">
        <is>
          <t>33 (7).tif</t>
        </is>
      </c>
      <c r="C1469" t="n">
        <v>499</v>
      </c>
      <c r="D1469" t="n">
        <v>314</v>
      </c>
      <c r="E1469" t="inlineStr">
        <is>
          <t>428,240,571,389</t>
        </is>
      </c>
      <c r="F1469" t="n">
        <v>240</v>
      </c>
      <c r="G1469" t="inlineStr">
        <is>
          <t>primary</t>
        </is>
      </c>
      <c r="H1469" t="inlineStr">
        <is>
          <t>AUTO_VESSEL</t>
        </is>
      </c>
      <c r="I1469" t="inlineStr">
        <is>
          <t>是</t>
        </is>
      </c>
      <c r="J1469" t="inlineStr">
        <is>
          <t>纳入</t>
        </is>
      </c>
      <c r="K1469" t="n">
        <v>777.859168241966</v>
      </c>
      <c r="L1469">
        <f>导管母表_1781!G1469</f>
        <v/>
      </c>
      <c r="M1469" t="inlineStr">
        <is>
          <t>视野内部</t>
        </is>
      </c>
      <c r="N1469" t="inlineStr">
        <is>
          <t>纳入A/D/Dh；若有Pair_ID则纳入CWR</t>
        </is>
      </c>
      <c r="O1469" t="inlineStr">
        <is>
          <t>自动管线检出的合格导管腔。</t>
        </is>
      </c>
      <c r="P1469" t="inlineStr">
        <is>
          <t>auto_pipeline;review_png_green</t>
        </is>
      </c>
      <c r="Q1469" t="inlineStr">
        <is>
          <t>33(7)-P01</t>
        </is>
      </c>
      <c r="R1469" t="inlineStr">
        <is>
          <t>样品33</t>
        </is>
      </c>
    </row>
    <row r="1470">
      <c r="A1470" t="inlineStr">
        <is>
          <t>33(7)-V04</t>
        </is>
      </c>
      <c r="B1470" t="inlineStr">
        <is>
          <t>33 (7).tif</t>
        </is>
      </c>
      <c r="C1470" t="n">
        <v>877</v>
      </c>
      <c r="D1470" t="n">
        <v>384</v>
      </c>
      <c r="E1470" t="inlineStr">
        <is>
          <t>817,323,938,446</t>
        </is>
      </c>
      <c r="F1470" t="n">
        <v>86</v>
      </c>
      <c r="G1470" t="inlineStr">
        <is>
          <t>primary</t>
        </is>
      </c>
      <c r="H1470" t="inlineStr">
        <is>
          <t>AUTO_VESSEL</t>
        </is>
      </c>
      <c r="I1470" t="inlineStr">
        <is>
          <t>是</t>
        </is>
      </c>
      <c r="J1470" t="inlineStr">
        <is>
          <t>纳入</t>
        </is>
      </c>
      <c r="K1470" t="n">
        <v>541.8950850661626</v>
      </c>
      <c r="L1470">
        <f>导管母表_1781!G1470</f>
        <v/>
      </c>
      <c r="M1470" t="inlineStr">
        <is>
          <t>视野内部</t>
        </is>
      </c>
      <c r="N1470" t="inlineStr">
        <is>
          <t>纳入A/D/Dh；若有Pair_ID则纳入CWR</t>
        </is>
      </c>
      <c r="O1470" t="inlineStr">
        <is>
          <t>自动管线检出的合格导管腔。</t>
        </is>
      </c>
      <c r="P1470" t="inlineStr">
        <is>
          <t>auto_pipeline;review_png_green</t>
        </is>
      </c>
      <c r="R1470" t="inlineStr">
        <is>
          <t>样品33</t>
        </is>
      </c>
    </row>
    <row r="1471">
      <c r="A1471" t="inlineStr">
        <is>
          <t>33(7)-V05</t>
        </is>
      </c>
      <c r="B1471" t="inlineStr">
        <is>
          <t>33 (7).tif</t>
        </is>
      </c>
      <c r="C1471" t="n">
        <v>186</v>
      </c>
      <c r="D1471" t="n">
        <v>331</v>
      </c>
      <c r="E1471" t="inlineStr">
        <is>
          <t>134,266,239,397</t>
        </is>
      </c>
      <c r="F1471" t="n">
        <v>134</v>
      </c>
      <c r="G1471" t="inlineStr">
        <is>
          <t>primary</t>
        </is>
      </c>
      <c r="H1471" t="inlineStr">
        <is>
          <t>AUTO_VESSEL</t>
        </is>
      </c>
      <c r="I1471" t="inlineStr">
        <is>
          <t>是</t>
        </is>
      </c>
      <c r="J1471" t="inlineStr">
        <is>
          <t>纳入</t>
        </is>
      </c>
      <c r="K1471" t="n">
        <v>487.7362948960302</v>
      </c>
      <c r="L1471">
        <f>导管母表_1781!G1471</f>
        <v/>
      </c>
      <c r="M1471" t="inlineStr">
        <is>
          <t>视野内部</t>
        </is>
      </c>
      <c r="N1471" t="inlineStr">
        <is>
          <t>纳入A/D/Dh；若有Pair_ID则纳入CWR</t>
        </is>
      </c>
      <c r="O1471" t="inlineStr">
        <is>
          <t>自动管线检出的合格导管腔。</t>
        </is>
      </c>
      <c r="P1471" t="inlineStr">
        <is>
          <t>auto_pipeline;review_png_green</t>
        </is>
      </c>
      <c r="R1471" t="inlineStr">
        <is>
          <t>样品33</t>
        </is>
      </c>
    </row>
    <row r="1472">
      <c r="A1472" t="inlineStr">
        <is>
          <t>33(7)-V06</t>
        </is>
      </c>
      <c r="B1472" t="inlineStr">
        <is>
          <t>33 (7).tif</t>
        </is>
      </c>
      <c r="C1472" t="n">
        <v>525</v>
      </c>
      <c r="D1472" t="n">
        <v>338</v>
      </c>
      <c r="E1472" t="inlineStr">
        <is>
          <t>481,290,570,387</t>
        </is>
      </c>
      <c r="F1472" t="n">
        <v>290</v>
      </c>
      <c r="G1472" t="inlineStr">
        <is>
          <t>primary</t>
        </is>
      </c>
      <c r="H1472" t="inlineStr">
        <is>
          <t>AUTO_VESSEL</t>
        </is>
      </c>
      <c r="I1472" t="inlineStr">
        <is>
          <t>是</t>
        </is>
      </c>
      <c r="J1472" t="inlineStr">
        <is>
          <t>纳入</t>
        </is>
      </c>
      <c r="K1472" t="n">
        <v>308.4829867674858</v>
      </c>
      <c r="L1472">
        <f>导管母表_1781!G1472</f>
        <v/>
      </c>
      <c r="M1472" t="inlineStr">
        <is>
          <t>视野内部</t>
        </is>
      </c>
      <c r="N1472" t="inlineStr">
        <is>
          <t>纳入A/D/Dh；若有Pair_ID则纳入CWR</t>
        </is>
      </c>
      <c r="O1472" t="inlineStr">
        <is>
          <t>自动管线检出的合格导管腔。</t>
        </is>
      </c>
      <c r="P1472" t="inlineStr">
        <is>
          <t>auto_pipeline;review_png_green</t>
        </is>
      </c>
      <c r="R1472" t="inlineStr">
        <is>
          <t>样品33</t>
        </is>
      </c>
    </row>
    <row r="1473">
      <c r="A1473" t="inlineStr">
        <is>
          <t>33(7)-V07</t>
        </is>
      </c>
      <c r="B1473" t="inlineStr">
        <is>
          <t>33 (7).tif</t>
        </is>
      </c>
      <c r="C1473" t="n">
        <v>72</v>
      </c>
      <c r="D1473" t="n">
        <v>430</v>
      </c>
      <c r="E1473" t="inlineStr">
        <is>
          <t>46,377,99,484</t>
        </is>
      </c>
      <c r="F1473" t="n">
        <v>46</v>
      </c>
      <c r="G1473" t="inlineStr">
        <is>
          <t>primary</t>
        </is>
      </c>
      <c r="H1473" t="inlineStr">
        <is>
          <t>AUTO_VESSEL</t>
        </is>
      </c>
      <c r="I1473" t="inlineStr">
        <is>
          <t>是</t>
        </is>
      </c>
      <c r="J1473" t="inlineStr">
        <is>
          <t>纳入</t>
        </is>
      </c>
      <c r="K1473" t="n">
        <v>185.0189035916824</v>
      </c>
      <c r="L1473">
        <f>导管母表_1781!G1473</f>
        <v/>
      </c>
      <c r="M1473" t="inlineStr">
        <is>
          <t>视野内部</t>
        </is>
      </c>
      <c r="N1473" t="inlineStr">
        <is>
          <t>纳入A/D/Dh；若有Pair_ID则纳入CWR</t>
        </is>
      </c>
      <c r="O1473" t="inlineStr">
        <is>
          <t>自动管线检出的合格导管腔。</t>
        </is>
      </c>
      <c r="P1473" t="inlineStr">
        <is>
          <t>auto_pipeline;review_png_green</t>
        </is>
      </c>
      <c r="R1473" t="inlineStr">
        <is>
          <t>样品33</t>
        </is>
      </c>
    </row>
    <row r="1474">
      <c r="A1474" t="inlineStr">
        <is>
          <t>33(8)-V01</t>
        </is>
      </c>
      <c r="B1474" t="inlineStr">
        <is>
          <t>33 (8).tif</t>
        </is>
      </c>
      <c r="C1474" t="n">
        <v>444</v>
      </c>
      <c r="D1474" t="n">
        <v>410</v>
      </c>
      <c r="E1474" t="inlineStr">
        <is>
          <t>393,360,496,461</t>
        </is>
      </c>
      <c r="F1474" t="n">
        <v>307</v>
      </c>
      <c r="G1474" t="inlineStr">
        <is>
          <t>primary</t>
        </is>
      </c>
      <c r="H1474" t="inlineStr">
        <is>
          <t>AUTO_VESSEL</t>
        </is>
      </c>
      <c r="I1474" t="inlineStr">
        <is>
          <t>是</t>
        </is>
      </c>
      <c r="J1474" t="inlineStr">
        <is>
          <t>纳入</t>
        </is>
      </c>
      <c r="K1474" t="n">
        <v>377.5283553875236</v>
      </c>
      <c r="L1474">
        <f>导管母表_1781!G1474</f>
        <v/>
      </c>
      <c r="M1474" t="inlineStr">
        <is>
          <t>视野内部</t>
        </is>
      </c>
      <c r="N1474" t="inlineStr">
        <is>
          <t>纳入A/D/Dh；若有Pair_ID则纳入CWR</t>
        </is>
      </c>
      <c r="O1474" t="inlineStr">
        <is>
          <t>自动管线检出的合格导管腔。</t>
        </is>
      </c>
      <c r="P1474" t="inlineStr">
        <is>
          <t>auto_pipeline;review_png_green</t>
        </is>
      </c>
      <c r="R1474" t="inlineStr">
        <is>
          <t>样品33</t>
        </is>
      </c>
    </row>
    <row r="1475">
      <c r="A1475" t="inlineStr">
        <is>
          <t>33(8)-V02</t>
        </is>
      </c>
      <c r="B1475" t="inlineStr">
        <is>
          <t>33 (8).tif</t>
        </is>
      </c>
      <c r="C1475" t="n">
        <v>871</v>
      </c>
      <c r="D1475" t="n">
        <v>624</v>
      </c>
      <c r="E1475" t="inlineStr">
        <is>
          <t>823,579,920,670</t>
        </is>
      </c>
      <c r="F1475" t="n">
        <v>98</v>
      </c>
      <c r="G1475" t="inlineStr">
        <is>
          <t>primary</t>
        </is>
      </c>
      <c r="H1475" t="inlineStr">
        <is>
          <t>AUTO_VESSEL</t>
        </is>
      </c>
      <c r="I1475" t="inlineStr">
        <is>
          <t>是</t>
        </is>
      </c>
      <c r="J1475" t="inlineStr">
        <is>
          <t>纳入</t>
        </is>
      </c>
      <c r="K1475" t="n">
        <v>317.7693761814745</v>
      </c>
      <c r="L1475">
        <f>导管母表_1781!G1475</f>
        <v/>
      </c>
      <c r="M1475" t="inlineStr">
        <is>
          <t>视野内部</t>
        </is>
      </c>
      <c r="N1475" t="inlineStr">
        <is>
          <t>纳入A/D/Dh；若有Pair_ID则纳入CWR</t>
        </is>
      </c>
      <c r="O1475" t="inlineStr">
        <is>
          <t>自动管线检出的合格导管腔。</t>
        </is>
      </c>
      <c r="P1475" t="inlineStr">
        <is>
          <t>auto_pipeline;review_png_green</t>
        </is>
      </c>
      <c r="R1475" t="inlineStr">
        <is>
          <t>样品33</t>
        </is>
      </c>
    </row>
    <row r="1476">
      <c r="A1476" t="inlineStr">
        <is>
          <t>33(8)-V03</t>
        </is>
      </c>
      <c r="B1476" t="inlineStr">
        <is>
          <t>33 (8).tif</t>
        </is>
      </c>
      <c r="C1476" t="n">
        <v>540</v>
      </c>
      <c r="D1476" t="n">
        <v>343</v>
      </c>
      <c r="E1476" t="inlineStr">
        <is>
          <t>496,296,585,391</t>
        </is>
      </c>
      <c r="F1476" t="n">
        <v>296</v>
      </c>
      <c r="G1476" t="inlineStr">
        <is>
          <t>primary</t>
        </is>
      </c>
      <c r="H1476" t="inlineStr">
        <is>
          <t>AUTO_VESSEL</t>
        </is>
      </c>
      <c r="I1476" t="inlineStr">
        <is>
          <t>是</t>
        </is>
      </c>
      <c r="J1476" t="inlineStr">
        <is>
          <t>纳入</t>
        </is>
      </c>
      <c r="K1476" t="n">
        <v>306.1436672967864</v>
      </c>
      <c r="L1476">
        <f>导管母表_1781!G1476</f>
        <v/>
      </c>
      <c r="M1476" t="inlineStr">
        <is>
          <t>视野内部</t>
        </is>
      </c>
      <c r="N1476" t="inlineStr">
        <is>
          <t>纳入A/D/Dh；若有Pair_ID则纳入CWR</t>
        </is>
      </c>
      <c r="O1476" t="inlineStr">
        <is>
          <t>自动管线检出的合格导管腔。</t>
        </is>
      </c>
      <c r="P1476" t="inlineStr">
        <is>
          <t>auto_pipeline;review_png_green</t>
        </is>
      </c>
      <c r="R1476" t="inlineStr">
        <is>
          <t>样品33</t>
        </is>
      </c>
    </row>
    <row r="1477">
      <c r="A1477" t="inlineStr">
        <is>
          <t>33(8)-V04</t>
        </is>
      </c>
      <c r="B1477" t="inlineStr">
        <is>
          <t>33 (8).tif</t>
        </is>
      </c>
      <c r="C1477" t="n">
        <v>235</v>
      </c>
      <c r="D1477" t="n">
        <v>540</v>
      </c>
      <c r="E1477" t="inlineStr">
        <is>
          <t>186,502,285,579</t>
        </is>
      </c>
      <c r="F1477" t="n">
        <v>186</v>
      </c>
      <c r="G1477" t="inlineStr">
        <is>
          <t>primary</t>
        </is>
      </c>
      <c r="H1477" t="inlineStr">
        <is>
          <t>AUTO_VESSEL</t>
        </is>
      </c>
      <c r="I1477" t="inlineStr">
        <is>
          <t>是</t>
        </is>
      </c>
      <c r="J1477" t="inlineStr">
        <is>
          <t>纳入</t>
        </is>
      </c>
      <c r="K1477" t="n">
        <v>248.086011342155</v>
      </c>
      <c r="L1477">
        <f>导管母表_1781!G1477</f>
        <v/>
      </c>
      <c r="M1477" t="inlineStr">
        <is>
          <t>视野内部</t>
        </is>
      </c>
      <c r="N1477" t="inlineStr">
        <is>
          <t>纳入A/D/Dh；若有Pair_ID则纳入CWR</t>
        </is>
      </c>
      <c r="O1477" t="inlineStr">
        <is>
          <t>自动管线检出的合格导管腔。</t>
        </is>
      </c>
      <c r="P1477" t="inlineStr">
        <is>
          <t>auto_pipeline;review_png_green</t>
        </is>
      </c>
      <c r="R1477" t="inlineStr">
        <is>
          <t>样品33</t>
        </is>
      </c>
    </row>
    <row r="1478">
      <c r="A1478" t="inlineStr">
        <is>
          <t>33(8)-V05</t>
        </is>
      </c>
      <c r="B1478" t="inlineStr">
        <is>
          <t>33 (8).tif</t>
        </is>
      </c>
      <c r="C1478" t="n">
        <v>64</v>
      </c>
      <c r="D1478" t="n">
        <v>127</v>
      </c>
      <c r="E1478" t="inlineStr">
        <is>
          <t>21,85,108,170</t>
        </is>
      </c>
      <c r="F1478" t="n">
        <v>21</v>
      </c>
      <c r="G1478" t="inlineStr">
        <is>
          <t>primary</t>
        </is>
      </c>
      <c r="H1478" t="inlineStr">
        <is>
          <t>AUTO_VESSEL</t>
        </is>
      </c>
      <c r="I1478" t="inlineStr">
        <is>
          <t>是</t>
        </is>
      </c>
      <c r="J1478" t="inlineStr">
        <is>
          <t>纳入</t>
        </is>
      </c>
      <c r="K1478" t="n">
        <v>231.9234404536862</v>
      </c>
      <c r="L1478">
        <f>导管母表_1781!G1478</f>
        <v/>
      </c>
      <c r="M1478" t="inlineStr">
        <is>
          <t>近边缘（&lt;25 px）</t>
        </is>
      </c>
      <c r="N1478" t="inlineStr">
        <is>
          <t>纳入A/D/Dh；若有Pair_ID则纳入CWR</t>
        </is>
      </c>
      <c r="O1478" t="inlineStr">
        <is>
          <t>自动管线检出的合格导管腔。</t>
        </is>
      </c>
      <c r="P1478" t="inlineStr">
        <is>
          <t>auto_pipeline;review_png_green</t>
        </is>
      </c>
      <c r="R1478" t="inlineStr">
        <is>
          <t>样品33</t>
        </is>
      </c>
    </row>
    <row r="1479">
      <c r="A1479" t="inlineStr">
        <is>
          <t>34(1)-V01</t>
        </is>
      </c>
      <c r="B1479" t="inlineStr">
        <is>
          <t>34 (1).tif</t>
        </is>
      </c>
      <c r="C1479" t="n">
        <v>458</v>
      </c>
      <c r="D1479" t="n">
        <v>457</v>
      </c>
      <c r="E1479" t="inlineStr">
        <is>
          <t>372,361,545,554</t>
        </is>
      </c>
      <c r="F1479" t="n">
        <v>214</v>
      </c>
      <c r="G1479" t="inlineStr">
        <is>
          <t>primary</t>
        </is>
      </c>
      <c r="H1479" t="inlineStr">
        <is>
          <t>AUTO_VESSEL</t>
        </is>
      </c>
      <c r="I1479" t="inlineStr">
        <is>
          <t>是</t>
        </is>
      </c>
      <c r="J1479" t="inlineStr">
        <is>
          <t>纳入</t>
        </is>
      </c>
      <c r="K1479" t="n">
        <v>1194.588846880907</v>
      </c>
      <c r="L1479">
        <f>导管母表_1781!G1479</f>
        <v/>
      </c>
      <c r="M1479" t="inlineStr">
        <is>
          <t>视野内部</t>
        </is>
      </c>
      <c r="N1479" t="inlineStr">
        <is>
          <t>纳入A/D/Dh；若有Pair_ID则纳入CWR</t>
        </is>
      </c>
      <c r="O1479" t="inlineStr">
        <is>
          <t>自动管线检出的合格导管腔。</t>
        </is>
      </c>
      <c r="P1479" t="inlineStr">
        <is>
          <t>auto_pipeline;review_png_green</t>
        </is>
      </c>
      <c r="R1479" t="inlineStr">
        <is>
          <t>样品34</t>
        </is>
      </c>
    </row>
    <row r="1480">
      <c r="A1480" t="inlineStr">
        <is>
          <t>34(1)-V02</t>
        </is>
      </c>
      <c r="B1480" t="inlineStr">
        <is>
          <t>34 (1).tif</t>
        </is>
      </c>
      <c r="C1480" t="n">
        <v>162</v>
      </c>
      <c r="D1480" t="n">
        <v>540</v>
      </c>
      <c r="E1480" t="inlineStr">
        <is>
          <t>123,498,202,583</t>
        </is>
      </c>
      <c r="F1480" t="n">
        <v>123</v>
      </c>
      <c r="G1480" t="inlineStr">
        <is>
          <t>primary</t>
        </is>
      </c>
      <c r="H1480" t="inlineStr">
        <is>
          <t>AUTO_VESSEL</t>
        </is>
      </c>
      <c r="I1480" t="inlineStr">
        <is>
          <t>是</t>
        </is>
      </c>
      <c r="J1480" t="inlineStr">
        <is>
          <t>纳入</t>
        </is>
      </c>
      <c r="K1480" t="n">
        <v>215.2646502835539</v>
      </c>
      <c r="L1480">
        <f>导管母表_1781!G1480</f>
        <v/>
      </c>
      <c r="M1480" t="inlineStr">
        <is>
          <t>视野内部</t>
        </is>
      </c>
      <c r="N1480" t="inlineStr">
        <is>
          <t>纳入A/D/Dh；若有Pair_ID则纳入CWR</t>
        </is>
      </c>
      <c r="O1480" t="inlineStr">
        <is>
          <t>自动管线检出的合格导管腔。</t>
        </is>
      </c>
      <c r="P1480" t="inlineStr">
        <is>
          <t>auto_pipeline;review_png_green</t>
        </is>
      </c>
      <c r="R1480" t="inlineStr">
        <is>
          <t>样品34</t>
        </is>
      </c>
    </row>
    <row r="1481">
      <c r="A1481" t="inlineStr">
        <is>
          <t>34(1)-V03</t>
        </is>
      </c>
      <c r="B1481" t="inlineStr">
        <is>
          <t>34 (1).tif</t>
        </is>
      </c>
      <c r="C1481" t="n">
        <v>269</v>
      </c>
      <c r="D1481" t="n">
        <v>281</v>
      </c>
      <c r="E1481" t="inlineStr">
        <is>
          <t>244,219,295,344</t>
        </is>
      </c>
      <c r="F1481" t="n">
        <v>219</v>
      </c>
      <c r="G1481" t="inlineStr">
        <is>
          <t>primary</t>
        </is>
      </c>
      <c r="H1481" t="inlineStr">
        <is>
          <t>AUTO_VESSEL</t>
        </is>
      </c>
      <c r="I1481" t="inlineStr">
        <is>
          <t>是</t>
        </is>
      </c>
      <c r="J1481" t="inlineStr">
        <is>
          <t>纳入</t>
        </is>
      </c>
      <c r="K1481" t="n">
        <v>189.5557655954631</v>
      </c>
      <c r="L1481">
        <f>导管母表_1781!G1481</f>
        <v/>
      </c>
      <c r="M1481" t="inlineStr">
        <is>
          <t>视野内部</t>
        </is>
      </c>
      <c r="N1481" t="inlineStr">
        <is>
          <t>纳入A/D/Dh；若有Pair_ID则纳入CWR</t>
        </is>
      </c>
      <c r="O1481" t="inlineStr">
        <is>
          <t>自动管线检出的合格导管腔。</t>
        </is>
      </c>
      <c r="P1481" t="inlineStr">
        <is>
          <t>auto_pipeline;review_png_green</t>
        </is>
      </c>
      <c r="R1481" t="inlineStr">
        <is>
          <t>样品34</t>
        </is>
      </c>
    </row>
    <row r="1482">
      <c r="A1482" t="inlineStr">
        <is>
          <t>34(1)-V04</t>
        </is>
      </c>
      <c r="B1482" t="inlineStr">
        <is>
          <t>34 (1).tif</t>
        </is>
      </c>
      <c r="C1482" t="n">
        <v>205</v>
      </c>
      <c r="D1482" t="n">
        <v>593</v>
      </c>
      <c r="E1482" t="inlineStr">
        <is>
          <t>167,553,244,634</t>
        </is>
      </c>
      <c r="F1482" t="n">
        <v>134</v>
      </c>
      <c r="G1482" t="inlineStr">
        <is>
          <t>primary</t>
        </is>
      </c>
      <c r="H1482" t="inlineStr">
        <is>
          <t>AUTO_VESSEL</t>
        </is>
      </c>
      <c r="I1482" t="inlineStr">
        <is>
          <t>是</t>
        </is>
      </c>
      <c r="J1482" t="inlineStr">
        <is>
          <t>纳入</t>
        </is>
      </c>
      <c r="K1482" t="n">
        <v>188.7759924385633</v>
      </c>
      <c r="L1482">
        <f>导管母表_1781!G1482</f>
        <v/>
      </c>
      <c r="M1482" t="inlineStr">
        <is>
          <t>视野内部</t>
        </is>
      </c>
      <c r="N1482" t="inlineStr">
        <is>
          <t>纳入A/D/Dh；若有Pair_ID则纳入CWR</t>
        </is>
      </c>
      <c r="O1482" t="inlineStr">
        <is>
          <t>自动管线检出的合格导管腔。</t>
        </is>
      </c>
      <c r="P1482" t="inlineStr">
        <is>
          <t>auto_pipeline;review_png_green</t>
        </is>
      </c>
      <c r="R1482" t="inlineStr">
        <is>
          <t>样品34</t>
        </is>
      </c>
    </row>
    <row r="1483">
      <c r="A1483" t="inlineStr">
        <is>
          <t>34(1)-V05</t>
        </is>
      </c>
      <c r="B1483" t="inlineStr">
        <is>
          <t>34 (1).tif</t>
        </is>
      </c>
      <c r="C1483" t="n">
        <v>136</v>
      </c>
      <c r="D1483" t="n">
        <v>461</v>
      </c>
      <c r="E1483" t="inlineStr">
        <is>
          <t>109,429,164,494</t>
        </is>
      </c>
      <c r="F1483" t="n">
        <v>109</v>
      </c>
      <c r="G1483" t="inlineStr">
        <is>
          <t>primary</t>
        </is>
      </c>
      <c r="H1483" t="inlineStr">
        <is>
          <t>AUTO_VESSEL</t>
        </is>
      </c>
      <c r="I1483" t="inlineStr">
        <is>
          <t>是</t>
        </is>
      </c>
      <c r="J1483" t="inlineStr">
        <is>
          <t>纳入</t>
        </is>
      </c>
      <c r="K1483" t="n">
        <v>128.5916824196597</v>
      </c>
      <c r="L1483">
        <f>导管母表_1781!G1483</f>
        <v/>
      </c>
      <c r="M1483" t="inlineStr">
        <is>
          <t>视野内部</t>
        </is>
      </c>
      <c r="N1483" t="inlineStr">
        <is>
          <t>纳入A/D/Dh；若有Pair_ID则纳入CWR</t>
        </is>
      </c>
      <c r="O1483" t="inlineStr">
        <is>
          <t>自动管线检出的合格导管腔。</t>
        </is>
      </c>
      <c r="P1483" t="inlineStr">
        <is>
          <t>auto_pipeline;review_png_green</t>
        </is>
      </c>
      <c r="R1483" t="inlineStr">
        <is>
          <t>样品34</t>
        </is>
      </c>
    </row>
    <row r="1484">
      <c r="A1484" t="inlineStr">
        <is>
          <t>34(2)-V01</t>
        </is>
      </c>
      <c r="B1484" t="inlineStr">
        <is>
          <t>34 (2).tif</t>
        </is>
      </c>
      <c r="C1484" t="n">
        <v>427</v>
      </c>
      <c r="D1484" t="n">
        <v>200</v>
      </c>
      <c r="E1484" t="inlineStr">
        <is>
          <t>273,45,582,356</t>
        </is>
      </c>
      <c r="F1484" t="n">
        <v>45</v>
      </c>
      <c r="G1484" t="inlineStr">
        <is>
          <t>primary</t>
        </is>
      </c>
      <c r="H1484" t="inlineStr">
        <is>
          <t>AUTO_VESSEL</t>
        </is>
      </c>
      <c r="I1484" t="inlineStr">
        <is>
          <t>是</t>
        </is>
      </c>
      <c r="J1484" t="inlineStr">
        <is>
          <t>纳入</t>
        </is>
      </c>
      <c r="K1484" t="n">
        <v>3438.04347826087</v>
      </c>
      <c r="L1484">
        <f>导管母表_1781!G1484</f>
        <v/>
      </c>
      <c r="M1484" t="inlineStr">
        <is>
          <t>视野内部</t>
        </is>
      </c>
      <c r="N1484" t="inlineStr">
        <is>
          <t>纳入A/D/Dh；若有Pair_ID则纳入CWR</t>
        </is>
      </c>
      <c r="O1484" t="inlineStr">
        <is>
          <t>自动管线检出的合格导管腔。</t>
        </is>
      </c>
      <c r="P1484" t="inlineStr">
        <is>
          <t>auto_pipeline;review_png_green</t>
        </is>
      </c>
      <c r="R1484" t="inlineStr">
        <is>
          <t>样品34</t>
        </is>
      </c>
    </row>
    <row r="1485">
      <c r="A1485" t="inlineStr">
        <is>
          <t>34(2)-V02</t>
        </is>
      </c>
      <c r="B1485" t="inlineStr">
        <is>
          <t>34 (2).tif</t>
        </is>
      </c>
      <c r="C1485" t="n">
        <v>963</v>
      </c>
      <c r="D1485" t="n">
        <v>187</v>
      </c>
      <c r="E1485" t="inlineStr">
        <is>
          <t>903,97,1024,278</t>
        </is>
      </c>
      <c r="F1485" t="n">
        <v>0</v>
      </c>
      <c r="G1485" t="inlineStr">
        <is>
          <t>primary</t>
        </is>
      </c>
      <c r="H1485" t="inlineStr">
        <is>
          <t>AUTO_VESSEL</t>
        </is>
      </c>
      <c r="I1485" t="inlineStr">
        <is>
          <t>是</t>
        </is>
      </c>
      <c r="J1485" t="inlineStr">
        <is>
          <t>纳入</t>
        </is>
      </c>
      <c r="K1485" t="n">
        <v>796.3846880907372</v>
      </c>
      <c r="L1485">
        <f>导管母表_1781!G1485</f>
        <v/>
      </c>
      <c r="M1485" t="inlineStr">
        <is>
          <t>近边缘（&lt;25 px）</t>
        </is>
      </c>
      <c r="N1485" t="inlineStr">
        <is>
          <t>纳入A/D/Dh；若有Pair_ID则纳入CWR</t>
        </is>
      </c>
      <c r="O1485" t="inlineStr">
        <is>
          <t>自动管线检出的合格导管腔。</t>
        </is>
      </c>
      <c r="P1485" t="inlineStr">
        <is>
          <t>auto_pipeline;review_png_green</t>
        </is>
      </c>
      <c r="R1485" t="inlineStr">
        <is>
          <t>样品34</t>
        </is>
      </c>
    </row>
    <row r="1486">
      <c r="A1486" t="inlineStr">
        <is>
          <t>34(2)-V03</t>
        </is>
      </c>
      <c r="B1486" t="inlineStr">
        <is>
          <t>34 (2).tif</t>
        </is>
      </c>
      <c r="C1486" t="n">
        <v>492</v>
      </c>
      <c r="D1486" t="n">
        <v>462</v>
      </c>
      <c r="E1486" t="inlineStr">
        <is>
          <t>426,388,559,537</t>
        </is>
      </c>
      <c r="F1486" t="n">
        <v>231</v>
      </c>
      <c r="G1486" t="inlineStr">
        <is>
          <t>primary</t>
        </is>
      </c>
      <c r="H1486" t="inlineStr">
        <is>
          <t>AUTO_VESSEL</t>
        </is>
      </c>
      <c r="I1486" t="inlineStr">
        <is>
          <t>是</t>
        </is>
      </c>
      <c r="J1486" t="inlineStr">
        <is>
          <t>纳入</t>
        </is>
      </c>
      <c r="K1486" t="n">
        <v>723.5822306238185</v>
      </c>
      <c r="L1486">
        <f>导管母表_1781!G1486</f>
        <v/>
      </c>
      <c r="M1486" t="inlineStr">
        <is>
          <t>视野内部</t>
        </is>
      </c>
      <c r="N1486" t="inlineStr">
        <is>
          <t>纳入A/D/Dh；若有Pair_ID则纳入CWR</t>
        </is>
      </c>
      <c r="O1486" t="inlineStr">
        <is>
          <t>自动管线检出的合格导管腔。</t>
        </is>
      </c>
      <c r="P1486" t="inlineStr">
        <is>
          <t>auto_pipeline;review_png_green</t>
        </is>
      </c>
      <c r="Q1486" t="inlineStr">
        <is>
          <t>34(2)-P01</t>
        </is>
      </c>
      <c r="R1486" t="inlineStr">
        <is>
          <t>样品34</t>
        </is>
      </c>
    </row>
    <row r="1487">
      <c r="A1487" t="inlineStr">
        <is>
          <t>34(2)-V04</t>
        </is>
      </c>
      <c r="B1487" t="inlineStr">
        <is>
          <t>34 (2).tif</t>
        </is>
      </c>
      <c r="C1487" t="n">
        <v>510</v>
      </c>
      <c r="D1487" t="n">
        <v>275</v>
      </c>
      <c r="E1487" t="inlineStr">
        <is>
          <t>442,201,579,350</t>
        </is>
      </c>
      <c r="F1487" t="n">
        <v>201</v>
      </c>
      <c r="G1487" t="inlineStr">
        <is>
          <t>primary</t>
        </is>
      </c>
      <c r="H1487" t="inlineStr">
        <is>
          <t>AUTO_VESSEL</t>
        </is>
      </c>
      <c r="I1487" t="inlineStr">
        <is>
          <t>是</t>
        </is>
      </c>
      <c r="J1487" t="inlineStr">
        <is>
          <t>纳入</t>
        </is>
      </c>
      <c r="K1487" t="n">
        <v>723.2514177693762</v>
      </c>
      <c r="L1487">
        <f>导管母表_1781!G1487</f>
        <v/>
      </c>
      <c r="M1487" t="inlineStr">
        <is>
          <t>视野内部</t>
        </is>
      </c>
      <c r="N1487" t="inlineStr">
        <is>
          <t>纳入A/D/Dh；若有Pair_ID则纳入CWR</t>
        </is>
      </c>
      <c r="O1487" t="inlineStr">
        <is>
          <t>自动管线检出的合格导管腔。</t>
        </is>
      </c>
      <c r="P1487" t="inlineStr">
        <is>
          <t>auto_pipeline;review_png_green</t>
        </is>
      </c>
      <c r="Q1487" t="inlineStr">
        <is>
          <t>34(2)-P01</t>
        </is>
      </c>
      <c r="R1487" t="inlineStr">
        <is>
          <t>样品34</t>
        </is>
      </c>
    </row>
    <row r="1488">
      <c r="A1488" t="inlineStr">
        <is>
          <t>34(2)-V05</t>
        </is>
      </c>
      <c r="B1488" t="inlineStr">
        <is>
          <t>34 (2).tif</t>
        </is>
      </c>
      <c r="C1488" t="n">
        <v>970</v>
      </c>
      <c r="D1488" t="n">
        <v>322</v>
      </c>
      <c r="E1488" t="inlineStr">
        <is>
          <t>922,288,1019,357</t>
        </is>
      </c>
      <c r="F1488" t="n">
        <v>5</v>
      </c>
      <c r="G1488" t="inlineStr">
        <is>
          <t>primary</t>
        </is>
      </c>
      <c r="H1488" t="inlineStr">
        <is>
          <t>AUTO_VESSEL</t>
        </is>
      </c>
      <c r="I1488" t="inlineStr">
        <is>
          <t>是</t>
        </is>
      </c>
      <c r="J1488" t="inlineStr">
        <is>
          <t>纳入</t>
        </is>
      </c>
      <c r="K1488" t="n">
        <v>192.9347826086957</v>
      </c>
      <c r="L1488">
        <f>导管母表_1781!G1488</f>
        <v/>
      </c>
      <c r="M1488" t="inlineStr">
        <is>
          <t>近边缘（&lt;25 px）</t>
        </is>
      </c>
      <c r="N1488" t="inlineStr">
        <is>
          <t>纳入A/D/Dh；若有Pair_ID则纳入CWR</t>
        </is>
      </c>
      <c r="O1488" t="inlineStr">
        <is>
          <t>自动管线检出的合格导管腔。</t>
        </is>
      </c>
      <c r="P1488" t="inlineStr">
        <is>
          <t>auto_pipeline;review_png_green</t>
        </is>
      </c>
      <c r="R1488" t="inlineStr">
        <is>
          <t>样品34</t>
        </is>
      </c>
    </row>
    <row r="1489">
      <c r="A1489" t="inlineStr">
        <is>
          <t>34(2)-V06</t>
        </is>
      </c>
      <c r="B1489" t="inlineStr">
        <is>
          <t>34 (2).tif</t>
        </is>
      </c>
      <c r="C1489" t="n">
        <v>479</v>
      </c>
      <c r="D1489" t="n">
        <v>584</v>
      </c>
      <c r="E1489" t="inlineStr">
        <is>
          <t>444,557,515,612</t>
        </is>
      </c>
      <c r="F1489" t="n">
        <v>156</v>
      </c>
      <c r="G1489" t="inlineStr">
        <is>
          <t>primary</t>
        </is>
      </c>
      <c r="H1489" t="inlineStr">
        <is>
          <t>AUTO_VESSEL</t>
        </is>
      </c>
      <c r="I1489" t="inlineStr">
        <is>
          <t>是</t>
        </is>
      </c>
      <c r="J1489" t="inlineStr">
        <is>
          <t>纳入</t>
        </is>
      </c>
      <c r="K1489" t="n">
        <v>140.1937618147448</v>
      </c>
      <c r="L1489">
        <f>导管母表_1781!G1489</f>
        <v/>
      </c>
      <c r="M1489" t="inlineStr">
        <is>
          <t>视野内部</t>
        </is>
      </c>
      <c r="N1489" t="inlineStr">
        <is>
          <t>纳入A/D/Dh；若有Pair_ID则纳入CWR</t>
        </is>
      </c>
      <c r="O1489" t="inlineStr">
        <is>
          <t>自动管线检出的合格导管腔。</t>
        </is>
      </c>
      <c r="P1489" t="inlineStr">
        <is>
          <t>auto_pipeline;review_png_green</t>
        </is>
      </c>
      <c r="R1489" t="inlineStr">
        <is>
          <t>样品34</t>
        </is>
      </c>
    </row>
    <row r="1490">
      <c r="A1490" t="inlineStr">
        <is>
          <t>34(2)-V07</t>
        </is>
      </c>
      <c r="B1490" t="inlineStr">
        <is>
          <t>34 (2).tif</t>
        </is>
      </c>
      <c r="C1490" t="n">
        <v>275</v>
      </c>
      <c r="D1490" t="n">
        <v>407</v>
      </c>
      <c r="E1490" t="inlineStr">
        <is>
          <t>239,374,312,441</t>
        </is>
      </c>
      <c r="F1490" t="n">
        <v>239</v>
      </c>
      <c r="G1490" t="inlineStr">
        <is>
          <t>primary</t>
        </is>
      </c>
      <c r="H1490" t="inlineStr">
        <is>
          <t>AUTO_VESSEL</t>
        </is>
      </c>
      <c r="I1490" t="inlineStr">
        <is>
          <t>是</t>
        </is>
      </c>
      <c r="J1490" t="inlineStr">
        <is>
          <t>纳入</t>
        </is>
      </c>
      <c r="K1490" t="n">
        <v>130.8837429111531</v>
      </c>
      <c r="L1490">
        <f>导管母表_1781!G1490</f>
        <v/>
      </c>
      <c r="M1490" t="inlineStr">
        <is>
          <t>视野内部</t>
        </is>
      </c>
      <c r="N1490" t="inlineStr">
        <is>
          <t>纳入A/D/Dh；若有Pair_ID则纳入CWR</t>
        </is>
      </c>
      <c r="O1490" t="inlineStr">
        <is>
          <t>自动管线检出的合格导管腔。</t>
        </is>
      </c>
      <c r="P1490" t="inlineStr">
        <is>
          <t>auto_pipeline;review_png_green</t>
        </is>
      </c>
      <c r="R1490" t="inlineStr">
        <is>
          <t>样品34</t>
        </is>
      </c>
    </row>
    <row r="1491">
      <c r="A1491" t="inlineStr">
        <is>
          <t>34(3)-V01</t>
        </is>
      </c>
      <c r="B1491" t="inlineStr">
        <is>
          <t>34 (3).tif</t>
        </is>
      </c>
      <c r="C1491" t="n">
        <v>509</v>
      </c>
      <c r="D1491" t="n">
        <v>491</v>
      </c>
      <c r="E1491" t="inlineStr">
        <is>
          <t>440,406,579,577</t>
        </is>
      </c>
      <c r="F1491" t="n">
        <v>191</v>
      </c>
      <c r="G1491" t="inlineStr">
        <is>
          <t>primary</t>
        </is>
      </c>
      <c r="H1491" t="inlineStr">
        <is>
          <t>AUTO_VESSEL</t>
        </is>
      </c>
      <c r="I1491" t="inlineStr">
        <is>
          <t>是</t>
        </is>
      </c>
      <c r="J1491" t="inlineStr">
        <is>
          <t>纳入</t>
        </is>
      </c>
      <c r="K1491" t="n">
        <v>867.5330812854443</v>
      </c>
      <c r="L1491">
        <f>导管母表_1781!G1491</f>
        <v/>
      </c>
      <c r="M1491" t="inlineStr">
        <is>
          <t>视野内部</t>
        </is>
      </c>
      <c r="N1491" t="inlineStr">
        <is>
          <t>纳入A/D/Dh；若有Pair_ID则纳入CWR</t>
        </is>
      </c>
      <c r="O1491" t="inlineStr">
        <is>
          <t>自动管线检出的合格导管腔。</t>
        </is>
      </c>
      <c r="P1491" t="inlineStr">
        <is>
          <t>auto_pipeline;review_png_green</t>
        </is>
      </c>
      <c r="R1491" t="inlineStr">
        <is>
          <t>样品34</t>
        </is>
      </c>
    </row>
    <row r="1492">
      <c r="A1492" t="inlineStr">
        <is>
          <t>34(3)-V02</t>
        </is>
      </c>
      <c r="B1492" t="inlineStr">
        <is>
          <t>34 (3).tif</t>
        </is>
      </c>
      <c r="C1492" t="n">
        <v>60</v>
      </c>
      <c r="D1492" t="n">
        <v>577</v>
      </c>
      <c r="E1492" t="inlineStr">
        <is>
          <t>0,511,122,644</t>
        </is>
      </c>
      <c r="F1492" t="n">
        <v>0</v>
      </c>
      <c r="G1492" t="inlineStr">
        <is>
          <t>primary</t>
        </is>
      </c>
      <c r="H1492" t="inlineStr">
        <is>
          <t>AUTO_VESSEL</t>
        </is>
      </c>
      <c r="I1492" t="inlineStr">
        <is>
          <t>是</t>
        </is>
      </c>
      <c r="J1492" t="inlineStr">
        <is>
          <t>纳入</t>
        </is>
      </c>
      <c r="K1492" t="n">
        <v>566.304347826087</v>
      </c>
      <c r="L1492">
        <f>导管母表_1781!G1492</f>
        <v/>
      </c>
      <c r="M1492" t="inlineStr">
        <is>
          <t>近边缘（&lt;25 px）</t>
        </is>
      </c>
      <c r="N1492" t="inlineStr">
        <is>
          <t>纳入A/D/Dh；若有Pair_ID则纳入CWR</t>
        </is>
      </c>
      <c r="O1492" t="inlineStr">
        <is>
          <t>自动管线检出的合格导管腔。</t>
        </is>
      </c>
      <c r="P1492" t="inlineStr">
        <is>
          <t>auto_pipeline;review_png_green</t>
        </is>
      </c>
      <c r="R1492" t="inlineStr">
        <is>
          <t>样品34</t>
        </is>
      </c>
    </row>
    <row r="1493">
      <c r="A1493" t="inlineStr">
        <is>
          <t>34(3)-V03</t>
        </is>
      </c>
      <c r="B1493" t="inlineStr">
        <is>
          <t>34 (3).tif</t>
        </is>
      </c>
      <c r="C1493" t="n">
        <v>508</v>
      </c>
      <c r="D1493" t="n">
        <v>293</v>
      </c>
      <c r="E1493" t="inlineStr">
        <is>
          <t>458,225,559,362</t>
        </is>
      </c>
      <c r="F1493" t="n">
        <v>225</v>
      </c>
      <c r="G1493" t="inlineStr">
        <is>
          <t>primary</t>
        </is>
      </c>
      <c r="H1493" t="inlineStr">
        <is>
          <t>AUTO_VESSEL</t>
        </is>
      </c>
      <c r="I1493" t="inlineStr">
        <is>
          <t>是</t>
        </is>
      </c>
      <c r="J1493" t="inlineStr">
        <is>
          <t>纳入</t>
        </is>
      </c>
      <c r="K1493" t="n">
        <v>504.0170132325142</v>
      </c>
      <c r="L1493">
        <f>导管母表_1781!G1493</f>
        <v/>
      </c>
      <c r="M1493" t="inlineStr">
        <is>
          <t>视野内部</t>
        </is>
      </c>
      <c r="N1493" t="inlineStr">
        <is>
          <t>纳入A/D/Dh；若有Pair_ID则纳入CWR</t>
        </is>
      </c>
      <c r="O1493" t="inlineStr">
        <is>
          <t>自动管线检出的合格导管腔。</t>
        </is>
      </c>
      <c r="P1493" t="inlineStr">
        <is>
          <t>auto_pipeline;review_png_green</t>
        </is>
      </c>
      <c r="R1493" t="inlineStr">
        <is>
          <t>样品34</t>
        </is>
      </c>
    </row>
    <row r="1494">
      <c r="A1494" t="inlineStr">
        <is>
          <t>34(3)-V04</t>
        </is>
      </c>
      <c r="B1494" t="inlineStr">
        <is>
          <t>34 (3).tif</t>
        </is>
      </c>
      <c r="C1494" t="n">
        <v>223</v>
      </c>
      <c r="D1494" t="n">
        <v>124</v>
      </c>
      <c r="E1494" t="inlineStr">
        <is>
          <t>181,95,266,154</t>
        </is>
      </c>
      <c r="F1494" t="n">
        <v>95</v>
      </c>
      <c r="G1494" t="inlineStr">
        <is>
          <t>primary</t>
        </is>
      </c>
      <c r="H1494" t="inlineStr">
        <is>
          <t>AUTO_VESSEL</t>
        </is>
      </c>
      <c r="I1494" t="inlineStr">
        <is>
          <t>是</t>
        </is>
      </c>
      <c r="J1494" t="inlineStr">
        <is>
          <t>纳入</t>
        </is>
      </c>
      <c r="K1494" t="n">
        <v>179.0642722117202</v>
      </c>
      <c r="L1494">
        <f>导管母表_1781!G1494</f>
        <v/>
      </c>
      <c r="M1494" t="inlineStr">
        <is>
          <t>视野内部</t>
        </is>
      </c>
      <c r="N1494" t="inlineStr">
        <is>
          <t>纳入A/D/Dh；若有Pair_ID则纳入CWR</t>
        </is>
      </c>
      <c r="O1494" t="inlineStr">
        <is>
          <t>自动管线检出的合格导管腔。</t>
        </is>
      </c>
      <c r="P1494" t="inlineStr">
        <is>
          <t>auto_pipeline;review_png_green</t>
        </is>
      </c>
      <c r="R1494" t="inlineStr">
        <is>
          <t>样品34</t>
        </is>
      </c>
    </row>
    <row r="1495">
      <c r="A1495" t="inlineStr">
        <is>
          <t>34(3)-V05</t>
        </is>
      </c>
      <c r="B1495" t="inlineStr">
        <is>
          <t>34 (3).tif</t>
        </is>
      </c>
      <c r="C1495" t="n">
        <v>863</v>
      </c>
      <c r="D1495" t="n">
        <v>166</v>
      </c>
      <c r="E1495" t="inlineStr">
        <is>
          <t>839,135,888,198</t>
        </is>
      </c>
      <c r="F1495" t="n">
        <v>135</v>
      </c>
      <c r="G1495" t="inlineStr">
        <is>
          <t>primary</t>
        </is>
      </c>
      <c r="H1495" t="inlineStr">
        <is>
          <t>AUTO_VESSEL</t>
        </is>
      </c>
      <c r="I1495" t="inlineStr">
        <is>
          <t>是</t>
        </is>
      </c>
      <c r="J1495" t="inlineStr">
        <is>
          <t>纳入</t>
        </is>
      </c>
      <c r="K1495" t="n">
        <v>109.9716446124764</v>
      </c>
      <c r="L1495">
        <f>导管母表_1781!G1495</f>
        <v/>
      </c>
      <c r="M1495" t="inlineStr">
        <is>
          <t>视野内部</t>
        </is>
      </c>
      <c r="N1495" t="inlineStr">
        <is>
          <t>纳入A/D/Dh；若有Pair_ID则纳入CWR</t>
        </is>
      </c>
      <c r="O1495" t="inlineStr">
        <is>
          <t>自动管线检出的合格导管腔。</t>
        </is>
      </c>
      <c r="P1495" t="inlineStr">
        <is>
          <t>auto_pipeline;review_png_green</t>
        </is>
      </c>
      <c r="R1495" t="inlineStr">
        <is>
          <t>样品34</t>
        </is>
      </c>
    </row>
    <row r="1496">
      <c r="A1496" t="inlineStr">
        <is>
          <t>34(4)-V01</t>
        </is>
      </c>
      <c r="B1496" t="inlineStr">
        <is>
          <t>34 (4).tif</t>
        </is>
      </c>
      <c r="C1496" t="n">
        <v>484</v>
      </c>
      <c r="D1496" t="n">
        <v>429</v>
      </c>
      <c r="E1496" t="inlineStr">
        <is>
          <t>422,349,547,510</t>
        </is>
      </c>
      <c r="F1496" t="n">
        <v>258</v>
      </c>
      <c r="G1496" t="inlineStr">
        <is>
          <t>primary</t>
        </is>
      </c>
      <c r="H1496" t="inlineStr">
        <is>
          <t>AUTO_VESSEL</t>
        </is>
      </c>
      <c r="I1496" t="inlineStr">
        <is>
          <t>是</t>
        </is>
      </c>
      <c r="J1496" t="inlineStr">
        <is>
          <t>纳入</t>
        </is>
      </c>
      <c r="K1496" t="n">
        <v>714.413988657845</v>
      </c>
      <c r="L1496">
        <f>导管母表_1781!G1496</f>
        <v/>
      </c>
      <c r="M1496" t="inlineStr">
        <is>
          <t>视野内部</t>
        </is>
      </c>
      <c r="N1496" t="inlineStr">
        <is>
          <t>纳入A/D/Dh；若有Pair_ID则纳入CWR</t>
        </is>
      </c>
      <c r="O1496" t="inlineStr">
        <is>
          <t>自动管线检出的合格导管腔。</t>
        </is>
      </c>
      <c r="P1496" t="inlineStr">
        <is>
          <t>auto_pipeline;review_png_green</t>
        </is>
      </c>
      <c r="R1496" t="inlineStr">
        <is>
          <t>样品34</t>
        </is>
      </c>
    </row>
    <row r="1497">
      <c r="A1497" t="inlineStr">
        <is>
          <t>34(4)-V02</t>
        </is>
      </c>
      <c r="B1497" t="inlineStr">
        <is>
          <t>34 (4).tif</t>
        </is>
      </c>
      <c r="C1497" t="n">
        <v>527</v>
      </c>
      <c r="D1497" t="n">
        <v>263</v>
      </c>
      <c r="E1497" t="inlineStr">
        <is>
          <t>478,202,577,325</t>
        </is>
      </c>
      <c r="F1497" t="n">
        <v>202</v>
      </c>
      <c r="G1497" t="inlineStr">
        <is>
          <t>primary</t>
        </is>
      </c>
      <c r="H1497" t="inlineStr">
        <is>
          <t>AUTO_VESSEL</t>
        </is>
      </c>
      <c r="I1497" t="inlineStr">
        <is>
          <t>是</t>
        </is>
      </c>
      <c r="J1497" t="inlineStr">
        <is>
          <t>纳入</t>
        </is>
      </c>
      <c r="K1497" t="n">
        <v>430.5765595463138</v>
      </c>
      <c r="L1497">
        <f>导管母表_1781!G1497</f>
        <v/>
      </c>
      <c r="M1497" t="inlineStr">
        <is>
          <t>视野内部</t>
        </is>
      </c>
      <c r="N1497" t="inlineStr">
        <is>
          <t>纳入A/D/Dh；若有Pair_ID则纳入CWR</t>
        </is>
      </c>
      <c r="O1497" t="inlineStr">
        <is>
          <t>自动管线检出的合格导管腔。</t>
        </is>
      </c>
      <c r="P1497" t="inlineStr">
        <is>
          <t>auto_pipeline;review_png_green</t>
        </is>
      </c>
      <c r="R1497" t="inlineStr">
        <is>
          <t>样品34</t>
        </is>
      </c>
    </row>
    <row r="1498">
      <c r="A1498" t="inlineStr">
        <is>
          <t>34(5)-V01</t>
        </is>
      </c>
      <c r="B1498" t="inlineStr">
        <is>
          <t>34 (5).tif</t>
        </is>
      </c>
      <c r="C1498" t="n">
        <v>438</v>
      </c>
      <c r="D1498" t="n">
        <v>355</v>
      </c>
      <c r="E1498" t="inlineStr">
        <is>
          <t>371,241,506,470</t>
        </is>
      </c>
      <c r="F1498" t="n">
        <v>241</v>
      </c>
      <c r="G1498" t="inlineStr">
        <is>
          <t>primary</t>
        </is>
      </c>
      <c r="H1498" t="inlineStr">
        <is>
          <t>AUTO_VESSEL</t>
        </is>
      </c>
      <c r="I1498" t="inlineStr">
        <is>
          <t>是</t>
        </is>
      </c>
      <c r="J1498" t="inlineStr">
        <is>
          <t>纳入</t>
        </is>
      </c>
      <c r="K1498" t="n">
        <v>1100.921550094518</v>
      </c>
      <c r="L1498">
        <f>导管母表_1781!G1498</f>
        <v/>
      </c>
      <c r="M1498" t="inlineStr">
        <is>
          <t>视野内部</t>
        </is>
      </c>
      <c r="N1498" t="inlineStr">
        <is>
          <t>纳入A/D/Dh；若有Pair_ID则纳入CWR</t>
        </is>
      </c>
      <c r="O1498" t="inlineStr">
        <is>
          <t>自动管线检出的合格导管腔。</t>
        </is>
      </c>
      <c r="P1498" t="inlineStr">
        <is>
          <t>auto_pipeline;review_png_green</t>
        </is>
      </c>
      <c r="Q1498" t="inlineStr">
        <is>
          <t>34(5)-P01</t>
        </is>
      </c>
      <c r="R1498" t="inlineStr">
        <is>
          <t>样品34</t>
        </is>
      </c>
    </row>
    <row r="1499">
      <c r="A1499" t="inlineStr">
        <is>
          <t>34(5)-V02</t>
        </is>
      </c>
      <c r="B1499" t="inlineStr">
        <is>
          <t>34 (5).tif</t>
        </is>
      </c>
      <c r="C1499" t="n">
        <v>588</v>
      </c>
      <c r="D1499" t="n">
        <v>310</v>
      </c>
      <c r="E1499" t="inlineStr">
        <is>
          <t>526,232,651,389</t>
        </is>
      </c>
      <c r="F1499" t="n">
        <v>232</v>
      </c>
      <c r="G1499" t="inlineStr">
        <is>
          <t>primary</t>
        </is>
      </c>
      <c r="H1499" t="inlineStr">
        <is>
          <t>AUTO_VESSEL</t>
        </is>
      </c>
      <c r="I1499" t="inlineStr">
        <is>
          <t>是</t>
        </is>
      </c>
      <c r="J1499" t="inlineStr">
        <is>
          <t>纳入</t>
        </is>
      </c>
      <c r="K1499" t="n">
        <v>716.8005671077505</v>
      </c>
      <c r="L1499">
        <f>导管母表_1781!G1499</f>
        <v/>
      </c>
      <c r="M1499" t="inlineStr">
        <is>
          <t>视野内部</t>
        </is>
      </c>
      <c r="N1499" t="inlineStr">
        <is>
          <t>纳入A/D/Dh；若有Pair_ID则纳入CWR</t>
        </is>
      </c>
      <c r="O1499" t="inlineStr">
        <is>
          <t>自动管线检出的合格导管腔。</t>
        </is>
      </c>
      <c r="P1499" t="inlineStr">
        <is>
          <t>auto_pipeline;review_png_green</t>
        </is>
      </c>
      <c r="Q1499" t="inlineStr">
        <is>
          <t>34(5)-P01</t>
        </is>
      </c>
      <c r="R1499" t="inlineStr">
        <is>
          <t>样品34</t>
        </is>
      </c>
    </row>
    <row r="1500">
      <c r="A1500" t="inlineStr">
        <is>
          <t>34(5)-V03</t>
        </is>
      </c>
      <c r="B1500" t="inlineStr">
        <is>
          <t>34 (5).tif</t>
        </is>
      </c>
      <c r="C1500" t="n">
        <v>874</v>
      </c>
      <c r="D1500" t="n">
        <v>508</v>
      </c>
      <c r="E1500" t="inlineStr">
        <is>
          <t>800,449,949,568</t>
        </is>
      </c>
      <c r="F1500" t="n">
        <v>75</v>
      </c>
      <c r="G1500" t="inlineStr">
        <is>
          <t>primary</t>
        </is>
      </c>
      <c r="H1500" t="inlineStr">
        <is>
          <t>AUTO_VESSEL</t>
        </is>
      </c>
      <c r="I1500" t="inlineStr">
        <is>
          <t>是</t>
        </is>
      </c>
      <c r="J1500" t="inlineStr">
        <is>
          <t>纳入</t>
        </is>
      </c>
      <c r="K1500" t="n">
        <v>608.9319470699432</v>
      </c>
      <c r="L1500">
        <f>导管母表_1781!G1500</f>
        <v/>
      </c>
      <c r="M1500" t="inlineStr">
        <is>
          <t>视野内部</t>
        </is>
      </c>
      <c r="N1500" t="inlineStr">
        <is>
          <t>纳入A/D/Dh；若有Pair_ID则纳入CWR</t>
        </is>
      </c>
      <c r="O1500" t="inlineStr">
        <is>
          <t>自动管线检出的合格导管腔。</t>
        </is>
      </c>
      <c r="P1500" t="inlineStr">
        <is>
          <t>auto_pipeline;review_png_green</t>
        </is>
      </c>
      <c r="R1500" t="inlineStr">
        <is>
          <t>样品34</t>
        </is>
      </c>
    </row>
    <row r="1501">
      <c r="A1501" t="inlineStr">
        <is>
          <t>34(5)-V04</t>
        </is>
      </c>
      <c r="B1501" t="inlineStr">
        <is>
          <t>34 (5).tif</t>
        </is>
      </c>
      <c r="C1501" t="n">
        <v>388</v>
      </c>
      <c r="D1501" t="n">
        <v>297</v>
      </c>
      <c r="E1501" t="inlineStr">
        <is>
          <t>342,268,435,327</t>
        </is>
      </c>
      <c r="F1501" t="n">
        <v>268</v>
      </c>
      <c r="G1501" t="inlineStr">
        <is>
          <t>primary</t>
        </is>
      </c>
      <c r="H1501" t="inlineStr">
        <is>
          <t>AUTO_VESSEL</t>
        </is>
      </c>
      <c r="I1501" t="inlineStr">
        <is>
          <t>是</t>
        </is>
      </c>
      <c r="J1501" t="inlineStr">
        <is>
          <t>纳入</t>
        </is>
      </c>
      <c r="K1501" t="n">
        <v>195.5340264650283</v>
      </c>
      <c r="L1501">
        <f>导管母表_1781!G1501</f>
        <v/>
      </c>
      <c r="M1501" t="inlineStr">
        <is>
          <t>视野内部</t>
        </is>
      </c>
      <c r="N1501" t="inlineStr">
        <is>
          <t>纳入A/D/Dh；若有Pair_ID则纳入CWR</t>
        </is>
      </c>
      <c r="O1501" t="inlineStr">
        <is>
          <t>自动管线检出的合格导管腔。</t>
        </is>
      </c>
      <c r="P1501" t="inlineStr">
        <is>
          <t>auto_pipeline;review_png_green</t>
        </is>
      </c>
      <c r="R1501" t="inlineStr">
        <is>
          <t>样品34</t>
        </is>
      </c>
    </row>
    <row r="1502">
      <c r="A1502" t="inlineStr">
        <is>
          <t>34(5)-V05</t>
        </is>
      </c>
      <c r="B1502" t="inlineStr">
        <is>
          <t>34 (5).tif</t>
        </is>
      </c>
      <c r="C1502" t="n">
        <v>431</v>
      </c>
      <c r="D1502" t="n">
        <v>160</v>
      </c>
      <c r="E1502" t="inlineStr">
        <is>
          <t>388,120,475,201</t>
        </is>
      </c>
      <c r="F1502" t="n">
        <v>120</v>
      </c>
      <c r="G1502" t="inlineStr">
        <is>
          <t>primary</t>
        </is>
      </c>
      <c r="H1502" t="inlineStr">
        <is>
          <t>AUTO_VESSEL</t>
        </is>
      </c>
      <c r="I1502" t="inlineStr">
        <is>
          <t>是</t>
        </is>
      </c>
      <c r="J1502" t="inlineStr">
        <is>
          <t>纳入</t>
        </is>
      </c>
      <c r="K1502" t="n">
        <v>192.6512287334594</v>
      </c>
      <c r="L1502">
        <f>导管母表_1781!G1502</f>
        <v/>
      </c>
      <c r="M1502" t="inlineStr">
        <is>
          <t>视野内部</t>
        </is>
      </c>
      <c r="N1502" t="inlineStr">
        <is>
          <t>纳入A/D/Dh；若有Pair_ID则纳入CWR</t>
        </is>
      </c>
      <c r="O1502" t="inlineStr">
        <is>
          <t>自动管线检出的合格导管腔。</t>
        </is>
      </c>
      <c r="P1502" t="inlineStr">
        <is>
          <t>auto_pipeline;review_png_green</t>
        </is>
      </c>
      <c r="R1502" t="inlineStr">
        <is>
          <t>样品34</t>
        </is>
      </c>
    </row>
    <row r="1503">
      <c r="A1503" t="inlineStr">
        <is>
          <t>34(5)-V06</t>
        </is>
      </c>
      <c r="B1503" t="inlineStr">
        <is>
          <t>34 (5).tif</t>
        </is>
      </c>
      <c r="C1503" t="n">
        <v>201</v>
      </c>
      <c r="D1503" t="n">
        <v>101</v>
      </c>
      <c r="E1503" t="inlineStr">
        <is>
          <t>170,68,233,135</t>
        </is>
      </c>
      <c r="F1503" t="n">
        <v>68</v>
      </c>
      <c r="G1503" t="inlineStr">
        <is>
          <t>primary</t>
        </is>
      </c>
      <c r="H1503" t="inlineStr">
        <is>
          <t>AUTO_VESSEL</t>
        </is>
      </c>
      <c r="I1503" t="inlineStr">
        <is>
          <t>是</t>
        </is>
      </c>
      <c r="J1503" t="inlineStr">
        <is>
          <t>纳入</t>
        </is>
      </c>
      <c r="K1503" t="n">
        <v>150.8034026465028</v>
      </c>
      <c r="L1503">
        <f>导管母表_1781!G1503</f>
        <v/>
      </c>
      <c r="M1503" t="inlineStr">
        <is>
          <t>视野内部</t>
        </is>
      </c>
      <c r="N1503" t="inlineStr">
        <is>
          <t>纳入A/D/Dh；若有Pair_ID则纳入CWR</t>
        </is>
      </c>
      <c r="O1503" t="inlineStr">
        <is>
          <t>自动管线检出的合格导管腔。</t>
        </is>
      </c>
      <c r="P1503" t="inlineStr">
        <is>
          <t>auto_pipeline;review_png_green</t>
        </is>
      </c>
      <c r="R1503" t="inlineStr">
        <is>
          <t>样品34</t>
        </is>
      </c>
    </row>
    <row r="1504">
      <c r="A1504" t="inlineStr">
        <is>
          <t>34(5)-V07</t>
        </is>
      </c>
      <c r="B1504" t="inlineStr">
        <is>
          <t>34 (5).tif</t>
        </is>
      </c>
      <c r="C1504" t="n">
        <v>437</v>
      </c>
      <c r="D1504" t="n">
        <v>509</v>
      </c>
      <c r="E1504" t="inlineStr">
        <is>
          <t>402,487,473,532</t>
        </is>
      </c>
      <c r="F1504" t="n">
        <v>236</v>
      </c>
      <c r="G1504" t="inlineStr">
        <is>
          <t>primary</t>
        </is>
      </c>
      <c r="H1504" t="inlineStr">
        <is>
          <t>AUTO_VESSEL</t>
        </is>
      </c>
      <c r="I1504" t="inlineStr">
        <is>
          <t>是</t>
        </is>
      </c>
      <c r="J1504" t="inlineStr">
        <is>
          <t>纳入</t>
        </is>
      </c>
      <c r="K1504" t="n">
        <v>111.7911153119093</v>
      </c>
      <c r="L1504">
        <f>导管母表_1781!G1504</f>
        <v/>
      </c>
      <c r="M1504" t="inlineStr">
        <is>
          <t>视野内部</t>
        </is>
      </c>
      <c r="N1504" t="inlineStr">
        <is>
          <t>纳入A/D/Dh；若有Pair_ID则纳入CWR</t>
        </is>
      </c>
      <c r="O1504" t="inlineStr">
        <is>
          <t>自动管线检出的合格导管腔。</t>
        </is>
      </c>
      <c r="P1504" t="inlineStr">
        <is>
          <t>auto_pipeline;review_png_green</t>
        </is>
      </c>
      <c r="R1504" t="inlineStr">
        <is>
          <t>样品34</t>
        </is>
      </c>
    </row>
    <row r="1505">
      <c r="A1505" t="inlineStr">
        <is>
          <t>34(6)-V01</t>
        </is>
      </c>
      <c r="B1505" t="inlineStr">
        <is>
          <t>34 (6).tif</t>
        </is>
      </c>
      <c r="C1505" t="n">
        <v>366</v>
      </c>
      <c r="D1505" t="n">
        <v>394</v>
      </c>
      <c r="E1505" t="inlineStr">
        <is>
          <t>272,291,461,498</t>
        </is>
      </c>
      <c r="F1505" t="n">
        <v>270</v>
      </c>
      <c r="G1505" t="inlineStr">
        <is>
          <t>primary</t>
        </is>
      </c>
      <c r="H1505" t="inlineStr">
        <is>
          <t>AUTO_VESSEL</t>
        </is>
      </c>
      <c r="I1505" t="inlineStr">
        <is>
          <t>是</t>
        </is>
      </c>
      <c r="J1505" t="inlineStr">
        <is>
          <t>纳入</t>
        </is>
      </c>
      <c r="K1505" t="n">
        <v>1433.081285444234</v>
      </c>
      <c r="L1505">
        <f>导管母表_1781!G1505</f>
        <v/>
      </c>
      <c r="M1505" t="inlineStr">
        <is>
          <t>视野内部</t>
        </is>
      </c>
      <c r="N1505" t="inlineStr">
        <is>
          <t>纳入A/D/Dh；若有Pair_ID则纳入CWR</t>
        </is>
      </c>
      <c r="O1505" t="inlineStr">
        <is>
          <t>自动管线检出的合格导管腔。</t>
        </is>
      </c>
      <c r="P1505" t="inlineStr">
        <is>
          <t>auto_pipeline;review_png_green</t>
        </is>
      </c>
      <c r="Q1505" t="inlineStr">
        <is>
          <t>34(6)-P01</t>
        </is>
      </c>
      <c r="R1505" t="inlineStr">
        <is>
          <t>样品34</t>
        </is>
      </c>
    </row>
    <row r="1506">
      <c r="A1506" t="inlineStr">
        <is>
          <t>34(6)-V02</t>
        </is>
      </c>
      <c r="B1506" t="inlineStr">
        <is>
          <t>34 (6).tif</t>
        </is>
      </c>
      <c r="C1506" t="n">
        <v>577</v>
      </c>
      <c r="D1506" t="n">
        <v>320</v>
      </c>
      <c r="E1506" t="inlineStr">
        <is>
          <t>480,227,675,414</t>
        </is>
      </c>
      <c r="F1506" t="n">
        <v>227</v>
      </c>
      <c r="G1506" t="inlineStr">
        <is>
          <t>primary</t>
        </is>
      </c>
      <c r="H1506" t="inlineStr">
        <is>
          <t>AUTO_VESSEL</t>
        </is>
      </c>
      <c r="I1506" t="inlineStr">
        <is>
          <t>是</t>
        </is>
      </c>
      <c r="J1506" t="inlineStr">
        <is>
          <t>纳入</t>
        </is>
      </c>
      <c r="K1506" t="n">
        <v>1335.822306238185</v>
      </c>
      <c r="L1506">
        <f>导管母表_1781!G1506</f>
        <v/>
      </c>
      <c r="M1506" t="inlineStr">
        <is>
          <t>视野内部</t>
        </is>
      </c>
      <c r="N1506" t="inlineStr">
        <is>
          <t>纳入A/D/Dh；若有Pair_ID则纳入CWR</t>
        </is>
      </c>
      <c r="O1506" t="inlineStr">
        <is>
          <t>自动管线检出的合格导管腔。</t>
        </is>
      </c>
      <c r="P1506" t="inlineStr">
        <is>
          <t>auto_pipeline;review_png_green</t>
        </is>
      </c>
      <c r="Q1506" t="inlineStr">
        <is>
          <t>34(6)-P01</t>
        </is>
      </c>
      <c r="R1506" t="inlineStr">
        <is>
          <t>样品34</t>
        </is>
      </c>
    </row>
    <row r="1507">
      <c r="A1507" t="inlineStr">
        <is>
          <t>34(6)-V03</t>
        </is>
      </c>
      <c r="B1507" t="inlineStr">
        <is>
          <t>34 (6).tif</t>
        </is>
      </c>
      <c r="C1507" t="n">
        <v>501</v>
      </c>
      <c r="D1507" t="n">
        <v>499</v>
      </c>
      <c r="E1507" t="inlineStr">
        <is>
          <t>470,474,533,525</t>
        </is>
      </c>
      <c r="F1507" t="n">
        <v>243</v>
      </c>
      <c r="G1507" t="inlineStr">
        <is>
          <t>primary</t>
        </is>
      </c>
      <c r="H1507" t="inlineStr">
        <is>
          <t>AUTO_VESSEL</t>
        </is>
      </c>
      <c r="I1507" t="inlineStr">
        <is>
          <t>是</t>
        </is>
      </c>
      <c r="J1507" t="inlineStr">
        <is>
          <t>纳入</t>
        </is>
      </c>
      <c r="K1507" t="n">
        <v>112.3109640831758</v>
      </c>
      <c r="L1507">
        <f>导管母表_1781!G1507</f>
        <v/>
      </c>
      <c r="M1507" t="inlineStr">
        <is>
          <t>视野内部</t>
        </is>
      </c>
      <c r="N1507" t="inlineStr">
        <is>
          <t>纳入A/D/Dh；若有Pair_ID则纳入CWR</t>
        </is>
      </c>
      <c r="O1507" t="inlineStr">
        <is>
          <t>自动管线检出的合格导管腔。</t>
        </is>
      </c>
      <c r="P1507" t="inlineStr">
        <is>
          <t>auto_pipeline;review_png_green</t>
        </is>
      </c>
      <c r="R1507" t="inlineStr">
        <is>
          <t>样品34</t>
        </is>
      </c>
    </row>
    <row r="1508">
      <c r="A1508" t="inlineStr">
        <is>
          <t>34(6)-V04</t>
        </is>
      </c>
      <c r="B1508" t="inlineStr">
        <is>
          <t>34 (6).tif</t>
        </is>
      </c>
      <c r="C1508" t="n">
        <v>791</v>
      </c>
      <c r="D1508" t="n">
        <v>80</v>
      </c>
      <c r="E1508" t="inlineStr">
        <is>
          <t>757,57,826,104</t>
        </is>
      </c>
      <c r="F1508" t="n">
        <v>57</v>
      </c>
      <c r="G1508" t="inlineStr">
        <is>
          <t>primary</t>
        </is>
      </c>
      <c r="H1508" t="inlineStr">
        <is>
          <t>AUTO_VESSEL</t>
        </is>
      </c>
      <c r="I1508" t="inlineStr">
        <is>
          <t>是</t>
        </is>
      </c>
      <c r="J1508" t="inlineStr">
        <is>
          <t>纳入</t>
        </is>
      </c>
      <c r="K1508" t="n">
        <v>111.554820415879</v>
      </c>
      <c r="L1508">
        <f>导管母表_1781!G1508</f>
        <v/>
      </c>
      <c r="M1508" t="inlineStr">
        <is>
          <t>视野内部</t>
        </is>
      </c>
      <c r="N1508" t="inlineStr">
        <is>
          <t>纳入A/D/Dh；若有Pair_ID则纳入CWR</t>
        </is>
      </c>
      <c r="O1508" t="inlineStr">
        <is>
          <t>自动管线检出的合格导管腔。</t>
        </is>
      </c>
      <c r="P1508" t="inlineStr">
        <is>
          <t>auto_pipeline;review_png_green</t>
        </is>
      </c>
      <c r="R1508" t="inlineStr">
        <is>
          <t>样品34</t>
        </is>
      </c>
    </row>
    <row r="1509">
      <c r="A1509" t="inlineStr">
        <is>
          <t>34(7)-V01</t>
        </is>
      </c>
      <c r="B1509" t="inlineStr">
        <is>
          <t>34 (7).tif</t>
        </is>
      </c>
      <c r="C1509" t="n">
        <v>552</v>
      </c>
      <c r="D1509" t="n">
        <v>356</v>
      </c>
      <c r="E1509" t="inlineStr">
        <is>
          <t>467,280,638,433</t>
        </is>
      </c>
      <c r="F1509" t="n">
        <v>280</v>
      </c>
      <c r="G1509" t="inlineStr">
        <is>
          <t>primary</t>
        </is>
      </c>
      <c r="H1509" t="inlineStr">
        <is>
          <t>AUTO_VESSEL</t>
        </is>
      </c>
      <c r="I1509" t="inlineStr">
        <is>
          <t>是</t>
        </is>
      </c>
      <c r="J1509" t="inlineStr">
        <is>
          <t>纳入</t>
        </is>
      </c>
      <c r="K1509" t="n">
        <v>959.1682419659735</v>
      </c>
      <c r="L1509">
        <f>导管母表_1781!G1509</f>
        <v/>
      </c>
      <c r="M1509" t="inlineStr">
        <is>
          <t>视野内部</t>
        </is>
      </c>
      <c r="N1509" t="inlineStr">
        <is>
          <t>纳入A/D/Dh；若有Pair_ID则纳入CWR</t>
        </is>
      </c>
      <c r="O1509" t="inlineStr">
        <is>
          <t>自动管线检出的合格导管腔。</t>
        </is>
      </c>
      <c r="P1509" t="inlineStr">
        <is>
          <t>auto_pipeline;review_png_green</t>
        </is>
      </c>
      <c r="Q1509" t="inlineStr">
        <is>
          <t>34(7)-P01</t>
        </is>
      </c>
      <c r="R1509" t="inlineStr">
        <is>
          <t>样品34</t>
        </is>
      </c>
    </row>
    <row r="1510">
      <c r="A1510" t="inlineStr">
        <is>
          <t>34(7)-V02</t>
        </is>
      </c>
      <c r="B1510" t="inlineStr">
        <is>
          <t>34 (7).tif</t>
        </is>
      </c>
      <c r="C1510" t="n">
        <v>376</v>
      </c>
      <c r="D1510" t="n">
        <v>309</v>
      </c>
      <c r="E1510" t="inlineStr">
        <is>
          <t>304,235,449,384</t>
        </is>
      </c>
      <c r="F1510" t="n">
        <v>235</v>
      </c>
      <c r="G1510" t="inlineStr">
        <is>
          <t>primary</t>
        </is>
      </c>
      <c r="H1510" t="inlineStr">
        <is>
          <t>AUTO_VESSEL</t>
        </is>
      </c>
      <c r="I1510" t="inlineStr">
        <is>
          <t>是</t>
        </is>
      </c>
      <c r="J1510" t="inlineStr">
        <is>
          <t>纳入</t>
        </is>
      </c>
      <c r="K1510" t="n">
        <v>790.0283553875237</v>
      </c>
      <c r="L1510">
        <f>导管母表_1781!G1510</f>
        <v/>
      </c>
      <c r="M1510" t="inlineStr">
        <is>
          <t>视野内部</t>
        </is>
      </c>
      <c r="N1510" t="inlineStr">
        <is>
          <t>纳入A/D/Dh；若有Pair_ID则纳入CWR</t>
        </is>
      </c>
      <c r="O1510" t="inlineStr">
        <is>
          <t>自动管线检出的合格导管腔。</t>
        </is>
      </c>
      <c r="P1510" t="inlineStr">
        <is>
          <t>auto_pipeline;review_png_green</t>
        </is>
      </c>
      <c r="Q1510" t="inlineStr">
        <is>
          <t>34(7)-P01</t>
        </is>
      </c>
      <c r="R1510" t="inlineStr">
        <is>
          <t>样品34</t>
        </is>
      </c>
    </row>
    <row r="1511">
      <c r="A1511" t="inlineStr">
        <is>
          <t>34(7)-V03</t>
        </is>
      </c>
      <c r="B1511" t="inlineStr">
        <is>
          <t>34 (7).tif</t>
        </is>
      </c>
      <c r="C1511" t="n">
        <v>81</v>
      </c>
      <c r="D1511" t="n">
        <v>588</v>
      </c>
      <c r="E1511" t="inlineStr">
        <is>
          <t>32,541,131,636</t>
        </is>
      </c>
      <c r="F1511" t="n">
        <v>32</v>
      </c>
      <c r="G1511" t="inlineStr">
        <is>
          <t>primary</t>
        </is>
      </c>
      <c r="H1511" t="inlineStr">
        <is>
          <t>AUTO_VESSEL</t>
        </is>
      </c>
      <c r="I1511" t="inlineStr">
        <is>
          <t>是</t>
        </is>
      </c>
      <c r="J1511" t="inlineStr">
        <is>
          <t>纳入</t>
        </is>
      </c>
      <c r="K1511" t="n">
        <v>341.6824196597353</v>
      </c>
      <c r="L1511">
        <f>导管母表_1781!G1511</f>
        <v/>
      </c>
      <c r="M1511" t="inlineStr">
        <is>
          <t>视野内部</t>
        </is>
      </c>
      <c r="N1511" t="inlineStr">
        <is>
          <t>纳入A/D/Dh；若有Pair_ID则纳入CWR</t>
        </is>
      </c>
      <c r="O1511" t="inlineStr">
        <is>
          <t>自动管线检出的合格导管腔。</t>
        </is>
      </c>
      <c r="P1511" t="inlineStr">
        <is>
          <t>auto_pipeline;review_png_green</t>
        </is>
      </c>
      <c r="R1511" t="inlineStr">
        <is>
          <t>样品34</t>
        </is>
      </c>
    </row>
    <row r="1512">
      <c r="A1512" t="inlineStr">
        <is>
          <t>34(7)-V04</t>
        </is>
      </c>
      <c r="B1512" t="inlineStr">
        <is>
          <t>34 (7).tif</t>
        </is>
      </c>
      <c r="C1512" t="n">
        <v>386</v>
      </c>
      <c r="D1512" t="n">
        <v>108</v>
      </c>
      <c r="E1512" t="inlineStr">
        <is>
          <t>349,75,424,142</t>
        </is>
      </c>
      <c r="F1512" t="n">
        <v>75</v>
      </c>
      <c r="G1512" t="inlineStr">
        <is>
          <t>primary</t>
        </is>
      </c>
      <c r="H1512" t="inlineStr">
        <is>
          <t>AUTO_VESSEL</t>
        </is>
      </c>
      <c r="I1512" t="inlineStr">
        <is>
          <t>是</t>
        </is>
      </c>
      <c r="J1512" t="inlineStr">
        <is>
          <t>纳入</t>
        </is>
      </c>
      <c r="K1512" t="n">
        <v>167.7930056710775</v>
      </c>
      <c r="L1512">
        <f>导管母表_1781!G1512</f>
        <v/>
      </c>
      <c r="M1512" t="inlineStr">
        <is>
          <t>视野内部</t>
        </is>
      </c>
      <c r="N1512" t="inlineStr">
        <is>
          <t>纳入A/D/Dh；若有Pair_ID则纳入CWR</t>
        </is>
      </c>
      <c r="O1512" t="inlineStr">
        <is>
          <t>自动管线检出的合格导管腔。</t>
        </is>
      </c>
      <c r="P1512" t="inlineStr">
        <is>
          <t>auto_pipeline;review_png_green</t>
        </is>
      </c>
      <c r="R1512" t="inlineStr">
        <is>
          <t>样品34</t>
        </is>
      </c>
    </row>
    <row r="1513">
      <c r="A1513" t="inlineStr">
        <is>
          <t>34(7)-V05</t>
        </is>
      </c>
      <c r="B1513" t="inlineStr">
        <is>
          <t>34 (7).tif</t>
        </is>
      </c>
      <c r="C1513" t="n">
        <v>451</v>
      </c>
      <c r="D1513" t="n">
        <v>228</v>
      </c>
      <c r="E1513" t="inlineStr">
        <is>
          <t>398,207,505,250</t>
        </is>
      </c>
      <c r="F1513" t="n">
        <v>207</v>
      </c>
      <c r="G1513" t="inlineStr">
        <is>
          <t>primary</t>
        </is>
      </c>
      <c r="H1513" t="inlineStr">
        <is>
          <t>AUTO_VESSEL</t>
        </is>
      </c>
      <c r="I1513" t="inlineStr">
        <is>
          <t>是</t>
        </is>
      </c>
      <c r="J1513" t="inlineStr">
        <is>
          <t>纳入</t>
        </is>
      </c>
      <c r="K1513" t="n">
        <v>157.5378071833648</v>
      </c>
      <c r="L1513">
        <f>导管母表_1781!G1513</f>
        <v/>
      </c>
      <c r="M1513" t="inlineStr">
        <is>
          <t>视野内部</t>
        </is>
      </c>
      <c r="N1513" t="inlineStr">
        <is>
          <t>纳入A/D/Dh；若有Pair_ID则纳入CWR</t>
        </is>
      </c>
      <c r="O1513" t="inlineStr">
        <is>
          <t>自动管线检出的合格导管腔。</t>
        </is>
      </c>
      <c r="P1513" t="inlineStr">
        <is>
          <t>auto_pipeline;review_png_green</t>
        </is>
      </c>
      <c r="R1513" t="inlineStr">
        <is>
          <t>样品34</t>
        </is>
      </c>
    </row>
    <row r="1514">
      <c r="A1514" t="inlineStr">
        <is>
          <t>34(7)-V06</t>
        </is>
      </c>
      <c r="B1514" t="inlineStr">
        <is>
          <t>34 (7).tif</t>
        </is>
      </c>
      <c r="C1514" t="n">
        <v>842</v>
      </c>
      <c r="D1514" t="n">
        <v>478</v>
      </c>
      <c r="E1514" t="inlineStr">
        <is>
          <t>796,458,889,499</t>
        </is>
      </c>
      <c r="F1514" t="n">
        <v>135</v>
      </c>
      <c r="G1514" t="inlineStr">
        <is>
          <t>primary</t>
        </is>
      </c>
      <c r="H1514" t="inlineStr">
        <is>
          <t>AUTO_VESSEL</t>
        </is>
      </c>
      <c r="I1514" t="inlineStr">
        <is>
          <t>是</t>
        </is>
      </c>
      <c r="J1514" t="inlineStr">
        <is>
          <t>纳入</t>
        </is>
      </c>
      <c r="K1514" t="n">
        <v>118.5727788279773</v>
      </c>
      <c r="L1514">
        <f>导管母表_1781!G1514</f>
        <v/>
      </c>
      <c r="M1514" t="inlineStr">
        <is>
          <t>视野内部</t>
        </is>
      </c>
      <c r="N1514" t="inlineStr">
        <is>
          <t>纳入A/D/Dh；若有Pair_ID则纳入CWR</t>
        </is>
      </c>
      <c r="O1514" t="inlineStr">
        <is>
          <t>自动管线检出的合格导管腔。</t>
        </is>
      </c>
      <c r="P1514" t="inlineStr">
        <is>
          <t>auto_pipeline;review_png_green</t>
        </is>
      </c>
      <c r="R1514" t="inlineStr">
        <is>
          <t>样品34</t>
        </is>
      </c>
    </row>
    <row r="1515">
      <c r="A1515" t="inlineStr">
        <is>
          <t>34(7)-V07</t>
        </is>
      </c>
      <c r="B1515" t="inlineStr">
        <is>
          <t>34 (7).tif</t>
        </is>
      </c>
      <c r="C1515" t="n">
        <v>476</v>
      </c>
      <c r="D1515" t="n">
        <v>35</v>
      </c>
      <c r="E1515" t="inlineStr">
        <is>
          <t>444,11,509,60</t>
        </is>
      </c>
      <c r="F1515" t="n">
        <v>11</v>
      </c>
      <c r="G1515" t="inlineStr">
        <is>
          <t>primary</t>
        </is>
      </c>
      <c r="H1515" t="inlineStr">
        <is>
          <t>AUTO_VESSEL</t>
        </is>
      </c>
      <c r="I1515" t="inlineStr">
        <is>
          <t>是</t>
        </is>
      </c>
      <c r="J1515" t="inlineStr">
        <is>
          <t>纳入</t>
        </is>
      </c>
      <c r="K1515" t="n">
        <v>113.9886578449906</v>
      </c>
      <c r="L1515">
        <f>导管母表_1781!G1515</f>
        <v/>
      </c>
      <c r="M1515" t="inlineStr">
        <is>
          <t>近边缘（&lt;25 px）</t>
        </is>
      </c>
      <c r="N1515" t="inlineStr">
        <is>
          <t>纳入A/D/Dh；若有Pair_ID则纳入CWR</t>
        </is>
      </c>
      <c r="O1515" t="inlineStr">
        <is>
          <t>自动管线检出的合格导管腔。</t>
        </is>
      </c>
      <c r="P1515" t="inlineStr">
        <is>
          <t>auto_pipeline;review_png_green</t>
        </is>
      </c>
      <c r="R1515" t="inlineStr">
        <is>
          <t>样品34</t>
        </is>
      </c>
    </row>
    <row r="1516">
      <c r="A1516" t="inlineStr">
        <is>
          <t>34(8)-V01</t>
        </is>
      </c>
      <c r="B1516" t="inlineStr">
        <is>
          <t>34 (8).tif</t>
        </is>
      </c>
      <c r="C1516" t="n">
        <v>837</v>
      </c>
      <c r="D1516" t="n">
        <v>434</v>
      </c>
      <c r="E1516" t="inlineStr">
        <is>
          <t>771,333,904,536</t>
        </is>
      </c>
      <c r="F1516" t="n">
        <v>120</v>
      </c>
      <c r="G1516" t="inlineStr">
        <is>
          <t>primary</t>
        </is>
      </c>
      <c r="H1516" t="inlineStr">
        <is>
          <t>AUTO_VESSEL</t>
        </is>
      </c>
      <c r="I1516" t="inlineStr">
        <is>
          <t>是</t>
        </is>
      </c>
      <c r="J1516" t="inlineStr">
        <is>
          <t>纳入</t>
        </is>
      </c>
      <c r="K1516" t="n">
        <v>935.586011342155</v>
      </c>
      <c r="L1516">
        <f>导管母表_1781!G1516</f>
        <v/>
      </c>
      <c r="M1516" t="inlineStr">
        <is>
          <t>视野内部</t>
        </is>
      </c>
      <c r="N1516" t="inlineStr">
        <is>
          <t>纳入A/D/Dh；若有Pair_ID则纳入CWR</t>
        </is>
      </c>
      <c r="O1516" t="inlineStr">
        <is>
          <t>自动管线检出的合格导管腔。</t>
        </is>
      </c>
      <c r="P1516" t="inlineStr">
        <is>
          <t>auto_pipeline;review_png_green</t>
        </is>
      </c>
      <c r="R1516" t="inlineStr">
        <is>
          <t>样品34</t>
        </is>
      </c>
    </row>
    <row r="1517">
      <c r="A1517" t="inlineStr">
        <is>
          <t>34(8)-V02</t>
        </is>
      </c>
      <c r="B1517" t="inlineStr">
        <is>
          <t>34 (8).tif</t>
        </is>
      </c>
      <c r="C1517" t="n">
        <v>477</v>
      </c>
      <c r="D1517" t="n">
        <v>305</v>
      </c>
      <c r="E1517" t="inlineStr">
        <is>
          <t>399,227,556,384</t>
        </is>
      </c>
      <c r="F1517" t="n">
        <v>227</v>
      </c>
      <c r="G1517" t="inlineStr">
        <is>
          <t>primary</t>
        </is>
      </c>
      <c r="H1517" t="inlineStr">
        <is>
          <t>AUTO_VESSEL</t>
        </is>
      </c>
      <c r="I1517" t="inlineStr">
        <is>
          <t>是</t>
        </is>
      </c>
      <c r="J1517" t="inlineStr">
        <is>
          <t>纳入</t>
        </is>
      </c>
      <c r="K1517" t="n">
        <v>899.1965973534972</v>
      </c>
      <c r="L1517">
        <f>导管母表_1781!G1517</f>
        <v/>
      </c>
      <c r="M1517" t="inlineStr">
        <is>
          <t>视野内部</t>
        </is>
      </c>
      <c r="N1517" t="inlineStr">
        <is>
          <t>纳入A/D/Dh；若有Pair_ID则纳入CWR</t>
        </is>
      </c>
      <c r="O1517" t="inlineStr">
        <is>
          <t>自动管线检出的合格导管腔。</t>
        </is>
      </c>
      <c r="P1517" t="inlineStr">
        <is>
          <t>auto_pipeline;review_png_green</t>
        </is>
      </c>
      <c r="Q1517" t="inlineStr">
        <is>
          <t>34(8)-P01</t>
        </is>
      </c>
      <c r="R1517" t="inlineStr">
        <is>
          <t>样品34</t>
        </is>
      </c>
    </row>
    <row r="1518">
      <c r="A1518" t="inlineStr">
        <is>
          <t>34(8)-V03</t>
        </is>
      </c>
      <c r="B1518" t="inlineStr">
        <is>
          <t>34 (8).tif</t>
        </is>
      </c>
      <c r="C1518" t="n">
        <v>593</v>
      </c>
      <c r="D1518" t="n">
        <v>437</v>
      </c>
      <c r="E1518" t="inlineStr">
        <is>
          <t>517,366,670,509</t>
        </is>
      </c>
      <c r="F1518" t="n">
        <v>259</v>
      </c>
      <c r="G1518" t="inlineStr">
        <is>
          <t>primary</t>
        </is>
      </c>
      <c r="H1518" t="inlineStr">
        <is>
          <t>AUTO_VESSEL</t>
        </is>
      </c>
      <c r="I1518" t="inlineStr">
        <is>
          <t>是</t>
        </is>
      </c>
      <c r="J1518" t="inlineStr">
        <is>
          <t>纳入</t>
        </is>
      </c>
      <c r="K1518" t="n">
        <v>802.2920604914934</v>
      </c>
      <c r="L1518">
        <f>导管母表_1781!G1518</f>
        <v/>
      </c>
      <c r="M1518" t="inlineStr">
        <is>
          <t>视野内部</t>
        </is>
      </c>
      <c r="N1518" t="inlineStr">
        <is>
          <t>纳入A/D/Dh；若有Pair_ID则纳入CWR</t>
        </is>
      </c>
      <c r="O1518" t="inlineStr">
        <is>
          <t>自动管线检出的合格导管腔。</t>
        </is>
      </c>
      <c r="P1518" t="inlineStr">
        <is>
          <t>auto_pipeline;review_png_green</t>
        </is>
      </c>
      <c r="Q1518" t="inlineStr">
        <is>
          <t>34(8)-P01</t>
        </is>
      </c>
      <c r="R1518" t="inlineStr">
        <is>
          <t>样品34</t>
        </is>
      </c>
    </row>
    <row r="1519">
      <c r="A1519" t="inlineStr">
        <is>
          <t>34(8)-V04</t>
        </is>
      </c>
      <c r="B1519" t="inlineStr">
        <is>
          <t>34 (8).tif</t>
        </is>
      </c>
      <c r="C1519" t="n">
        <v>71</v>
      </c>
      <c r="D1519" t="n">
        <v>589</v>
      </c>
      <c r="E1519" t="inlineStr">
        <is>
          <t>20,540,123,639</t>
        </is>
      </c>
      <c r="F1519" t="n">
        <v>20</v>
      </c>
      <c r="G1519" t="inlineStr">
        <is>
          <t>primary</t>
        </is>
      </c>
      <c r="H1519" t="inlineStr">
        <is>
          <t>AUTO_VESSEL</t>
        </is>
      </c>
      <c r="I1519" t="inlineStr">
        <is>
          <t>是</t>
        </is>
      </c>
      <c r="J1519" t="inlineStr">
        <is>
          <t>纳入</t>
        </is>
      </c>
      <c r="K1519" t="n">
        <v>362.6890359168242</v>
      </c>
      <c r="L1519">
        <f>导管母表_1781!G1519</f>
        <v/>
      </c>
      <c r="M1519" t="inlineStr">
        <is>
          <t>近边缘（&lt;25 px）</t>
        </is>
      </c>
      <c r="N1519" t="inlineStr">
        <is>
          <t>纳入A/D/Dh；若有Pair_ID则纳入CWR</t>
        </is>
      </c>
      <c r="O1519" t="inlineStr">
        <is>
          <t>自动管线检出的合格导管腔。</t>
        </is>
      </c>
      <c r="P1519" t="inlineStr">
        <is>
          <t>auto_pipeline;review_png_green</t>
        </is>
      </c>
      <c r="R1519" t="inlineStr">
        <is>
          <t>样品34</t>
        </is>
      </c>
    </row>
    <row r="1520">
      <c r="A1520" t="inlineStr">
        <is>
          <t>35(1)-V01</t>
        </is>
      </c>
      <c r="B1520" t="inlineStr">
        <is>
          <t>35 (1).tif</t>
        </is>
      </c>
      <c r="C1520" t="n">
        <v>259</v>
      </c>
      <c r="D1520" t="n">
        <v>457</v>
      </c>
      <c r="E1520" t="inlineStr">
        <is>
          <t>162,357,357,558</t>
        </is>
      </c>
      <c r="F1520" t="n">
        <v>162</v>
      </c>
      <c r="G1520" t="inlineStr">
        <is>
          <t>primary</t>
        </is>
      </c>
      <c r="H1520" t="inlineStr">
        <is>
          <t>AUTO_VESSEL</t>
        </is>
      </c>
      <c r="I1520" t="inlineStr">
        <is>
          <t>是</t>
        </is>
      </c>
      <c r="J1520" t="inlineStr">
        <is>
          <t>纳入</t>
        </is>
      </c>
      <c r="K1520" t="n">
        <v>1438.965028355388</v>
      </c>
      <c r="L1520">
        <f>导管母表_1781!G1520</f>
        <v/>
      </c>
      <c r="M1520" t="inlineStr">
        <is>
          <t>视野内部</t>
        </is>
      </c>
      <c r="N1520" t="inlineStr">
        <is>
          <t>纳入A/D/Dh；若有Pair_ID则纳入CWR</t>
        </is>
      </c>
      <c r="O1520" t="inlineStr">
        <is>
          <t>自动管线检出的合格导管腔。</t>
        </is>
      </c>
      <c r="P1520" t="inlineStr">
        <is>
          <t>auto_pipeline;review_png_green</t>
        </is>
      </c>
      <c r="R1520" t="inlineStr">
        <is>
          <t>样品35</t>
        </is>
      </c>
    </row>
    <row r="1521">
      <c r="A1521" t="inlineStr">
        <is>
          <t>35(1)-V02</t>
        </is>
      </c>
      <c r="B1521" t="inlineStr">
        <is>
          <t>35 (1).tif</t>
        </is>
      </c>
      <c r="C1521" t="n">
        <v>706</v>
      </c>
      <c r="D1521" t="n">
        <v>301</v>
      </c>
      <c r="E1521" t="inlineStr">
        <is>
          <t>626,213,787,390</t>
        </is>
      </c>
      <c r="F1521" t="n">
        <v>213</v>
      </c>
      <c r="G1521" t="inlineStr">
        <is>
          <t>primary</t>
        </is>
      </c>
      <c r="H1521" t="inlineStr">
        <is>
          <t>AUTO_VESSEL</t>
        </is>
      </c>
      <c r="I1521" t="inlineStr">
        <is>
          <t>是</t>
        </is>
      </c>
      <c r="J1521" t="inlineStr">
        <is>
          <t>纳入</t>
        </is>
      </c>
      <c r="K1521" t="n">
        <v>1043.785444234405</v>
      </c>
      <c r="L1521">
        <f>导管母表_1781!G1521</f>
        <v/>
      </c>
      <c r="M1521" t="inlineStr">
        <is>
          <t>视野内部</t>
        </is>
      </c>
      <c r="N1521" t="inlineStr">
        <is>
          <t>纳入A/D/Dh；若有Pair_ID则纳入CWR</t>
        </is>
      </c>
      <c r="O1521" t="inlineStr">
        <is>
          <t>自动管线检出的合格导管腔。</t>
        </is>
      </c>
      <c r="P1521" t="inlineStr">
        <is>
          <t>auto_pipeline;review_png_green</t>
        </is>
      </c>
      <c r="R1521" t="inlineStr">
        <is>
          <t>样品35</t>
        </is>
      </c>
    </row>
    <row r="1522">
      <c r="A1522" t="inlineStr">
        <is>
          <t>35(1)-V03</t>
        </is>
      </c>
      <c r="B1522" t="inlineStr">
        <is>
          <t>35 (1).tif</t>
        </is>
      </c>
      <c r="C1522" t="n">
        <v>951</v>
      </c>
      <c r="D1522" t="n">
        <v>192</v>
      </c>
      <c r="E1522" t="inlineStr">
        <is>
          <t>914,159,989,226</t>
        </is>
      </c>
      <c r="F1522" t="n">
        <v>35</v>
      </c>
      <c r="G1522" t="inlineStr">
        <is>
          <t>primary</t>
        </is>
      </c>
      <c r="H1522" t="inlineStr">
        <is>
          <t>AUTO_VESSEL</t>
        </is>
      </c>
      <c r="I1522" t="inlineStr">
        <is>
          <t>是</t>
        </is>
      </c>
      <c r="J1522" t="inlineStr">
        <is>
          <t>纳入</t>
        </is>
      </c>
      <c r="K1522" t="n">
        <v>164.437618147448</v>
      </c>
      <c r="L1522">
        <f>导管母表_1781!G1522</f>
        <v/>
      </c>
      <c r="M1522" t="inlineStr">
        <is>
          <t>视野内部</t>
        </is>
      </c>
      <c r="N1522" t="inlineStr">
        <is>
          <t>纳入A/D/Dh；若有Pair_ID则纳入CWR</t>
        </is>
      </c>
      <c r="O1522" t="inlineStr">
        <is>
          <t>自动管线检出的合格导管腔。</t>
        </is>
      </c>
      <c r="P1522" t="inlineStr">
        <is>
          <t>auto_pipeline;review_png_green</t>
        </is>
      </c>
      <c r="R1522" t="inlineStr">
        <is>
          <t>样品35</t>
        </is>
      </c>
    </row>
    <row r="1523">
      <c r="A1523" t="inlineStr">
        <is>
          <t>35(1)-V04</t>
        </is>
      </c>
      <c r="B1523" t="inlineStr">
        <is>
          <t>35 (1).tif</t>
        </is>
      </c>
      <c r="C1523" t="n">
        <v>507</v>
      </c>
      <c r="D1523" t="n">
        <v>613</v>
      </c>
      <c r="E1523" t="inlineStr">
        <is>
          <t>465,586,550,641</t>
        </is>
      </c>
      <c r="F1523" t="n">
        <v>127</v>
      </c>
      <c r="G1523" t="inlineStr">
        <is>
          <t>primary</t>
        </is>
      </c>
      <c r="H1523" t="inlineStr">
        <is>
          <t>AUTO_VESSEL</t>
        </is>
      </c>
      <c r="I1523" t="inlineStr">
        <is>
          <t>是</t>
        </is>
      </c>
      <c r="J1523" t="inlineStr">
        <is>
          <t>纳入</t>
        </is>
      </c>
      <c r="K1523" t="n">
        <v>146.8809073724008</v>
      </c>
      <c r="L1523">
        <f>导管母表_1781!G1523</f>
        <v/>
      </c>
      <c r="M1523" t="inlineStr">
        <is>
          <t>视野内部</t>
        </is>
      </c>
      <c r="N1523" t="inlineStr">
        <is>
          <t>纳入A/D/Dh；若有Pair_ID则纳入CWR</t>
        </is>
      </c>
      <c r="O1523" t="inlineStr">
        <is>
          <t>自动管线检出的合格导管腔。</t>
        </is>
      </c>
      <c r="P1523" t="inlineStr">
        <is>
          <t>auto_pipeline;review_png_green</t>
        </is>
      </c>
      <c r="R1523" t="inlineStr">
        <is>
          <t>样品35</t>
        </is>
      </c>
    </row>
    <row r="1524">
      <c r="A1524" t="inlineStr">
        <is>
          <t>35(1)-V05</t>
        </is>
      </c>
      <c r="B1524" t="inlineStr">
        <is>
          <t>35 (1).tif</t>
        </is>
      </c>
      <c r="C1524" t="n">
        <v>865</v>
      </c>
      <c r="D1524" t="n">
        <v>605</v>
      </c>
      <c r="E1524" t="inlineStr">
        <is>
          <t>808,588,923,623</t>
        </is>
      </c>
      <c r="F1524" t="n">
        <v>101</v>
      </c>
      <c r="G1524" t="inlineStr">
        <is>
          <t>primary</t>
        </is>
      </c>
      <c r="H1524" t="inlineStr">
        <is>
          <t>AUTO_VESSEL</t>
        </is>
      </c>
      <c r="I1524" t="inlineStr">
        <is>
          <t>是</t>
        </is>
      </c>
      <c r="J1524" t="inlineStr">
        <is>
          <t>纳入</t>
        </is>
      </c>
      <c r="K1524" t="n">
        <v>143.5255198487713</v>
      </c>
      <c r="L1524">
        <f>导管母表_1781!G1524</f>
        <v/>
      </c>
      <c r="M1524" t="inlineStr">
        <is>
          <t>视野内部</t>
        </is>
      </c>
      <c r="N1524" t="inlineStr">
        <is>
          <t>纳入A/D/Dh；若有Pair_ID则纳入CWR</t>
        </is>
      </c>
      <c r="O1524" t="inlineStr">
        <is>
          <t>自动管线检出的合格导管腔。</t>
        </is>
      </c>
      <c r="P1524" t="inlineStr">
        <is>
          <t>auto_pipeline;review_png_green</t>
        </is>
      </c>
      <c r="R1524" t="inlineStr">
        <is>
          <t>样品35</t>
        </is>
      </c>
    </row>
    <row r="1525">
      <c r="A1525" t="inlineStr">
        <is>
          <t>35(2)-V01</t>
        </is>
      </c>
      <c r="B1525" t="inlineStr">
        <is>
          <t>35 (2).tif</t>
        </is>
      </c>
      <c r="C1525" t="n">
        <v>375</v>
      </c>
      <c r="D1525" t="n">
        <v>325</v>
      </c>
      <c r="E1525" t="inlineStr">
        <is>
          <t>281,226,470,425</t>
        </is>
      </c>
      <c r="F1525" t="n">
        <v>226</v>
      </c>
      <c r="G1525" t="inlineStr">
        <is>
          <t>primary</t>
        </is>
      </c>
      <c r="H1525" t="inlineStr">
        <is>
          <t>AUTO_VESSEL</t>
        </is>
      </c>
      <c r="I1525" t="inlineStr">
        <is>
          <t>是</t>
        </is>
      </c>
      <c r="J1525" t="inlineStr">
        <is>
          <t>纳入</t>
        </is>
      </c>
      <c r="K1525" t="n">
        <v>1349.291115311909</v>
      </c>
      <c r="L1525">
        <f>导管母表_1781!G1525</f>
        <v/>
      </c>
      <c r="M1525" t="inlineStr">
        <is>
          <t>视野内部</t>
        </is>
      </c>
      <c r="N1525" t="inlineStr">
        <is>
          <t>纳入A/D/Dh；若有Pair_ID则纳入CWR</t>
        </is>
      </c>
      <c r="O1525" t="inlineStr">
        <is>
          <t>自动管线检出的合格导管腔。</t>
        </is>
      </c>
      <c r="P1525" t="inlineStr">
        <is>
          <t>auto_pipeline;review_png_green</t>
        </is>
      </c>
      <c r="Q1525" t="inlineStr">
        <is>
          <t>35(2)-P01</t>
        </is>
      </c>
      <c r="R1525" t="inlineStr">
        <is>
          <t>样品35</t>
        </is>
      </c>
    </row>
    <row r="1526">
      <c r="A1526" t="inlineStr">
        <is>
          <t>35(2)-V02</t>
        </is>
      </c>
      <c r="B1526" t="inlineStr">
        <is>
          <t>35 (2).tif</t>
        </is>
      </c>
      <c r="C1526" t="n">
        <v>563</v>
      </c>
      <c r="D1526" t="n">
        <v>377</v>
      </c>
      <c r="E1526" t="inlineStr">
        <is>
          <t>484,300,643,455</t>
        </is>
      </c>
      <c r="F1526" t="n">
        <v>300</v>
      </c>
      <c r="G1526" t="inlineStr">
        <is>
          <t>primary</t>
        </is>
      </c>
      <c r="H1526" t="inlineStr">
        <is>
          <t>AUTO_VESSEL</t>
        </is>
      </c>
      <c r="I1526" t="inlineStr">
        <is>
          <t>是</t>
        </is>
      </c>
      <c r="J1526" t="inlineStr">
        <is>
          <t>纳入</t>
        </is>
      </c>
      <c r="K1526" t="n">
        <v>901.4177693761815</v>
      </c>
      <c r="L1526">
        <f>导管母表_1781!G1526</f>
        <v/>
      </c>
      <c r="M1526" t="inlineStr">
        <is>
          <t>视野内部</t>
        </is>
      </c>
      <c r="N1526" t="inlineStr">
        <is>
          <t>纳入A/D/Dh；若有Pair_ID则纳入CWR</t>
        </is>
      </c>
      <c r="O1526" t="inlineStr">
        <is>
          <t>自动管线检出的合格导管腔。</t>
        </is>
      </c>
      <c r="P1526" t="inlineStr">
        <is>
          <t>auto_pipeline;review_png_green</t>
        </is>
      </c>
      <c r="Q1526" t="inlineStr">
        <is>
          <t>35(2)-P01</t>
        </is>
      </c>
      <c r="R1526" t="inlineStr">
        <is>
          <t>样品35</t>
        </is>
      </c>
    </row>
    <row r="1527">
      <c r="A1527" t="inlineStr">
        <is>
          <t>35(2)-V03</t>
        </is>
      </c>
      <c r="B1527" t="inlineStr">
        <is>
          <t>35 (2).tif</t>
        </is>
      </c>
      <c r="C1527" t="n">
        <v>915</v>
      </c>
      <c r="D1527" t="n">
        <v>248</v>
      </c>
      <c r="E1527" t="inlineStr">
        <is>
          <t>849,228,982,269</t>
        </is>
      </c>
      <c r="F1527" t="n">
        <v>42</v>
      </c>
      <c r="G1527" t="inlineStr">
        <is>
          <t>primary</t>
        </is>
      </c>
      <c r="H1527" t="inlineStr">
        <is>
          <t>AUTO_VESSEL</t>
        </is>
      </c>
      <c r="I1527" t="inlineStr">
        <is>
          <t>是</t>
        </is>
      </c>
      <c r="J1527" t="inlineStr">
        <is>
          <t>纳入</t>
        </is>
      </c>
      <c r="K1527" t="n">
        <v>168.9508506616257</v>
      </c>
      <c r="L1527">
        <f>导管母表_1781!G1527</f>
        <v/>
      </c>
      <c r="M1527" t="inlineStr">
        <is>
          <t>视野内部</t>
        </is>
      </c>
      <c r="N1527" t="inlineStr">
        <is>
          <t>纳入A/D/Dh；若有Pair_ID则纳入CWR</t>
        </is>
      </c>
      <c r="O1527" t="inlineStr">
        <is>
          <t>自动管线检出的合格导管腔。</t>
        </is>
      </c>
      <c r="P1527" t="inlineStr">
        <is>
          <t>auto_pipeline;review_png_green</t>
        </is>
      </c>
      <c r="R1527" t="inlineStr">
        <is>
          <t>样品35</t>
        </is>
      </c>
    </row>
    <row r="1528">
      <c r="A1528" t="inlineStr">
        <is>
          <t>35(2)-V04</t>
        </is>
      </c>
      <c r="B1528" t="inlineStr">
        <is>
          <t>35 (2).tif</t>
        </is>
      </c>
      <c r="C1528" t="n">
        <v>129</v>
      </c>
      <c r="D1528" t="n">
        <v>327</v>
      </c>
      <c r="E1528" t="inlineStr">
        <is>
          <t>94,285,165,370</t>
        </is>
      </c>
      <c r="F1528" t="n">
        <v>94</v>
      </c>
      <c r="G1528" t="inlineStr">
        <is>
          <t>primary</t>
        </is>
      </c>
      <c r="H1528" t="inlineStr">
        <is>
          <t>AUTO_VESSEL</t>
        </is>
      </c>
      <c r="I1528" t="inlineStr">
        <is>
          <t>是</t>
        </is>
      </c>
      <c r="J1528" t="inlineStr">
        <is>
          <t>纳入</t>
        </is>
      </c>
      <c r="K1528" t="n">
        <v>163.5160680529301</v>
      </c>
      <c r="L1528">
        <f>导管母表_1781!G1528</f>
        <v/>
      </c>
      <c r="M1528" t="inlineStr">
        <is>
          <t>视野内部</t>
        </is>
      </c>
      <c r="N1528" t="inlineStr">
        <is>
          <t>纳入A/D/Dh；若有Pair_ID则纳入CWR</t>
        </is>
      </c>
      <c r="O1528" t="inlineStr">
        <is>
          <t>自动管线检出的合格导管腔。</t>
        </is>
      </c>
      <c r="P1528" t="inlineStr">
        <is>
          <t>auto_pipeline;review_png_green</t>
        </is>
      </c>
      <c r="R1528" t="inlineStr">
        <is>
          <t>样品35</t>
        </is>
      </c>
    </row>
    <row r="1529">
      <c r="A1529" t="inlineStr">
        <is>
          <t>35(2)-V05</t>
        </is>
      </c>
      <c r="B1529" t="inlineStr">
        <is>
          <t>35 (2).tif</t>
        </is>
      </c>
      <c r="C1529" t="n">
        <v>128</v>
      </c>
      <c r="D1529" t="n">
        <v>200</v>
      </c>
      <c r="E1529" t="inlineStr">
        <is>
          <t>92,176,165,225</t>
        </is>
      </c>
      <c r="F1529" t="n">
        <v>92</v>
      </c>
      <c r="G1529" t="inlineStr">
        <is>
          <t>primary</t>
        </is>
      </c>
      <c r="H1529" t="inlineStr">
        <is>
          <t>AUTO_VESSEL</t>
        </is>
      </c>
      <c r="I1529" t="inlineStr">
        <is>
          <t>是</t>
        </is>
      </c>
      <c r="J1529" t="inlineStr">
        <is>
          <t>纳入</t>
        </is>
      </c>
      <c r="K1529" t="n">
        <v>128.7098298676749</v>
      </c>
      <c r="L1529">
        <f>导管母表_1781!G1529</f>
        <v/>
      </c>
      <c r="M1529" t="inlineStr">
        <is>
          <t>视野内部</t>
        </is>
      </c>
      <c r="N1529" t="inlineStr">
        <is>
          <t>纳入A/D/Dh；若有Pair_ID则纳入CWR</t>
        </is>
      </c>
      <c r="O1529" t="inlineStr">
        <is>
          <t>自动管线检出的合格导管腔。</t>
        </is>
      </c>
      <c r="P1529" t="inlineStr">
        <is>
          <t>auto_pipeline;review_png_green</t>
        </is>
      </c>
      <c r="R1529" t="inlineStr">
        <is>
          <t>样品35</t>
        </is>
      </c>
    </row>
    <row r="1530">
      <c r="A1530" t="inlineStr">
        <is>
          <t>35(2)-V06</t>
        </is>
      </c>
      <c r="B1530" t="inlineStr">
        <is>
          <t>35 (2).tif</t>
        </is>
      </c>
      <c r="C1530" t="n">
        <v>738</v>
      </c>
      <c r="D1530" t="n">
        <v>382</v>
      </c>
      <c r="E1530" t="inlineStr">
        <is>
          <t>695,358,782,407</t>
        </is>
      </c>
      <c r="F1530" t="n">
        <v>242</v>
      </c>
      <c r="G1530" t="inlineStr">
        <is>
          <t>primary</t>
        </is>
      </c>
      <c r="H1530" t="inlineStr">
        <is>
          <t>AUTO_VESSEL</t>
        </is>
      </c>
      <c r="I1530" t="inlineStr">
        <is>
          <t>是</t>
        </is>
      </c>
      <c r="J1530" t="inlineStr">
        <is>
          <t>纳入</t>
        </is>
      </c>
      <c r="K1530" t="n">
        <v>123.4404536862004</v>
      </c>
      <c r="L1530">
        <f>导管母表_1781!G1530</f>
        <v/>
      </c>
      <c r="M1530" t="inlineStr">
        <is>
          <t>视野内部</t>
        </is>
      </c>
      <c r="N1530" t="inlineStr">
        <is>
          <t>纳入A/D/Dh；若有Pair_ID则纳入CWR</t>
        </is>
      </c>
      <c r="O1530" t="inlineStr">
        <is>
          <t>自动管线检出的合格导管腔。</t>
        </is>
      </c>
      <c r="P1530" t="inlineStr">
        <is>
          <t>auto_pipeline;review_png_green</t>
        </is>
      </c>
      <c r="R1530" t="inlineStr">
        <is>
          <t>样品35</t>
        </is>
      </c>
    </row>
    <row r="1531">
      <c r="A1531" t="inlineStr">
        <is>
          <t>35(3)-V01</t>
        </is>
      </c>
      <c r="B1531" t="inlineStr">
        <is>
          <t>35 (3).tif</t>
        </is>
      </c>
      <c r="C1531" t="n">
        <v>440</v>
      </c>
      <c r="D1531" t="n">
        <v>366</v>
      </c>
      <c r="E1531" t="inlineStr">
        <is>
          <t>359,277,522,456</t>
        </is>
      </c>
      <c r="F1531" t="n">
        <v>277</v>
      </c>
      <c r="G1531" t="inlineStr">
        <is>
          <t>primary</t>
        </is>
      </c>
      <c r="H1531" t="inlineStr">
        <is>
          <t>AUTO_VESSEL</t>
        </is>
      </c>
      <c r="I1531" t="inlineStr">
        <is>
          <t>是</t>
        </is>
      </c>
      <c r="J1531" t="inlineStr">
        <is>
          <t>纳入</t>
        </is>
      </c>
      <c r="K1531" t="n">
        <v>1069.754253308128</v>
      </c>
      <c r="L1531">
        <f>导管母表_1781!G1531</f>
        <v/>
      </c>
      <c r="M1531" t="inlineStr">
        <is>
          <t>视野内部</t>
        </is>
      </c>
      <c r="N1531" t="inlineStr">
        <is>
          <t>纳入A/D/Dh；若有Pair_ID则纳入CWR</t>
        </is>
      </c>
      <c r="O1531" t="inlineStr">
        <is>
          <t>自动管线检出的合格导管腔。</t>
        </is>
      </c>
      <c r="P1531" t="inlineStr">
        <is>
          <t>auto_pipeline;review_png_green</t>
        </is>
      </c>
      <c r="Q1531" t="inlineStr">
        <is>
          <t>35(3)-P01</t>
        </is>
      </c>
      <c r="R1531" t="inlineStr">
        <is>
          <t>样品35</t>
        </is>
      </c>
    </row>
    <row r="1532">
      <c r="A1532" t="inlineStr">
        <is>
          <t>35(3)-V02</t>
        </is>
      </c>
      <c r="B1532" t="inlineStr">
        <is>
          <t>35 (3).tif</t>
        </is>
      </c>
      <c r="C1532" t="n">
        <v>275</v>
      </c>
      <c r="D1532" t="n">
        <v>393</v>
      </c>
      <c r="E1532" t="inlineStr">
        <is>
          <t>202,324,349,463</t>
        </is>
      </c>
      <c r="F1532" t="n">
        <v>202</v>
      </c>
      <c r="G1532" t="inlineStr">
        <is>
          <t>primary</t>
        </is>
      </c>
      <c r="H1532" t="inlineStr">
        <is>
          <t>AUTO_VESSEL</t>
        </is>
      </c>
      <c r="I1532" t="inlineStr">
        <is>
          <t>是</t>
        </is>
      </c>
      <c r="J1532" t="inlineStr">
        <is>
          <t>纳入</t>
        </is>
      </c>
      <c r="K1532" t="n">
        <v>747.4007561436673</v>
      </c>
      <c r="L1532">
        <f>导管母表_1781!G1532</f>
        <v/>
      </c>
      <c r="M1532" t="inlineStr">
        <is>
          <t>视野内部</t>
        </is>
      </c>
      <c r="N1532" t="inlineStr">
        <is>
          <t>纳入A/D/Dh；若有Pair_ID则纳入CWR</t>
        </is>
      </c>
      <c r="O1532" t="inlineStr">
        <is>
          <t>自动管线检出的合格导管腔。</t>
        </is>
      </c>
      <c r="P1532" t="inlineStr">
        <is>
          <t>auto_pipeline;review_png_green</t>
        </is>
      </c>
      <c r="Q1532" t="inlineStr">
        <is>
          <t>35(3)-P01</t>
        </is>
      </c>
      <c r="R1532" t="inlineStr">
        <is>
          <t>样品35</t>
        </is>
      </c>
    </row>
    <row r="1533">
      <c r="A1533" t="inlineStr">
        <is>
          <t>35(3)-V03</t>
        </is>
      </c>
      <c r="B1533" t="inlineStr">
        <is>
          <t>35 (3).tif</t>
        </is>
      </c>
      <c r="C1533" t="n">
        <v>622</v>
      </c>
      <c r="D1533" t="n">
        <v>321</v>
      </c>
      <c r="E1533" t="inlineStr">
        <is>
          <t>550,259,695,384</t>
        </is>
      </c>
      <c r="F1533" t="n">
        <v>259</v>
      </c>
      <c r="G1533" t="inlineStr">
        <is>
          <t>primary</t>
        </is>
      </c>
      <c r="H1533" t="inlineStr">
        <is>
          <t>AUTO_VESSEL</t>
        </is>
      </c>
      <c r="I1533" t="inlineStr">
        <is>
          <t>是</t>
        </is>
      </c>
      <c r="J1533" t="inlineStr">
        <is>
          <t>纳入</t>
        </is>
      </c>
      <c r="K1533" t="n">
        <v>662.0510396975426</v>
      </c>
      <c r="L1533">
        <f>导管母表_1781!G1533</f>
        <v/>
      </c>
      <c r="M1533" t="inlineStr">
        <is>
          <t>视野内部</t>
        </is>
      </c>
      <c r="N1533" t="inlineStr">
        <is>
          <t>纳入A/D/Dh；若有Pair_ID则纳入CWR</t>
        </is>
      </c>
      <c r="O1533" t="inlineStr">
        <is>
          <t>自动管线检出的合格导管腔。</t>
        </is>
      </c>
      <c r="P1533" t="inlineStr">
        <is>
          <t>auto_pipeline;review_png_green</t>
        </is>
      </c>
      <c r="R1533" t="inlineStr">
        <is>
          <t>样品35</t>
        </is>
      </c>
    </row>
    <row r="1534">
      <c r="A1534" t="inlineStr">
        <is>
          <t>35(3)-V04</t>
        </is>
      </c>
      <c r="B1534" t="inlineStr">
        <is>
          <t>35 (3).tif</t>
        </is>
      </c>
      <c r="C1534" t="n">
        <v>265</v>
      </c>
      <c r="D1534" t="n">
        <v>517</v>
      </c>
      <c r="E1534" t="inlineStr">
        <is>
          <t>195,485,336,550</t>
        </is>
      </c>
      <c r="F1534" t="n">
        <v>195</v>
      </c>
      <c r="G1534" t="inlineStr">
        <is>
          <t>primary</t>
        </is>
      </c>
      <c r="H1534" t="inlineStr">
        <is>
          <t>AUTO_VESSEL</t>
        </is>
      </c>
      <c r="I1534" t="inlineStr">
        <is>
          <t>是</t>
        </is>
      </c>
      <c r="J1534" t="inlineStr">
        <is>
          <t>纳入</t>
        </is>
      </c>
      <c r="K1534" t="n">
        <v>332.1833648393195</v>
      </c>
      <c r="L1534">
        <f>导管母表_1781!G1534</f>
        <v/>
      </c>
      <c r="M1534" t="inlineStr">
        <is>
          <t>视野内部</t>
        </is>
      </c>
      <c r="N1534" t="inlineStr">
        <is>
          <t>纳入A/D/Dh；若有Pair_ID则纳入CWR</t>
        </is>
      </c>
      <c r="O1534" t="inlineStr">
        <is>
          <t>自动管线检出的合格导管腔。</t>
        </is>
      </c>
      <c r="P1534" t="inlineStr">
        <is>
          <t>auto_pipeline;review_png_green</t>
        </is>
      </c>
      <c r="R1534" t="inlineStr">
        <is>
          <t>样品35</t>
        </is>
      </c>
    </row>
    <row r="1535">
      <c r="A1535" t="inlineStr">
        <is>
          <t>35(3)-V05</t>
        </is>
      </c>
      <c r="B1535" t="inlineStr">
        <is>
          <t>35 (3).tif</t>
        </is>
      </c>
      <c r="C1535" t="n">
        <v>180</v>
      </c>
      <c r="D1535" t="n">
        <v>38</v>
      </c>
      <c r="E1535" t="inlineStr">
        <is>
          <t>125,21,236,56</t>
        </is>
      </c>
      <c r="F1535" t="n">
        <v>21</v>
      </c>
      <c r="G1535" t="inlineStr">
        <is>
          <t>primary</t>
        </is>
      </c>
      <c r="H1535" t="inlineStr">
        <is>
          <t>AUTO_VESSEL</t>
        </is>
      </c>
      <c r="I1535" t="inlineStr">
        <is>
          <t>是</t>
        </is>
      </c>
      <c r="J1535" t="inlineStr">
        <is>
          <t>纳入</t>
        </is>
      </c>
      <c r="K1535" t="n">
        <v>124.8109640831758</v>
      </c>
      <c r="L1535">
        <f>导管母表_1781!G1535</f>
        <v/>
      </c>
      <c r="M1535" t="inlineStr">
        <is>
          <t>近边缘（&lt;25 px）</t>
        </is>
      </c>
      <c r="N1535" t="inlineStr">
        <is>
          <t>纳入A/D/Dh；若有Pair_ID则纳入CWR</t>
        </is>
      </c>
      <c r="O1535" t="inlineStr">
        <is>
          <t>自动管线检出的合格导管腔。</t>
        </is>
      </c>
      <c r="P1535" t="inlineStr">
        <is>
          <t>auto_pipeline;review_png_green</t>
        </is>
      </c>
      <c r="R1535" t="inlineStr">
        <is>
          <t>样品35</t>
        </is>
      </c>
    </row>
    <row r="1536">
      <c r="A1536" t="inlineStr">
        <is>
          <t>35(3)-V06</t>
        </is>
      </c>
      <c r="B1536" t="inlineStr">
        <is>
          <t>35 (3).tif</t>
        </is>
      </c>
      <c r="C1536" t="n">
        <v>816</v>
      </c>
      <c r="D1536" t="n">
        <v>644</v>
      </c>
      <c r="E1536" t="inlineStr">
        <is>
          <t>769,628,864,661</t>
        </is>
      </c>
      <c r="F1536" t="n">
        <v>107</v>
      </c>
      <c r="G1536" t="inlineStr">
        <is>
          <t>primary</t>
        </is>
      </c>
      <c r="H1536" t="inlineStr">
        <is>
          <t>AUTO_VESSEL</t>
        </is>
      </c>
      <c r="I1536" t="inlineStr">
        <is>
          <t>是</t>
        </is>
      </c>
      <c r="J1536" t="inlineStr">
        <is>
          <t>纳入</t>
        </is>
      </c>
      <c r="K1536" t="n">
        <v>111.1058601134216</v>
      </c>
      <c r="L1536">
        <f>导管母表_1781!G1536</f>
        <v/>
      </c>
      <c r="M1536" t="inlineStr">
        <is>
          <t>视野内部</t>
        </is>
      </c>
      <c r="N1536" t="inlineStr">
        <is>
          <t>纳入A/D/Dh；若有Pair_ID则纳入CWR</t>
        </is>
      </c>
      <c r="O1536" t="inlineStr">
        <is>
          <t>自动管线检出的合格导管腔。</t>
        </is>
      </c>
      <c r="P1536" t="inlineStr">
        <is>
          <t>auto_pipeline;review_png_green</t>
        </is>
      </c>
      <c r="R1536" t="inlineStr">
        <is>
          <t>样品35</t>
        </is>
      </c>
    </row>
    <row r="1537">
      <c r="A1537" t="inlineStr">
        <is>
          <t>35(3)-V07</t>
        </is>
      </c>
      <c r="B1537" t="inlineStr">
        <is>
          <t>35 (3).tif</t>
        </is>
      </c>
      <c r="C1537" t="n">
        <v>160</v>
      </c>
      <c r="D1537" t="n">
        <v>611</v>
      </c>
      <c r="E1537" t="inlineStr">
        <is>
          <t>128,586,193,637</t>
        </is>
      </c>
      <c r="F1537" t="n">
        <v>128</v>
      </c>
      <c r="G1537" t="inlineStr">
        <is>
          <t>primary</t>
        </is>
      </c>
      <c r="H1537" t="inlineStr">
        <is>
          <t>AUTO_VESSEL</t>
        </is>
      </c>
      <c r="I1537" t="inlineStr">
        <is>
          <t>是</t>
        </is>
      </c>
      <c r="J1537" t="inlineStr">
        <is>
          <t>纳入</t>
        </is>
      </c>
      <c r="K1537" t="n">
        <v>109.4045368620038</v>
      </c>
      <c r="L1537">
        <f>导管母表_1781!G1537</f>
        <v/>
      </c>
      <c r="M1537" t="inlineStr">
        <is>
          <t>视野内部</t>
        </is>
      </c>
      <c r="N1537" t="inlineStr">
        <is>
          <t>纳入A/D/Dh；若有Pair_ID则纳入CWR</t>
        </is>
      </c>
      <c r="O1537" t="inlineStr">
        <is>
          <t>自动管线检出的合格导管腔。</t>
        </is>
      </c>
      <c r="P1537" t="inlineStr">
        <is>
          <t>auto_pipeline;review_png_green</t>
        </is>
      </c>
      <c r="R1537" t="inlineStr">
        <is>
          <t>样品35</t>
        </is>
      </c>
    </row>
    <row r="1538">
      <c r="A1538" t="inlineStr">
        <is>
          <t>35(3)-V08</t>
        </is>
      </c>
      <c r="B1538" t="inlineStr">
        <is>
          <t>35 (3).tif</t>
        </is>
      </c>
      <c r="C1538" t="n">
        <v>202</v>
      </c>
      <c r="D1538" t="n">
        <v>472</v>
      </c>
      <c r="E1538" t="inlineStr">
        <is>
          <t>183,456,222,489</t>
        </is>
      </c>
      <c r="F1538" t="n">
        <v>183</v>
      </c>
      <c r="G1538" t="inlineStr">
        <is>
          <t>primary</t>
        </is>
      </c>
      <c r="H1538" t="inlineStr">
        <is>
          <t>AUTO_VESSEL</t>
        </is>
      </c>
      <c r="I1538" t="inlineStr">
        <is>
          <t>是</t>
        </is>
      </c>
      <c r="J1538" t="inlineStr">
        <is>
          <t>纳入</t>
        </is>
      </c>
      <c r="K1538" t="n">
        <v>25.07088846880907</v>
      </c>
      <c r="L1538">
        <f>导管母表_1781!G1538</f>
        <v/>
      </c>
      <c r="M1538" t="inlineStr">
        <is>
          <t>视野内部</t>
        </is>
      </c>
      <c r="N1538" t="inlineStr">
        <is>
          <t>纳入A/D/Dh；若有Pair_ID则纳入CWR</t>
        </is>
      </c>
      <c r="O1538" t="inlineStr">
        <is>
          <t>自动管线检出的合格导管腔。</t>
        </is>
      </c>
      <c r="P1538" t="inlineStr">
        <is>
          <t>auto_pipeline;review_png_green</t>
        </is>
      </c>
      <c r="R1538" t="inlineStr">
        <is>
          <t>样品35</t>
        </is>
      </c>
    </row>
    <row r="1539">
      <c r="A1539" t="inlineStr">
        <is>
          <t>35(4)-V01</t>
        </is>
      </c>
      <c r="B1539" t="inlineStr">
        <is>
          <t>35 (4).tif</t>
        </is>
      </c>
      <c r="C1539" t="n">
        <v>414</v>
      </c>
      <c r="D1539" t="n">
        <v>350</v>
      </c>
      <c r="E1539" t="inlineStr">
        <is>
          <t>326,273,503,428</t>
        </is>
      </c>
      <c r="F1539" t="n">
        <v>273</v>
      </c>
      <c r="G1539" t="inlineStr">
        <is>
          <t>primary</t>
        </is>
      </c>
      <c r="H1539" t="inlineStr">
        <is>
          <t>AUTO_VESSEL</t>
        </is>
      </c>
      <c r="I1539" t="inlineStr">
        <is>
          <t>是</t>
        </is>
      </c>
      <c r="J1539" t="inlineStr">
        <is>
          <t>纳入</t>
        </is>
      </c>
      <c r="K1539" t="n">
        <v>963.6105860113422</v>
      </c>
      <c r="L1539">
        <f>导管母表_1781!G1539</f>
        <v/>
      </c>
      <c r="M1539" t="inlineStr">
        <is>
          <t>视野内部</t>
        </is>
      </c>
      <c r="N1539" t="inlineStr">
        <is>
          <t>纳入A/D/Dh；若有Pair_ID则纳入CWR</t>
        </is>
      </c>
      <c r="O1539" t="inlineStr">
        <is>
          <t>自动管线检出的合格导管腔。</t>
        </is>
      </c>
      <c r="P1539" t="inlineStr">
        <is>
          <t>auto_pipeline;review_png_green</t>
        </is>
      </c>
      <c r="Q1539" t="inlineStr">
        <is>
          <t>35(4)-P01</t>
        </is>
      </c>
      <c r="R1539" t="inlineStr">
        <is>
          <t>样品35</t>
        </is>
      </c>
    </row>
    <row r="1540">
      <c r="A1540" t="inlineStr">
        <is>
          <t>35(4)-V02</t>
        </is>
      </c>
      <c r="B1540" t="inlineStr">
        <is>
          <t>35 (4).tif</t>
        </is>
      </c>
      <c r="C1540" t="n">
        <v>580</v>
      </c>
      <c r="D1540" t="n">
        <v>415</v>
      </c>
      <c r="E1540" t="inlineStr">
        <is>
          <t>506,345,655,486</t>
        </is>
      </c>
      <c r="F1540" t="n">
        <v>282</v>
      </c>
      <c r="G1540" t="inlineStr">
        <is>
          <t>primary</t>
        </is>
      </c>
      <c r="H1540" t="inlineStr">
        <is>
          <t>AUTO_VESSEL</t>
        </is>
      </c>
      <c r="I1540" t="inlineStr">
        <is>
          <t>是</t>
        </is>
      </c>
      <c r="J1540" t="inlineStr">
        <is>
          <t>纳入</t>
        </is>
      </c>
      <c r="K1540" t="n">
        <v>729.9149338374291</v>
      </c>
      <c r="L1540">
        <f>导管母表_1781!G1540</f>
        <v/>
      </c>
      <c r="M1540" t="inlineStr">
        <is>
          <t>视野内部</t>
        </is>
      </c>
      <c r="N1540" t="inlineStr">
        <is>
          <t>纳入A/D/Dh；若有Pair_ID则纳入CWR</t>
        </is>
      </c>
      <c r="O1540" t="inlineStr">
        <is>
          <t>自动管线检出的合格导管腔。</t>
        </is>
      </c>
      <c r="P1540" t="inlineStr">
        <is>
          <t>auto_pipeline;review_png_green</t>
        </is>
      </c>
      <c r="Q1540" t="inlineStr">
        <is>
          <t>35(4)-P01</t>
        </is>
      </c>
      <c r="R1540" t="inlineStr">
        <is>
          <t>样品35</t>
        </is>
      </c>
    </row>
    <row r="1541">
      <c r="A1541" t="inlineStr">
        <is>
          <t>35(4)-V03</t>
        </is>
      </c>
      <c r="B1541" t="inlineStr">
        <is>
          <t>35 (4).tif</t>
        </is>
      </c>
      <c r="C1541" t="n">
        <v>93</v>
      </c>
      <c r="D1541" t="n">
        <v>272</v>
      </c>
      <c r="E1541" t="inlineStr">
        <is>
          <t>33,212,154,333</t>
        </is>
      </c>
      <c r="F1541" t="n">
        <v>33</v>
      </c>
      <c r="G1541" t="inlineStr">
        <is>
          <t>primary</t>
        </is>
      </c>
      <c r="H1541" t="inlineStr">
        <is>
          <t>AUTO_VESSEL</t>
        </is>
      </c>
      <c r="I1541" t="inlineStr">
        <is>
          <t>是</t>
        </is>
      </c>
      <c r="J1541" t="inlineStr">
        <is>
          <t>纳入</t>
        </is>
      </c>
      <c r="K1541" t="n">
        <v>534.5935727788279</v>
      </c>
      <c r="L1541">
        <f>导管母表_1781!G1541</f>
        <v/>
      </c>
      <c r="M1541" t="inlineStr">
        <is>
          <t>视野内部</t>
        </is>
      </c>
      <c r="N1541" t="inlineStr">
        <is>
          <t>纳入A/D/Dh；若有Pair_ID则纳入CWR</t>
        </is>
      </c>
      <c r="O1541" t="inlineStr">
        <is>
          <t>自动管线检出的合格导管腔。</t>
        </is>
      </c>
      <c r="P1541" t="inlineStr">
        <is>
          <t>auto_pipeline;review_png_green</t>
        </is>
      </c>
      <c r="R1541" t="inlineStr">
        <is>
          <t>样品35</t>
        </is>
      </c>
    </row>
    <row r="1542">
      <c r="A1542" t="inlineStr">
        <is>
          <t>35(4)-V04</t>
        </is>
      </c>
      <c r="B1542" t="inlineStr">
        <is>
          <t>35 (4).tif</t>
        </is>
      </c>
      <c r="C1542" t="n">
        <v>204</v>
      </c>
      <c r="D1542" t="n">
        <v>221</v>
      </c>
      <c r="E1542" t="inlineStr">
        <is>
          <t>167,192,242,251</t>
        </is>
      </c>
      <c r="F1542" t="n">
        <v>167</v>
      </c>
      <c r="G1542" t="inlineStr">
        <is>
          <t>primary</t>
        </is>
      </c>
      <c r="H1542" t="inlineStr">
        <is>
          <t>AUTO_VESSEL</t>
        </is>
      </c>
      <c r="I1542" t="inlineStr">
        <is>
          <t>是</t>
        </is>
      </c>
      <c r="J1542" t="inlineStr">
        <is>
          <t>纳入</t>
        </is>
      </c>
      <c r="K1542" t="n">
        <v>134.3809073724008</v>
      </c>
      <c r="L1542">
        <f>导管母表_1781!G1542</f>
        <v/>
      </c>
      <c r="M1542" t="inlineStr">
        <is>
          <t>视野内部</t>
        </is>
      </c>
      <c r="N1542" t="inlineStr">
        <is>
          <t>纳入A/D/Dh；若有Pair_ID则纳入CWR</t>
        </is>
      </c>
      <c r="O1542" t="inlineStr">
        <is>
          <t>自动管线检出的合格导管腔。</t>
        </is>
      </c>
      <c r="P1542" t="inlineStr">
        <is>
          <t>auto_pipeline;review_png_green</t>
        </is>
      </c>
      <c r="R1542" t="inlineStr">
        <is>
          <t>样品35</t>
        </is>
      </c>
    </row>
    <row r="1543">
      <c r="A1543" t="inlineStr">
        <is>
          <t>35(4)-V05</t>
        </is>
      </c>
      <c r="B1543" t="inlineStr">
        <is>
          <t>35 (4).tif</t>
        </is>
      </c>
      <c r="C1543" t="n">
        <v>174</v>
      </c>
      <c r="D1543" t="n">
        <v>566</v>
      </c>
      <c r="E1543" t="inlineStr">
        <is>
          <t>137,543,212,590</t>
        </is>
      </c>
      <c r="F1543" t="n">
        <v>137</v>
      </c>
      <c r="G1543" t="inlineStr">
        <is>
          <t>primary</t>
        </is>
      </c>
      <c r="H1543" t="inlineStr">
        <is>
          <t>AUTO_VESSEL</t>
        </is>
      </c>
      <c r="I1543" t="inlineStr">
        <is>
          <t>是</t>
        </is>
      </c>
      <c r="J1543" t="inlineStr">
        <is>
          <t>纳入</t>
        </is>
      </c>
      <c r="K1543" t="n">
        <v>117.8638941398866</v>
      </c>
      <c r="L1543">
        <f>导管母表_1781!G1543</f>
        <v/>
      </c>
      <c r="M1543" t="inlineStr">
        <is>
          <t>视野内部</t>
        </is>
      </c>
      <c r="N1543" t="inlineStr">
        <is>
          <t>纳入A/D/Dh；若有Pair_ID则纳入CWR</t>
        </is>
      </c>
      <c r="O1543" t="inlineStr">
        <is>
          <t>自动管线检出的合格导管腔。</t>
        </is>
      </c>
      <c r="P1543" t="inlineStr">
        <is>
          <t>auto_pipeline;review_png_green</t>
        </is>
      </c>
      <c r="R1543" t="inlineStr">
        <is>
          <t>样品35</t>
        </is>
      </c>
    </row>
    <row r="1544">
      <c r="A1544" t="inlineStr">
        <is>
          <t>35(4)-V06</t>
        </is>
      </c>
      <c r="B1544" t="inlineStr">
        <is>
          <t>35 (4).tif</t>
        </is>
      </c>
      <c r="C1544" t="n">
        <v>121</v>
      </c>
      <c r="D1544" t="n">
        <v>366</v>
      </c>
      <c r="E1544" t="inlineStr">
        <is>
          <t>89,343,154,390</t>
        </is>
      </c>
      <c r="F1544" t="n">
        <v>89</v>
      </c>
      <c r="G1544" t="inlineStr">
        <is>
          <t>primary</t>
        </is>
      </c>
      <c r="H1544" t="inlineStr">
        <is>
          <t>AUTO_VESSEL</t>
        </is>
      </c>
      <c r="I1544" t="inlineStr">
        <is>
          <t>是</t>
        </is>
      </c>
      <c r="J1544" t="inlineStr">
        <is>
          <t>纳入</t>
        </is>
      </c>
      <c r="K1544" t="n">
        <v>107.5378071833648</v>
      </c>
      <c r="L1544">
        <f>导管母表_1781!G1544</f>
        <v/>
      </c>
      <c r="M1544" t="inlineStr">
        <is>
          <t>视野内部</t>
        </is>
      </c>
      <c r="N1544" t="inlineStr">
        <is>
          <t>纳入A/D/Dh；若有Pair_ID则纳入CWR</t>
        </is>
      </c>
      <c r="O1544" t="inlineStr">
        <is>
          <t>自动管线检出的合格导管腔。</t>
        </is>
      </c>
      <c r="P1544" t="inlineStr">
        <is>
          <t>auto_pipeline;review_png_green</t>
        </is>
      </c>
      <c r="R1544" t="inlineStr">
        <is>
          <t>样品35</t>
        </is>
      </c>
    </row>
    <row r="1545">
      <c r="A1545" t="inlineStr">
        <is>
          <t>35(5)-V01</t>
        </is>
      </c>
      <c r="B1545" t="inlineStr">
        <is>
          <t>35 (5).tif</t>
        </is>
      </c>
      <c r="C1545" t="n">
        <v>553</v>
      </c>
      <c r="D1545" t="n">
        <v>313</v>
      </c>
      <c r="E1545" t="inlineStr">
        <is>
          <t>469,232,638,395</t>
        </is>
      </c>
      <c r="F1545" t="n">
        <v>232</v>
      </c>
      <c r="G1545" t="inlineStr">
        <is>
          <t>primary</t>
        </is>
      </c>
      <c r="H1545" t="inlineStr">
        <is>
          <t>AUTO_VESSEL</t>
        </is>
      </c>
      <c r="I1545" t="inlineStr">
        <is>
          <t>是</t>
        </is>
      </c>
      <c r="J1545" t="inlineStr">
        <is>
          <t>纳入</t>
        </is>
      </c>
      <c r="K1545" t="n">
        <v>1009.948015122873</v>
      </c>
      <c r="L1545">
        <f>导管母表_1781!G1545</f>
        <v/>
      </c>
      <c r="M1545" t="inlineStr">
        <is>
          <t>视野内部</t>
        </is>
      </c>
      <c r="N1545" t="inlineStr">
        <is>
          <t>纳入A/D/Dh；若有Pair_ID则纳入CWR</t>
        </is>
      </c>
      <c r="O1545" t="inlineStr">
        <is>
          <t>自动管线检出的合格导管腔。</t>
        </is>
      </c>
      <c r="P1545" t="inlineStr">
        <is>
          <t>auto_pipeline;review_png_green</t>
        </is>
      </c>
      <c r="R1545" t="inlineStr">
        <is>
          <t>样品35</t>
        </is>
      </c>
    </row>
    <row r="1546">
      <c r="A1546" t="inlineStr">
        <is>
          <t>35(5)-V02</t>
        </is>
      </c>
      <c r="B1546" t="inlineStr">
        <is>
          <t>35 (5).tif</t>
        </is>
      </c>
      <c r="C1546" t="n">
        <v>120</v>
      </c>
      <c r="D1546" t="n">
        <v>141</v>
      </c>
      <c r="E1546" t="inlineStr">
        <is>
          <t>49,104,192,179</t>
        </is>
      </c>
      <c r="F1546" t="n">
        <v>49</v>
      </c>
      <c r="G1546" t="inlineStr">
        <is>
          <t>primary</t>
        </is>
      </c>
      <c r="H1546" t="inlineStr">
        <is>
          <t>AUTO_VESSEL</t>
        </is>
      </c>
      <c r="I1546" t="inlineStr">
        <is>
          <t>是</t>
        </is>
      </c>
      <c r="J1546" t="inlineStr">
        <is>
          <t>纳入</t>
        </is>
      </c>
      <c r="K1546" t="n">
        <v>300.1417769376181</v>
      </c>
      <c r="L1546">
        <f>导管母表_1781!G1546</f>
        <v/>
      </c>
      <c r="M1546" t="inlineStr">
        <is>
          <t>视野内部</t>
        </is>
      </c>
      <c r="N1546" t="inlineStr">
        <is>
          <t>纳入A/D/Dh；若有Pair_ID则纳入CWR</t>
        </is>
      </c>
      <c r="O1546" t="inlineStr">
        <is>
          <t>自动管线检出的合格导管腔。</t>
        </is>
      </c>
      <c r="P1546" t="inlineStr">
        <is>
          <t>auto_pipeline;review_png_green</t>
        </is>
      </c>
      <c r="R1546" t="inlineStr">
        <is>
          <t>样品35</t>
        </is>
      </c>
    </row>
    <row r="1547">
      <c r="A1547" t="inlineStr">
        <is>
          <t>35(5)-V03</t>
        </is>
      </c>
      <c r="B1547" t="inlineStr">
        <is>
          <t>35 (5).tif</t>
        </is>
      </c>
      <c r="C1547" t="n">
        <v>928</v>
      </c>
      <c r="D1547" t="n">
        <v>464</v>
      </c>
      <c r="E1547" t="inlineStr">
        <is>
          <t>882,443,975,486</t>
        </is>
      </c>
      <c r="F1547" t="n">
        <v>49</v>
      </c>
      <c r="G1547" t="inlineStr">
        <is>
          <t>primary</t>
        </is>
      </c>
      <c r="H1547" t="inlineStr">
        <is>
          <t>AUTO_VESSEL</t>
        </is>
      </c>
      <c r="I1547" t="inlineStr">
        <is>
          <t>是</t>
        </is>
      </c>
      <c r="J1547" t="inlineStr">
        <is>
          <t>纳入</t>
        </is>
      </c>
      <c r="K1547" t="n">
        <v>125.8979206049149</v>
      </c>
      <c r="L1547">
        <f>导管母表_1781!G1547</f>
        <v/>
      </c>
      <c r="M1547" t="inlineStr">
        <is>
          <t>视野内部</t>
        </is>
      </c>
      <c r="N1547" t="inlineStr">
        <is>
          <t>纳入A/D/Dh；若有Pair_ID则纳入CWR</t>
        </is>
      </c>
      <c r="O1547" t="inlineStr">
        <is>
          <t>自动管线检出的合格导管腔。</t>
        </is>
      </c>
      <c r="P1547" t="inlineStr">
        <is>
          <t>auto_pipeline;review_png_green</t>
        </is>
      </c>
      <c r="R1547" t="inlineStr">
        <is>
          <t>样品35</t>
        </is>
      </c>
    </row>
    <row r="1548">
      <c r="A1548" t="inlineStr">
        <is>
          <t>35(5)-V04</t>
        </is>
      </c>
      <c r="B1548" t="inlineStr">
        <is>
          <t>35 (5).tif</t>
        </is>
      </c>
      <c r="C1548" t="n">
        <v>404</v>
      </c>
      <c r="D1548" t="n">
        <v>56</v>
      </c>
      <c r="E1548" t="inlineStr">
        <is>
          <t>372,33,437,80</t>
        </is>
      </c>
      <c r="F1548" t="n">
        <v>33</v>
      </c>
      <c r="G1548" t="inlineStr">
        <is>
          <t>primary</t>
        </is>
      </c>
      <c r="H1548" t="inlineStr">
        <is>
          <t>AUTO_VESSEL</t>
        </is>
      </c>
      <c r="I1548" t="inlineStr">
        <is>
          <t>是</t>
        </is>
      </c>
      <c r="J1548" t="inlineStr">
        <is>
          <t>纳入</t>
        </is>
      </c>
      <c r="K1548" t="n">
        <v>109.1446124763705</v>
      </c>
      <c r="L1548">
        <f>导管母表_1781!G1548</f>
        <v/>
      </c>
      <c r="M1548" t="inlineStr">
        <is>
          <t>视野内部</t>
        </is>
      </c>
      <c r="N1548" t="inlineStr">
        <is>
          <t>纳入A/D/Dh；若有Pair_ID则纳入CWR</t>
        </is>
      </c>
      <c r="O1548" t="inlineStr">
        <is>
          <t>自动管线检出的合格导管腔。</t>
        </is>
      </c>
      <c r="P1548" t="inlineStr">
        <is>
          <t>auto_pipeline;review_png_green</t>
        </is>
      </c>
      <c r="R1548" t="inlineStr">
        <is>
          <t>样品35</t>
        </is>
      </c>
    </row>
    <row r="1549">
      <c r="A1549" t="inlineStr">
        <is>
          <t>35(6)-V01</t>
        </is>
      </c>
      <c r="B1549" t="inlineStr">
        <is>
          <t>35 (6).tif</t>
        </is>
      </c>
      <c r="C1549" t="n">
        <v>506</v>
      </c>
      <c r="D1549" t="n">
        <v>278</v>
      </c>
      <c r="E1549" t="inlineStr">
        <is>
          <t>416,189,597,368</t>
        </is>
      </c>
      <c r="F1549" t="n">
        <v>189</v>
      </c>
      <c r="G1549" t="inlineStr">
        <is>
          <t>primary</t>
        </is>
      </c>
      <c r="H1549" t="inlineStr">
        <is>
          <t>AUTO_VESSEL</t>
        </is>
      </c>
      <c r="I1549" t="inlineStr">
        <is>
          <t>是</t>
        </is>
      </c>
      <c r="J1549" t="inlineStr">
        <is>
          <t>纳入</t>
        </is>
      </c>
      <c r="K1549" t="n">
        <v>1187.830812854442</v>
      </c>
      <c r="L1549">
        <f>导管母表_1781!G1549</f>
        <v/>
      </c>
      <c r="M1549" t="inlineStr">
        <is>
          <t>视野内部</t>
        </is>
      </c>
      <c r="N1549" t="inlineStr">
        <is>
          <t>纳入A/D/Dh；若有Pair_ID则纳入CWR</t>
        </is>
      </c>
      <c r="O1549" t="inlineStr">
        <is>
          <t>自动管线检出的合格导管腔。</t>
        </is>
      </c>
      <c r="P1549" t="inlineStr">
        <is>
          <t>auto_pipeline;review_png_green</t>
        </is>
      </c>
      <c r="Q1549" t="inlineStr">
        <is>
          <t>35(6)-P01</t>
        </is>
      </c>
      <c r="R1549" t="inlineStr">
        <is>
          <t>样品35</t>
        </is>
      </c>
    </row>
    <row r="1550">
      <c r="A1550" t="inlineStr">
        <is>
          <t>35(6)-V02</t>
        </is>
      </c>
      <c r="B1550" t="inlineStr">
        <is>
          <t>35 (6).tif</t>
        </is>
      </c>
      <c r="C1550" t="n">
        <v>743</v>
      </c>
      <c r="D1550" t="n">
        <v>435</v>
      </c>
      <c r="E1550" t="inlineStr">
        <is>
          <t>676,354,811,517</t>
        </is>
      </c>
      <c r="F1550" t="n">
        <v>213</v>
      </c>
      <c r="G1550" t="inlineStr">
        <is>
          <t>primary</t>
        </is>
      </c>
      <c r="H1550" t="inlineStr">
        <is>
          <t>AUTO_VESSEL</t>
        </is>
      </c>
      <c r="I1550" t="inlineStr">
        <is>
          <t>是</t>
        </is>
      </c>
      <c r="J1550" t="inlineStr">
        <is>
          <t>纳入</t>
        </is>
      </c>
      <c r="K1550" t="n">
        <v>802.7410207939508</v>
      </c>
      <c r="L1550">
        <f>导管母表_1781!G1550</f>
        <v/>
      </c>
      <c r="M1550" t="inlineStr">
        <is>
          <t>视野内部</t>
        </is>
      </c>
      <c r="N1550" t="inlineStr">
        <is>
          <t>纳入A/D/Dh；若有Pair_ID则纳入CWR</t>
        </is>
      </c>
      <c r="O1550" t="inlineStr">
        <is>
          <t>自动管线检出的合格导管腔。</t>
        </is>
      </c>
      <c r="P1550" t="inlineStr">
        <is>
          <t>auto_pipeline;review_png_green</t>
        </is>
      </c>
      <c r="R1550" t="inlineStr">
        <is>
          <t>样品35</t>
        </is>
      </c>
    </row>
    <row r="1551">
      <c r="A1551" t="inlineStr">
        <is>
          <t>35(6)-V03</t>
        </is>
      </c>
      <c r="B1551" t="inlineStr">
        <is>
          <t>35 (6).tif</t>
        </is>
      </c>
      <c r="C1551" t="n">
        <v>471</v>
      </c>
      <c r="D1551" t="n">
        <v>445</v>
      </c>
      <c r="E1551" t="inlineStr">
        <is>
          <t>398,380,545,511</t>
        </is>
      </c>
      <c r="F1551" t="n">
        <v>257</v>
      </c>
      <c r="G1551" t="inlineStr">
        <is>
          <t>primary</t>
        </is>
      </c>
      <c r="H1551" t="inlineStr">
        <is>
          <t>AUTO_VESSEL</t>
        </is>
      </c>
      <c r="I1551" t="inlineStr">
        <is>
          <t>是</t>
        </is>
      </c>
      <c r="J1551" t="inlineStr">
        <is>
          <t>纳入</t>
        </is>
      </c>
      <c r="K1551" t="n">
        <v>703.9697542533081</v>
      </c>
      <c r="L1551">
        <f>导管母表_1781!G1551</f>
        <v/>
      </c>
      <c r="M1551" t="inlineStr">
        <is>
          <t>视野内部</t>
        </is>
      </c>
      <c r="N1551" t="inlineStr">
        <is>
          <t>纳入A/D/Dh；若有Pair_ID则纳入CWR</t>
        </is>
      </c>
      <c r="O1551" t="inlineStr">
        <is>
          <t>自动管线检出的合格导管腔。</t>
        </is>
      </c>
      <c r="P1551" t="inlineStr">
        <is>
          <t>auto_pipeline;review_png_green</t>
        </is>
      </c>
      <c r="Q1551" t="inlineStr">
        <is>
          <t>35(6)-P01</t>
        </is>
      </c>
      <c r="R1551" t="inlineStr">
        <is>
          <t>样品35</t>
        </is>
      </c>
    </row>
    <row r="1552">
      <c r="A1552" t="inlineStr">
        <is>
          <t>35(6)-V04</t>
        </is>
      </c>
      <c r="B1552" t="inlineStr">
        <is>
          <t>35 (6).tif</t>
        </is>
      </c>
      <c r="C1552" t="n">
        <v>290</v>
      </c>
      <c r="D1552" t="n">
        <v>85</v>
      </c>
      <c r="E1552" t="inlineStr">
        <is>
          <t>266,50,315,121</t>
        </is>
      </c>
      <c r="F1552" t="n">
        <v>50</v>
      </c>
      <c r="G1552" t="inlineStr">
        <is>
          <t>primary</t>
        </is>
      </c>
      <c r="H1552" t="inlineStr">
        <is>
          <t>AUTO_VESSEL</t>
        </is>
      </c>
      <c r="I1552" t="inlineStr">
        <is>
          <t>是</t>
        </is>
      </c>
      <c r="J1552" t="inlineStr">
        <is>
          <t>纳入</t>
        </is>
      </c>
      <c r="K1552" t="n">
        <v>123.0151228733459</v>
      </c>
      <c r="L1552">
        <f>导管母表_1781!G1552</f>
        <v/>
      </c>
      <c r="M1552" t="inlineStr">
        <is>
          <t>视野内部</t>
        </is>
      </c>
      <c r="N1552" t="inlineStr">
        <is>
          <t>纳入A/D/Dh；若有Pair_ID则纳入CWR</t>
        </is>
      </c>
      <c r="O1552" t="inlineStr">
        <is>
          <t>自动管线检出的合格导管腔。</t>
        </is>
      </c>
      <c r="P1552" t="inlineStr">
        <is>
          <t>auto_pipeline;review_png_green</t>
        </is>
      </c>
      <c r="R1552" t="inlineStr">
        <is>
          <t>样品35</t>
        </is>
      </c>
    </row>
    <row r="1553">
      <c r="A1553" t="inlineStr">
        <is>
          <t>35(6)-V05</t>
        </is>
      </c>
      <c r="B1553" t="inlineStr">
        <is>
          <t>35 (6).tif</t>
        </is>
      </c>
      <c r="C1553" t="n">
        <v>188</v>
      </c>
      <c r="D1553" t="n">
        <v>583</v>
      </c>
      <c r="E1553" t="inlineStr">
        <is>
          <t>170,533,207,634</t>
        </is>
      </c>
      <c r="F1553" t="n">
        <v>134</v>
      </c>
      <c r="G1553" t="inlineStr">
        <is>
          <t>primary</t>
        </is>
      </c>
      <c r="H1553" t="inlineStr">
        <is>
          <t>AUTO_VESSEL</t>
        </is>
      </c>
      <c r="I1553" t="inlineStr">
        <is>
          <t>是</t>
        </is>
      </c>
      <c r="J1553" t="inlineStr">
        <is>
          <t>纳入</t>
        </is>
      </c>
      <c r="K1553" t="n">
        <v>120.8648393194707</v>
      </c>
      <c r="L1553">
        <f>导管母表_1781!G1553</f>
        <v/>
      </c>
      <c r="M1553" t="inlineStr">
        <is>
          <t>视野内部</t>
        </is>
      </c>
      <c r="N1553" t="inlineStr">
        <is>
          <t>纳入A/D/Dh；若有Pair_ID则纳入CWR</t>
        </is>
      </c>
      <c r="O1553" t="inlineStr">
        <is>
          <t>自动管线检出的合格导管腔。</t>
        </is>
      </c>
      <c r="P1553" t="inlineStr">
        <is>
          <t>auto_pipeline;review_png_green</t>
        </is>
      </c>
      <c r="R1553" t="inlineStr">
        <is>
          <t>样品35</t>
        </is>
      </c>
    </row>
    <row r="1554">
      <c r="A1554" t="inlineStr">
        <is>
          <t>35(7)-V01</t>
        </is>
      </c>
      <c r="B1554" t="inlineStr">
        <is>
          <t>35 (7).tif</t>
        </is>
      </c>
      <c r="C1554" t="n">
        <v>448</v>
      </c>
      <c r="D1554" t="n">
        <v>292</v>
      </c>
      <c r="E1554" t="inlineStr">
        <is>
          <t>370,218,527,367</t>
        </is>
      </c>
      <c r="F1554" t="n">
        <v>218</v>
      </c>
      <c r="G1554" t="inlineStr">
        <is>
          <t>primary</t>
        </is>
      </c>
      <c r="H1554" t="inlineStr">
        <is>
          <t>AUTO_VESSEL</t>
        </is>
      </c>
      <c r="I1554" t="inlineStr">
        <is>
          <t>是</t>
        </is>
      </c>
      <c r="J1554" t="inlineStr">
        <is>
          <t>纳入</t>
        </is>
      </c>
      <c r="K1554" t="n">
        <v>832.8213610586012</v>
      </c>
      <c r="L1554">
        <f>导管母表_1781!G1554</f>
        <v/>
      </c>
      <c r="M1554" t="inlineStr">
        <is>
          <t>视野内部</t>
        </is>
      </c>
      <c r="N1554" t="inlineStr">
        <is>
          <t>纳入A/D/Dh；若有Pair_ID则纳入CWR</t>
        </is>
      </c>
      <c r="O1554" t="inlineStr">
        <is>
          <t>自动管线检出的合格导管腔。</t>
        </is>
      </c>
      <c r="P1554" t="inlineStr">
        <is>
          <t>auto_pipeline;review_png_green</t>
        </is>
      </c>
      <c r="Q1554" t="inlineStr">
        <is>
          <t>35(7)-P01</t>
        </is>
      </c>
      <c r="R1554" t="inlineStr">
        <is>
          <t>样品35</t>
        </is>
      </c>
    </row>
    <row r="1555">
      <c r="A1555" t="inlineStr">
        <is>
          <t>35(7)-V02</t>
        </is>
      </c>
      <c r="B1555" t="inlineStr">
        <is>
          <t>35 (7).tif</t>
        </is>
      </c>
      <c r="C1555" t="n">
        <v>425</v>
      </c>
      <c r="D1555" t="n">
        <v>429</v>
      </c>
      <c r="E1555" t="inlineStr">
        <is>
          <t>344,360,507,499</t>
        </is>
      </c>
      <c r="F1555" t="n">
        <v>269</v>
      </c>
      <c r="G1555" t="inlineStr">
        <is>
          <t>primary</t>
        </is>
      </c>
      <c r="H1555" t="inlineStr">
        <is>
          <t>AUTO_VESSEL</t>
        </is>
      </c>
      <c r="I1555" t="inlineStr">
        <is>
          <t>是</t>
        </is>
      </c>
      <c r="J1555" t="inlineStr">
        <is>
          <t>纳入</t>
        </is>
      </c>
      <c r="K1555" t="n">
        <v>724.007561436673</v>
      </c>
      <c r="L1555">
        <f>导管母表_1781!G1555</f>
        <v/>
      </c>
      <c r="M1555" t="inlineStr">
        <is>
          <t>视野内部</t>
        </is>
      </c>
      <c r="N1555" t="inlineStr">
        <is>
          <t>纳入A/D/Dh；若有Pair_ID则纳入CWR</t>
        </is>
      </c>
      <c r="O1555" t="inlineStr">
        <is>
          <t>自动管线检出的合格导管腔。</t>
        </is>
      </c>
      <c r="P1555" t="inlineStr">
        <is>
          <t>auto_pipeline;review_png_green</t>
        </is>
      </c>
      <c r="Q1555" t="inlineStr">
        <is>
          <t>35(7)-P01</t>
        </is>
      </c>
      <c r="R1555" t="inlineStr">
        <is>
          <t>样品35</t>
        </is>
      </c>
    </row>
    <row r="1556">
      <c r="A1556" t="inlineStr">
        <is>
          <t>35(7)-V03</t>
        </is>
      </c>
      <c r="B1556" t="inlineStr">
        <is>
          <t>35 (7).tif</t>
        </is>
      </c>
      <c r="C1556" t="n">
        <v>731</v>
      </c>
      <c r="D1556" t="n">
        <v>529</v>
      </c>
      <c r="E1556" t="inlineStr">
        <is>
          <t>680,492,783,567</t>
        </is>
      </c>
      <c r="F1556" t="n">
        <v>201</v>
      </c>
      <c r="G1556" t="inlineStr">
        <is>
          <t>primary</t>
        </is>
      </c>
      <c r="H1556" t="inlineStr">
        <is>
          <t>AUTO_VESSEL</t>
        </is>
      </c>
      <c r="I1556" t="inlineStr">
        <is>
          <t>是</t>
        </is>
      </c>
      <c r="J1556" t="inlineStr">
        <is>
          <t>纳入</t>
        </is>
      </c>
      <c r="K1556" t="n">
        <v>280.4347826086956</v>
      </c>
      <c r="L1556">
        <f>导管母表_1781!G1556</f>
        <v/>
      </c>
      <c r="M1556" t="inlineStr">
        <is>
          <t>视野内部</t>
        </is>
      </c>
      <c r="N1556" t="inlineStr">
        <is>
          <t>纳入A/D/Dh；若有Pair_ID则纳入CWR</t>
        </is>
      </c>
      <c r="O1556" t="inlineStr">
        <is>
          <t>自动管线检出的合格导管腔。</t>
        </is>
      </c>
      <c r="P1556" t="inlineStr">
        <is>
          <t>auto_pipeline;review_png_green</t>
        </is>
      </c>
      <c r="R1556" t="inlineStr">
        <is>
          <t>样品35</t>
        </is>
      </c>
    </row>
    <row r="1557">
      <c r="A1557" t="inlineStr">
        <is>
          <t>35(7)-V04</t>
        </is>
      </c>
      <c r="B1557" t="inlineStr">
        <is>
          <t>35 (7).tif</t>
        </is>
      </c>
      <c r="C1557" t="n">
        <v>815</v>
      </c>
      <c r="D1557" t="n">
        <v>615</v>
      </c>
      <c r="E1557" t="inlineStr">
        <is>
          <t>770,574,861,657</t>
        </is>
      </c>
      <c r="F1557" t="n">
        <v>111</v>
      </c>
      <c r="G1557" t="inlineStr">
        <is>
          <t>primary</t>
        </is>
      </c>
      <c r="H1557" t="inlineStr">
        <is>
          <t>AUTO_VESSEL</t>
        </is>
      </c>
      <c r="I1557" t="inlineStr">
        <is>
          <t>是</t>
        </is>
      </c>
      <c r="J1557" t="inlineStr">
        <is>
          <t>纳入</t>
        </is>
      </c>
      <c r="K1557" t="n">
        <v>266.375236294896</v>
      </c>
      <c r="L1557">
        <f>导管母表_1781!G1557</f>
        <v/>
      </c>
      <c r="M1557" t="inlineStr">
        <is>
          <t>视野内部</t>
        </is>
      </c>
      <c r="N1557" t="inlineStr">
        <is>
          <t>纳入A/D/Dh；若有Pair_ID则纳入CWR</t>
        </is>
      </c>
      <c r="O1557" t="inlineStr">
        <is>
          <t>自动管线检出的合格导管腔。</t>
        </is>
      </c>
      <c r="P1557" t="inlineStr">
        <is>
          <t>auto_pipeline;review_png_green</t>
        </is>
      </c>
      <c r="R1557" t="inlineStr">
        <is>
          <t>样品35</t>
        </is>
      </c>
    </row>
    <row r="1558">
      <c r="A1558" t="inlineStr">
        <is>
          <t>35(7)-V05</t>
        </is>
      </c>
      <c r="B1558" t="inlineStr">
        <is>
          <t>35 (7).tif</t>
        </is>
      </c>
      <c r="C1558" t="n">
        <v>230</v>
      </c>
      <c r="D1558" t="n">
        <v>333</v>
      </c>
      <c r="E1558" t="inlineStr">
        <is>
          <t>197,292,264,375</t>
        </is>
      </c>
      <c r="F1558" t="n">
        <v>197</v>
      </c>
      <c r="G1558" t="inlineStr">
        <is>
          <t>primary</t>
        </is>
      </c>
      <c r="H1558" t="inlineStr">
        <is>
          <t>AUTO_VESSEL</t>
        </is>
      </c>
      <c r="I1558" t="inlineStr">
        <is>
          <t>是</t>
        </is>
      </c>
      <c r="J1558" t="inlineStr">
        <is>
          <t>纳入</t>
        </is>
      </c>
      <c r="K1558" t="n">
        <v>167.4385633270321</v>
      </c>
      <c r="L1558">
        <f>导管母表_1781!G1558</f>
        <v/>
      </c>
      <c r="M1558" t="inlineStr">
        <is>
          <t>视野内部</t>
        </is>
      </c>
      <c r="N1558" t="inlineStr">
        <is>
          <t>纳入A/D/Dh；若有Pair_ID则纳入CWR</t>
        </is>
      </c>
      <c r="O1558" t="inlineStr">
        <is>
          <t>自动管线检出的合格导管腔。</t>
        </is>
      </c>
      <c r="P1558" t="inlineStr">
        <is>
          <t>auto_pipeline;review_png_green</t>
        </is>
      </c>
      <c r="R1558" t="inlineStr">
        <is>
          <t>样品35</t>
        </is>
      </c>
    </row>
    <row r="1559">
      <c r="A1559" t="inlineStr">
        <is>
          <t>35(7)-V06</t>
        </is>
      </c>
      <c r="B1559" t="inlineStr">
        <is>
          <t>35 (7).tif</t>
        </is>
      </c>
      <c r="C1559" t="n">
        <v>791</v>
      </c>
      <c r="D1559" t="n">
        <v>444</v>
      </c>
      <c r="E1559" t="inlineStr">
        <is>
          <t>757,413,826,476</t>
        </is>
      </c>
      <c r="F1559" t="n">
        <v>198</v>
      </c>
      <c r="G1559" t="inlineStr">
        <is>
          <t>primary</t>
        </is>
      </c>
      <c r="H1559" t="inlineStr">
        <is>
          <t>AUTO_VESSEL</t>
        </is>
      </c>
      <c r="I1559" t="inlineStr">
        <is>
          <t>是</t>
        </is>
      </c>
      <c r="J1559" t="inlineStr">
        <is>
          <t>纳入</t>
        </is>
      </c>
      <c r="K1559" t="n">
        <v>153.6862003780718</v>
      </c>
      <c r="L1559">
        <f>导管母表_1781!G1559</f>
        <v/>
      </c>
      <c r="M1559" t="inlineStr">
        <is>
          <t>视野内部</t>
        </is>
      </c>
      <c r="N1559" t="inlineStr">
        <is>
          <t>纳入A/D/Dh；若有Pair_ID则纳入CWR</t>
        </is>
      </c>
      <c r="O1559" t="inlineStr">
        <is>
          <t>自动管线检出的合格导管腔。</t>
        </is>
      </c>
      <c r="P1559" t="inlineStr">
        <is>
          <t>auto_pipeline;review_png_green</t>
        </is>
      </c>
      <c r="R1559" t="inlineStr">
        <is>
          <t>样品35</t>
        </is>
      </c>
    </row>
    <row r="1560">
      <c r="A1560" t="inlineStr">
        <is>
          <t>35(7)-V07</t>
        </is>
      </c>
      <c r="B1560" t="inlineStr">
        <is>
          <t>35 (7).tif</t>
        </is>
      </c>
      <c r="C1560" t="n">
        <v>196</v>
      </c>
      <c r="D1560" t="n">
        <v>436</v>
      </c>
      <c r="E1560" t="inlineStr">
        <is>
          <t>163,402,230,471</t>
        </is>
      </c>
      <c r="F1560" t="n">
        <v>163</v>
      </c>
      <c r="G1560" t="inlineStr">
        <is>
          <t>primary</t>
        </is>
      </c>
      <c r="H1560" t="inlineStr">
        <is>
          <t>AUTO_VESSEL</t>
        </is>
      </c>
      <c r="I1560" t="inlineStr">
        <is>
          <t>是</t>
        </is>
      </c>
      <c r="J1560" t="inlineStr">
        <is>
          <t>纳入</t>
        </is>
      </c>
      <c r="K1560" t="n">
        <v>139.8865784499055</v>
      </c>
      <c r="L1560">
        <f>导管母表_1781!G1560</f>
        <v/>
      </c>
      <c r="M1560" t="inlineStr">
        <is>
          <t>视野内部</t>
        </is>
      </c>
      <c r="N1560" t="inlineStr">
        <is>
          <t>纳入A/D/Dh；若有Pair_ID则纳入CWR</t>
        </is>
      </c>
      <c r="O1560" t="inlineStr">
        <is>
          <t>自动管线检出的合格导管腔。</t>
        </is>
      </c>
      <c r="P1560" t="inlineStr">
        <is>
          <t>auto_pipeline;review_png_green</t>
        </is>
      </c>
      <c r="R1560" t="inlineStr">
        <is>
          <t>样品35</t>
        </is>
      </c>
    </row>
    <row r="1561">
      <c r="A1561" t="inlineStr">
        <is>
          <t>35(7)-V08</t>
        </is>
      </c>
      <c r="B1561" t="inlineStr">
        <is>
          <t>35 (7).tif</t>
        </is>
      </c>
      <c r="C1561" t="n">
        <v>793</v>
      </c>
      <c r="D1561" t="n">
        <v>129</v>
      </c>
      <c r="E1561" t="inlineStr">
        <is>
          <t>759,95,828,164</t>
        </is>
      </c>
      <c r="F1561" t="n">
        <v>95</v>
      </c>
      <c r="G1561" t="inlineStr">
        <is>
          <t>primary</t>
        </is>
      </c>
      <c r="H1561" t="inlineStr">
        <is>
          <t>AUTO_VESSEL</t>
        </is>
      </c>
      <c r="I1561" t="inlineStr">
        <is>
          <t>是</t>
        </is>
      </c>
      <c r="J1561" t="inlineStr">
        <is>
          <t>纳入</t>
        </is>
      </c>
      <c r="K1561" t="n">
        <v>136.2003780718337</v>
      </c>
      <c r="L1561">
        <f>导管母表_1781!G1561</f>
        <v/>
      </c>
      <c r="M1561" t="inlineStr">
        <is>
          <t>视野内部</t>
        </is>
      </c>
      <c r="N1561" t="inlineStr">
        <is>
          <t>纳入A/D/Dh；若有Pair_ID则纳入CWR</t>
        </is>
      </c>
      <c r="O1561" t="inlineStr">
        <is>
          <t>自动管线检出的合格导管腔。</t>
        </is>
      </c>
      <c r="P1561" t="inlineStr">
        <is>
          <t>auto_pipeline;review_png_green</t>
        </is>
      </c>
      <c r="R1561" t="inlineStr">
        <is>
          <t>样品35</t>
        </is>
      </c>
    </row>
    <row r="1562">
      <c r="A1562" t="inlineStr">
        <is>
          <t>35(8)-V01</t>
        </is>
      </c>
      <c r="B1562" t="inlineStr">
        <is>
          <t>35 (8).tif</t>
        </is>
      </c>
      <c r="C1562" t="n">
        <v>512</v>
      </c>
      <c r="D1562" t="n">
        <v>438</v>
      </c>
      <c r="E1562" t="inlineStr">
        <is>
          <t>380,362,645,515</t>
        </is>
      </c>
      <c r="F1562" t="n">
        <v>253</v>
      </c>
      <c r="G1562" t="inlineStr">
        <is>
          <t>primary</t>
        </is>
      </c>
      <c r="H1562" t="inlineStr">
        <is>
          <t>AUTO_VESSEL</t>
        </is>
      </c>
      <c r="I1562" t="inlineStr">
        <is>
          <t>是</t>
        </is>
      </c>
      <c r="J1562" t="inlineStr">
        <is>
          <t>纳入</t>
        </is>
      </c>
      <c r="K1562" t="n">
        <v>1487.830812854442</v>
      </c>
      <c r="L1562">
        <f>导管母表_1781!G1562</f>
        <v/>
      </c>
      <c r="M1562" t="inlineStr">
        <is>
          <t>视野内部</t>
        </is>
      </c>
      <c r="N1562" t="inlineStr">
        <is>
          <t>纳入A/D/Dh；若有Pair_ID则纳入CWR</t>
        </is>
      </c>
      <c r="O1562" t="inlineStr">
        <is>
          <t>自动管线检出的合格导管腔。</t>
        </is>
      </c>
      <c r="P1562" t="inlineStr">
        <is>
          <t>auto_pipeline;review_png_green</t>
        </is>
      </c>
      <c r="Q1562" t="inlineStr">
        <is>
          <t>35(8)-P01</t>
        </is>
      </c>
      <c r="R1562" t="inlineStr">
        <is>
          <t>样品35</t>
        </is>
      </c>
    </row>
    <row r="1563">
      <c r="A1563" t="inlineStr">
        <is>
          <t>35(8)-V02</t>
        </is>
      </c>
      <c r="B1563" t="inlineStr">
        <is>
          <t>35 (8).tif</t>
        </is>
      </c>
      <c r="C1563" t="n">
        <v>528</v>
      </c>
      <c r="D1563" t="n">
        <v>262</v>
      </c>
      <c r="E1563" t="inlineStr">
        <is>
          <t>420,176,637,349</t>
        </is>
      </c>
      <c r="F1563" t="n">
        <v>176</v>
      </c>
      <c r="G1563" t="inlineStr">
        <is>
          <t>primary</t>
        </is>
      </c>
      <c r="H1563" t="inlineStr">
        <is>
          <t>AUTO_VESSEL</t>
        </is>
      </c>
      <c r="I1563" t="inlineStr">
        <is>
          <t>是</t>
        </is>
      </c>
      <c r="J1563" t="inlineStr">
        <is>
          <t>纳入</t>
        </is>
      </c>
      <c r="K1563" t="n">
        <v>1374.007561436673</v>
      </c>
      <c r="L1563">
        <f>导管母表_1781!G1563</f>
        <v/>
      </c>
      <c r="M1563" t="inlineStr">
        <is>
          <t>视野内部</t>
        </is>
      </c>
      <c r="N1563" t="inlineStr">
        <is>
          <t>纳入A/D/Dh；若有Pair_ID则纳入CWR</t>
        </is>
      </c>
      <c r="O1563" t="inlineStr">
        <is>
          <t>自动管线检出的合格导管腔。</t>
        </is>
      </c>
      <c r="P1563" t="inlineStr">
        <is>
          <t>auto_pipeline;review_png_green</t>
        </is>
      </c>
      <c r="Q1563" t="inlineStr">
        <is>
          <t>35(8)-P01</t>
        </is>
      </c>
      <c r="R1563" t="inlineStr">
        <is>
          <t>样品35</t>
        </is>
      </c>
    </row>
    <row r="1564">
      <c r="A1564" t="inlineStr">
        <is>
          <t>35(8)-V03</t>
        </is>
      </c>
      <c r="B1564" t="inlineStr">
        <is>
          <t>35 (8).tif</t>
        </is>
      </c>
      <c r="C1564" t="n">
        <v>738</v>
      </c>
      <c r="D1564" t="n">
        <v>295</v>
      </c>
      <c r="E1564" t="inlineStr">
        <is>
          <t>695,257,782,334</t>
        </is>
      </c>
      <c r="F1564" t="n">
        <v>242</v>
      </c>
      <c r="G1564" t="inlineStr">
        <is>
          <t>primary</t>
        </is>
      </c>
      <c r="H1564" t="inlineStr">
        <is>
          <t>AUTO_VESSEL</t>
        </is>
      </c>
      <c r="I1564" t="inlineStr">
        <is>
          <t>是</t>
        </is>
      </c>
      <c r="J1564" t="inlineStr">
        <is>
          <t>纳入</t>
        </is>
      </c>
      <c r="K1564" t="n">
        <v>204.5841209829868</v>
      </c>
      <c r="L1564">
        <f>导管母表_1781!G1564</f>
        <v/>
      </c>
      <c r="M1564" t="inlineStr">
        <is>
          <t>视野内部</t>
        </is>
      </c>
      <c r="N1564" t="inlineStr">
        <is>
          <t>纳入A/D/Dh；若有Pair_ID则纳入CWR</t>
        </is>
      </c>
      <c r="O1564" t="inlineStr">
        <is>
          <t>自动管线检出的合格导管腔。</t>
        </is>
      </c>
      <c r="P1564" t="inlineStr">
        <is>
          <t>auto_pipeline;review_png_green</t>
        </is>
      </c>
      <c r="R1564" t="inlineStr">
        <is>
          <t>样品35</t>
        </is>
      </c>
    </row>
    <row r="1565">
      <c r="A1565" t="inlineStr">
        <is>
          <t>36(1)-V01</t>
        </is>
      </c>
      <c r="B1565" t="inlineStr">
        <is>
          <t>36 (1).tif</t>
        </is>
      </c>
      <c r="C1565" t="n">
        <v>264</v>
      </c>
      <c r="D1565" t="n">
        <v>501</v>
      </c>
      <c r="E1565" t="inlineStr">
        <is>
          <t>181,425,348,578</t>
        </is>
      </c>
      <c r="F1565" t="n">
        <v>181</v>
      </c>
      <c r="G1565" t="inlineStr">
        <is>
          <t>primary</t>
        </is>
      </c>
      <c r="H1565" t="inlineStr">
        <is>
          <t>AUTO_VESSEL</t>
        </is>
      </c>
      <c r="I1565" t="inlineStr">
        <is>
          <t>是</t>
        </is>
      </c>
      <c r="J1565" t="inlineStr">
        <is>
          <t>纳入</t>
        </is>
      </c>
      <c r="K1565" t="n">
        <v>909.9952741020794</v>
      </c>
      <c r="L1565">
        <f>导管母表_1781!G1565</f>
        <v/>
      </c>
      <c r="M1565" t="inlineStr">
        <is>
          <t>视野内部</t>
        </is>
      </c>
      <c r="N1565" t="inlineStr">
        <is>
          <t>纳入A/D/Dh；若有Pair_ID则纳入CWR</t>
        </is>
      </c>
      <c r="O1565" t="inlineStr">
        <is>
          <t>自动管线检出的合格导管腔。</t>
        </is>
      </c>
      <c r="P1565" t="inlineStr">
        <is>
          <t>auto_pipeline;review_png_green</t>
        </is>
      </c>
      <c r="R1565" t="inlineStr">
        <is>
          <t>样品36</t>
        </is>
      </c>
    </row>
    <row r="1566">
      <c r="A1566" t="inlineStr">
        <is>
          <t>36(1)-V02</t>
        </is>
      </c>
      <c r="B1566" t="inlineStr">
        <is>
          <t>36 (1).tif</t>
        </is>
      </c>
      <c r="C1566" t="n">
        <v>928</v>
      </c>
      <c r="D1566" t="n">
        <v>523</v>
      </c>
      <c r="E1566" t="inlineStr">
        <is>
          <t>852,444,1005,603</t>
        </is>
      </c>
      <c r="F1566" t="n">
        <v>19</v>
      </c>
      <c r="G1566" t="inlineStr">
        <is>
          <t>primary</t>
        </is>
      </c>
      <c r="H1566" t="inlineStr">
        <is>
          <t>AUTO_VESSEL</t>
        </is>
      </c>
      <c r="I1566" t="inlineStr">
        <is>
          <t>是</t>
        </is>
      </c>
      <c r="J1566" t="inlineStr">
        <is>
          <t>纳入</t>
        </is>
      </c>
      <c r="K1566" t="n">
        <v>882.4905482041588</v>
      </c>
      <c r="L1566">
        <f>导管母表_1781!G1566</f>
        <v/>
      </c>
      <c r="M1566" t="inlineStr">
        <is>
          <t>近边缘（&lt;25 px）</t>
        </is>
      </c>
      <c r="N1566" t="inlineStr">
        <is>
          <t>纳入A/D/Dh；若有Pair_ID则纳入CWR</t>
        </is>
      </c>
      <c r="O1566" t="inlineStr">
        <is>
          <t>自动管线检出的合格导管腔。</t>
        </is>
      </c>
      <c r="P1566" t="inlineStr">
        <is>
          <t>auto_pipeline;review_png_green</t>
        </is>
      </c>
      <c r="R1566" t="inlineStr">
        <is>
          <t>样品36</t>
        </is>
      </c>
    </row>
    <row r="1567">
      <c r="A1567" t="inlineStr">
        <is>
          <t>36(1)-V03</t>
        </is>
      </c>
      <c r="B1567" t="inlineStr">
        <is>
          <t>36 (1).tif</t>
        </is>
      </c>
      <c r="C1567" t="n">
        <v>616</v>
      </c>
      <c r="D1567" t="n">
        <v>271</v>
      </c>
      <c r="E1567" t="inlineStr">
        <is>
          <t>541,193,692,350</t>
        </is>
      </c>
      <c r="F1567" t="n">
        <v>193</v>
      </c>
      <c r="G1567" t="inlineStr">
        <is>
          <t>primary</t>
        </is>
      </c>
      <c r="H1567" t="inlineStr">
        <is>
          <t>AUTO_VESSEL</t>
        </is>
      </c>
      <c r="I1567" t="inlineStr">
        <is>
          <t>是</t>
        </is>
      </c>
      <c r="J1567" t="inlineStr">
        <is>
          <t>纳入</t>
        </is>
      </c>
      <c r="K1567" t="n">
        <v>868.5727788279773</v>
      </c>
      <c r="L1567">
        <f>导管母表_1781!G1567</f>
        <v/>
      </c>
      <c r="M1567" t="inlineStr">
        <is>
          <t>视野内部</t>
        </is>
      </c>
      <c r="N1567" t="inlineStr">
        <is>
          <t>纳入A/D/Dh；若有Pair_ID则纳入CWR</t>
        </is>
      </c>
      <c r="O1567" t="inlineStr">
        <is>
          <t>自动管线检出的合格导管腔。</t>
        </is>
      </c>
      <c r="P1567" t="inlineStr">
        <is>
          <t>auto_pipeline;review_png_green</t>
        </is>
      </c>
      <c r="Q1567" t="inlineStr">
        <is>
          <t>36(1)-P01</t>
        </is>
      </c>
      <c r="R1567" t="inlineStr">
        <is>
          <t>样品36</t>
        </is>
      </c>
    </row>
    <row r="1568">
      <c r="A1568" t="inlineStr">
        <is>
          <t>36(1)-V04</t>
        </is>
      </c>
      <c r="B1568" t="inlineStr">
        <is>
          <t>36 (1).tif</t>
        </is>
      </c>
      <c r="C1568" t="n">
        <v>470</v>
      </c>
      <c r="D1568" t="n">
        <v>381</v>
      </c>
      <c r="E1568" t="inlineStr">
        <is>
          <t>399,309,542,454</t>
        </is>
      </c>
      <c r="F1568" t="n">
        <v>309</v>
      </c>
      <c r="G1568" t="inlineStr">
        <is>
          <t>primary</t>
        </is>
      </c>
      <c r="H1568" t="inlineStr">
        <is>
          <t>AUTO_VESSEL</t>
        </is>
      </c>
      <c r="I1568" t="inlineStr">
        <is>
          <t>是</t>
        </is>
      </c>
      <c r="J1568" t="inlineStr">
        <is>
          <t>纳入</t>
        </is>
      </c>
      <c r="K1568" t="n">
        <v>756.3327032136106</v>
      </c>
      <c r="L1568">
        <f>导管母表_1781!G1568</f>
        <v/>
      </c>
      <c r="M1568" t="inlineStr">
        <is>
          <t>视野内部</t>
        </is>
      </c>
      <c r="N1568" t="inlineStr">
        <is>
          <t>纳入A/D/Dh；若有Pair_ID则纳入CWR</t>
        </is>
      </c>
      <c r="O1568" t="inlineStr">
        <is>
          <t>自动管线检出的合格导管腔。</t>
        </is>
      </c>
      <c r="P1568" t="inlineStr">
        <is>
          <t>auto_pipeline;review_png_green</t>
        </is>
      </c>
      <c r="Q1568" t="inlineStr">
        <is>
          <t>36(1)-P01</t>
        </is>
      </c>
      <c r="R1568" t="inlineStr">
        <is>
          <t>样品36</t>
        </is>
      </c>
    </row>
    <row r="1569">
      <c r="A1569" t="inlineStr">
        <is>
          <t>36(1)-V05</t>
        </is>
      </c>
      <c r="B1569" t="inlineStr">
        <is>
          <t>36 (1).tif</t>
        </is>
      </c>
      <c r="C1569" t="n">
        <v>403</v>
      </c>
      <c r="D1569" t="n">
        <v>102</v>
      </c>
      <c r="E1569" t="inlineStr">
        <is>
          <t>352,62,455,143</t>
        </is>
      </c>
      <c r="F1569" t="n">
        <v>62</v>
      </c>
      <c r="G1569" t="inlineStr">
        <is>
          <t>primary</t>
        </is>
      </c>
      <c r="H1569" t="inlineStr">
        <is>
          <t>AUTO_VESSEL</t>
        </is>
      </c>
      <c r="I1569" t="inlineStr">
        <is>
          <t>是</t>
        </is>
      </c>
      <c r="J1569" t="inlineStr">
        <is>
          <t>纳入</t>
        </is>
      </c>
      <c r="K1569" t="n">
        <v>288.5160680529301</v>
      </c>
      <c r="L1569">
        <f>导管母表_1781!G1569</f>
        <v/>
      </c>
      <c r="M1569" t="inlineStr">
        <is>
          <t>视野内部</t>
        </is>
      </c>
      <c r="N1569" t="inlineStr">
        <is>
          <t>纳入A/D/Dh；若有Pair_ID则纳入CWR</t>
        </is>
      </c>
      <c r="O1569" t="inlineStr">
        <is>
          <t>自动管线检出的合格导管腔。</t>
        </is>
      </c>
      <c r="P1569" t="inlineStr">
        <is>
          <t>auto_pipeline;review_png_green</t>
        </is>
      </c>
      <c r="R1569" t="inlineStr">
        <is>
          <t>样品36</t>
        </is>
      </c>
    </row>
    <row r="1570">
      <c r="A1570" t="inlineStr">
        <is>
          <t>36(1)-V06</t>
        </is>
      </c>
      <c r="B1570" t="inlineStr">
        <is>
          <t>36 (1).tif</t>
        </is>
      </c>
      <c r="C1570" t="n">
        <v>701</v>
      </c>
      <c r="D1570" t="n">
        <v>291</v>
      </c>
      <c r="E1570" t="inlineStr">
        <is>
          <t>661,242,742,341</t>
        </is>
      </c>
      <c r="F1570" t="n">
        <v>242</v>
      </c>
      <c r="G1570" t="inlineStr">
        <is>
          <t>primary</t>
        </is>
      </c>
      <c r="H1570" t="inlineStr">
        <is>
          <t>AUTO_VESSEL</t>
        </is>
      </c>
      <c r="I1570" t="inlineStr">
        <is>
          <t>是</t>
        </is>
      </c>
      <c r="J1570" t="inlineStr">
        <is>
          <t>纳入</t>
        </is>
      </c>
      <c r="K1570" t="n">
        <v>172.069943289225</v>
      </c>
      <c r="L1570">
        <f>导管母表_1781!G1570</f>
        <v/>
      </c>
      <c r="M1570" t="inlineStr">
        <is>
          <t>视野内部</t>
        </is>
      </c>
      <c r="N1570" t="inlineStr">
        <is>
          <t>纳入A/D/Dh；若有Pair_ID则纳入CWR</t>
        </is>
      </c>
      <c r="O1570" t="inlineStr">
        <is>
          <t>自动管线检出的合格导管腔。</t>
        </is>
      </c>
      <c r="P1570" t="inlineStr">
        <is>
          <t>auto_pipeline;review_png_green</t>
        </is>
      </c>
      <c r="R1570" t="inlineStr">
        <is>
          <t>样品36</t>
        </is>
      </c>
    </row>
    <row r="1571">
      <c r="A1571" t="inlineStr">
        <is>
          <t>36(1)-V07</t>
        </is>
      </c>
      <c r="B1571" t="inlineStr">
        <is>
          <t>36 (1).tif</t>
        </is>
      </c>
      <c r="C1571" t="n">
        <v>239</v>
      </c>
      <c r="D1571" t="n">
        <v>376</v>
      </c>
      <c r="E1571" t="inlineStr">
        <is>
          <t>200,338,279,415</t>
        </is>
      </c>
      <c r="F1571" t="n">
        <v>200</v>
      </c>
      <c r="G1571" t="inlineStr">
        <is>
          <t>primary</t>
        </is>
      </c>
      <c r="H1571" t="inlineStr">
        <is>
          <t>AUTO_VESSEL</t>
        </is>
      </c>
      <c r="I1571" t="inlineStr">
        <is>
          <t>是</t>
        </is>
      </c>
      <c r="J1571" t="inlineStr">
        <is>
          <t>纳入</t>
        </is>
      </c>
      <c r="K1571" t="n">
        <v>170.2741020793951</v>
      </c>
      <c r="L1571">
        <f>导管母表_1781!G1571</f>
        <v/>
      </c>
      <c r="M1571" t="inlineStr">
        <is>
          <t>视野内部</t>
        </is>
      </c>
      <c r="N1571" t="inlineStr">
        <is>
          <t>纳入A/D/Dh；若有Pair_ID则纳入CWR</t>
        </is>
      </c>
      <c r="O1571" t="inlineStr">
        <is>
          <t>自动管线检出的合格导管腔。</t>
        </is>
      </c>
      <c r="P1571" t="inlineStr">
        <is>
          <t>auto_pipeline;review_png_green</t>
        </is>
      </c>
      <c r="R1571" t="inlineStr">
        <is>
          <t>样品36</t>
        </is>
      </c>
    </row>
    <row r="1572">
      <c r="A1572" t="inlineStr">
        <is>
          <t>36(1)-V08</t>
        </is>
      </c>
      <c r="B1572" t="inlineStr">
        <is>
          <t>36 (1).tif</t>
        </is>
      </c>
      <c r="C1572" t="n">
        <v>695</v>
      </c>
      <c r="D1572" t="n">
        <v>69</v>
      </c>
      <c r="E1572" t="inlineStr">
        <is>
          <t>660,36,731,103</t>
        </is>
      </c>
      <c r="F1572" t="n">
        <v>36</v>
      </c>
      <c r="G1572" t="inlineStr">
        <is>
          <t>primary</t>
        </is>
      </c>
      <c r="H1572" t="inlineStr">
        <is>
          <t>AUTO_VESSEL</t>
        </is>
      </c>
      <c r="I1572" t="inlineStr">
        <is>
          <t>是</t>
        </is>
      </c>
      <c r="J1572" t="inlineStr">
        <is>
          <t>纳入</t>
        </is>
      </c>
      <c r="K1572" t="n">
        <v>143.9035916824197</v>
      </c>
      <c r="L1572">
        <f>导管母表_1781!G1572</f>
        <v/>
      </c>
      <c r="M1572" t="inlineStr">
        <is>
          <t>视野内部</t>
        </is>
      </c>
      <c r="N1572" t="inlineStr">
        <is>
          <t>纳入A/D/Dh；若有Pair_ID则纳入CWR</t>
        </is>
      </c>
      <c r="O1572" t="inlineStr">
        <is>
          <t>自动管线检出的合格导管腔。</t>
        </is>
      </c>
      <c r="P1572" t="inlineStr">
        <is>
          <t>auto_pipeline;review_png_green</t>
        </is>
      </c>
      <c r="R1572" t="inlineStr">
        <is>
          <t>样品36</t>
        </is>
      </c>
    </row>
    <row r="1573">
      <c r="A1573" t="inlineStr">
        <is>
          <t>36(2)-V01</t>
        </is>
      </c>
      <c r="B1573" t="inlineStr">
        <is>
          <t>36 (2).tif</t>
        </is>
      </c>
      <c r="C1573" t="n">
        <v>543</v>
      </c>
      <c r="D1573" t="n">
        <v>59</v>
      </c>
      <c r="E1573" t="inlineStr">
        <is>
          <t>423,11,664,108</t>
        </is>
      </c>
      <c r="F1573" t="n">
        <v>11</v>
      </c>
      <c r="G1573" t="inlineStr">
        <is>
          <t>primary</t>
        </is>
      </c>
      <c r="H1573" t="inlineStr">
        <is>
          <t>AUTO_VESSEL</t>
        </is>
      </c>
      <c r="I1573" t="inlineStr">
        <is>
          <t>是</t>
        </is>
      </c>
      <c r="J1573" t="inlineStr">
        <is>
          <t>纳入</t>
        </is>
      </c>
      <c r="K1573" t="n">
        <v>807.3724007561436</v>
      </c>
      <c r="L1573">
        <f>导管母表_1781!G1573</f>
        <v/>
      </c>
      <c r="M1573" t="inlineStr">
        <is>
          <t>近边缘（&lt;25 px）</t>
        </is>
      </c>
      <c r="N1573" t="inlineStr">
        <is>
          <t>纳入A/D/Dh；若有Pair_ID则纳入CWR</t>
        </is>
      </c>
      <c r="O1573" t="inlineStr">
        <is>
          <t>自动管线检出的合格导管腔。</t>
        </is>
      </c>
      <c r="P1573" t="inlineStr">
        <is>
          <t>auto_pipeline;review_png_green</t>
        </is>
      </c>
      <c r="R1573" t="inlineStr">
        <is>
          <t>样品36</t>
        </is>
      </c>
    </row>
    <row r="1574">
      <c r="A1574" t="inlineStr">
        <is>
          <t>36(2)-V02</t>
        </is>
      </c>
      <c r="B1574" t="inlineStr">
        <is>
          <t>36 (2).tif</t>
        </is>
      </c>
      <c r="C1574" t="n">
        <v>440</v>
      </c>
      <c r="D1574" t="n">
        <v>412</v>
      </c>
      <c r="E1574" t="inlineStr">
        <is>
          <t>367,351,514,474</t>
        </is>
      </c>
      <c r="F1574" t="n">
        <v>294</v>
      </c>
      <c r="G1574" t="inlineStr">
        <is>
          <t>primary</t>
        </is>
      </c>
      <c r="H1574" t="inlineStr">
        <is>
          <t>AUTO_VESSEL</t>
        </is>
      </c>
      <c r="I1574" t="inlineStr">
        <is>
          <t>是</t>
        </is>
      </c>
      <c r="J1574" t="inlineStr">
        <is>
          <t>纳入</t>
        </is>
      </c>
      <c r="K1574" t="n">
        <v>584.4517958412098</v>
      </c>
      <c r="L1574">
        <f>导管母表_1781!G1574</f>
        <v/>
      </c>
      <c r="M1574" t="inlineStr">
        <is>
          <t>视野内部</t>
        </is>
      </c>
      <c r="N1574" t="inlineStr">
        <is>
          <t>纳入A/D/Dh；若有Pair_ID则纳入CWR</t>
        </is>
      </c>
      <c r="O1574" t="inlineStr">
        <is>
          <t>自动管线检出的合格导管腔。</t>
        </is>
      </c>
      <c r="P1574" t="inlineStr">
        <is>
          <t>auto_pipeline;review_png_green</t>
        </is>
      </c>
      <c r="Q1574" t="inlineStr">
        <is>
          <t>36(2)-P01</t>
        </is>
      </c>
      <c r="R1574" t="inlineStr">
        <is>
          <t>样品36</t>
        </is>
      </c>
    </row>
    <row r="1575">
      <c r="A1575" t="inlineStr">
        <is>
          <t>36(2)-V03</t>
        </is>
      </c>
      <c r="B1575" t="inlineStr">
        <is>
          <t>36 (2).tif</t>
        </is>
      </c>
      <c r="C1575" t="n">
        <v>562</v>
      </c>
      <c r="D1575" t="n">
        <v>339</v>
      </c>
      <c r="E1575" t="inlineStr">
        <is>
          <t>490,287,635,392</t>
        </is>
      </c>
      <c r="F1575" t="n">
        <v>287</v>
      </c>
      <c r="G1575" t="inlineStr">
        <is>
          <t>primary</t>
        </is>
      </c>
      <c r="H1575" t="inlineStr">
        <is>
          <t>AUTO_VESSEL</t>
        </is>
      </c>
      <c r="I1575" t="inlineStr">
        <is>
          <t>是</t>
        </is>
      </c>
      <c r="J1575" t="inlineStr">
        <is>
          <t>纳入</t>
        </is>
      </c>
      <c r="K1575" t="n">
        <v>549.3856332703214</v>
      </c>
      <c r="L1575">
        <f>导管母表_1781!G1575</f>
        <v/>
      </c>
      <c r="M1575" t="inlineStr">
        <is>
          <t>视野内部</t>
        </is>
      </c>
      <c r="N1575" t="inlineStr">
        <is>
          <t>纳入A/D/Dh；若有Pair_ID则纳入CWR</t>
        </is>
      </c>
      <c r="O1575" t="inlineStr">
        <is>
          <t>自动管线检出的合格导管腔。</t>
        </is>
      </c>
      <c r="P1575" t="inlineStr">
        <is>
          <t>auto_pipeline;review_png_green</t>
        </is>
      </c>
      <c r="Q1575" t="inlineStr">
        <is>
          <t>36(2)-P01</t>
        </is>
      </c>
      <c r="R1575" t="inlineStr">
        <is>
          <t>样品36</t>
        </is>
      </c>
    </row>
    <row r="1576">
      <c r="A1576" t="inlineStr">
        <is>
          <t>36(2)-V04</t>
        </is>
      </c>
      <c r="B1576" t="inlineStr">
        <is>
          <t>36 (2).tif</t>
        </is>
      </c>
      <c r="C1576" t="n">
        <v>202</v>
      </c>
      <c r="D1576" t="n">
        <v>584</v>
      </c>
      <c r="E1576" t="inlineStr">
        <is>
          <t>163,563,242,606</t>
        </is>
      </c>
      <c r="F1576" t="n">
        <v>162</v>
      </c>
      <c r="G1576" t="inlineStr">
        <is>
          <t>primary</t>
        </is>
      </c>
      <c r="H1576" t="inlineStr">
        <is>
          <t>AUTO_VESSEL</t>
        </is>
      </c>
      <c r="I1576" t="inlineStr">
        <is>
          <t>是</t>
        </is>
      </c>
      <c r="J1576" t="inlineStr">
        <is>
          <t>纳入</t>
        </is>
      </c>
      <c r="K1576" t="n">
        <v>115.9735349716446</v>
      </c>
      <c r="L1576">
        <f>导管母表_1781!G1576</f>
        <v/>
      </c>
      <c r="M1576" t="inlineStr">
        <is>
          <t>视野内部</t>
        </is>
      </c>
      <c r="N1576" t="inlineStr">
        <is>
          <t>纳入A/D/Dh；若有Pair_ID则纳入CWR</t>
        </is>
      </c>
      <c r="O1576" t="inlineStr">
        <is>
          <t>自动管线检出的合格导管腔。</t>
        </is>
      </c>
      <c r="P1576" t="inlineStr">
        <is>
          <t>auto_pipeline;review_png_green</t>
        </is>
      </c>
      <c r="R1576" t="inlineStr">
        <is>
          <t>样品36</t>
        </is>
      </c>
    </row>
    <row r="1577">
      <c r="A1577" t="inlineStr">
        <is>
          <t>36(3)-V01</t>
        </is>
      </c>
      <c r="B1577" t="inlineStr">
        <is>
          <t>36 (3).tif</t>
        </is>
      </c>
      <c r="C1577" t="n">
        <v>607</v>
      </c>
      <c r="D1577" t="n">
        <v>383</v>
      </c>
      <c r="E1577" t="inlineStr">
        <is>
          <t>541,263,674,504</t>
        </is>
      </c>
      <c r="F1577" t="n">
        <v>263</v>
      </c>
      <c r="G1577" t="inlineStr">
        <is>
          <t>primary</t>
        </is>
      </c>
      <c r="H1577" t="inlineStr">
        <is>
          <t>AUTO_VESSEL</t>
        </is>
      </c>
      <c r="I1577" t="inlineStr">
        <is>
          <t>是</t>
        </is>
      </c>
      <c r="J1577" t="inlineStr">
        <is>
          <t>纳入</t>
        </is>
      </c>
      <c r="K1577" t="n">
        <v>1175.992438563327</v>
      </c>
      <c r="L1577">
        <f>导管母表_1781!G1577</f>
        <v/>
      </c>
      <c r="M1577" t="inlineStr">
        <is>
          <t>视野内部</t>
        </is>
      </c>
      <c r="N1577" t="inlineStr">
        <is>
          <t>纳入A/D/Dh；若有Pair_ID则纳入CWR</t>
        </is>
      </c>
      <c r="O1577" t="inlineStr">
        <is>
          <t>自动管线检出的合格导管腔。</t>
        </is>
      </c>
      <c r="P1577" t="inlineStr">
        <is>
          <t>auto_pipeline;review_png_green</t>
        </is>
      </c>
      <c r="Q1577" t="inlineStr">
        <is>
          <t>36(3)-P01</t>
        </is>
      </c>
      <c r="R1577" t="inlineStr">
        <is>
          <t>样品36</t>
        </is>
      </c>
    </row>
    <row r="1578">
      <c r="A1578" t="inlineStr">
        <is>
          <t>36(3)-V02</t>
        </is>
      </c>
      <c r="B1578" t="inlineStr">
        <is>
          <t>36 (3).tif</t>
        </is>
      </c>
      <c r="C1578" t="n">
        <v>789</v>
      </c>
      <c r="D1578" t="n">
        <v>437</v>
      </c>
      <c r="E1578" t="inlineStr">
        <is>
          <t>703,365,876,510</t>
        </is>
      </c>
      <c r="F1578" t="n">
        <v>148</v>
      </c>
      <c r="G1578" t="inlineStr">
        <is>
          <t>primary</t>
        </is>
      </c>
      <c r="H1578" t="inlineStr">
        <is>
          <t>AUTO_VESSEL</t>
        </is>
      </c>
      <c r="I1578" t="inlineStr">
        <is>
          <t>是</t>
        </is>
      </c>
      <c r="J1578" t="inlineStr">
        <is>
          <t>纳入</t>
        </is>
      </c>
      <c r="K1578" t="n">
        <v>826.9848771266541</v>
      </c>
      <c r="L1578">
        <f>导管母表_1781!G1578</f>
        <v/>
      </c>
      <c r="M1578" t="inlineStr">
        <is>
          <t>视野内部</t>
        </is>
      </c>
      <c r="N1578" t="inlineStr">
        <is>
          <t>纳入A/D/Dh；若有Pair_ID则纳入CWR</t>
        </is>
      </c>
      <c r="O1578" t="inlineStr">
        <is>
          <t>自动管线检出的合格导管腔。</t>
        </is>
      </c>
      <c r="P1578" t="inlineStr">
        <is>
          <t>auto_pipeline;review_png_green</t>
        </is>
      </c>
      <c r="R1578" t="inlineStr">
        <is>
          <t>样品36</t>
        </is>
      </c>
    </row>
    <row r="1579">
      <c r="A1579" t="inlineStr">
        <is>
          <t>36(3)-V03</t>
        </is>
      </c>
      <c r="B1579" t="inlineStr">
        <is>
          <t>36 (3).tif</t>
        </is>
      </c>
      <c r="C1579" t="n">
        <v>169</v>
      </c>
      <c r="D1579" t="n">
        <v>428</v>
      </c>
      <c r="E1579" t="inlineStr">
        <is>
          <t>103,352,236,505</t>
        </is>
      </c>
      <c r="F1579" t="n">
        <v>103</v>
      </c>
      <c r="G1579" t="inlineStr">
        <is>
          <t>primary</t>
        </is>
      </c>
      <c r="H1579" t="inlineStr">
        <is>
          <t>AUTO_VESSEL</t>
        </is>
      </c>
      <c r="I1579" t="inlineStr">
        <is>
          <t>是</t>
        </is>
      </c>
      <c r="J1579" t="inlineStr">
        <is>
          <t>纳入</t>
        </is>
      </c>
      <c r="K1579" t="n">
        <v>742.7693761814745</v>
      </c>
      <c r="L1579">
        <f>导管母表_1781!G1579</f>
        <v/>
      </c>
      <c r="M1579" t="inlineStr">
        <is>
          <t>视野内部</t>
        </is>
      </c>
      <c r="N1579" t="inlineStr">
        <is>
          <t>纳入A/D/Dh；若有Pair_ID则纳入CWR</t>
        </is>
      </c>
      <c r="O1579" t="inlineStr">
        <is>
          <t>自动管线检出的合格导管腔。</t>
        </is>
      </c>
      <c r="P1579" t="inlineStr">
        <is>
          <t>auto_pipeline;review_png_green</t>
        </is>
      </c>
      <c r="R1579" t="inlineStr">
        <is>
          <t>样品36</t>
        </is>
      </c>
    </row>
    <row r="1580">
      <c r="A1580" t="inlineStr">
        <is>
          <t>36(3)-V04</t>
        </is>
      </c>
      <c r="B1580" t="inlineStr">
        <is>
          <t>36 (3).tif</t>
        </is>
      </c>
      <c r="C1580" t="n">
        <v>435</v>
      </c>
      <c r="D1580" t="n">
        <v>312</v>
      </c>
      <c r="E1580" t="inlineStr">
        <is>
          <t>364,257,507,368</t>
        </is>
      </c>
      <c r="F1580" t="n">
        <v>257</v>
      </c>
      <c r="G1580" t="inlineStr">
        <is>
          <t>primary</t>
        </is>
      </c>
      <c r="H1580" t="inlineStr">
        <is>
          <t>AUTO_VESSEL</t>
        </is>
      </c>
      <c r="I1580" t="inlineStr">
        <is>
          <t>是</t>
        </is>
      </c>
      <c r="J1580" t="inlineStr">
        <is>
          <t>纳入</t>
        </is>
      </c>
      <c r="K1580" t="n">
        <v>579.4423440453686</v>
      </c>
      <c r="L1580">
        <f>导管母表_1781!G1580</f>
        <v/>
      </c>
      <c r="M1580" t="inlineStr">
        <is>
          <t>视野内部</t>
        </is>
      </c>
      <c r="N1580" t="inlineStr">
        <is>
          <t>纳入A/D/Dh；若有Pair_ID则纳入CWR</t>
        </is>
      </c>
      <c r="O1580" t="inlineStr">
        <is>
          <t>自动管线检出的合格导管腔。</t>
        </is>
      </c>
      <c r="P1580" t="inlineStr">
        <is>
          <t>auto_pipeline;review_png_green</t>
        </is>
      </c>
      <c r="R1580" t="inlineStr">
        <is>
          <t>样品36</t>
        </is>
      </c>
    </row>
    <row r="1581">
      <c r="A1581" t="inlineStr">
        <is>
          <t>36(3)-V05</t>
        </is>
      </c>
      <c r="B1581" t="inlineStr">
        <is>
          <t>36 (3).tif</t>
        </is>
      </c>
      <c r="C1581" t="n">
        <v>573</v>
      </c>
      <c r="D1581" t="n">
        <v>369</v>
      </c>
      <c r="E1581" t="inlineStr">
        <is>
          <t>516,323,631,416</t>
        </is>
      </c>
      <c r="F1581" t="n">
        <v>323</v>
      </c>
      <c r="G1581" t="inlineStr">
        <is>
          <t>primary</t>
        </is>
      </c>
      <c r="H1581" t="inlineStr">
        <is>
          <t>AUTO_VESSEL</t>
        </is>
      </c>
      <c r="I1581" t="inlineStr">
        <is>
          <t>是</t>
        </is>
      </c>
      <c r="J1581" t="inlineStr">
        <is>
          <t>纳入</t>
        </is>
      </c>
      <c r="K1581" t="n">
        <v>387.2164461247637</v>
      </c>
      <c r="L1581">
        <f>导管母表_1781!G1581</f>
        <v/>
      </c>
      <c r="M1581" t="inlineStr">
        <is>
          <t>视野内部</t>
        </is>
      </c>
      <c r="N1581" t="inlineStr">
        <is>
          <t>纳入A/D/Dh；若有Pair_ID则纳入CWR</t>
        </is>
      </c>
      <c r="O1581" t="inlineStr">
        <is>
          <t>自动管线检出的合格导管腔。</t>
        </is>
      </c>
      <c r="P1581" t="inlineStr">
        <is>
          <t>auto_pipeline;review_png_green</t>
        </is>
      </c>
      <c r="Q1581" t="inlineStr">
        <is>
          <t>36(3)-P01</t>
        </is>
      </c>
      <c r="R1581" t="inlineStr">
        <is>
          <t>样品36</t>
        </is>
      </c>
    </row>
    <row r="1582">
      <c r="A1582" t="inlineStr">
        <is>
          <t>36(3)-V06</t>
        </is>
      </c>
      <c r="B1582" t="inlineStr">
        <is>
          <t>36 (3).tif</t>
        </is>
      </c>
      <c r="C1582" t="n">
        <v>207</v>
      </c>
      <c r="D1582" t="n">
        <v>151</v>
      </c>
      <c r="E1582" t="inlineStr">
        <is>
          <t>177,127,238,176</t>
        </is>
      </c>
      <c r="F1582" t="n">
        <v>127</v>
      </c>
      <c r="G1582" t="inlineStr">
        <is>
          <t>primary</t>
        </is>
      </c>
      <c r="H1582" t="inlineStr">
        <is>
          <t>AUTO_VESSEL</t>
        </is>
      </c>
      <c r="I1582" t="inlineStr">
        <is>
          <t>是</t>
        </is>
      </c>
      <c r="J1582" t="inlineStr">
        <is>
          <t>纳入</t>
        </is>
      </c>
      <c r="K1582" t="n">
        <v>104.4423440453686</v>
      </c>
      <c r="L1582">
        <f>导管母表_1781!G1582</f>
        <v/>
      </c>
      <c r="M1582" t="inlineStr">
        <is>
          <t>视野内部</t>
        </is>
      </c>
      <c r="N1582" t="inlineStr">
        <is>
          <t>纳入A/D/Dh；若有Pair_ID则纳入CWR</t>
        </is>
      </c>
      <c r="O1582" t="inlineStr">
        <is>
          <t>自动管线检出的合格导管腔。</t>
        </is>
      </c>
      <c r="P1582" t="inlineStr">
        <is>
          <t>auto_pipeline;review_png_green</t>
        </is>
      </c>
      <c r="R1582" t="inlineStr">
        <is>
          <t>样品36</t>
        </is>
      </c>
    </row>
    <row r="1583">
      <c r="A1583" t="inlineStr">
        <is>
          <t>36(4)-V01</t>
        </is>
      </c>
      <c r="B1583" t="inlineStr">
        <is>
          <t>36 (4).tif</t>
        </is>
      </c>
      <c r="C1583" t="n">
        <v>517</v>
      </c>
      <c r="D1583" t="n">
        <v>498</v>
      </c>
      <c r="E1583" t="inlineStr">
        <is>
          <t>434,402,601,595</t>
        </is>
      </c>
      <c r="F1583" t="n">
        <v>173</v>
      </c>
      <c r="G1583" t="inlineStr">
        <is>
          <t>primary</t>
        </is>
      </c>
      <c r="H1583" t="inlineStr">
        <is>
          <t>AUTO_VESSEL</t>
        </is>
      </c>
      <c r="I1583" t="inlineStr">
        <is>
          <t>是</t>
        </is>
      </c>
      <c r="J1583" t="inlineStr">
        <is>
          <t>纳入</t>
        </is>
      </c>
      <c r="K1583" t="n">
        <v>1182.490548204159</v>
      </c>
      <c r="L1583">
        <f>导管母表_1781!G1583</f>
        <v/>
      </c>
      <c r="M1583" t="inlineStr">
        <is>
          <t>视野内部</t>
        </is>
      </c>
      <c r="N1583" t="inlineStr">
        <is>
          <t>纳入A/D/Dh；若有Pair_ID则纳入CWR</t>
        </is>
      </c>
      <c r="O1583" t="inlineStr">
        <is>
          <t>自动管线检出的合格导管腔。</t>
        </is>
      </c>
      <c r="P1583" t="inlineStr">
        <is>
          <t>auto_pipeline;review_png_green</t>
        </is>
      </c>
      <c r="R1583" t="inlineStr">
        <is>
          <t>样品36</t>
        </is>
      </c>
    </row>
    <row r="1584">
      <c r="A1584" t="inlineStr">
        <is>
          <t>36(4)-V02</t>
        </is>
      </c>
      <c r="B1584" t="inlineStr">
        <is>
          <t>36 (4).tif</t>
        </is>
      </c>
      <c r="C1584" t="n">
        <v>699</v>
      </c>
      <c r="D1584" t="n">
        <v>167</v>
      </c>
      <c r="E1584" t="inlineStr">
        <is>
          <t>636,65,763,270</t>
        </is>
      </c>
      <c r="F1584" t="n">
        <v>65</v>
      </c>
      <c r="G1584" t="inlineStr">
        <is>
          <t>primary</t>
        </is>
      </c>
      <c r="H1584" t="inlineStr">
        <is>
          <t>AUTO_VESSEL</t>
        </is>
      </c>
      <c r="I1584" t="inlineStr">
        <is>
          <t>是</t>
        </is>
      </c>
      <c r="J1584" t="inlineStr">
        <is>
          <t>纳入</t>
        </is>
      </c>
      <c r="K1584" t="n">
        <v>954.1824196597354</v>
      </c>
      <c r="L1584">
        <f>导管母表_1781!G1584</f>
        <v/>
      </c>
      <c r="M1584" t="inlineStr">
        <is>
          <t>视野内部</t>
        </is>
      </c>
      <c r="N1584" t="inlineStr">
        <is>
          <t>纳入A/D/Dh；若有Pair_ID则纳入CWR</t>
        </is>
      </c>
      <c r="O1584" t="inlineStr">
        <is>
          <t>自动管线检出的合格导管腔。</t>
        </is>
      </c>
      <c r="P1584" t="inlineStr">
        <is>
          <t>auto_pipeline;review_png_green</t>
        </is>
      </c>
      <c r="R1584" t="inlineStr">
        <is>
          <t>样品36</t>
        </is>
      </c>
    </row>
    <row r="1585">
      <c r="A1585" t="inlineStr">
        <is>
          <t>36(4)-V03</t>
        </is>
      </c>
      <c r="B1585" t="inlineStr">
        <is>
          <t>36 (4).tif</t>
        </is>
      </c>
      <c r="C1585" t="n">
        <v>112</v>
      </c>
      <c r="D1585" t="n">
        <v>512</v>
      </c>
      <c r="E1585" t="inlineStr">
        <is>
          <t>91,457,134,568</t>
        </is>
      </c>
      <c r="F1585" t="n">
        <v>91</v>
      </c>
      <c r="G1585" t="inlineStr">
        <is>
          <t>primary</t>
        </is>
      </c>
      <c r="H1585" t="inlineStr">
        <is>
          <t>AUTO_VESSEL</t>
        </is>
      </c>
      <c r="I1585" t="inlineStr">
        <is>
          <t>是</t>
        </is>
      </c>
      <c r="J1585" t="inlineStr">
        <is>
          <t>纳入</t>
        </is>
      </c>
      <c r="K1585" t="n">
        <v>157.9867674858223</v>
      </c>
      <c r="L1585">
        <f>导管母表_1781!G1585</f>
        <v/>
      </c>
      <c r="M1585" t="inlineStr">
        <is>
          <t>视野内部</t>
        </is>
      </c>
      <c r="N1585" t="inlineStr">
        <is>
          <t>纳入A/D/Dh；若有Pair_ID则纳入CWR</t>
        </is>
      </c>
      <c r="O1585" t="inlineStr">
        <is>
          <t>自动管线检出的合格导管腔。</t>
        </is>
      </c>
      <c r="P1585" t="inlineStr">
        <is>
          <t>auto_pipeline;review_png_green</t>
        </is>
      </c>
      <c r="R1585" t="inlineStr">
        <is>
          <t>样品36</t>
        </is>
      </c>
    </row>
    <row r="1586">
      <c r="A1586" t="inlineStr">
        <is>
          <t>36(4)-V04</t>
        </is>
      </c>
      <c r="B1586" t="inlineStr">
        <is>
          <t>36 (4).tif</t>
        </is>
      </c>
      <c r="C1586" t="n">
        <v>410</v>
      </c>
      <c r="D1586" t="n">
        <v>631</v>
      </c>
      <c r="E1586" t="inlineStr">
        <is>
          <t>383,597,438,666</t>
        </is>
      </c>
      <c r="F1586" t="n">
        <v>102</v>
      </c>
      <c r="G1586" t="inlineStr">
        <is>
          <t>primary</t>
        </is>
      </c>
      <c r="H1586" t="inlineStr">
        <is>
          <t>AUTO_VESSEL</t>
        </is>
      </c>
      <c r="I1586" t="inlineStr">
        <is>
          <t>是</t>
        </is>
      </c>
      <c r="J1586" t="inlineStr">
        <is>
          <t>纳入</t>
        </is>
      </c>
      <c r="K1586" t="n">
        <v>136.578449905482</v>
      </c>
      <c r="L1586">
        <f>导管母表_1781!G1586</f>
        <v/>
      </c>
      <c r="M1586" t="inlineStr">
        <is>
          <t>视野内部</t>
        </is>
      </c>
      <c r="N1586" t="inlineStr">
        <is>
          <t>纳入A/D/Dh；若有Pair_ID则纳入CWR</t>
        </is>
      </c>
      <c r="O1586" t="inlineStr">
        <is>
          <t>自动管线检出的合格导管腔。</t>
        </is>
      </c>
      <c r="P1586" t="inlineStr">
        <is>
          <t>auto_pipeline;review_png_green</t>
        </is>
      </c>
      <c r="R1586" t="inlineStr">
        <is>
          <t>样品36</t>
        </is>
      </c>
    </row>
    <row r="1587">
      <c r="A1587" t="inlineStr">
        <is>
          <t>36(4)-V05</t>
        </is>
      </c>
      <c r="B1587" t="inlineStr">
        <is>
          <t>36 (4).tif</t>
        </is>
      </c>
      <c r="C1587" t="n">
        <v>351</v>
      </c>
      <c r="D1587" t="n">
        <v>244</v>
      </c>
      <c r="E1587" t="inlineStr">
        <is>
          <t>323,213,380,276</t>
        </is>
      </c>
      <c r="F1587" t="n">
        <v>213</v>
      </c>
      <c r="G1587" t="inlineStr">
        <is>
          <t>primary</t>
        </is>
      </c>
      <c r="H1587" t="inlineStr">
        <is>
          <t>AUTO_VESSEL</t>
        </is>
      </c>
      <c r="I1587" t="inlineStr">
        <is>
          <t>是</t>
        </is>
      </c>
      <c r="J1587" t="inlineStr">
        <is>
          <t>纳入</t>
        </is>
      </c>
      <c r="K1587" t="n">
        <v>121.6918714555766</v>
      </c>
      <c r="L1587">
        <f>导管母表_1781!G1587</f>
        <v/>
      </c>
      <c r="M1587" t="inlineStr">
        <is>
          <t>视野内部</t>
        </is>
      </c>
      <c r="N1587" t="inlineStr">
        <is>
          <t>纳入A/D/Dh；若有Pair_ID则纳入CWR</t>
        </is>
      </c>
      <c r="O1587" t="inlineStr">
        <is>
          <t>自动管线检出的合格导管腔。</t>
        </is>
      </c>
      <c r="P1587" t="inlineStr">
        <is>
          <t>auto_pipeline;review_png_green</t>
        </is>
      </c>
      <c r="R1587" t="inlineStr">
        <is>
          <t>样品36</t>
        </is>
      </c>
    </row>
    <row r="1588">
      <c r="A1588" t="inlineStr">
        <is>
          <t>36(5)-V01</t>
        </is>
      </c>
      <c r="B1588" t="inlineStr">
        <is>
          <t>36 (5).tif</t>
        </is>
      </c>
      <c r="C1588" t="n">
        <v>473</v>
      </c>
      <c r="D1588" t="n">
        <v>450</v>
      </c>
      <c r="E1588" t="inlineStr">
        <is>
          <t>407,379,540,522</t>
        </is>
      </c>
      <c r="F1588" t="n">
        <v>246</v>
      </c>
      <c r="G1588" t="inlineStr">
        <is>
          <t>primary</t>
        </is>
      </c>
      <c r="H1588" t="inlineStr">
        <is>
          <t>AUTO_VESSEL</t>
        </is>
      </c>
      <c r="I1588" t="inlineStr">
        <is>
          <t>是</t>
        </is>
      </c>
      <c r="J1588" t="inlineStr">
        <is>
          <t>纳入</t>
        </is>
      </c>
      <c r="K1588" t="n">
        <v>695.7230623818525</v>
      </c>
      <c r="L1588">
        <f>导管母表_1781!G1588</f>
        <v/>
      </c>
      <c r="M1588" t="inlineStr">
        <is>
          <t>视野内部</t>
        </is>
      </c>
      <c r="N1588" t="inlineStr">
        <is>
          <t>纳入A/D/Dh；若有Pair_ID则纳入CWR</t>
        </is>
      </c>
      <c r="O1588" t="inlineStr">
        <is>
          <t>自动管线检出的合格导管腔。</t>
        </is>
      </c>
      <c r="P1588" t="inlineStr">
        <is>
          <t>auto_pipeline;review_png_green</t>
        </is>
      </c>
      <c r="Q1588" t="inlineStr">
        <is>
          <t>36(5)-P01</t>
        </is>
      </c>
      <c r="R1588" t="inlineStr">
        <is>
          <t>样品36</t>
        </is>
      </c>
    </row>
    <row r="1589">
      <c r="A1589" t="inlineStr">
        <is>
          <t>36(5)-V02</t>
        </is>
      </c>
      <c r="B1589" t="inlineStr">
        <is>
          <t>36 (5).tif</t>
        </is>
      </c>
      <c r="C1589" t="n">
        <v>505</v>
      </c>
      <c r="D1589" t="n">
        <v>306</v>
      </c>
      <c r="E1589" t="inlineStr">
        <is>
          <t>453,254,558,359</t>
        </is>
      </c>
      <c r="F1589" t="n">
        <v>254</v>
      </c>
      <c r="G1589" t="inlineStr">
        <is>
          <t>primary</t>
        </is>
      </c>
      <c r="H1589" t="inlineStr">
        <is>
          <t>AUTO_VESSEL</t>
        </is>
      </c>
      <c r="I1589" t="inlineStr">
        <is>
          <t>是</t>
        </is>
      </c>
      <c r="J1589" t="inlineStr">
        <is>
          <t>纳入</t>
        </is>
      </c>
      <c r="K1589" t="n">
        <v>389.5085066162571</v>
      </c>
      <c r="L1589">
        <f>导管母表_1781!G1589</f>
        <v/>
      </c>
      <c r="M1589" t="inlineStr">
        <is>
          <t>视野内部</t>
        </is>
      </c>
      <c r="N1589" t="inlineStr">
        <is>
          <t>纳入A/D/Dh；若有Pair_ID则纳入CWR</t>
        </is>
      </c>
      <c r="O1589" t="inlineStr">
        <is>
          <t>自动管线检出的合格导管腔。</t>
        </is>
      </c>
      <c r="P1589" t="inlineStr">
        <is>
          <t>auto_pipeline;review_png_green</t>
        </is>
      </c>
      <c r="Q1589" t="inlineStr">
        <is>
          <t>36(5)-P01</t>
        </is>
      </c>
      <c r="R1589" t="inlineStr">
        <is>
          <t>样品36</t>
        </is>
      </c>
    </row>
    <row r="1590">
      <c r="A1590" t="inlineStr">
        <is>
          <t>36(5)-V03</t>
        </is>
      </c>
      <c r="B1590" t="inlineStr">
        <is>
          <t>36 (5).tif</t>
        </is>
      </c>
      <c r="C1590" t="n">
        <v>786</v>
      </c>
      <c r="D1590" t="n">
        <v>218</v>
      </c>
      <c r="E1590" t="inlineStr">
        <is>
          <t>741,161,832,276</t>
        </is>
      </c>
      <c r="F1590" t="n">
        <v>161</v>
      </c>
      <c r="G1590" t="inlineStr">
        <is>
          <t>primary</t>
        </is>
      </c>
      <c r="H1590" t="inlineStr">
        <is>
          <t>AUTO_VESSEL</t>
        </is>
      </c>
      <c r="I1590" t="inlineStr">
        <is>
          <t>是</t>
        </is>
      </c>
      <c r="J1590" t="inlineStr">
        <is>
          <t>纳入</t>
        </is>
      </c>
      <c r="K1590" t="n">
        <v>380.1512287334593</v>
      </c>
      <c r="L1590">
        <f>导管母表_1781!G1590</f>
        <v/>
      </c>
      <c r="M1590" t="inlineStr">
        <is>
          <t>视野内部</t>
        </is>
      </c>
      <c r="N1590" t="inlineStr">
        <is>
          <t>纳入A/D/Dh；若有Pair_ID则纳入CWR</t>
        </is>
      </c>
      <c r="O1590" t="inlineStr">
        <is>
          <t>自动管线检出的合格导管腔。</t>
        </is>
      </c>
      <c r="P1590" t="inlineStr">
        <is>
          <t>auto_pipeline;review_png_green</t>
        </is>
      </c>
      <c r="R1590" t="inlineStr">
        <is>
          <t>样品36</t>
        </is>
      </c>
    </row>
    <row r="1591">
      <c r="A1591" t="inlineStr">
        <is>
          <t>36(5)-V04</t>
        </is>
      </c>
      <c r="B1591" t="inlineStr">
        <is>
          <t>36 (5).tif</t>
        </is>
      </c>
      <c r="C1591" t="n">
        <v>761</v>
      </c>
      <c r="D1591" t="n">
        <v>355</v>
      </c>
      <c r="E1591" t="inlineStr">
        <is>
          <t>721,300,802,411</t>
        </is>
      </c>
      <c r="F1591" t="n">
        <v>222</v>
      </c>
      <c r="G1591" t="inlineStr">
        <is>
          <t>primary</t>
        </is>
      </c>
      <c r="H1591" t="inlineStr">
        <is>
          <t>AUTO_VESSEL</t>
        </is>
      </c>
      <c r="I1591" t="inlineStr">
        <is>
          <t>是</t>
        </is>
      </c>
      <c r="J1591" t="inlineStr">
        <is>
          <t>纳入</t>
        </is>
      </c>
      <c r="K1591" t="n">
        <v>324.3383742911153</v>
      </c>
      <c r="L1591">
        <f>导管母表_1781!G1591</f>
        <v/>
      </c>
      <c r="M1591" t="inlineStr">
        <is>
          <t>视野内部</t>
        </is>
      </c>
      <c r="N1591" t="inlineStr">
        <is>
          <t>纳入A/D/Dh；若有Pair_ID则纳入CWR</t>
        </is>
      </c>
      <c r="O1591" t="inlineStr">
        <is>
          <t>自动管线检出的合格导管腔。</t>
        </is>
      </c>
      <c r="P1591" t="inlineStr">
        <is>
          <t>auto_pipeline;review_png_green</t>
        </is>
      </c>
      <c r="R1591" t="inlineStr">
        <is>
          <t>样品36</t>
        </is>
      </c>
    </row>
    <row r="1592">
      <c r="A1592" t="inlineStr">
        <is>
          <t>36(6)-V01</t>
        </is>
      </c>
      <c r="B1592" t="inlineStr">
        <is>
          <t>36 (6).tif</t>
        </is>
      </c>
      <c r="C1592" t="n">
        <v>470</v>
      </c>
      <c r="D1592" t="n">
        <v>428</v>
      </c>
      <c r="E1592" t="inlineStr">
        <is>
          <t>358,331,583,526</t>
        </is>
      </c>
      <c r="F1592" t="n">
        <v>242</v>
      </c>
      <c r="G1592" t="inlineStr">
        <is>
          <t>primary</t>
        </is>
      </c>
      <c r="H1592" t="inlineStr">
        <is>
          <t>AUTO_VESSEL</t>
        </is>
      </c>
      <c r="I1592" t="inlineStr">
        <is>
          <t>是</t>
        </is>
      </c>
      <c r="J1592" t="inlineStr">
        <is>
          <t>纳入</t>
        </is>
      </c>
      <c r="K1592" t="n">
        <v>1571.526465028355</v>
      </c>
      <c r="L1592">
        <f>导管母表_1781!G1592</f>
        <v/>
      </c>
      <c r="M1592" t="inlineStr">
        <is>
          <t>视野内部</t>
        </is>
      </c>
      <c r="N1592" t="inlineStr">
        <is>
          <t>纳入A/D/Dh；若有Pair_ID则纳入CWR</t>
        </is>
      </c>
      <c r="O1592" t="inlineStr">
        <is>
          <t>自动管线检出的合格导管腔。</t>
        </is>
      </c>
      <c r="P1592" t="inlineStr">
        <is>
          <t>auto_pipeline;review_png_green</t>
        </is>
      </c>
      <c r="R1592" t="inlineStr">
        <is>
          <t>样品36</t>
        </is>
      </c>
    </row>
    <row r="1593">
      <c r="A1593" t="inlineStr">
        <is>
          <t>36(6)-V02</t>
        </is>
      </c>
      <c r="B1593" t="inlineStr">
        <is>
          <t>36 (6).tif</t>
        </is>
      </c>
      <c r="C1593" t="n">
        <v>683</v>
      </c>
      <c r="D1593" t="n">
        <v>302</v>
      </c>
      <c r="E1593" t="inlineStr">
        <is>
          <t>600,226,767,379</t>
        </is>
      </c>
      <c r="F1593" t="n">
        <v>226</v>
      </c>
      <c r="G1593" t="inlineStr">
        <is>
          <t>primary</t>
        </is>
      </c>
      <c r="H1593" t="inlineStr">
        <is>
          <t>AUTO_VESSEL</t>
        </is>
      </c>
      <c r="I1593" t="inlineStr">
        <is>
          <t>是</t>
        </is>
      </c>
      <c r="J1593" t="inlineStr">
        <is>
          <t>纳入</t>
        </is>
      </c>
      <c r="K1593" t="n">
        <v>905.5056710775048</v>
      </c>
      <c r="L1593">
        <f>导管母表_1781!G1593</f>
        <v/>
      </c>
      <c r="M1593" t="inlineStr">
        <is>
          <t>视野内部</t>
        </is>
      </c>
      <c r="N1593" t="inlineStr">
        <is>
          <t>纳入A/D/Dh；若有Pair_ID则纳入CWR</t>
        </is>
      </c>
      <c r="O1593" t="inlineStr">
        <is>
          <t>自动管线检出的合格导管腔。</t>
        </is>
      </c>
      <c r="P1593" t="inlineStr">
        <is>
          <t>auto_pipeline;review_png_green</t>
        </is>
      </c>
      <c r="R1593" t="inlineStr">
        <is>
          <t>样品36</t>
        </is>
      </c>
    </row>
    <row r="1594">
      <c r="A1594" t="inlineStr">
        <is>
          <t>36(6)-V03</t>
        </is>
      </c>
      <c r="B1594" t="inlineStr">
        <is>
          <t>36 (6).tif</t>
        </is>
      </c>
      <c r="C1594" t="n">
        <v>489</v>
      </c>
      <c r="D1594" t="n">
        <v>637</v>
      </c>
      <c r="E1594" t="inlineStr">
        <is>
          <t>437,593,542,682</t>
        </is>
      </c>
      <c r="F1594" t="n">
        <v>86</v>
      </c>
      <c r="G1594" t="inlineStr">
        <is>
          <t>primary</t>
        </is>
      </c>
      <c r="H1594" t="inlineStr">
        <is>
          <t>AUTO_VESSEL</t>
        </is>
      </c>
      <c r="I1594" t="inlineStr">
        <is>
          <t>是</t>
        </is>
      </c>
      <c r="J1594" t="inlineStr">
        <is>
          <t>纳入</t>
        </is>
      </c>
      <c r="K1594" t="n">
        <v>203.1663516068053</v>
      </c>
      <c r="L1594">
        <f>导管母表_1781!G1594</f>
        <v/>
      </c>
      <c r="M1594" t="inlineStr">
        <is>
          <t>视野内部</t>
        </is>
      </c>
      <c r="N1594" t="inlineStr">
        <is>
          <t>纳入A/D/Dh；若有Pair_ID则纳入CWR</t>
        </is>
      </c>
      <c r="O1594" t="inlineStr">
        <is>
          <t>自动管线检出的合格导管腔。</t>
        </is>
      </c>
      <c r="P1594" t="inlineStr">
        <is>
          <t>auto_pipeline;review_png_green</t>
        </is>
      </c>
      <c r="R1594" t="inlineStr">
        <is>
          <t>样品36</t>
        </is>
      </c>
    </row>
    <row r="1595">
      <c r="A1595" t="inlineStr">
        <is>
          <t>36(6)-V04</t>
        </is>
      </c>
      <c r="B1595" t="inlineStr">
        <is>
          <t>36 (6).tif</t>
        </is>
      </c>
      <c r="C1595" t="n">
        <v>307</v>
      </c>
      <c r="D1595" t="n">
        <v>147</v>
      </c>
      <c r="E1595" t="inlineStr">
        <is>
          <t>268,109,347,186</t>
        </is>
      </c>
      <c r="F1595" t="n">
        <v>109</v>
      </c>
      <c r="G1595" t="inlineStr">
        <is>
          <t>primary</t>
        </is>
      </c>
      <c r="H1595" t="inlineStr">
        <is>
          <t>AUTO_VESSEL</t>
        </is>
      </c>
      <c r="I1595" t="inlineStr">
        <is>
          <t>是</t>
        </is>
      </c>
      <c r="J1595" t="inlineStr">
        <is>
          <t>纳入</t>
        </is>
      </c>
      <c r="K1595" t="n">
        <v>174.4328922495274</v>
      </c>
      <c r="L1595">
        <f>导管母表_1781!G1595</f>
        <v/>
      </c>
      <c r="M1595" t="inlineStr">
        <is>
          <t>视野内部</t>
        </is>
      </c>
      <c r="N1595" t="inlineStr">
        <is>
          <t>纳入A/D/Dh；若有Pair_ID则纳入CWR</t>
        </is>
      </c>
      <c r="O1595" t="inlineStr">
        <is>
          <t>自动管线检出的合格导管腔。</t>
        </is>
      </c>
      <c r="P1595" t="inlineStr">
        <is>
          <t>auto_pipeline;review_png_green</t>
        </is>
      </c>
      <c r="R1595" t="inlineStr">
        <is>
          <t>样品36</t>
        </is>
      </c>
    </row>
    <row r="1596">
      <c r="A1596" t="inlineStr">
        <is>
          <t>36(6)-V05</t>
        </is>
      </c>
      <c r="B1596" t="inlineStr">
        <is>
          <t>36 (6).tif</t>
        </is>
      </c>
      <c r="C1596" t="n">
        <v>785</v>
      </c>
      <c r="D1596" t="n">
        <v>208</v>
      </c>
      <c r="E1596" t="inlineStr">
        <is>
          <t>757,176,814,241</t>
        </is>
      </c>
      <c r="F1596" t="n">
        <v>176</v>
      </c>
      <c r="G1596" t="inlineStr">
        <is>
          <t>primary</t>
        </is>
      </c>
      <c r="H1596" t="inlineStr">
        <is>
          <t>AUTO_VESSEL</t>
        </is>
      </c>
      <c r="I1596" t="inlineStr">
        <is>
          <t>是</t>
        </is>
      </c>
      <c r="J1596" t="inlineStr">
        <is>
          <t>纳入</t>
        </is>
      </c>
      <c r="K1596" t="n">
        <v>133.7901701323251</v>
      </c>
      <c r="L1596">
        <f>导管母表_1781!G1596</f>
        <v/>
      </c>
      <c r="M1596" t="inlineStr">
        <is>
          <t>视野内部</t>
        </is>
      </c>
      <c r="N1596" t="inlineStr">
        <is>
          <t>纳入A/D/Dh；若有Pair_ID则纳入CWR</t>
        </is>
      </c>
      <c r="O1596" t="inlineStr">
        <is>
          <t>自动管线检出的合格导管腔。</t>
        </is>
      </c>
      <c r="P1596" t="inlineStr">
        <is>
          <t>auto_pipeline;review_png_green</t>
        </is>
      </c>
      <c r="R1596" t="inlineStr">
        <is>
          <t>样品36</t>
        </is>
      </c>
    </row>
    <row r="1597">
      <c r="A1597" t="inlineStr">
        <is>
          <t>36(7)-V01</t>
        </is>
      </c>
      <c r="B1597" t="inlineStr">
        <is>
          <t>36 (7).tif</t>
        </is>
      </c>
      <c r="C1597" t="n">
        <v>485</v>
      </c>
      <c r="D1597" t="n">
        <v>351</v>
      </c>
      <c r="E1597" t="inlineStr">
        <is>
          <t>334,283,637,420</t>
        </is>
      </c>
      <c r="F1597" t="n">
        <v>283</v>
      </c>
      <c r="G1597" t="inlineStr">
        <is>
          <t>primary</t>
        </is>
      </c>
      <c r="H1597" t="inlineStr">
        <is>
          <t>AUTO_VESSEL</t>
        </is>
      </c>
      <c r="I1597" t="inlineStr">
        <is>
          <t>是</t>
        </is>
      </c>
      <c r="J1597" t="inlineStr">
        <is>
          <t>纳入</t>
        </is>
      </c>
      <c r="K1597" t="n">
        <v>1523.51134215501</v>
      </c>
      <c r="L1597">
        <f>导管母表_1781!G1597</f>
        <v/>
      </c>
      <c r="M1597" t="inlineStr">
        <is>
          <t>视野内部</t>
        </is>
      </c>
      <c r="N1597" t="inlineStr">
        <is>
          <t>纳入A/D/Dh；若有Pair_ID则纳入CWR</t>
        </is>
      </c>
      <c r="O1597" t="inlineStr">
        <is>
          <t>自动管线检出的合格导管腔。</t>
        </is>
      </c>
      <c r="P1597" t="inlineStr">
        <is>
          <t>auto_pipeline;review_png_green</t>
        </is>
      </c>
      <c r="R1597" t="inlineStr">
        <is>
          <t>样品36</t>
        </is>
      </c>
    </row>
    <row r="1598">
      <c r="A1598" t="inlineStr">
        <is>
          <t>36(7)-V02</t>
        </is>
      </c>
      <c r="B1598" t="inlineStr">
        <is>
          <t>36 (7).tif</t>
        </is>
      </c>
      <c r="C1598" t="n">
        <v>742</v>
      </c>
      <c r="D1598" t="n">
        <v>372</v>
      </c>
      <c r="E1598" t="inlineStr">
        <is>
          <t>677,305,808,440</t>
        </is>
      </c>
      <c r="F1598" t="n">
        <v>216</v>
      </c>
      <c r="G1598" t="inlineStr">
        <is>
          <t>primary</t>
        </is>
      </c>
      <c r="H1598" t="inlineStr">
        <is>
          <t>AUTO_VESSEL</t>
        </is>
      </c>
      <c r="I1598" t="inlineStr">
        <is>
          <t>是</t>
        </is>
      </c>
      <c r="J1598" t="inlineStr">
        <is>
          <t>纳入</t>
        </is>
      </c>
      <c r="K1598" t="n">
        <v>643.1474480151229</v>
      </c>
      <c r="L1598">
        <f>导管母表_1781!G1598</f>
        <v/>
      </c>
      <c r="M1598" t="inlineStr">
        <is>
          <t>视野内部</t>
        </is>
      </c>
      <c r="N1598" t="inlineStr">
        <is>
          <t>纳入A/D/Dh；若有Pair_ID则纳入CWR</t>
        </is>
      </c>
      <c r="O1598" t="inlineStr">
        <is>
          <t>自动管线检出的合格导管腔。</t>
        </is>
      </c>
      <c r="P1598" t="inlineStr">
        <is>
          <t>auto_pipeline;review_png_green</t>
        </is>
      </c>
      <c r="R1598" t="inlineStr">
        <is>
          <t>样品36</t>
        </is>
      </c>
    </row>
    <row r="1599">
      <c r="A1599" t="inlineStr">
        <is>
          <t>36(7)-V03</t>
        </is>
      </c>
      <c r="B1599" t="inlineStr">
        <is>
          <t>36 (7).tif</t>
        </is>
      </c>
      <c r="C1599" t="n">
        <v>177</v>
      </c>
      <c r="D1599" t="n">
        <v>310</v>
      </c>
      <c r="E1599" t="inlineStr">
        <is>
          <t>89,263,266,358</t>
        </is>
      </c>
      <c r="F1599" t="n">
        <v>89</v>
      </c>
      <c r="G1599" t="inlineStr">
        <is>
          <t>primary</t>
        </is>
      </c>
      <c r="H1599" t="inlineStr">
        <is>
          <t>AUTO_VESSEL</t>
        </is>
      </c>
      <c r="I1599" t="inlineStr">
        <is>
          <t>是</t>
        </is>
      </c>
      <c r="J1599" t="inlineStr">
        <is>
          <t>纳入</t>
        </is>
      </c>
      <c r="K1599" t="n">
        <v>601.5831758034027</v>
      </c>
      <c r="L1599">
        <f>导管母表_1781!G1599</f>
        <v/>
      </c>
      <c r="M1599" t="inlineStr">
        <is>
          <t>视野内部</t>
        </is>
      </c>
      <c r="N1599" t="inlineStr">
        <is>
          <t>纳入A/D/Dh；若有Pair_ID则纳入CWR</t>
        </is>
      </c>
      <c r="O1599" t="inlineStr">
        <is>
          <t>自动管线检出的合格导管腔。</t>
        </is>
      </c>
      <c r="P1599" t="inlineStr">
        <is>
          <t>auto_pipeline;review_png_green</t>
        </is>
      </c>
      <c r="R1599" t="inlineStr">
        <is>
          <t>样品36</t>
        </is>
      </c>
    </row>
    <row r="1600">
      <c r="A1600" t="inlineStr">
        <is>
          <t>36(7)-V04</t>
        </is>
      </c>
      <c r="B1600" t="inlineStr">
        <is>
          <t>36 (7).tif</t>
        </is>
      </c>
      <c r="C1600" t="n">
        <v>74</v>
      </c>
      <c r="D1600" t="n">
        <v>556</v>
      </c>
      <c r="E1600" t="inlineStr">
        <is>
          <t>37,530,112,583</t>
        </is>
      </c>
      <c r="F1600" t="n">
        <v>37</v>
      </c>
      <c r="G1600" t="inlineStr">
        <is>
          <t>primary</t>
        </is>
      </c>
      <c r="H1600" t="inlineStr">
        <is>
          <t>AUTO_VESSEL</t>
        </is>
      </c>
      <c r="I1600" t="inlineStr">
        <is>
          <t>是</t>
        </is>
      </c>
      <c r="J1600" t="inlineStr">
        <is>
          <t>纳入</t>
        </is>
      </c>
      <c r="K1600" t="n">
        <v>124.976370510397</v>
      </c>
      <c r="L1600">
        <f>导管母表_1781!G1600</f>
        <v/>
      </c>
      <c r="M1600" t="inlineStr">
        <is>
          <t>视野内部</t>
        </is>
      </c>
      <c r="N1600" t="inlineStr">
        <is>
          <t>纳入A/D/Dh；若有Pair_ID则纳入CWR</t>
        </is>
      </c>
      <c r="O1600" t="inlineStr">
        <is>
          <t>自动管线检出的合格导管腔。</t>
        </is>
      </c>
      <c r="P1600" t="inlineStr">
        <is>
          <t>auto_pipeline;review_png_green</t>
        </is>
      </c>
      <c r="R1600" t="inlineStr">
        <is>
          <t>样品36</t>
        </is>
      </c>
    </row>
    <row r="1601">
      <c r="A1601" t="inlineStr">
        <is>
          <t>36(8)-V01</t>
        </is>
      </c>
      <c r="B1601" t="inlineStr">
        <is>
          <t>36 (8).tif</t>
        </is>
      </c>
      <c r="C1601" t="n">
        <v>274</v>
      </c>
      <c r="D1601" t="n">
        <v>121</v>
      </c>
      <c r="E1601" t="inlineStr">
        <is>
          <t>200,32,349,211</t>
        </is>
      </c>
      <c r="F1601" t="n">
        <v>32</v>
      </c>
      <c r="G1601" t="inlineStr">
        <is>
          <t>primary</t>
        </is>
      </c>
      <c r="H1601" t="inlineStr">
        <is>
          <t>AUTO_VESSEL</t>
        </is>
      </c>
      <c r="I1601" t="inlineStr">
        <is>
          <t>是</t>
        </is>
      </c>
      <c r="J1601" t="inlineStr">
        <is>
          <t>纳入</t>
        </is>
      </c>
      <c r="K1601" t="n">
        <v>977.9064272211721</v>
      </c>
      <c r="L1601">
        <f>导管母表_1781!G1601</f>
        <v/>
      </c>
      <c r="M1601" t="inlineStr">
        <is>
          <t>视野内部</t>
        </is>
      </c>
      <c r="N1601" t="inlineStr">
        <is>
          <t>纳入A/D/Dh；若有Pair_ID则纳入CWR</t>
        </is>
      </c>
      <c r="O1601" t="inlineStr">
        <is>
          <t>自动管线检出的合格导管腔。</t>
        </is>
      </c>
      <c r="P1601" t="inlineStr">
        <is>
          <t>auto_pipeline;review_png_green</t>
        </is>
      </c>
      <c r="R1601" t="inlineStr">
        <is>
          <t>样品36</t>
        </is>
      </c>
    </row>
    <row r="1602">
      <c r="A1602" t="inlineStr">
        <is>
          <t>36(8)-V02</t>
        </is>
      </c>
      <c r="B1602" t="inlineStr">
        <is>
          <t>36 (8).tif</t>
        </is>
      </c>
      <c r="C1602" t="n">
        <v>471</v>
      </c>
      <c r="D1602" t="n">
        <v>271</v>
      </c>
      <c r="E1602" t="inlineStr">
        <is>
          <t>396,185,547,358</t>
        </is>
      </c>
      <c r="F1602" t="n">
        <v>185</v>
      </c>
      <c r="G1602" t="inlineStr">
        <is>
          <t>primary</t>
        </is>
      </c>
      <c r="H1602" t="inlineStr">
        <is>
          <t>AUTO_VESSEL</t>
        </is>
      </c>
      <c r="I1602" t="inlineStr">
        <is>
          <t>是</t>
        </is>
      </c>
      <c r="J1602" t="inlineStr">
        <is>
          <t>纳入</t>
        </is>
      </c>
      <c r="K1602" t="n">
        <v>954.9621928166351</v>
      </c>
      <c r="L1602">
        <f>导管母表_1781!G1602</f>
        <v/>
      </c>
      <c r="M1602" t="inlineStr">
        <is>
          <t>视野内部</t>
        </is>
      </c>
      <c r="N1602" t="inlineStr">
        <is>
          <t>纳入A/D/Dh；若有Pair_ID则纳入CWR</t>
        </is>
      </c>
      <c r="O1602" t="inlineStr">
        <is>
          <t>自动管线检出的合格导管腔。</t>
        </is>
      </c>
      <c r="P1602" t="inlineStr">
        <is>
          <t>auto_pipeline;review_png_green</t>
        </is>
      </c>
      <c r="Q1602" t="inlineStr">
        <is>
          <t>36(8)-P01</t>
        </is>
      </c>
      <c r="R1602" t="inlineStr">
        <is>
          <t>样品36</t>
        </is>
      </c>
    </row>
    <row r="1603">
      <c r="A1603" t="inlineStr">
        <is>
          <t>36(8)-V03</t>
        </is>
      </c>
      <c r="B1603" t="inlineStr">
        <is>
          <t>36 (8).tif</t>
        </is>
      </c>
      <c r="C1603" t="n">
        <v>540</v>
      </c>
      <c r="D1603" t="n">
        <v>441</v>
      </c>
      <c r="E1603" t="inlineStr">
        <is>
          <t>473,369,608,514</t>
        </is>
      </c>
      <c r="F1603" t="n">
        <v>254</v>
      </c>
      <c r="G1603" t="inlineStr">
        <is>
          <t>primary</t>
        </is>
      </c>
      <c r="H1603" t="inlineStr">
        <is>
          <t>AUTO_VESSEL</t>
        </is>
      </c>
      <c r="I1603" t="inlineStr">
        <is>
          <t>是</t>
        </is>
      </c>
      <c r="J1603" t="inlineStr">
        <is>
          <t>纳入</t>
        </is>
      </c>
      <c r="K1603" t="n">
        <v>716.1625708884688</v>
      </c>
      <c r="L1603">
        <f>导管母表_1781!G1603</f>
        <v/>
      </c>
      <c r="M1603" t="inlineStr">
        <is>
          <t>视野内部</t>
        </is>
      </c>
      <c r="N1603" t="inlineStr">
        <is>
          <t>纳入A/D/Dh；若有Pair_ID则纳入CWR</t>
        </is>
      </c>
      <c r="O1603" t="inlineStr">
        <is>
          <t>自动管线检出的合格导管腔。</t>
        </is>
      </c>
      <c r="P1603" t="inlineStr">
        <is>
          <t>auto_pipeline;review_png_green</t>
        </is>
      </c>
      <c r="Q1603" t="inlineStr">
        <is>
          <t>36(8)-P01</t>
        </is>
      </c>
      <c r="R1603" t="inlineStr">
        <is>
          <t>样品36</t>
        </is>
      </c>
    </row>
    <row r="1604">
      <c r="A1604" t="inlineStr">
        <is>
          <t>36(8)-V04</t>
        </is>
      </c>
      <c r="B1604" t="inlineStr">
        <is>
          <t>36 (8).tif</t>
        </is>
      </c>
      <c r="C1604" t="n">
        <v>55</v>
      </c>
      <c r="D1604" t="n">
        <v>563</v>
      </c>
      <c r="E1604" t="inlineStr">
        <is>
          <t>1,501,110,626</t>
        </is>
      </c>
      <c r="F1604" t="n">
        <v>1</v>
      </c>
      <c r="G1604" t="inlineStr">
        <is>
          <t>primary</t>
        </is>
      </c>
      <c r="H1604" t="inlineStr">
        <is>
          <t>AUTO_VESSEL</t>
        </is>
      </c>
      <c r="I1604" t="inlineStr">
        <is>
          <t>是</t>
        </is>
      </c>
      <c r="J1604" t="inlineStr">
        <is>
          <t>纳入</t>
        </is>
      </c>
      <c r="K1604" t="n">
        <v>492.1077504725898</v>
      </c>
      <c r="L1604">
        <f>导管母表_1781!G1604</f>
        <v/>
      </c>
      <c r="M1604" t="inlineStr">
        <is>
          <t>近边缘（&lt;25 px）</t>
        </is>
      </c>
      <c r="N1604" t="inlineStr">
        <is>
          <t>纳入A/D/Dh；若有Pair_ID则纳入CWR</t>
        </is>
      </c>
      <c r="O1604" t="inlineStr">
        <is>
          <t>自动管线检出的合格导管腔。</t>
        </is>
      </c>
      <c r="P1604" t="inlineStr">
        <is>
          <t>auto_pipeline;review_png_green</t>
        </is>
      </c>
      <c r="R1604" t="inlineStr">
        <is>
          <t>样品36</t>
        </is>
      </c>
    </row>
    <row r="1605">
      <c r="A1605" t="inlineStr">
        <is>
          <t>36(8)-V05</t>
        </is>
      </c>
      <c r="B1605" t="inlineStr">
        <is>
          <t>36 (8).tif</t>
        </is>
      </c>
      <c r="C1605" t="n">
        <v>415</v>
      </c>
      <c r="D1605" t="n">
        <v>66</v>
      </c>
      <c r="E1605" t="inlineStr">
        <is>
          <t>380,14,451,119</t>
        </is>
      </c>
      <c r="F1605" t="n">
        <v>14</v>
      </c>
      <c r="G1605" t="inlineStr">
        <is>
          <t>primary</t>
        </is>
      </c>
      <c r="H1605" t="inlineStr">
        <is>
          <t>AUTO_VESSEL</t>
        </is>
      </c>
      <c r="I1605" t="inlineStr">
        <is>
          <t>是</t>
        </is>
      </c>
      <c r="J1605" t="inlineStr">
        <is>
          <t>纳入</t>
        </is>
      </c>
      <c r="K1605" t="n">
        <v>267.367674858223</v>
      </c>
      <c r="L1605">
        <f>导管母表_1781!G1605</f>
        <v/>
      </c>
      <c r="M1605" t="inlineStr">
        <is>
          <t>近边缘（&lt;25 px）</t>
        </is>
      </c>
      <c r="N1605" t="inlineStr">
        <is>
          <t>纳入A/D/Dh；若有Pair_ID则纳入CWR</t>
        </is>
      </c>
      <c r="O1605" t="inlineStr">
        <is>
          <t>自动管线检出的合格导管腔。</t>
        </is>
      </c>
      <c r="P1605" t="inlineStr">
        <is>
          <t>auto_pipeline;review_png_green</t>
        </is>
      </c>
      <c r="R1605" t="inlineStr">
        <is>
          <t>样品36</t>
        </is>
      </c>
    </row>
    <row r="1606">
      <c r="A1606" t="inlineStr">
        <is>
          <t>36(8)-V06</t>
        </is>
      </c>
      <c r="B1606" t="inlineStr">
        <is>
          <t>36 (8).tif</t>
        </is>
      </c>
      <c r="C1606" t="n">
        <v>118</v>
      </c>
      <c r="D1606" t="n">
        <v>156</v>
      </c>
      <c r="E1606" t="inlineStr">
        <is>
          <t>87,120,150,193</t>
        </is>
      </c>
      <c r="F1606" t="n">
        <v>87</v>
      </c>
      <c r="G1606" t="inlineStr">
        <is>
          <t>primary</t>
        </is>
      </c>
      <c r="H1606" t="inlineStr">
        <is>
          <t>AUTO_VESSEL</t>
        </is>
      </c>
      <c r="I1606" t="inlineStr">
        <is>
          <t>是</t>
        </is>
      </c>
      <c r="J1606" t="inlineStr">
        <is>
          <t>纳入</t>
        </is>
      </c>
      <c r="K1606" t="n">
        <v>165.9735349716446</v>
      </c>
      <c r="L1606">
        <f>导管母表_1781!G1606</f>
        <v/>
      </c>
      <c r="M1606" t="inlineStr">
        <is>
          <t>视野内部</t>
        </is>
      </c>
      <c r="N1606" t="inlineStr">
        <is>
          <t>纳入A/D/Dh；若有Pair_ID则纳入CWR</t>
        </is>
      </c>
      <c r="O1606" t="inlineStr">
        <is>
          <t>自动管线检出的合格导管腔。</t>
        </is>
      </c>
      <c r="P1606" t="inlineStr">
        <is>
          <t>auto_pipeline;review_png_green</t>
        </is>
      </c>
      <c r="R1606" t="inlineStr">
        <is>
          <t>样品36</t>
        </is>
      </c>
    </row>
    <row r="1607">
      <c r="A1607" t="inlineStr">
        <is>
          <t>36(8)-V07</t>
        </is>
      </c>
      <c r="B1607" t="inlineStr">
        <is>
          <t>36 (8).tif</t>
        </is>
      </c>
      <c r="C1607" t="n">
        <v>756</v>
      </c>
      <c r="D1607" t="n">
        <v>478</v>
      </c>
      <c r="E1607" t="inlineStr">
        <is>
          <t>732,439,781,518</t>
        </is>
      </c>
      <c r="F1607" t="n">
        <v>243</v>
      </c>
      <c r="G1607" t="inlineStr">
        <is>
          <t>primary</t>
        </is>
      </c>
      <c r="H1607" t="inlineStr">
        <is>
          <t>AUTO_VESSEL</t>
        </is>
      </c>
      <c r="I1607" t="inlineStr">
        <is>
          <t>是</t>
        </is>
      </c>
      <c r="J1607" t="inlineStr">
        <is>
          <t>纳入</t>
        </is>
      </c>
      <c r="K1607" t="n">
        <v>139.6030245746692</v>
      </c>
      <c r="L1607">
        <f>导管母表_1781!G1607</f>
        <v/>
      </c>
      <c r="M1607" t="inlineStr">
        <is>
          <t>视野内部</t>
        </is>
      </c>
      <c r="N1607" t="inlineStr">
        <is>
          <t>纳入A/D/Dh；若有Pair_ID则纳入CWR</t>
        </is>
      </c>
      <c r="O1607" t="inlineStr">
        <is>
          <t>自动管线检出的合格导管腔。</t>
        </is>
      </c>
      <c r="P1607" t="inlineStr">
        <is>
          <t>auto_pipeline;review_png_green</t>
        </is>
      </c>
      <c r="R1607" t="inlineStr">
        <is>
          <t>样品36</t>
        </is>
      </c>
    </row>
    <row r="1608">
      <c r="A1608" t="inlineStr">
        <is>
          <t>36(8)-V08</t>
        </is>
      </c>
      <c r="B1608" t="inlineStr">
        <is>
          <t>36 (8).tif</t>
        </is>
      </c>
      <c r="C1608" t="n">
        <v>487</v>
      </c>
      <c r="D1608" t="n">
        <v>644</v>
      </c>
      <c r="E1608" t="inlineStr">
        <is>
          <t>455,613,520,676</t>
        </is>
      </c>
      <c r="F1608" t="n">
        <v>92</v>
      </c>
      <c r="G1608" t="inlineStr">
        <is>
          <t>primary</t>
        </is>
      </c>
      <c r="H1608" t="inlineStr">
        <is>
          <t>AUTO_VESSEL</t>
        </is>
      </c>
      <c r="I1608" t="inlineStr">
        <is>
          <t>是</t>
        </is>
      </c>
      <c r="J1608" t="inlineStr">
        <is>
          <t>纳入</t>
        </is>
      </c>
      <c r="K1608" t="n">
        <v>127.4102079395085</v>
      </c>
      <c r="L1608">
        <f>导管母表_1781!G1608</f>
        <v/>
      </c>
      <c r="M1608" t="inlineStr">
        <is>
          <t>视野内部</t>
        </is>
      </c>
      <c r="N1608" t="inlineStr">
        <is>
          <t>纳入A/D/Dh；若有Pair_ID则纳入CWR</t>
        </is>
      </c>
      <c r="O1608" t="inlineStr">
        <is>
          <t>自动管线检出的合格导管腔。</t>
        </is>
      </c>
      <c r="P1608" t="inlineStr">
        <is>
          <t>auto_pipeline;review_png_green</t>
        </is>
      </c>
      <c r="R1608" t="inlineStr">
        <is>
          <t>样品36</t>
        </is>
      </c>
    </row>
    <row r="1609">
      <c r="A1609" t="inlineStr">
        <is>
          <t>37(1)-V01</t>
        </is>
      </c>
      <c r="B1609" t="inlineStr">
        <is>
          <t>37 (1).tif</t>
        </is>
      </c>
      <c r="C1609" t="n">
        <v>465</v>
      </c>
      <c r="D1609" t="n">
        <v>419</v>
      </c>
      <c r="E1609" t="inlineStr">
        <is>
          <t>378,345,553,494</t>
        </is>
      </c>
      <c r="F1609" t="n">
        <v>274</v>
      </c>
      <c r="G1609" t="inlineStr">
        <is>
          <t>primary</t>
        </is>
      </c>
      <c r="H1609" t="inlineStr">
        <is>
          <t>AUTO_VESSEL</t>
        </is>
      </c>
      <c r="I1609" t="inlineStr">
        <is>
          <t>是</t>
        </is>
      </c>
      <c r="J1609" t="inlineStr">
        <is>
          <t>纳入</t>
        </is>
      </c>
      <c r="K1609" t="n">
        <v>954.9385633270322</v>
      </c>
      <c r="L1609">
        <f>导管母表_1781!G1609</f>
        <v/>
      </c>
      <c r="M1609" t="inlineStr">
        <is>
          <t>视野内部</t>
        </is>
      </c>
      <c r="N1609" t="inlineStr">
        <is>
          <t>纳入A/D/Dh；若有Pair_ID则纳入CWR</t>
        </is>
      </c>
      <c r="O1609" t="inlineStr">
        <is>
          <t>自动管线检出的合格导管腔。</t>
        </is>
      </c>
      <c r="P1609" t="inlineStr">
        <is>
          <t>auto_pipeline;review_png_green</t>
        </is>
      </c>
      <c r="R1609" t="inlineStr">
        <is>
          <t>样品37</t>
        </is>
      </c>
    </row>
    <row r="1610">
      <c r="A1610" t="inlineStr">
        <is>
          <t>37(1)-V02</t>
        </is>
      </c>
      <c r="B1610" t="inlineStr">
        <is>
          <t>37 (1).tif</t>
        </is>
      </c>
      <c r="C1610" t="n">
        <v>751</v>
      </c>
      <c r="D1610" t="n">
        <v>130</v>
      </c>
      <c r="E1610" t="inlineStr">
        <is>
          <t>678,49,825,212</t>
        </is>
      </c>
      <c r="F1610" t="n">
        <v>49</v>
      </c>
      <c r="G1610" t="inlineStr">
        <is>
          <t>primary</t>
        </is>
      </c>
      <c r="H1610" t="inlineStr">
        <is>
          <t>AUTO_VESSEL</t>
        </is>
      </c>
      <c r="I1610" t="inlineStr">
        <is>
          <t>是</t>
        </is>
      </c>
      <c r="J1610" t="inlineStr">
        <is>
          <t>纳入</t>
        </is>
      </c>
      <c r="K1610" t="n">
        <v>872.117202268431</v>
      </c>
      <c r="L1610">
        <f>导管母表_1781!G1610</f>
        <v/>
      </c>
      <c r="M1610" t="inlineStr">
        <is>
          <t>视野内部</t>
        </is>
      </c>
      <c r="N1610" t="inlineStr">
        <is>
          <t>纳入A/D/Dh；若有Pair_ID则纳入CWR</t>
        </is>
      </c>
      <c r="O1610" t="inlineStr">
        <is>
          <t>自动管线检出的合格导管腔。</t>
        </is>
      </c>
      <c r="P1610" t="inlineStr">
        <is>
          <t>auto_pipeline;review_png_green</t>
        </is>
      </c>
      <c r="R1610" t="inlineStr">
        <is>
          <t>样品37</t>
        </is>
      </c>
    </row>
    <row r="1611">
      <c r="A1611" t="inlineStr">
        <is>
          <t>37(1)-V03</t>
        </is>
      </c>
      <c r="B1611" t="inlineStr">
        <is>
          <t>37 (1).tif</t>
        </is>
      </c>
      <c r="C1611" t="n">
        <v>663</v>
      </c>
      <c r="D1611" t="n">
        <v>211</v>
      </c>
      <c r="E1611" t="inlineStr">
        <is>
          <t>634,170,693,253</t>
        </is>
      </c>
      <c r="F1611" t="n">
        <v>170</v>
      </c>
      <c r="G1611" t="inlineStr">
        <is>
          <t>primary</t>
        </is>
      </c>
      <c r="H1611" t="inlineStr">
        <is>
          <t>AUTO_VESSEL</t>
        </is>
      </c>
      <c r="I1611" t="inlineStr">
        <is>
          <t>是</t>
        </is>
      </c>
      <c r="J1611" t="inlineStr">
        <is>
          <t>纳入</t>
        </is>
      </c>
      <c r="K1611" t="n">
        <v>136.7674858223062</v>
      </c>
      <c r="L1611">
        <f>导管母表_1781!G1611</f>
        <v/>
      </c>
      <c r="M1611" t="inlineStr">
        <is>
          <t>视野内部</t>
        </is>
      </c>
      <c r="N1611" t="inlineStr">
        <is>
          <t>纳入A/D/Dh；若有Pair_ID则纳入CWR</t>
        </is>
      </c>
      <c r="O1611" t="inlineStr">
        <is>
          <t>自动管线检出的合格导管腔。</t>
        </is>
      </c>
      <c r="P1611" t="inlineStr">
        <is>
          <t>auto_pipeline;review_png_green</t>
        </is>
      </c>
      <c r="R1611" t="inlineStr">
        <is>
          <t>样品37</t>
        </is>
      </c>
    </row>
    <row r="1612">
      <c r="A1612" t="inlineStr">
        <is>
          <t>37(2)-V01</t>
        </is>
      </c>
      <c r="B1612" t="inlineStr">
        <is>
          <t>37 (2).tif</t>
        </is>
      </c>
      <c r="C1612" t="n">
        <v>514</v>
      </c>
      <c r="D1612" t="n">
        <v>310</v>
      </c>
      <c r="E1612" t="inlineStr">
        <is>
          <t>418,228,611,393</t>
        </is>
      </c>
      <c r="F1612" t="n">
        <v>228</v>
      </c>
      <c r="G1612" t="inlineStr">
        <is>
          <t>primary</t>
        </is>
      </c>
      <c r="H1612" t="inlineStr">
        <is>
          <t>AUTO_VESSEL</t>
        </is>
      </c>
      <c r="I1612" t="inlineStr">
        <is>
          <t>是</t>
        </is>
      </c>
      <c r="J1612" t="inlineStr">
        <is>
          <t>纳入</t>
        </is>
      </c>
      <c r="K1612" t="n">
        <v>1148.724007561437</v>
      </c>
      <c r="L1612">
        <f>导管母表_1781!G1612</f>
        <v/>
      </c>
      <c r="M1612" t="inlineStr">
        <is>
          <t>视野内部</t>
        </is>
      </c>
      <c r="N1612" t="inlineStr">
        <is>
          <t>纳入A/D/Dh；若有Pair_ID则纳入CWR</t>
        </is>
      </c>
      <c r="O1612" t="inlineStr">
        <is>
          <t>自动管线检出的合格导管腔。</t>
        </is>
      </c>
      <c r="P1612" t="inlineStr">
        <is>
          <t>auto_pipeline;review_png_green</t>
        </is>
      </c>
      <c r="R1612" t="inlineStr">
        <is>
          <t>样品37</t>
        </is>
      </c>
    </row>
    <row r="1613">
      <c r="A1613" t="inlineStr">
        <is>
          <t>37(2)-V02</t>
        </is>
      </c>
      <c r="B1613" t="inlineStr">
        <is>
          <t>37 (2).tif</t>
        </is>
      </c>
      <c r="C1613" t="n">
        <v>423</v>
      </c>
      <c r="D1613" t="n">
        <v>456</v>
      </c>
      <c r="E1613" t="inlineStr">
        <is>
          <t>347,385,500,528</t>
        </is>
      </c>
      <c r="F1613" t="n">
        <v>240</v>
      </c>
      <c r="G1613" t="inlineStr">
        <is>
          <t>primary</t>
        </is>
      </c>
      <c r="H1613" t="inlineStr">
        <is>
          <t>AUTO_VESSEL</t>
        </is>
      </c>
      <c r="I1613" t="inlineStr">
        <is>
          <t>是</t>
        </is>
      </c>
      <c r="J1613" t="inlineStr">
        <is>
          <t>纳入</t>
        </is>
      </c>
      <c r="K1613" t="n">
        <v>799.2202268431001</v>
      </c>
      <c r="L1613">
        <f>导管母表_1781!G1613</f>
        <v/>
      </c>
      <c r="M1613" t="inlineStr">
        <is>
          <t>视野内部</t>
        </is>
      </c>
      <c r="N1613" t="inlineStr">
        <is>
          <t>纳入A/D/Dh；若有Pair_ID则纳入CWR</t>
        </is>
      </c>
      <c r="O1613" t="inlineStr">
        <is>
          <t>自动管线检出的合格导管腔。</t>
        </is>
      </c>
      <c r="P1613" t="inlineStr">
        <is>
          <t>auto_pipeline;review_png_green</t>
        </is>
      </c>
      <c r="R1613" t="inlineStr">
        <is>
          <t>样品37</t>
        </is>
      </c>
    </row>
    <row r="1614">
      <c r="A1614" t="inlineStr">
        <is>
          <t>37(2)-V03</t>
        </is>
      </c>
      <c r="B1614" t="inlineStr">
        <is>
          <t>37 (2).tif</t>
        </is>
      </c>
      <c r="C1614" t="n">
        <v>623</v>
      </c>
      <c r="D1614" t="n">
        <v>214</v>
      </c>
      <c r="E1614" t="inlineStr">
        <is>
          <t>581,167,666,262</t>
        </is>
      </c>
      <c r="F1614" t="n">
        <v>167</v>
      </c>
      <c r="G1614" t="inlineStr">
        <is>
          <t>primary</t>
        </is>
      </c>
      <c r="H1614" t="inlineStr">
        <is>
          <t>AUTO_VESSEL</t>
        </is>
      </c>
      <c r="I1614" t="inlineStr">
        <is>
          <t>是</t>
        </is>
      </c>
      <c r="J1614" t="inlineStr">
        <is>
          <t>纳入</t>
        </is>
      </c>
      <c r="K1614" t="n">
        <v>277.5047258979206</v>
      </c>
      <c r="L1614">
        <f>导管母表_1781!G1614</f>
        <v/>
      </c>
      <c r="M1614" t="inlineStr">
        <is>
          <t>视野内部</t>
        </is>
      </c>
      <c r="N1614" t="inlineStr">
        <is>
          <t>纳入A/D/Dh；若有Pair_ID则纳入CWR</t>
        </is>
      </c>
      <c r="O1614" t="inlineStr">
        <is>
          <t>自动管线检出的合格导管腔。</t>
        </is>
      </c>
      <c r="P1614" t="inlineStr">
        <is>
          <t>auto_pipeline;review_png_green</t>
        </is>
      </c>
      <c r="R1614" t="inlineStr">
        <is>
          <t>样品37</t>
        </is>
      </c>
    </row>
    <row r="1615">
      <c r="A1615" t="inlineStr">
        <is>
          <t>37(2)-V04</t>
        </is>
      </c>
      <c r="B1615" t="inlineStr">
        <is>
          <t>37 (2).tif</t>
        </is>
      </c>
      <c r="C1615" t="n">
        <v>972</v>
      </c>
      <c r="D1615" t="n">
        <v>163</v>
      </c>
      <c r="E1615" t="inlineStr">
        <is>
          <t>926,124,1019,203</t>
        </is>
      </c>
      <c r="F1615" t="n">
        <v>5</v>
      </c>
      <c r="G1615" t="inlineStr">
        <is>
          <t>primary</t>
        </is>
      </c>
      <c r="H1615" t="inlineStr">
        <is>
          <t>AUTO_VESSEL</t>
        </is>
      </c>
      <c r="I1615" t="inlineStr">
        <is>
          <t>是</t>
        </is>
      </c>
      <c r="J1615" t="inlineStr">
        <is>
          <t>纳入</t>
        </is>
      </c>
      <c r="K1615" t="n">
        <v>183.1285444234404</v>
      </c>
      <c r="L1615">
        <f>导管母表_1781!G1615</f>
        <v/>
      </c>
      <c r="M1615" t="inlineStr">
        <is>
          <t>近边缘（&lt;25 px）</t>
        </is>
      </c>
      <c r="N1615" t="inlineStr">
        <is>
          <t>纳入A/D/Dh；若有Pair_ID则纳入CWR</t>
        </is>
      </c>
      <c r="O1615" t="inlineStr">
        <is>
          <t>自动管线检出的合格导管腔。</t>
        </is>
      </c>
      <c r="P1615" t="inlineStr">
        <is>
          <t>auto_pipeline;review_png_green</t>
        </is>
      </c>
      <c r="R1615" t="inlineStr">
        <is>
          <t>样品37</t>
        </is>
      </c>
    </row>
    <row r="1616">
      <c r="A1616" t="inlineStr">
        <is>
          <t>37(2)-V05</t>
        </is>
      </c>
      <c r="B1616" t="inlineStr">
        <is>
          <t>37 (2).tif</t>
        </is>
      </c>
      <c r="C1616" t="n">
        <v>372</v>
      </c>
      <c r="D1616" t="n">
        <v>344</v>
      </c>
      <c r="E1616" t="inlineStr">
        <is>
          <t>335,299,410,390</t>
        </is>
      </c>
      <c r="F1616" t="n">
        <v>299</v>
      </c>
      <c r="G1616" t="inlineStr">
        <is>
          <t>primary</t>
        </is>
      </c>
      <c r="H1616" t="inlineStr">
        <is>
          <t>AUTO_VESSEL</t>
        </is>
      </c>
      <c r="I1616" t="inlineStr">
        <is>
          <t>是</t>
        </is>
      </c>
      <c r="J1616" t="inlineStr">
        <is>
          <t>纳入</t>
        </is>
      </c>
      <c r="K1616" t="n">
        <v>176.8667296786389</v>
      </c>
      <c r="L1616">
        <f>导管母表_1781!G1616</f>
        <v/>
      </c>
      <c r="M1616" t="inlineStr">
        <is>
          <t>视野内部</t>
        </is>
      </c>
      <c r="N1616" t="inlineStr">
        <is>
          <t>纳入A/D/Dh；若有Pair_ID则纳入CWR</t>
        </is>
      </c>
      <c r="O1616" t="inlineStr">
        <is>
          <t>自动管线检出的合格导管腔。</t>
        </is>
      </c>
      <c r="P1616" t="inlineStr">
        <is>
          <t>auto_pipeline;review_png_green</t>
        </is>
      </c>
      <c r="R1616" t="inlineStr">
        <is>
          <t>样品37</t>
        </is>
      </c>
    </row>
    <row r="1617">
      <c r="A1617" t="inlineStr">
        <is>
          <t>37(2)-V06</t>
        </is>
      </c>
      <c r="B1617" t="inlineStr">
        <is>
          <t>37 (2).tif</t>
        </is>
      </c>
      <c r="C1617" t="n">
        <v>603</v>
      </c>
      <c r="D1617" t="n">
        <v>85</v>
      </c>
      <c r="E1617" t="inlineStr">
        <is>
          <t>562,55,645,116</t>
        </is>
      </c>
      <c r="F1617" t="n">
        <v>55</v>
      </c>
      <c r="G1617" t="inlineStr">
        <is>
          <t>primary</t>
        </is>
      </c>
      <c r="H1617" t="inlineStr">
        <is>
          <t>AUTO_VESSEL</t>
        </is>
      </c>
      <c r="I1617" t="inlineStr">
        <is>
          <t>是</t>
        </is>
      </c>
      <c r="J1617" t="inlineStr">
        <is>
          <t>纳入</t>
        </is>
      </c>
      <c r="K1617" t="n">
        <v>169.8487712665406</v>
      </c>
      <c r="L1617">
        <f>导管母表_1781!G1617</f>
        <v/>
      </c>
      <c r="M1617" t="inlineStr">
        <is>
          <t>视野内部</t>
        </is>
      </c>
      <c r="N1617" t="inlineStr">
        <is>
          <t>纳入A/D/Dh；若有Pair_ID则纳入CWR</t>
        </is>
      </c>
      <c r="O1617" t="inlineStr">
        <is>
          <t>自动管线检出的合格导管腔。</t>
        </is>
      </c>
      <c r="P1617" t="inlineStr">
        <is>
          <t>auto_pipeline;review_png_green</t>
        </is>
      </c>
      <c r="R1617" t="inlineStr">
        <is>
          <t>样品37</t>
        </is>
      </c>
    </row>
    <row r="1618">
      <c r="A1618" t="inlineStr">
        <is>
          <t>37(3)-V01</t>
        </is>
      </c>
      <c r="B1618" t="inlineStr">
        <is>
          <t>37 (3).tif</t>
        </is>
      </c>
      <c r="C1618" t="n">
        <v>544</v>
      </c>
      <c r="D1618" t="n">
        <v>288</v>
      </c>
      <c r="E1618" t="inlineStr">
        <is>
          <t>459,215,630,362</t>
        </is>
      </c>
      <c r="F1618" t="n">
        <v>215</v>
      </c>
      <c r="G1618" t="inlineStr">
        <is>
          <t>primary</t>
        </is>
      </c>
      <c r="H1618" t="inlineStr">
        <is>
          <t>AUTO_VESSEL</t>
        </is>
      </c>
      <c r="I1618" t="inlineStr">
        <is>
          <t>是</t>
        </is>
      </c>
      <c r="J1618" t="inlineStr">
        <is>
          <t>纳入</t>
        </is>
      </c>
      <c r="K1618" t="n">
        <v>918.6909262759924</v>
      </c>
      <c r="L1618">
        <f>导管母表_1781!G1618</f>
        <v/>
      </c>
      <c r="M1618" t="inlineStr">
        <is>
          <t>视野内部</t>
        </is>
      </c>
      <c r="N1618" t="inlineStr">
        <is>
          <t>纳入A/D/Dh；若有Pair_ID则纳入CWR</t>
        </is>
      </c>
      <c r="O1618" t="inlineStr">
        <is>
          <t>自动管线检出的合格导管腔。</t>
        </is>
      </c>
      <c r="P1618" t="inlineStr">
        <is>
          <t>auto_pipeline;review_png_green</t>
        </is>
      </c>
      <c r="R1618" t="inlineStr">
        <is>
          <t>样品37</t>
        </is>
      </c>
    </row>
    <row r="1619">
      <c r="A1619" t="inlineStr">
        <is>
          <t>37(3)-V02</t>
        </is>
      </c>
      <c r="B1619" t="inlineStr">
        <is>
          <t>37 (3).tif</t>
        </is>
      </c>
      <c r="C1619" t="n">
        <v>425</v>
      </c>
      <c r="D1619" t="n">
        <v>442</v>
      </c>
      <c r="E1619" t="inlineStr">
        <is>
          <t>349,362,502,523</t>
        </is>
      </c>
      <c r="F1619" t="n">
        <v>245</v>
      </c>
      <c r="G1619" t="inlineStr">
        <is>
          <t>primary</t>
        </is>
      </c>
      <c r="H1619" t="inlineStr">
        <is>
          <t>AUTO_VESSEL</t>
        </is>
      </c>
      <c r="I1619" t="inlineStr">
        <is>
          <t>是</t>
        </is>
      </c>
      <c r="J1619" t="inlineStr">
        <is>
          <t>纳入</t>
        </is>
      </c>
      <c r="K1619" t="n">
        <v>885.1134215500945</v>
      </c>
      <c r="L1619">
        <f>导管母表_1781!G1619</f>
        <v/>
      </c>
      <c r="M1619" t="inlineStr">
        <is>
          <t>视野内部</t>
        </is>
      </c>
      <c r="N1619" t="inlineStr">
        <is>
          <t>纳入A/D/Dh；若有Pair_ID则纳入CWR</t>
        </is>
      </c>
      <c r="O1619" t="inlineStr">
        <is>
          <t>自动管线检出的合格导管腔。</t>
        </is>
      </c>
      <c r="P1619" t="inlineStr">
        <is>
          <t>auto_pipeline;review_png_green</t>
        </is>
      </c>
      <c r="R1619" t="inlineStr">
        <is>
          <t>样品37</t>
        </is>
      </c>
    </row>
    <row r="1620">
      <c r="A1620" t="inlineStr">
        <is>
          <t>37(3)-V03</t>
        </is>
      </c>
      <c r="B1620" t="inlineStr">
        <is>
          <t>37 (3).tif</t>
        </is>
      </c>
      <c r="C1620" t="n">
        <v>814</v>
      </c>
      <c r="D1620" t="n">
        <v>87</v>
      </c>
      <c r="E1620" t="inlineStr">
        <is>
          <t>762,53,867,122</t>
        </is>
      </c>
      <c r="F1620" t="n">
        <v>53</v>
      </c>
      <c r="G1620" t="inlineStr">
        <is>
          <t>primary</t>
        </is>
      </c>
      <c r="H1620" t="inlineStr">
        <is>
          <t>AUTO_VESSEL</t>
        </is>
      </c>
      <c r="I1620" t="inlineStr">
        <is>
          <t>是</t>
        </is>
      </c>
      <c r="J1620" t="inlineStr">
        <is>
          <t>纳入</t>
        </is>
      </c>
      <c r="K1620" t="n">
        <v>126.7249527410208</v>
      </c>
      <c r="L1620">
        <f>导管母表_1781!G1620</f>
        <v/>
      </c>
      <c r="M1620" t="inlineStr">
        <is>
          <t>视野内部</t>
        </is>
      </c>
      <c r="N1620" t="inlineStr">
        <is>
          <t>纳入A/D/Dh；若有Pair_ID则纳入CWR</t>
        </is>
      </c>
      <c r="O1620" t="inlineStr">
        <is>
          <t>自动管线检出的合格导管腔。</t>
        </is>
      </c>
      <c r="P1620" t="inlineStr">
        <is>
          <t>auto_pipeline;review_png_green</t>
        </is>
      </c>
      <c r="R1620" t="inlineStr">
        <is>
          <t>样品37</t>
        </is>
      </c>
    </row>
    <row r="1621">
      <c r="A1621" t="inlineStr">
        <is>
          <t>37(3)-V04</t>
        </is>
      </c>
      <c r="B1621" t="inlineStr">
        <is>
          <t>37 (3).tif</t>
        </is>
      </c>
      <c r="C1621" t="n">
        <v>759</v>
      </c>
      <c r="D1621" t="n">
        <v>224</v>
      </c>
      <c r="E1621" t="inlineStr">
        <is>
          <t>726,181,793,268</t>
        </is>
      </c>
      <c r="F1621" t="n">
        <v>181</v>
      </c>
      <c r="G1621" t="inlineStr">
        <is>
          <t>primary</t>
        </is>
      </c>
      <c r="H1621" t="inlineStr">
        <is>
          <t>AUTO_VESSEL</t>
        </is>
      </c>
      <c r="I1621" t="inlineStr">
        <is>
          <t>是</t>
        </is>
      </c>
      <c r="J1621" t="inlineStr">
        <is>
          <t>纳入</t>
        </is>
      </c>
      <c r="K1621" t="n">
        <v>116.304347826087</v>
      </c>
      <c r="L1621">
        <f>导管母表_1781!G1621</f>
        <v/>
      </c>
      <c r="M1621" t="inlineStr">
        <is>
          <t>视野内部</t>
        </is>
      </c>
      <c r="N1621" t="inlineStr">
        <is>
          <t>纳入A/D/Dh；若有Pair_ID则纳入CWR</t>
        </is>
      </c>
      <c r="O1621" t="inlineStr">
        <is>
          <t>自动管线检出的合格导管腔。</t>
        </is>
      </c>
      <c r="P1621" t="inlineStr">
        <is>
          <t>auto_pipeline;review_png_green</t>
        </is>
      </c>
      <c r="R1621" t="inlineStr">
        <is>
          <t>样品37</t>
        </is>
      </c>
    </row>
    <row r="1622">
      <c r="A1622" t="inlineStr">
        <is>
          <t>37(3)-V05</t>
        </is>
      </c>
      <c r="B1622" t="inlineStr">
        <is>
          <t>37 (3).tif</t>
        </is>
      </c>
      <c r="C1622" t="n">
        <v>963</v>
      </c>
      <c r="D1622" t="n">
        <v>206</v>
      </c>
      <c r="E1622" t="inlineStr">
        <is>
          <t>930,182,997,231</t>
        </is>
      </c>
      <c r="F1622" t="n">
        <v>27</v>
      </c>
      <c r="G1622" t="inlineStr">
        <is>
          <t>primary</t>
        </is>
      </c>
      <c r="H1622" t="inlineStr">
        <is>
          <t>AUTO_VESSEL</t>
        </is>
      </c>
      <c r="I1622" t="inlineStr">
        <is>
          <t>是</t>
        </is>
      </c>
      <c r="J1622" t="inlineStr">
        <is>
          <t>纳入</t>
        </is>
      </c>
      <c r="K1622" t="n">
        <v>115.9262759924386</v>
      </c>
      <c r="L1622">
        <f>导管母表_1781!G1622</f>
        <v/>
      </c>
      <c r="M1622" t="inlineStr">
        <is>
          <t>视野内部</t>
        </is>
      </c>
      <c r="N1622" t="inlineStr">
        <is>
          <t>纳入A/D/Dh；若有Pair_ID则纳入CWR</t>
        </is>
      </c>
      <c r="O1622" t="inlineStr">
        <is>
          <t>自动管线检出的合格导管腔。</t>
        </is>
      </c>
      <c r="P1622" t="inlineStr">
        <is>
          <t>auto_pipeline;review_png_green</t>
        </is>
      </c>
      <c r="R1622" t="inlineStr">
        <is>
          <t>样品37</t>
        </is>
      </c>
    </row>
    <row r="1623">
      <c r="A1623" t="inlineStr">
        <is>
          <t>37(3)-V06</t>
        </is>
      </c>
      <c r="B1623" t="inlineStr">
        <is>
          <t>37 (3).tif</t>
        </is>
      </c>
      <c r="C1623" t="n">
        <v>885</v>
      </c>
      <c r="D1623" t="n">
        <v>286</v>
      </c>
      <c r="E1623" t="inlineStr">
        <is>
          <t>855,259,916,314</t>
        </is>
      </c>
      <c r="F1623" t="n">
        <v>108</v>
      </c>
      <c r="G1623" t="inlineStr">
        <is>
          <t>primary</t>
        </is>
      </c>
      <c r="H1623" t="inlineStr">
        <is>
          <t>AUTO_VESSEL</t>
        </is>
      </c>
      <c r="I1623" t="inlineStr">
        <is>
          <t>是</t>
        </is>
      </c>
      <c r="J1623" t="inlineStr">
        <is>
          <t>纳入</t>
        </is>
      </c>
      <c r="K1623" t="n">
        <v>115.5718336483932</v>
      </c>
      <c r="L1623">
        <f>导管母表_1781!G1623</f>
        <v/>
      </c>
      <c r="M1623" t="inlineStr">
        <is>
          <t>视野内部</t>
        </is>
      </c>
      <c r="N1623" t="inlineStr">
        <is>
          <t>纳入A/D/Dh；若有Pair_ID则纳入CWR</t>
        </is>
      </c>
      <c r="O1623" t="inlineStr">
        <is>
          <t>自动管线检出的合格导管腔。</t>
        </is>
      </c>
      <c r="P1623" t="inlineStr">
        <is>
          <t>auto_pipeline;review_png_green</t>
        </is>
      </c>
      <c r="R1623" t="inlineStr">
        <is>
          <t>样品37</t>
        </is>
      </c>
    </row>
    <row r="1624">
      <c r="A1624" t="inlineStr">
        <is>
          <t>37(4)-V01</t>
        </is>
      </c>
      <c r="B1624" t="inlineStr">
        <is>
          <t>37 (4).tif</t>
        </is>
      </c>
      <c r="C1624" t="n">
        <v>542</v>
      </c>
      <c r="D1624" t="n">
        <v>232</v>
      </c>
      <c r="E1624" t="inlineStr">
        <is>
          <t>426,88,659,377</t>
        </is>
      </c>
      <c r="F1624" t="n">
        <v>88</v>
      </c>
      <c r="G1624" t="inlineStr">
        <is>
          <t>primary</t>
        </is>
      </c>
      <c r="H1624" t="inlineStr">
        <is>
          <t>AUTO_VESSEL</t>
        </is>
      </c>
      <c r="I1624" t="inlineStr">
        <is>
          <t>是</t>
        </is>
      </c>
      <c r="J1624" t="inlineStr">
        <is>
          <t>纳入</t>
        </is>
      </c>
      <c r="K1624" t="n">
        <v>2352.433837429111</v>
      </c>
      <c r="L1624">
        <f>导管母表_1781!G1624</f>
        <v/>
      </c>
      <c r="M1624" t="inlineStr">
        <is>
          <t>视野内部</t>
        </is>
      </c>
      <c r="N1624" t="inlineStr">
        <is>
          <t>纳入A/D/Dh；若有Pair_ID则纳入CWR</t>
        </is>
      </c>
      <c r="O1624" t="inlineStr">
        <is>
          <t>自动管线检出的合格导管腔。</t>
        </is>
      </c>
      <c r="P1624" t="inlineStr">
        <is>
          <t>auto_pipeline;review_png_green</t>
        </is>
      </c>
      <c r="Q1624" t="inlineStr">
        <is>
          <t>37(4)-P01</t>
        </is>
      </c>
      <c r="R1624" t="inlineStr">
        <is>
          <t>样品37</t>
        </is>
      </c>
    </row>
    <row r="1625">
      <c r="A1625" t="inlineStr">
        <is>
          <t>37(4)-V02</t>
        </is>
      </c>
      <c r="B1625" t="inlineStr">
        <is>
          <t>37 (4).tif</t>
        </is>
      </c>
      <c r="C1625" t="n">
        <v>390</v>
      </c>
      <c r="D1625" t="n">
        <v>405</v>
      </c>
      <c r="E1625" t="inlineStr">
        <is>
          <t>285,314,496,497</t>
        </is>
      </c>
      <c r="F1625" t="n">
        <v>271</v>
      </c>
      <c r="G1625" t="inlineStr">
        <is>
          <t>primary</t>
        </is>
      </c>
      <c r="H1625" t="inlineStr">
        <is>
          <t>AUTO_VESSEL</t>
        </is>
      </c>
      <c r="I1625" t="inlineStr">
        <is>
          <t>是</t>
        </is>
      </c>
      <c r="J1625" t="inlineStr">
        <is>
          <t>纳入</t>
        </is>
      </c>
      <c r="K1625" t="n">
        <v>1397.566162570889</v>
      </c>
      <c r="L1625">
        <f>导管母表_1781!G1625</f>
        <v/>
      </c>
      <c r="M1625" t="inlineStr">
        <is>
          <t>视野内部</t>
        </is>
      </c>
      <c r="N1625" t="inlineStr">
        <is>
          <t>纳入A/D/Dh；若有Pair_ID则纳入CWR</t>
        </is>
      </c>
      <c r="O1625" t="inlineStr">
        <is>
          <t>自动管线检出的合格导管腔。</t>
        </is>
      </c>
      <c r="P1625" t="inlineStr">
        <is>
          <t>auto_pipeline;review_png_green</t>
        </is>
      </c>
      <c r="Q1625" t="inlineStr">
        <is>
          <t>37(4)-P01</t>
        </is>
      </c>
      <c r="R1625" t="inlineStr">
        <is>
          <t>样品37</t>
        </is>
      </c>
    </row>
    <row r="1626">
      <c r="A1626" t="inlineStr">
        <is>
          <t>37(4)-V03</t>
        </is>
      </c>
      <c r="B1626" t="inlineStr">
        <is>
          <t>37 (4).tif</t>
        </is>
      </c>
      <c r="C1626" t="n">
        <v>578</v>
      </c>
      <c r="D1626" t="n">
        <v>298</v>
      </c>
      <c r="E1626" t="inlineStr">
        <is>
          <t>501,220,656,377</t>
        </is>
      </c>
      <c r="F1626" t="n">
        <v>220</v>
      </c>
      <c r="G1626" t="inlineStr">
        <is>
          <t>primary</t>
        </is>
      </c>
      <c r="H1626" t="inlineStr">
        <is>
          <t>AUTO_VESSEL</t>
        </is>
      </c>
      <c r="I1626" t="inlineStr">
        <is>
          <t>是</t>
        </is>
      </c>
      <c r="J1626" t="inlineStr">
        <is>
          <t>纳入</t>
        </is>
      </c>
      <c r="K1626" t="n">
        <v>890.7608695652174</v>
      </c>
      <c r="L1626">
        <f>导管母表_1781!G1626</f>
        <v/>
      </c>
      <c r="M1626" t="inlineStr">
        <is>
          <t>视野内部</t>
        </is>
      </c>
      <c r="N1626" t="inlineStr">
        <is>
          <t>纳入A/D/Dh；若有Pair_ID则纳入CWR</t>
        </is>
      </c>
      <c r="O1626" t="inlineStr">
        <is>
          <t>自动管线检出的合格导管腔。</t>
        </is>
      </c>
      <c r="P1626" t="inlineStr">
        <is>
          <t>auto_pipeline;review_png_green</t>
        </is>
      </c>
      <c r="R1626" t="inlineStr">
        <is>
          <t>样品37</t>
        </is>
      </c>
    </row>
    <row r="1627">
      <c r="A1627" t="inlineStr">
        <is>
          <t>37(4)-V04</t>
        </is>
      </c>
      <c r="B1627" t="inlineStr">
        <is>
          <t>37 (4).tif</t>
        </is>
      </c>
      <c r="C1627" t="n">
        <v>785</v>
      </c>
      <c r="D1627" t="n">
        <v>246</v>
      </c>
      <c r="E1627" t="inlineStr">
        <is>
          <t>717,196,854,297</t>
        </is>
      </c>
      <c r="F1627" t="n">
        <v>170</v>
      </c>
      <c r="G1627" t="inlineStr">
        <is>
          <t>primary</t>
        </is>
      </c>
      <c r="H1627" t="inlineStr">
        <is>
          <t>AUTO_VESSEL</t>
        </is>
      </c>
      <c r="I1627" t="inlineStr">
        <is>
          <t>是</t>
        </is>
      </c>
      <c r="J1627" t="inlineStr">
        <is>
          <t>纳入</t>
        </is>
      </c>
      <c r="K1627" t="n">
        <v>485.1606805293006</v>
      </c>
      <c r="L1627">
        <f>导管母表_1781!G1627</f>
        <v/>
      </c>
      <c r="M1627" t="inlineStr">
        <is>
          <t>视野内部</t>
        </is>
      </c>
      <c r="N1627" t="inlineStr">
        <is>
          <t>纳入A/D/Dh；若有Pair_ID则纳入CWR</t>
        </is>
      </c>
      <c r="O1627" t="inlineStr">
        <is>
          <t>自动管线检出的合格导管腔。</t>
        </is>
      </c>
      <c r="P1627" t="inlineStr">
        <is>
          <t>auto_pipeline;review_png_green</t>
        </is>
      </c>
      <c r="R1627" t="inlineStr">
        <is>
          <t>样品37</t>
        </is>
      </c>
    </row>
    <row r="1628">
      <c r="A1628" t="inlineStr">
        <is>
          <t>37(4)-V05</t>
        </is>
      </c>
      <c r="B1628" t="inlineStr">
        <is>
          <t>37 (4).tif</t>
        </is>
      </c>
      <c r="C1628" t="n">
        <v>561</v>
      </c>
      <c r="D1628" t="n">
        <v>340</v>
      </c>
      <c r="E1628" t="inlineStr">
        <is>
          <t>510,303,613,378</t>
        </is>
      </c>
      <c r="F1628" t="n">
        <v>303</v>
      </c>
      <c r="G1628" t="inlineStr">
        <is>
          <t>primary</t>
        </is>
      </c>
      <c r="H1628" t="inlineStr">
        <is>
          <t>AUTO_VESSEL</t>
        </is>
      </c>
      <c r="I1628" t="inlineStr">
        <is>
          <t>是</t>
        </is>
      </c>
      <c r="J1628" t="inlineStr">
        <is>
          <t>纳入</t>
        </is>
      </c>
      <c r="K1628" t="n">
        <v>264.7684310018903</v>
      </c>
      <c r="L1628">
        <f>导管母表_1781!G1628</f>
        <v/>
      </c>
      <c r="M1628" t="inlineStr">
        <is>
          <t>视野内部</t>
        </is>
      </c>
      <c r="N1628" t="inlineStr">
        <is>
          <t>纳入A/D/Dh；若有Pair_ID则纳入CWR</t>
        </is>
      </c>
      <c r="O1628" t="inlineStr">
        <is>
          <t>自动管线检出的合格导管腔。</t>
        </is>
      </c>
      <c r="P1628" t="inlineStr">
        <is>
          <t>auto_pipeline;review_png_green</t>
        </is>
      </c>
      <c r="R1628" t="inlineStr">
        <is>
          <t>样品37</t>
        </is>
      </c>
    </row>
    <row r="1629">
      <c r="A1629" t="inlineStr">
        <is>
          <t>37(5)-V01</t>
        </is>
      </c>
      <c r="B1629" t="inlineStr">
        <is>
          <t>37 (5).tif</t>
        </is>
      </c>
      <c r="C1629" t="n">
        <v>404</v>
      </c>
      <c r="D1629" t="n">
        <v>390</v>
      </c>
      <c r="E1629" t="inlineStr">
        <is>
          <t>323,311,486,470</t>
        </is>
      </c>
      <c r="F1629" t="n">
        <v>298</v>
      </c>
      <c r="G1629" t="inlineStr">
        <is>
          <t>primary</t>
        </is>
      </c>
      <c r="H1629" t="inlineStr">
        <is>
          <t>AUTO_VESSEL</t>
        </is>
      </c>
      <c r="I1629" t="inlineStr">
        <is>
          <t>是</t>
        </is>
      </c>
      <c r="J1629" t="inlineStr">
        <is>
          <t>纳入</t>
        </is>
      </c>
      <c r="K1629" t="n">
        <v>945.3686200378072</v>
      </c>
      <c r="L1629">
        <f>导管母表_1781!G1629</f>
        <v/>
      </c>
      <c r="M1629" t="inlineStr">
        <is>
          <t>视野内部</t>
        </is>
      </c>
      <c r="N1629" t="inlineStr">
        <is>
          <t>纳入A/D/Dh；若有Pair_ID则纳入CWR</t>
        </is>
      </c>
      <c r="O1629" t="inlineStr">
        <is>
          <t>自动管线检出的合格导管腔。</t>
        </is>
      </c>
      <c r="P1629" t="inlineStr">
        <is>
          <t>auto_pipeline;review_png_green</t>
        </is>
      </c>
      <c r="R1629" t="inlineStr">
        <is>
          <t>样品37</t>
        </is>
      </c>
    </row>
    <row r="1630">
      <c r="A1630" t="inlineStr">
        <is>
          <t>37(5)-V02</t>
        </is>
      </c>
      <c r="B1630" t="inlineStr">
        <is>
          <t>37 (5).tif</t>
        </is>
      </c>
      <c r="C1630" t="n">
        <v>169</v>
      </c>
      <c r="D1630" t="n">
        <v>599</v>
      </c>
      <c r="E1630" t="inlineStr">
        <is>
          <t>92,528,247,671</t>
        </is>
      </c>
      <c r="F1630" t="n">
        <v>92</v>
      </c>
      <c r="G1630" t="inlineStr">
        <is>
          <t>primary</t>
        </is>
      </c>
      <c r="H1630" t="inlineStr">
        <is>
          <t>AUTO_VESSEL</t>
        </is>
      </c>
      <c r="I1630" t="inlineStr">
        <is>
          <t>是</t>
        </is>
      </c>
      <c r="J1630" t="inlineStr">
        <is>
          <t>纳入</t>
        </is>
      </c>
      <c r="K1630" t="n">
        <v>726.890359168242</v>
      </c>
      <c r="L1630">
        <f>导管母表_1781!G1630</f>
        <v/>
      </c>
      <c r="M1630" t="inlineStr">
        <is>
          <t>视野内部</t>
        </is>
      </c>
      <c r="N1630" t="inlineStr">
        <is>
          <t>纳入A/D/Dh；若有Pair_ID则纳入CWR</t>
        </is>
      </c>
      <c r="O1630" t="inlineStr">
        <is>
          <t>自动管线检出的合格导管腔。</t>
        </is>
      </c>
      <c r="P1630" t="inlineStr">
        <is>
          <t>auto_pipeline;review_png_green</t>
        </is>
      </c>
      <c r="R1630" t="inlineStr">
        <is>
          <t>样品37</t>
        </is>
      </c>
    </row>
    <row r="1631">
      <c r="A1631" t="inlineStr">
        <is>
          <t>37(5)-V03</t>
        </is>
      </c>
      <c r="B1631" t="inlineStr">
        <is>
          <t>37 (5).tif</t>
        </is>
      </c>
      <c r="C1631" t="n">
        <v>650</v>
      </c>
      <c r="D1631" t="n">
        <v>277</v>
      </c>
      <c r="E1631" t="inlineStr">
        <is>
          <t>621,212,680,343</t>
        </is>
      </c>
      <c r="F1631" t="n">
        <v>212</v>
      </c>
      <c r="G1631" t="inlineStr">
        <is>
          <t>primary</t>
        </is>
      </c>
      <c r="H1631" t="inlineStr">
        <is>
          <t>AUTO_VESSEL</t>
        </is>
      </c>
      <c r="I1631" t="inlineStr">
        <is>
          <t>是</t>
        </is>
      </c>
      <c r="J1631" t="inlineStr">
        <is>
          <t>纳入</t>
        </is>
      </c>
      <c r="K1631" t="n">
        <v>264.461247637051</v>
      </c>
      <c r="L1631">
        <f>导管母表_1781!G1631</f>
        <v/>
      </c>
      <c r="M1631" t="inlineStr">
        <is>
          <t>视野内部</t>
        </is>
      </c>
      <c r="N1631" t="inlineStr">
        <is>
          <t>纳入A/D/Dh；若有Pair_ID则纳入CWR</t>
        </is>
      </c>
      <c r="O1631" t="inlineStr">
        <is>
          <t>自动管线检出的合格导管腔。</t>
        </is>
      </c>
      <c r="P1631" t="inlineStr">
        <is>
          <t>auto_pipeline;review_png_green</t>
        </is>
      </c>
      <c r="R1631" t="inlineStr">
        <is>
          <t>样品37</t>
        </is>
      </c>
    </row>
    <row r="1632">
      <c r="A1632" t="inlineStr">
        <is>
          <t>37(6)-V01</t>
        </is>
      </c>
      <c r="B1632" t="inlineStr">
        <is>
          <t>37 (6).tif</t>
        </is>
      </c>
      <c r="C1632" t="n">
        <v>537</v>
      </c>
      <c r="D1632" t="n">
        <v>89</v>
      </c>
      <c r="E1632" t="inlineStr">
        <is>
          <t>435,14,640,165</t>
        </is>
      </c>
      <c r="F1632" t="n">
        <v>14</v>
      </c>
      <c r="G1632" t="inlineStr">
        <is>
          <t>primary</t>
        </is>
      </c>
      <c r="H1632" t="inlineStr">
        <is>
          <t>AUTO_VESSEL</t>
        </is>
      </c>
      <c r="I1632" t="inlineStr">
        <is>
          <t>是</t>
        </is>
      </c>
      <c r="J1632" t="inlineStr">
        <is>
          <t>纳入</t>
        </is>
      </c>
      <c r="K1632" t="n">
        <v>1130.694706994329</v>
      </c>
      <c r="L1632">
        <f>导管母表_1781!G1632</f>
        <v/>
      </c>
      <c r="M1632" t="inlineStr">
        <is>
          <t>近边缘（&lt;25 px）</t>
        </is>
      </c>
      <c r="N1632" t="inlineStr">
        <is>
          <t>纳入A/D/Dh；若有Pair_ID则纳入CWR</t>
        </is>
      </c>
      <c r="O1632" t="inlineStr">
        <is>
          <t>自动管线检出的合格导管腔。</t>
        </is>
      </c>
      <c r="P1632" t="inlineStr">
        <is>
          <t>auto_pipeline;review_png_green</t>
        </is>
      </c>
      <c r="R1632" t="inlineStr">
        <is>
          <t>样品37</t>
        </is>
      </c>
    </row>
    <row r="1633">
      <c r="A1633" t="inlineStr">
        <is>
          <t>37(6)-V02</t>
        </is>
      </c>
      <c r="B1633" t="inlineStr">
        <is>
          <t>37 (6).tif</t>
        </is>
      </c>
      <c r="C1633" t="n">
        <v>549</v>
      </c>
      <c r="D1633" t="n">
        <v>390</v>
      </c>
      <c r="E1633" t="inlineStr">
        <is>
          <t>482,321,617,460</t>
        </is>
      </c>
      <c r="F1633" t="n">
        <v>308</v>
      </c>
      <c r="G1633" t="inlineStr">
        <is>
          <t>primary</t>
        </is>
      </c>
      <c r="H1633" t="inlineStr">
        <is>
          <t>AUTO_VESSEL</t>
        </is>
      </c>
      <c r="I1633" t="inlineStr">
        <is>
          <t>是</t>
        </is>
      </c>
      <c r="J1633" t="inlineStr">
        <is>
          <t>纳入</t>
        </is>
      </c>
      <c r="K1633" t="n">
        <v>686.1058601134215</v>
      </c>
      <c r="L1633">
        <f>导管母表_1781!G1633</f>
        <v/>
      </c>
      <c r="M1633" t="inlineStr">
        <is>
          <t>视野内部</t>
        </is>
      </c>
      <c r="N1633" t="inlineStr">
        <is>
          <t>纳入A/D/Dh；若有Pair_ID则纳入CWR</t>
        </is>
      </c>
      <c r="O1633" t="inlineStr">
        <is>
          <t>自动管线检出的合格导管腔。</t>
        </is>
      </c>
      <c r="P1633" t="inlineStr">
        <is>
          <t>auto_pipeline;review_png_green</t>
        </is>
      </c>
      <c r="Q1633" t="inlineStr">
        <is>
          <t>37(6)-P01</t>
        </is>
      </c>
      <c r="R1633" t="inlineStr">
        <is>
          <t>样品37</t>
        </is>
      </c>
    </row>
    <row r="1634">
      <c r="A1634" t="inlineStr">
        <is>
          <t>37(6)-V03</t>
        </is>
      </c>
      <c r="B1634" t="inlineStr">
        <is>
          <t>37 (6).tif</t>
        </is>
      </c>
      <c r="C1634" t="n">
        <v>407</v>
      </c>
      <c r="D1634" t="n">
        <v>377</v>
      </c>
      <c r="E1634" t="inlineStr">
        <is>
          <t>344,307,471,448</t>
        </is>
      </c>
      <c r="F1634" t="n">
        <v>307</v>
      </c>
      <c r="G1634" t="inlineStr">
        <is>
          <t>primary</t>
        </is>
      </c>
      <c r="H1634" t="inlineStr">
        <is>
          <t>AUTO_VESSEL</t>
        </is>
      </c>
      <c r="I1634" t="inlineStr">
        <is>
          <t>是</t>
        </is>
      </c>
      <c r="J1634" t="inlineStr">
        <is>
          <t>纳入</t>
        </is>
      </c>
      <c r="K1634" t="n">
        <v>650.5434782608696</v>
      </c>
      <c r="L1634">
        <f>导管母表_1781!G1634</f>
        <v/>
      </c>
      <c r="M1634" t="inlineStr">
        <is>
          <t>视野内部</t>
        </is>
      </c>
      <c r="N1634" t="inlineStr">
        <is>
          <t>纳入A/D/Dh；若有Pair_ID则纳入CWR</t>
        </is>
      </c>
      <c r="O1634" t="inlineStr">
        <is>
          <t>自动管线检出的合格导管腔。</t>
        </is>
      </c>
      <c r="P1634" t="inlineStr">
        <is>
          <t>auto_pipeline;review_png_green</t>
        </is>
      </c>
      <c r="Q1634" t="inlineStr">
        <is>
          <t>37(6)-P01</t>
        </is>
      </c>
      <c r="R1634" t="inlineStr">
        <is>
          <t>样品37</t>
        </is>
      </c>
    </row>
    <row r="1635">
      <c r="A1635" t="inlineStr">
        <is>
          <t>37(6)-V04</t>
        </is>
      </c>
      <c r="B1635" t="inlineStr">
        <is>
          <t>37 (6).tif</t>
        </is>
      </c>
      <c r="C1635" t="n">
        <v>358</v>
      </c>
      <c r="D1635" t="n">
        <v>411</v>
      </c>
      <c r="E1635" t="inlineStr">
        <is>
          <t>324,368,393,455</t>
        </is>
      </c>
      <c r="F1635" t="n">
        <v>313</v>
      </c>
      <c r="G1635" t="inlineStr">
        <is>
          <t>primary</t>
        </is>
      </c>
      <c r="H1635" t="inlineStr">
        <is>
          <t>AUTO_VESSEL</t>
        </is>
      </c>
      <c r="I1635" t="inlineStr">
        <is>
          <t>是</t>
        </is>
      </c>
      <c r="J1635" t="inlineStr">
        <is>
          <t>纳入</t>
        </is>
      </c>
      <c r="K1635" t="n">
        <v>192.1077504725898</v>
      </c>
      <c r="L1635">
        <f>导管母表_1781!G1635</f>
        <v/>
      </c>
      <c r="M1635" t="inlineStr">
        <is>
          <t>视野内部</t>
        </is>
      </c>
      <c r="N1635" t="inlineStr">
        <is>
          <t>纳入A/D/Dh；若有Pair_ID则纳入CWR</t>
        </is>
      </c>
      <c r="O1635" t="inlineStr">
        <is>
          <t>自动管线检出的合格导管腔。</t>
        </is>
      </c>
      <c r="P1635" t="inlineStr">
        <is>
          <t>auto_pipeline;review_png_green</t>
        </is>
      </c>
      <c r="R1635" t="inlineStr">
        <is>
          <t>样品37</t>
        </is>
      </c>
    </row>
    <row r="1636">
      <c r="A1636" t="inlineStr">
        <is>
          <t>37(6)-V05</t>
        </is>
      </c>
      <c r="B1636" t="inlineStr">
        <is>
          <t>37 (6).tif</t>
        </is>
      </c>
      <c r="C1636" t="n">
        <v>821</v>
      </c>
      <c r="D1636" t="n">
        <v>628</v>
      </c>
      <c r="E1636" t="inlineStr">
        <is>
          <t>782,605,861,652</t>
        </is>
      </c>
      <c r="F1636" t="n">
        <v>116</v>
      </c>
      <c r="G1636" t="inlineStr">
        <is>
          <t>primary</t>
        </is>
      </c>
      <c r="H1636" t="inlineStr">
        <is>
          <t>AUTO_VESSEL</t>
        </is>
      </c>
      <c r="I1636" t="inlineStr">
        <is>
          <t>是</t>
        </is>
      </c>
      <c r="J1636" t="inlineStr">
        <is>
          <t>纳入</t>
        </is>
      </c>
      <c r="K1636" t="n">
        <v>115.6427221172023</v>
      </c>
      <c r="L1636">
        <f>导管母表_1781!G1636</f>
        <v/>
      </c>
      <c r="M1636" t="inlineStr">
        <is>
          <t>视野内部</t>
        </is>
      </c>
      <c r="N1636" t="inlineStr">
        <is>
          <t>纳入A/D/Dh；若有Pair_ID则纳入CWR</t>
        </is>
      </c>
      <c r="O1636" t="inlineStr">
        <is>
          <t>自动管线检出的合格导管腔。</t>
        </is>
      </c>
      <c r="P1636" t="inlineStr">
        <is>
          <t>auto_pipeline;review_png_green</t>
        </is>
      </c>
      <c r="R1636" t="inlineStr">
        <is>
          <t>样品37</t>
        </is>
      </c>
    </row>
    <row r="1637">
      <c r="A1637" t="inlineStr">
        <is>
          <t>37(6)-V06</t>
        </is>
      </c>
      <c r="B1637" t="inlineStr">
        <is>
          <t>37 (6).tif</t>
        </is>
      </c>
      <c r="C1637" t="n">
        <v>458</v>
      </c>
      <c r="D1637" t="n">
        <v>404</v>
      </c>
      <c r="E1637" t="inlineStr">
        <is>
          <t>441,377,476,432</t>
        </is>
      </c>
      <c r="F1637" t="n">
        <v>336</v>
      </c>
      <c r="G1637" t="inlineStr">
        <is>
          <t>primary</t>
        </is>
      </c>
      <c r="H1637" t="inlineStr">
        <is>
          <t>AUTO_VESSEL</t>
        </is>
      </c>
      <c r="I1637" t="inlineStr">
        <is>
          <t>是</t>
        </is>
      </c>
      <c r="J1637" t="inlineStr">
        <is>
          <t>纳入</t>
        </is>
      </c>
      <c r="K1637" t="n">
        <v>44.58884688090738</v>
      </c>
      <c r="L1637">
        <f>导管母表_1781!G1637</f>
        <v/>
      </c>
      <c r="M1637" t="inlineStr">
        <is>
          <t>视野内部</t>
        </is>
      </c>
      <c r="N1637" t="inlineStr">
        <is>
          <t>纳入A/D/Dh；若有Pair_ID则纳入CWR</t>
        </is>
      </c>
      <c r="O1637" t="inlineStr">
        <is>
          <t>自动管线检出的合格导管腔。</t>
        </is>
      </c>
      <c r="P1637" t="inlineStr">
        <is>
          <t>auto_pipeline;review_png_green</t>
        </is>
      </c>
      <c r="R1637" t="inlineStr">
        <is>
          <t>样品37</t>
        </is>
      </c>
    </row>
    <row r="1638">
      <c r="A1638" t="inlineStr">
        <is>
          <t>37(7)-V01</t>
        </is>
      </c>
      <c r="B1638" t="inlineStr">
        <is>
          <t>37 (7).tif</t>
        </is>
      </c>
      <c r="C1638" t="n">
        <v>457</v>
      </c>
      <c r="D1638" t="n">
        <v>337</v>
      </c>
      <c r="E1638" t="inlineStr">
        <is>
          <t>376,259,539,416</t>
        </is>
      </c>
      <c r="F1638" t="n">
        <v>259</v>
      </c>
      <c r="G1638" t="inlineStr">
        <is>
          <t>primary</t>
        </is>
      </c>
      <c r="H1638" t="inlineStr">
        <is>
          <t>AUTO_VESSEL</t>
        </is>
      </c>
      <c r="I1638" t="inlineStr">
        <is>
          <t>是</t>
        </is>
      </c>
      <c r="J1638" t="inlineStr">
        <is>
          <t>纳入</t>
        </is>
      </c>
      <c r="K1638" t="n">
        <v>914.366729678639</v>
      </c>
      <c r="L1638">
        <f>导管母表_1781!G1638</f>
        <v/>
      </c>
      <c r="M1638" t="inlineStr">
        <is>
          <t>视野内部</t>
        </is>
      </c>
      <c r="N1638" t="inlineStr">
        <is>
          <t>纳入A/D/Dh；若有Pair_ID则纳入CWR</t>
        </is>
      </c>
      <c r="O1638" t="inlineStr">
        <is>
          <t>自动管线检出的合格导管腔。</t>
        </is>
      </c>
      <c r="P1638" t="inlineStr">
        <is>
          <t>auto_pipeline;review_png_green</t>
        </is>
      </c>
      <c r="Q1638" t="inlineStr">
        <is>
          <t>37(7)-P01</t>
        </is>
      </c>
      <c r="R1638" t="inlineStr">
        <is>
          <t>样品37</t>
        </is>
      </c>
    </row>
    <row r="1639">
      <c r="A1639" t="inlineStr">
        <is>
          <t>37(7)-V02</t>
        </is>
      </c>
      <c r="B1639" t="inlineStr">
        <is>
          <t>37 (7).tif</t>
        </is>
      </c>
      <c r="C1639" t="n">
        <v>559</v>
      </c>
      <c r="D1639" t="n">
        <v>478</v>
      </c>
      <c r="E1639" t="inlineStr">
        <is>
          <t>490,409,629,548</t>
        </is>
      </c>
      <c r="F1639" t="n">
        <v>220</v>
      </c>
      <c r="G1639" t="inlineStr">
        <is>
          <t>primary</t>
        </is>
      </c>
      <c r="H1639" t="inlineStr">
        <is>
          <t>AUTO_VESSEL</t>
        </is>
      </c>
      <c r="I1639" t="inlineStr">
        <is>
          <t>是</t>
        </is>
      </c>
      <c r="J1639" t="inlineStr">
        <is>
          <t>纳入</t>
        </is>
      </c>
      <c r="K1639" t="n">
        <v>705.5293005671077</v>
      </c>
      <c r="L1639">
        <f>导管母表_1781!G1639</f>
        <v/>
      </c>
      <c r="M1639" t="inlineStr">
        <is>
          <t>视野内部</t>
        </is>
      </c>
      <c r="N1639" t="inlineStr">
        <is>
          <t>纳入A/D/Dh；若有Pair_ID则纳入CWR</t>
        </is>
      </c>
      <c r="O1639" t="inlineStr">
        <is>
          <t>自动管线检出的合格导管腔。</t>
        </is>
      </c>
      <c r="P1639" t="inlineStr">
        <is>
          <t>auto_pipeline;review_png_green</t>
        </is>
      </c>
      <c r="Q1639" t="inlineStr">
        <is>
          <t>37(7)-P01</t>
        </is>
      </c>
      <c r="R1639" t="inlineStr">
        <is>
          <t>样品37</t>
        </is>
      </c>
    </row>
    <row r="1640">
      <c r="A1640" t="inlineStr">
        <is>
          <t>37(7)-V03</t>
        </is>
      </c>
      <c r="B1640" t="inlineStr">
        <is>
          <t>37 (7).tif</t>
        </is>
      </c>
      <c r="C1640" t="n">
        <v>432</v>
      </c>
      <c r="D1640" t="n">
        <v>475</v>
      </c>
      <c r="E1640" t="inlineStr">
        <is>
          <t>394,443,471,508</t>
        </is>
      </c>
      <c r="F1640" t="n">
        <v>260</v>
      </c>
      <c r="G1640" t="inlineStr">
        <is>
          <t>primary</t>
        </is>
      </c>
      <c r="H1640" t="inlineStr">
        <is>
          <t>AUTO_VESSEL</t>
        </is>
      </c>
      <c r="I1640" t="inlineStr">
        <is>
          <t>是</t>
        </is>
      </c>
      <c r="J1640" t="inlineStr">
        <is>
          <t>纳入</t>
        </is>
      </c>
      <c r="K1640" t="n">
        <v>143.8327032136106</v>
      </c>
      <c r="L1640">
        <f>导管母表_1781!G1640</f>
        <v/>
      </c>
      <c r="M1640" t="inlineStr">
        <is>
          <t>视野内部</t>
        </is>
      </c>
      <c r="N1640" t="inlineStr">
        <is>
          <t>纳入A/D/Dh；若有Pair_ID则纳入CWR</t>
        </is>
      </c>
      <c r="O1640" t="inlineStr">
        <is>
          <t>自动管线检出的合格导管腔。</t>
        </is>
      </c>
      <c r="P1640" t="inlineStr">
        <is>
          <t>auto_pipeline;review_png_green</t>
        </is>
      </c>
      <c r="R1640" t="inlineStr">
        <is>
          <t>样品37</t>
        </is>
      </c>
    </row>
    <row r="1641">
      <c r="A1641" t="inlineStr">
        <is>
          <t>37(7)-V04</t>
        </is>
      </c>
      <c r="B1641" t="inlineStr">
        <is>
          <t>37 (7).tif</t>
        </is>
      </c>
      <c r="C1641" t="n">
        <v>597</v>
      </c>
      <c r="D1641" t="n">
        <v>378</v>
      </c>
      <c r="E1641" t="inlineStr">
        <is>
          <t>565,346,630,411</t>
        </is>
      </c>
      <c r="F1641" t="n">
        <v>346</v>
      </c>
      <c r="G1641" t="inlineStr">
        <is>
          <t>primary</t>
        </is>
      </c>
      <c r="H1641" t="inlineStr">
        <is>
          <t>AUTO_VESSEL</t>
        </is>
      </c>
      <c r="I1641" t="inlineStr">
        <is>
          <t>是</t>
        </is>
      </c>
      <c r="J1641" t="inlineStr">
        <is>
          <t>纳入</t>
        </is>
      </c>
      <c r="K1641" t="n">
        <v>133.4593572778828</v>
      </c>
      <c r="L1641">
        <f>导管母表_1781!G1641</f>
        <v/>
      </c>
      <c r="M1641" t="inlineStr">
        <is>
          <t>视野内部</t>
        </is>
      </c>
      <c r="N1641" t="inlineStr">
        <is>
          <t>纳入A/D/Dh；若有Pair_ID则纳入CWR</t>
        </is>
      </c>
      <c r="O1641" t="inlineStr">
        <is>
          <t>自动管线检出的合格导管腔。</t>
        </is>
      </c>
      <c r="P1641" t="inlineStr">
        <is>
          <t>auto_pipeline;review_png_green</t>
        </is>
      </c>
      <c r="R1641" t="inlineStr">
        <is>
          <t>样品37</t>
        </is>
      </c>
    </row>
    <row r="1642">
      <c r="A1642" t="inlineStr">
        <is>
          <t>37(8)-V01</t>
        </is>
      </c>
      <c r="B1642" t="inlineStr">
        <is>
          <t>37 (8).tif</t>
        </is>
      </c>
      <c r="C1642" t="n">
        <v>443</v>
      </c>
      <c r="D1642" t="n">
        <v>420</v>
      </c>
      <c r="E1642" t="inlineStr">
        <is>
          <t>348,337,539,504</t>
        </is>
      </c>
      <c r="F1642" t="n">
        <v>264</v>
      </c>
      <c r="G1642" t="inlineStr">
        <is>
          <t>primary</t>
        </is>
      </c>
      <c r="H1642" t="inlineStr">
        <is>
          <t>AUTO_VESSEL</t>
        </is>
      </c>
      <c r="I1642" t="inlineStr">
        <is>
          <t>是</t>
        </is>
      </c>
      <c r="J1642" t="inlineStr">
        <is>
          <t>纳入</t>
        </is>
      </c>
      <c r="K1642" t="n">
        <v>1161.862003780718</v>
      </c>
      <c r="L1642">
        <f>导管母表_1781!G1642</f>
        <v/>
      </c>
      <c r="M1642" t="inlineStr">
        <is>
          <t>视野内部</t>
        </is>
      </c>
      <c r="N1642" t="inlineStr">
        <is>
          <t>纳入A/D/Dh；若有Pair_ID则纳入CWR</t>
        </is>
      </c>
      <c r="O1642" t="inlineStr">
        <is>
          <t>自动管线检出的合格导管腔。</t>
        </is>
      </c>
      <c r="P1642" t="inlineStr">
        <is>
          <t>auto_pipeline;review_png_green</t>
        </is>
      </c>
      <c r="Q1642" t="inlineStr">
        <is>
          <t>37(8)-P01</t>
        </is>
      </c>
      <c r="R1642" t="inlineStr">
        <is>
          <t>样品37</t>
        </is>
      </c>
    </row>
    <row r="1643">
      <c r="A1643" t="inlineStr">
        <is>
          <t>37(8)-V02</t>
        </is>
      </c>
      <c r="B1643" t="inlineStr">
        <is>
          <t>37 (8).tif</t>
        </is>
      </c>
      <c r="C1643" t="n">
        <v>427</v>
      </c>
      <c r="D1643" t="n">
        <v>235</v>
      </c>
      <c r="E1643" t="inlineStr">
        <is>
          <t>345,144,510,327</t>
        </is>
      </c>
      <c r="F1643" t="n">
        <v>144</v>
      </c>
      <c r="G1643" t="inlineStr">
        <is>
          <t>primary</t>
        </is>
      </c>
      <c r="H1643" t="inlineStr">
        <is>
          <t>AUTO_VESSEL</t>
        </is>
      </c>
      <c r="I1643" t="inlineStr">
        <is>
          <t>是</t>
        </is>
      </c>
      <c r="J1643" t="inlineStr">
        <is>
          <t>纳入</t>
        </is>
      </c>
      <c r="K1643" t="n">
        <v>1085.113421550094</v>
      </c>
      <c r="L1643">
        <f>导管母表_1781!G1643</f>
        <v/>
      </c>
      <c r="M1643" t="inlineStr">
        <is>
          <t>视野内部</t>
        </is>
      </c>
      <c r="N1643" t="inlineStr">
        <is>
          <t>纳入A/D/Dh；若有Pair_ID则纳入CWR</t>
        </is>
      </c>
      <c r="O1643" t="inlineStr">
        <is>
          <t>自动管线检出的合格导管腔。</t>
        </is>
      </c>
      <c r="P1643" t="inlineStr">
        <is>
          <t>auto_pipeline;review_png_green</t>
        </is>
      </c>
      <c r="Q1643" t="inlineStr">
        <is>
          <t>37(8)-P01</t>
        </is>
      </c>
      <c r="R1643" t="inlineStr">
        <is>
          <t>样品37</t>
        </is>
      </c>
    </row>
    <row r="1644">
      <c r="A1644" t="inlineStr">
        <is>
          <t>38(1)-V01</t>
        </is>
      </c>
      <c r="B1644" t="inlineStr">
        <is>
          <t>38 (1).tif</t>
        </is>
      </c>
      <c r="C1644" t="n">
        <v>851</v>
      </c>
      <c r="D1644" t="n">
        <v>99</v>
      </c>
      <c r="E1644" t="inlineStr">
        <is>
          <t>754,8,949,191</t>
        </is>
      </c>
      <c r="F1644" t="n">
        <v>8</v>
      </c>
      <c r="G1644" t="inlineStr">
        <is>
          <t>primary</t>
        </is>
      </c>
      <c r="H1644" t="inlineStr">
        <is>
          <t>AUTO_VESSEL</t>
        </is>
      </c>
      <c r="I1644" t="inlineStr">
        <is>
          <t>是</t>
        </is>
      </c>
      <c r="J1644" t="inlineStr">
        <is>
          <t>纳入</t>
        </is>
      </c>
      <c r="K1644" t="n">
        <v>1292.88752362949</v>
      </c>
      <c r="L1644">
        <f>导管母表_1781!G1644</f>
        <v/>
      </c>
      <c r="M1644" t="inlineStr">
        <is>
          <t>近边缘（&lt;25 px）</t>
        </is>
      </c>
      <c r="N1644" t="inlineStr">
        <is>
          <t>纳入A/D/Dh；若有Pair_ID则纳入CWR</t>
        </is>
      </c>
      <c r="O1644" t="inlineStr">
        <is>
          <t>自动管线检出的合格导管腔。</t>
        </is>
      </c>
      <c r="P1644" t="inlineStr">
        <is>
          <t>auto_pipeline;review_png_green</t>
        </is>
      </c>
      <c r="R1644" t="inlineStr">
        <is>
          <t>样品38</t>
        </is>
      </c>
    </row>
    <row r="1645">
      <c r="A1645" t="inlineStr">
        <is>
          <t>38(1)-V02</t>
        </is>
      </c>
      <c r="B1645" t="inlineStr">
        <is>
          <t>38 (1).tif</t>
        </is>
      </c>
      <c r="C1645" t="n">
        <v>449</v>
      </c>
      <c r="D1645" t="n">
        <v>441</v>
      </c>
      <c r="E1645" t="inlineStr">
        <is>
          <t>377,353,522,530</t>
        </is>
      </c>
      <c r="F1645" t="n">
        <v>238</v>
      </c>
      <c r="G1645" t="inlineStr">
        <is>
          <t>primary</t>
        </is>
      </c>
      <c r="H1645" t="inlineStr">
        <is>
          <t>AUTO_VESSEL</t>
        </is>
      </c>
      <c r="I1645" t="inlineStr">
        <is>
          <t>是</t>
        </is>
      </c>
      <c r="J1645" t="inlineStr">
        <is>
          <t>纳入</t>
        </is>
      </c>
      <c r="K1645" t="n">
        <v>935.0897920604915</v>
      </c>
      <c r="L1645">
        <f>导管母表_1781!G1645</f>
        <v/>
      </c>
      <c r="M1645" t="inlineStr">
        <is>
          <t>视野内部</t>
        </is>
      </c>
      <c r="N1645" t="inlineStr">
        <is>
          <t>纳入A/D/Dh；若有Pair_ID则纳入CWR</t>
        </is>
      </c>
      <c r="O1645" t="inlineStr">
        <is>
          <t>自动管线检出的合格导管腔。</t>
        </is>
      </c>
      <c r="P1645" t="inlineStr">
        <is>
          <t>auto_pipeline;review_png_green</t>
        </is>
      </c>
      <c r="Q1645" t="inlineStr">
        <is>
          <t>38(1)-P01</t>
        </is>
      </c>
      <c r="R1645" t="inlineStr">
        <is>
          <t>样品38</t>
        </is>
      </c>
    </row>
    <row r="1646">
      <c r="A1646" t="inlineStr">
        <is>
          <t>38(1)-V03</t>
        </is>
      </c>
      <c r="B1646" t="inlineStr">
        <is>
          <t>38 (1).tif</t>
        </is>
      </c>
      <c r="C1646" t="n">
        <v>171</v>
      </c>
      <c r="D1646" t="n">
        <v>132</v>
      </c>
      <c r="E1646" t="inlineStr">
        <is>
          <t>87,58,256,207</t>
        </is>
      </c>
      <c r="F1646" t="n">
        <v>58</v>
      </c>
      <c r="G1646" t="inlineStr">
        <is>
          <t>primary</t>
        </is>
      </c>
      <c r="H1646" t="inlineStr">
        <is>
          <t>AUTO_VESSEL</t>
        </is>
      </c>
      <c r="I1646" t="inlineStr">
        <is>
          <t>是</t>
        </is>
      </c>
      <c r="J1646" t="inlineStr">
        <is>
          <t>纳入</t>
        </is>
      </c>
      <c r="K1646" t="n">
        <v>877.6701323251418</v>
      </c>
      <c r="L1646">
        <f>导管母表_1781!G1646</f>
        <v/>
      </c>
      <c r="M1646" t="inlineStr">
        <is>
          <t>视野内部</t>
        </is>
      </c>
      <c r="N1646" t="inlineStr">
        <is>
          <t>纳入A/D/Dh；若有Pair_ID则纳入CWR</t>
        </is>
      </c>
      <c r="O1646" t="inlineStr">
        <is>
          <t>自动管线检出的合格导管腔。</t>
        </is>
      </c>
      <c r="P1646" t="inlineStr">
        <is>
          <t>auto_pipeline;review_png_green</t>
        </is>
      </c>
      <c r="R1646" t="inlineStr">
        <is>
          <t>样品38</t>
        </is>
      </c>
    </row>
    <row r="1647">
      <c r="A1647" t="inlineStr">
        <is>
          <t>38(1)-V04</t>
        </is>
      </c>
      <c r="B1647" t="inlineStr">
        <is>
          <t>38 (1).tif</t>
        </is>
      </c>
      <c r="C1647" t="n">
        <v>578</v>
      </c>
      <c r="D1647" t="n">
        <v>361</v>
      </c>
      <c r="E1647" t="inlineStr">
        <is>
          <t>514,284,643,439</t>
        </is>
      </c>
      <c r="F1647" t="n">
        <v>284</v>
      </c>
      <c r="G1647" t="inlineStr">
        <is>
          <t>primary</t>
        </is>
      </c>
      <c r="H1647" t="inlineStr">
        <is>
          <t>AUTO_VESSEL</t>
        </is>
      </c>
      <c r="I1647" t="inlineStr">
        <is>
          <t>是</t>
        </is>
      </c>
      <c r="J1647" t="inlineStr">
        <is>
          <t>纳入</t>
        </is>
      </c>
      <c r="K1647" t="n">
        <v>729.3478260869565</v>
      </c>
      <c r="L1647">
        <f>导管母表_1781!G1647</f>
        <v/>
      </c>
      <c r="M1647" t="inlineStr">
        <is>
          <t>视野内部</t>
        </is>
      </c>
      <c r="N1647" t="inlineStr">
        <is>
          <t>纳入A/D/Dh；若有Pair_ID则纳入CWR</t>
        </is>
      </c>
      <c r="O1647" t="inlineStr">
        <is>
          <t>自动管线检出的合格导管腔。</t>
        </is>
      </c>
      <c r="P1647" t="inlineStr">
        <is>
          <t>auto_pipeline;review_png_green</t>
        </is>
      </c>
      <c r="Q1647" t="inlineStr">
        <is>
          <t>38(1)-P01</t>
        </is>
      </c>
      <c r="R1647" t="inlineStr">
        <is>
          <t>样品38</t>
        </is>
      </c>
    </row>
    <row r="1648">
      <c r="A1648" t="inlineStr">
        <is>
          <t>38(1)-V05</t>
        </is>
      </c>
      <c r="B1648" t="inlineStr">
        <is>
          <t>38 (1).tif</t>
        </is>
      </c>
      <c r="C1648" t="n">
        <v>308</v>
      </c>
      <c r="D1648" t="n">
        <v>500</v>
      </c>
      <c r="E1648" t="inlineStr">
        <is>
          <t>276,447,341,554</t>
        </is>
      </c>
      <c r="F1648" t="n">
        <v>214</v>
      </c>
      <c r="G1648" t="inlineStr">
        <is>
          <t>primary</t>
        </is>
      </c>
      <c r="H1648" t="inlineStr">
        <is>
          <t>AUTO_VESSEL</t>
        </is>
      </c>
      <c r="I1648" t="inlineStr">
        <is>
          <t>是</t>
        </is>
      </c>
      <c r="J1648" t="inlineStr">
        <is>
          <t>纳入</t>
        </is>
      </c>
      <c r="K1648" t="n">
        <v>252.0321361058601</v>
      </c>
      <c r="L1648">
        <f>导管母表_1781!G1648</f>
        <v/>
      </c>
      <c r="M1648" t="inlineStr">
        <is>
          <t>视野内部</t>
        </is>
      </c>
      <c r="N1648" t="inlineStr">
        <is>
          <t>纳入A/D/Dh；若有Pair_ID则纳入CWR</t>
        </is>
      </c>
      <c r="O1648" t="inlineStr">
        <is>
          <t>自动管线检出的合格导管腔。</t>
        </is>
      </c>
      <c r="P1648" t="inlineStr">
        <is>
          <t>auto_pipeline;review_png_green</t>
        </is>
      </c>
      <c r="R1648" t="inlineStr">
        <is>
          <t>样品38</t>
        </is>
      </c>
    </row>
    <row r="1649">
      <c r="A1649" t="inlineStr">
        <is>
          <t>38(1)-V06</t>
        </is>
      </c>
      <c r="B1649" t="inlineStr">
        <is>
          <t>38 (1).tif</t>
        </is>
      </c>
      <c r="C1649" t="n">
        <v>894</v>
      </c>
      <c r="D1649" t="n">
        <v>418</v>
      </c>
      <c r="E1649" t="inlineStr">
        <is>
          <t>859,381,930,456</t>
        </is>
      </c>
      <c r="F1649" t="n">
        <v>94</v>
      </c>
      <c r="G1649" t="inlineStr">
        <is>
          <t>primary</t>
        </is>
      </c>
      <c r="H1649" t="inlineStr">
        <is>
          <t>AUTO_VESSEL</t>
        </is>
      </c>
      <c r="I1649" t="inlineStr">
        <is>
          <t>是</t>
        </is>
      </c>
      <c r="J1649" t="inlineStr">
        <is>
          <t>纳入</t>
        </is>
      </c>
      <c r="K1649" t="n">
        <v>169.6833648393195</v>
      </c>
      <c r="L1649">
        <f>导管母表_1781!G1649</f>
        <v/>
      </c>
      <c r="M1649" t="inlineStr">
        <is>
          <t>视野内部</t>
        </is>
      </c>
      <c r="N1649" t="inlineStr">
        <is>
          <t>纳入A/D/Dh；若有Pair_ID则纳入CWR</t>
        </is>
      </c>
      <c r="O1649" t="inlineStr">
        <is>
          <t>自动管线检出的合格导管腔。</t>
        </is>
      </c>
      <c r="P1649" t="inlineStr">
        <is>
          <t>auto_pipeline;review_png_green</t>
        </is>
      </c>
      <c r="R1649" t="inlineStr">
        <is>
          <t>样品38</t>
        </is>
      </c>
    </row>
    <row r="1650">
      <c r="A1650" t="inlineStr">
        <is>
          <t>38(1)-V07</t>
        </is>
      </c>
      <c r="B1650" t="inlineStr">
        <is>
          <t>38 (1).tif</t>
        </is>
      </c>
      <c r="C1650" t="n">
        <v>354</v>
      </c>
      <c r="D1650" t="n">
        <v>364</v>
      </c>
      <c r="E1650" t="inlineStr">
        <is>
          <t>315,327,394,402</t>
        </is>
      </c>
      <c r="F1650" t="n">
        <v>315</v>
      </c>
      <c r="G1650" t="inlineStr">
        <is>
          <t>primary</t>
        </is>
      </c>
      <c r="H1650" t="inlineStr">
        <is>
          <t>AUTO_VESSEL</t>
        </is>
      </c>
      <c r="I1650" t="inlineStr">
        <is>
          <t>是</t>
        </is>
      </c>
      <c r="J1650" t="inlineStr">
        <is>
          <t>纳入</t>
        </is>
      </c>
      <c r="K1650" t="n">
        <v>143.3837429111531</v>
      </c>
      <c r="L1650">
        <f>导管母表_1781!G1650</f>
        <v/>
      </c>
      <c r="M1650" t="inlineStr">
        <is>
          <t>视野内部</t>
        </is>
      </c>
      <c r="N1650" t="inlineStr">
        <is>
          <t>纳入A/D/Dh；若有Pair_ID则纳入CWR</t>
        </is>
      </c>
      <c r="O1650" t="inlineStr">
        <is>
          <t>自动管线检出的合格导管腔。</t>
        </is>
      </c>
      <c r="P1650" t="inlineStr">
        <is>
          <t>auto_pipeline;review_png_green</t>
        </is>
      </c>
      <c r="R1650" t="inlineStr">
        <is>
          <t>样品38</t>
        </is>
      </c>
    </row>
    <row r="1651">
      <c r="A1651" t="inlineStr">
        <is>
          <t>38(1)-V08</t>
        </is>
      </c>
      <c r="B1651" t="inlineStr">
        <is>
          <t>38 (1).tif</t>
        </is>
      </c>
      <c r="C1651" t="n">
        <v>157</v>
      </c>
      <c r="D1651" t="n">
        <v>293</v>
      </c>
      <c r="E1651" t="inlineStr">
        <is>
          <t>118,263,197,324</t>
        </is>
      </c>
      <c r="F1651" t="n">
        <v>118</v>
      </c>
      <c r="G1651" t="inlineStr">
        <is>
          <t>primary</t>
        </is>
      </c>
      <c r="H1651" t="inlineStr">
        <is>
          <t>AUTO_VESSEL</t>
        </is>
      </c>
      <c r="I1651" t="inlineStr">
        <is>
          <t>是</t>
        </is>
      </c>
      <c r="J1651" t="inlineStr">
        <is>
          <t>纳入</t>
        </is>
      </c>
      <c r="K1651" t="n">
        <v>133.9319470699433</v>
      </c>
      <c r="L1651">
        <f>导管母表_1781!G1651</f>
        <v/>
      </c>
      <c r="M1651" t="inlineStr">
        <is>
          <t>视野内部</t>
        </is>
      </c>
      <c r="N1651" t="inlineStr">
        <is>
          <t>纳入A/D/Dh；若有Pair_ID则纳入CWR</t>
        </is>
      </c>
      <c r="O1651" t="inlineStr">
        <is>
          <t>自动管线检出的合格导管腔。</t>
        </is>
      </c>
      <c r="P1651" t="inlineStr">
        <is>
          <t>auto_pipeline;review_png_green</t>
        </is>
      </c>
      <c r="R1651" t="inlineStr">
        <is>
          <t>样品38</t>
        </is>
      </c>
    </row>
    <row r="1652">
      <c r="A1652" t="inlineStr">
        <is>
          <t>38(2)-V01</t>
        </is>
      </c>
      <c r="B1652" t="inlineStr">
        <is>
          <t>38 (2).tif</t>
        </is>
      </c>
      <c r="C1652" t="n">
        <v>507</v>
      </c>
      <c r="D1652" t="n">
        <v>110</v>
      </c>
      <c r="E1652" t="inlineStr">
        <is>
          <t>410,13,605,208</t>
        </is>
      </c>
      <c r="F1652" t="n">
        <v>13</v>
      </c>
      <c r="G1652" t="inlineStr">
        <is>
          <t>primary</t>
        </is>
      </c>
      <c r="H1652" t="inlineStr">
        <is>
          <t>AUTO_VESSEL</t>
        </is>
      </c>
      <c r="I1652" t="inlineStr">
        <is>
          <t>是</t>
        </is>
      </c>
      <c r="J1652" t="inlineStr">
        <is>
          <t>纳入</t>
        </is>
      </c>
      <c r="K1652" t="n">
        <v>1379.347826086957</v>
      </c>
      <c r="L1652">
        <f>导管母表_1781!G1652</f>
        <v/>
      </c>
      <c r="M1652" t="inlineStr">
        <is>
          <t>近边缘（&lt;25 px）</t>
        </is>
      </c>
      <c r="N1652" t="inlineStr">
        <is>
          <t>纳入A/D/Dh；若有Pair_ID则纳入CWR</t>
        </is>
      </c>
      <c r="O1652" t="inlineStr">
        <is>
          <t>自动管线检出的合格导管腔。</t>
        </is>
      </c>
      <c r="P1652" t="inlineStr">
        <is>
          <t>auto_pipeline;review_png_green</t>
        </is>
      </c>
      <c r="R1652" t="inlineStr">
        <is>
          <t>样品38</t>
        </is>
      </c>
    </row>
    <row r="1653">
      <c r="A1653" t="inlineStr">
        <is>
          <t>38(2)-V02</t>
        </is>
      </c>
      <c r="B1653" t="inlineStr">
        <is>
          <t>38 (2).tif</t>
        </is>
      </c>
      <c r="C1653" t="n">
        <v>532</v>
      </c>
      <c r="D1653" t="n">
        <v>488</v>
      </c>
      <c r="E1653" t="inlineStr">
        <is>
          <t>451,406,614,571</t>
        </is>
      </c>
      <c r="F1653" t="n">
        <v>197</v>
      </c>
      <c r="G1653" t="inlineStr">
        <is>
          <t>primary</t>
        </is>
      </c>
      <c r="H1653" t="inlineStr">
        <is>
          <t>AUTO_VESSEL</t>
        </is>
      </c>
      <c r="I1653" t="inlineStr">
        <is>
          <t>是</t>
        </is>
      </c>
      <c r="J1653" t="inlineStr">
        <is>
          <t>纳入</t>
        </is>
      </c>
      <c r="K1653" t="n">
        <v>985.9877126654064</v>
      </c>
      <c r="L1653">
        <f>导管母表_1781!G1653</f>
        <v/>
      </c>
      <c r="M1653" t="inlineStr">
        <is>
          <t>视野内部</t>
        </is>
      </c>
      <c r="N1653" t="inlineStr">
        <is>
          <t>纳入A/D/Dh；若有Pair_ID则纳入CWR</t>
        </is>
      </c>
      <c r="O1653" t="inlineStr">
        <is>
          <t>自动管线检出的合格导管腔。</t>
        </is>
      </c>
      <c r="P1653" t="inlineStr">
        <is>
          <t>auto_pipeline;review_png_green</t>
        </is>
      </c>
      <c r="R1653" t="inlineStr">
        <is>
          <t>样品38</t>
        </is>
      </c>
    </row>
    <row r="1654">
      <c r="A1654" t="inlineStr">
        <is>
          <t>38(2)-V03</t>
        </is>
      </c>
      <c r="B1654" t="inlineStr">
        <is>
          <t>38 (2).tif</t>
        </is>
      </c>
      <c r="C1654" t="n">
        <v>638</v>
      </c>
      <c r="D1654" t="n">
        <v>286</v>
      </c>
      <c r="E1654" t="inlineStr">
        <is>
          <t>616,243,661,330</t>
        </is>
      </c>
      <c r="F1654" t="n">
        <v>243</v>
      </c>
      <c r="G1654" t="inlineStr">
        <is>
          <t>primary</t>
        </is>
      </c>
      <c r="H1654" t="inlineStr">
        <is>
          <t>AUTO_VESSEL</t>
        </is>
      </c>
      <c r="I1654" t="inlineStr">
        <is>
          <t>是</t>
        </is>
      </c>
      <c r="J1654" t="inlineStr">
        <is>
          <t>纳入</t>
        </is>
      </c>
      <c r="K1654" t="n">
        <v>134.4045368620038</v>
      </c>
      <c r="L1654">
        <f>导管母表_1781!G1654</f>
        <v/>
      </c>
      <c r="M1654" t="inlineStr">
        <is>
          <t>视野内部</t>
        </is>
      </c>
      <c r="N1654" t="inlineStr">
        <is>
          <t>纳入A/D/Dh；若有Pair_ID则纳入CWR</t>
        </is>
      </c>
      <c r="O1654" t="inlineStr">
        <is>
          <t>自动管线检出的合格导管腔。</t>
        </is>
      </c>
      <c r="P1654" t="inlineStr">
        <is>
          <t>auto_pipeline;review_png_green</t>
        </is>
      </c>
      <c r="R1654" t="inlineStr">
        <is>
          <t>样品38</t>
        </is>
      </c>
    </row>
    <row r="1655">
      <c r="A1655" t="inlineStr">
        <is>
          <t>38(3)-V01</t>
        </is>
      </c>
      <c r="B1655" t="inlineStr">
        <is>
          <t>38 (3).tif</t>
        </is>
      </c>
      <c r="C1655" t="n">
        <v>499</v>
      </c>
      <c r="D1655" t="n">
        <v>263</v>
      </c>
      <c r="E1655" t="inlineStr">
        <is>
          <t>406,178,593,349</t>
        </is>
      </c>
      <c r="F1655" t="n">
        <v>178</v>
      </c>
      <c r="G1655" t="inlineStr">
        <is>
          <t>primary</t>
        </is>
      </c>
      <c r="H1655" t="inlineStr">
        <is>
          <t>AUTO_VESSEL</t>
        </is>
      </c>
      <c r="I1655" t="inlineStr">
        <is>
          <t>是</t>
        </is>
      </c>
      <c r="J1655" t="inlineStr">
        <is>
          <t>纳入</t>
        </is>
      </c>
      <c r="K1655" t="n">
        <v>1165.524574669187</v>
      </c>
      <c r="L1655">
        <f>导管母表_1781!G1655</f>
        <v/>
      </c>
      <c r="M1655" t="inlineStr">
        <is>
          <t>视野内部</t>
        </is>
      </c>
      <c r="N1655" t="inlineStr">
        <is>
          <t>纳入A/D/Dh；若有Pair_ID则纳入CWR</t>
        </is>
      </c>
      <c r="O1655" t="inlineStr">
        <is>
          <t>自动管线检出的合格导管腔。</t>
        </is>
      </c>
      <c r="P1655" t="inlineStr">
        <is>
          <t>auto_pipeline;review_png_green</t>
        </is>
      </c>
      <c r="Q1655" t="inlineStr">
        <is>
          <t>38(3)-P01</t>
        </is>
      </c>
      <c r="R1655" t="inlineStr">
        <is>
          <t>样品38</t>
        </is>
      </c>
    </row>
    <row r="1656">
      <c r="A1656" t="inlineStr">
        <is>
          <t>38(3)-V02</t>
        </is>
      </c>
      <c r="B1656" t="inlineStr">
        <is>
          <t>38 (3).tif</t>
        </is>
      </c>
      <c r="C1656" t="n">
        <v>435</v>
      </c>
      <c r="D1656" t="n">
        <v>435</v>
      </c>
      <c r="E1656" t="inlineStr">
        <is>
          <t>352,355,519,516</t>
        </is>
      </c>
      <c r="F1656" t="n">
        <v>252</v>
      </c>
      <c r="G1656" t="inlineStr">
        <is>
          <t>primary</t>
        </is>
      </c>
      <c r="H1656" t="inlineStr">
        <is>
          <t>AUTO_VESSEL</t>
        </is>
      </c>
      <c r="I1656" t="inlineStr">
        <is>
          <t>是</t>
        </is>
      </c>
      <c r="J1656" t="inlineStr">
        <is>
          <t>纳入</t>
        </is>
      </c>
      <c r="K1656" t="n">
        <v>980.6238185255198</v>
      </c>
      <c r="L1656">
        <f>导管母表_1781!G1656</f>
        <v/>
      </c>
      <c r="M1656" t="inlineStr">
        <is>
          <t>视野内部</t>
        </is>
      </c>
      <c r="N1656" t="inlineStr">
        <is>
          <t>纳入A/D/Dh；若有Pair_ID则纳入CWR</t>
        </is>
      </c>
      <c r="O1656" t="inlineStr">
        <is>
          <t>自动管线检出的合格导管腔。</t>
        </is>
      </c>
      <c r="P1656" t="inlineStr">
        <is>
          <t>auto_pipeline;review_png_green</t>
        </is>
      </c>
      <c r="Q1656" t="inlineStr">
        <is>
          <t>38(3)-P01</t>
        </is>
      </c>
      <c r="R1656" t="inlineStr">
        <is>
          <t>样品38</t>
        </is>
      </c>
    </row>
    <row r="1657">
      <c r="A1657" t="inlineStr">
        <is>
          <t>38(3)-V03</t>
        </is>
      </c>
      <c r="B1657" t="inlineStr">
        <is>
          <t>38 (3).tif</t>
        </is>
      </c>
      <c r="C1657" t="n">
        <v>235</v>
      </c>
      <c r="D1657" t="n">
        <v>594</v>
      </c>
      <c r="E1657" t="inlineStr">
        <is>
          <t>169,529,302,660</t>
        </is>
      </c>
      <c r="F1657" t="n">
        <v>108</v>
      </c>
      <c r="G1657" t="inlineStr">
        <is>
          <t>primary</t>
        </is>
      </c>
      <c r="H1657" t="inlineStr">
        <is>
          <t>AUTO_VESSEL</t>
        </is>
      </c>
      <c r="I1657" t="inlineStr">
        <is>
          <t>是</t>
        </is>
      </c>
      <c r="J1657" t="inlineStr">
        <is>
          <t>纳入</t>
        </is>
      </c>
      <c r="K1657" t="n">
        <v>636.7202268431001</v>
      </c>
      <c r="L1657">
        <f>导管母表_1781!G1657</f>
        <v/>
      </c>
      <c r="M1657" t="inlineStr">
        <is>
          <t>视野内部</t>
        </is>
      </c>
      <c r="N1657" t="inlineStr">
        <is>
          <t>纳入A/D/Dh；若有Pair_ID则纳入CWR</t>
        </is>
      </c>
      <c r="O1657" t="inlineStr">
        <is>
          <t>自动管线检出的合格导管腔。</t>
        </is>
      </c>
      <c r="P1657" t="inlineStr">
        <is>
          <t>auto_pipeline;review_png_green</t>
        </is>
      </c>
      <c r="R1657" t="inlineStr">
        <is>
          <t>样品38</t>
        </is>
      </c>
    </row>
    <row r="1658">
      <c r="A1658" t="inlineStr">
        <is>
          <t>38(3)-V04</t>
        </is>
      </c>
      <c r="B1658" t="inlineStr">
        <is>
          <t>38 (3).tif</t>
        </is>
      </c>
      <c r="C1658" t="n">
        <v>89</v>
      </c>
      <c r="D1658" t="n">
        <v>595</v>
      </c>
      <c r="E1658" t="inlineStr">
        <is>
          <t>65,540,114,651</t>
        </is>
      </c>
      <c r="F1658" t="n">
        <v>65</v>
      </c>
      <c r="G1658" t="inlineStr">
        <is>
          <t>primary</t>
        </is>
      </c>
      <c r="H1658" t="inlineStr">
        <is>
          <t>AUTO_VESSEL</t>
        </is>
      </c>
      <c r="I1658" t="inlineStr">
        <is>
          <t>是</t>
        </is>
      </c>
      <c r="J1658" t="inlineStr">
        <is>
          <t>纳入</t>
        </is>
      </c>
      <c r="K1658" t="n">
        <v>166.2334593572779</v>
      </c>
      <c r="L1658">
        <f>导管母表_1781!G1658</f>
        <v/>
      </c>
      <c r="M1658" t="inlineStr">
        <is>
          <t>视野内部</t>
        </is>
      </c>
      <c r="N1658" t="inlineStr">
        <is>
          <t>纳入A/D/Dh；若有Pair_ID则纳入CWR</t>
        </is>
      </c>
      <c r="O1658" t="inlineStr">
        <is>
          <t>自动管线检出的合格导管腔。</t>
        </is>
      </c>
      <c r="P1658" t="inlineStr">
        <is>
          <t>auto_pipeline;review_png_green</t>
        </is>
      </c>
      <c r="R1658" t="inlineStr">
        <is>
          <t>样品38</t>
        </is>
      </c>
    </row>
    <row r="1659">
      <c r="A1659" t="inlineStr">
        <is>
          <t>38(3)-V05</t>
        </is>
      </c>
      <c r="B1659" t="inlineStr">
        <is>
          <t>38 (3).tif</t>
        </is>
      </c>
      <c r="C1659" t="n">
        <v>342</v>
      </c>
      <c r="D1659" t="n">
        <v>343</v>
      </c>
      <c r="E1659" t="inlineStr">
        <is>
          <t>311,306,374,381</t>
        </is>
      </c>
      <c r="F1659" t="n">
        <v>306</v>
      </c>
      <c r="G1659" t="inlineStr">
        <is>
          <t>primary</t>
        </is>
      </c>
      <c r="H1659" t="inlineStr">
        <is>
          <t>AUTO_VESSEL</t>
        </is>
      </c>
      <c r="I1659" t="inlineStr">
        <is>
          <t>是</t>
        </is>
      </c>
      <c r="J1659" t="inlineStr">
        <is>
          <t>纳入</t>
        </is>
      </c>
      <c r="K1659" t="n">
        <v>149.4565217391304</v>
      </c>
      <c r="L1659">
        <f>导管母表_1781!G1659</f>
        <v/>
      </c>
      <c r="M1659" t="inlineStr">
        <is>
          <t>视野内部</t>
        </is>
      </c>
      <c r="N1659" t="inlineStr">
        <is>
          <t>纳入A/D/Dh；若有Pair_ID则纳入CWR</t>
        </is>
      </c>
      <c r="O1659" t="inlineStr">
        <is>
          <t>自动管线检出的合格导管腔。</t>
        </is>
      </c>
      <c r="P1659" t="inlineStr">
        <is>
          <t>auto_pipeline;review_png_green</t>
        </is>
      </c>
      <c r="R1659" t="inlineStr">
        <is>
          <t>样品38</t>
        </is>
      </c>
    </row>
    <row r="1660">
      <c r="A1660" t="inlineStr">
        <is>
          <t>38(3)-V06</t>
        </is>
      </c>
      <c r="B1660" t="inlineStr">
        <is>
          <t>38 (3).tif</t>
        </is>
      </c>
      <c r="C1660" t="n">
        <v>472</v>
      </c>
      <c r="D1660" t="n">
        <v>49</v>
      </c>
      <c r="E1660" t="inlineStr">
        <is>
          <t>444,18,501,81</t>
        </is>
      </c>
      <c r="F1660" t="n">
        <v>18</v>
      </c>
      <c r="G1660" t="inlineStr">
        <is>
          <t>primary</t>
        </is>
      </c>
      <c r="H1660" t="inlineStr">
        <is>
          <t>AUTO_VESSEL</t>
        </is>
      </c>
      <c r="I1660" t="inlineStr">
        <is>
          <t>是</t>
        </is>
      </c>
      <c r="J1660" t="inlineStr">
        <is>
          <t>纳入</t>
        </is>
      </c>
      <c r="K1660" t="n">
        <v>127.4102079395085</v>
      </c>
      <c r="L1660">
        <f>导管母表_1781!G1660</f>
        <v/>
      </c>
      <c r="M1660" t="inlineStr">
        <is>
          <t>近边缘（&lt;25 px）</t>
        </is>
      </c>
      <c r="N1660" t="inlineStr">
        <is>
          <t>纳入A/D/Dh；若有Pair_ID则纳入CWR</t>
        </is>
      </c>
      <c r="O1660" t="inlineStr">
        <is>
          <t>自动管线检出的合格导管腔。</t>
        </is>
      </c>
      <c r="P1660" t="inlineStr">
        <is>
          <t>auto_pipeline;review_png_green</t>
        </is>
      </c>
      <c r="R1660" t="inlineStr">
        <is>
          <t>样品38</t>
        </is>
      </c>
    </row>
    <row r="1661">
      <c r="A1661" t="inlineStr">
        <is>
          <t>38(3)-V07</t>
        </is>
      </c>
      <c r="B1661" t="inlineStr">
        <is>
          <t>38 (3).tif</t>
        </is>
      </c>
      <c r="C1661" t="n">
        <v>987</v>
      </c>
      <c r="D1661" t="n">
        <v>356</v>
      </c>
      <c r="E1661" t="inlineStr">
        <is>
          <t>959,326,1016,387</t>
        </is>
      </c>
      <c r="F1661" t="n">
        <v>8</v>
      </c>
      <c r="G1661" t="inlineStr">
        <is>
          <t>primary</t>
        </is>
      </c>
      <c r="H1661" t="inlineStr">
        <is>
          <t>AUTO_VESSEL</t>
        </is>
      </c>
      <c r="I1661" t="inlineStr">
        <is>
          <t>是</t>
        </is>
      </c>
      <c r="J1661" t="inlineStr">
        <is>
          <t>纳入</t>
        </is>
      </c>
      <c r="K1661" t="n">
        <v>112.0746691871456</v>
      </c>
      <c r="L1661">
        <f>导管母表_1781!G1661</f>
        <v/>
      </c>
      <c r="M1661" t="inlineStr">
        <is>
          <t>近边缘（&lt;25 px）</t>
        </is>
      </c>
      <c r="N1661" t="inlineStr">
        <is>
          <t>纳入A/D/Dh；若有Pair_ID则纳入CWR</t>
        </is>
      </c>
      <c r="O1661" t="inlineStr">
        <is>
          <t>自动管线检出的合格导管腔。</t>
        </is>
      </c>
      <c r="P1661" t="inlineStr">
        <is>
          <t>auto_pipeline;review_png_green</t>
        </is>
      </c>
      <c r="R1661" t="inlineStr">
        <is>
          <t>样品38</t>
        </is>
      </c>
    </row>
    <row r="1662">
      <c r="A1662" t="inlineStr">
        <is>
          <t>38(4)-V01</t>
        </is>
      </c>
      <c r="B1662" t="inlineStr">
        <is>
          <t>38 (4).tif</t>
        </is>
      </c>
      <c r="C1662" t="n">
        <v>654</v>
      </c>
      <c r="D1662" t="n">
        <v>329</v>
      </c>
      <c r="E1662" t="inlineStr">
        <is>
          <t>549,220,760,439</t>
        </is>
      </c>
      <c r="F1662" t="n">
        <v>220</v>
      </c>
      <c r="G1662" t="inlineStr">
        <is>
          <t>primary</t>
        </is>
      </c>
      <c r="H1662" t="inlineStr">
        <is>
          <t>AUTO_VESSEL</t>
        </is>
      </c>
      <c r="I1662" t="inlineStr">
        <is>
          <t>是</t>
        </is>
      </c>
      <c r="J1662" t="inlineStr">
        <is>
          <t>纳入</t>
        </is>
      </c>
      <c r="K1662" t="n">
        <v>1669.943289224953</v>
      </c>
      <c r="L1662">
        <f>导管母表_1781!G1662</f>
        <v/>
      </c>
      <c r="M1662" t="inlineStr">
        <is>
          <t>视野内部</t>
        </is>
      </c>
      <c r="N1662" t="inlineStr">
        <is>
          <t>纳入A/D/Dh；若有Pair_ID则纳入CWR</t>
        </is>
      </c>
      <c r="O1662" t="inlineStr">
        <is>
          <t>自动管线检出的合格导管腔。</t>
        </is>
      </c>
      <c r="P1662" t="inlineStr">
        <is>
          <t>auto_pipeline;review_png_green</t>
        </is>
      </c>
      <c r="R1662" t="inlineStr">
        <is>
          <t>样品38</t>
        </is>
      </c>
    </row>
    <row r="1663">
      <c r="A1663" t="inlineStr">
        <is>
          <t>38(4)-V02</t>
        </is>
      </c>
      <c r="B1663" t="inlineStr">
        <is>
          <t>38 (4).tif</t>
        </is>
      </c>
      <c r="C1663" t="n">
        <v>432</v>
      </c>
      <c r="D1663" t="n">
        <v>383</v>
      </c>
      <c r="E1663" t="inlineStr">
        <is>
          <t>353,296,512,471</t>
        </is>
      </c>
      <c r="F1663" t="n">
        <v>296</v>
      </c>
      <c r="G1663" t="inlineStr">
        <is>
          <t>primary</t>
        </is>
      </c>
      <c r="H1663" t="inlineStr">
        <is>
          <t>AUTO_VESSEL</t>
        </is>
      </c>
      <c r="I1663" t="inlineStr">
        <is>
          <t>是</t>
        </is>
      </c>
      <c r="J1663" t="inlineStr">
        <is>
          <t>纳入</t>
        </is>
      </c>
      <c r="K1663" t="n">
        <v>950.8034026465028</v>
      </c>
      <c r="L1663">
        <f>导管母表_1781!G1663</f>
        <v/>
      </c>
      <c r="M1663" t="inlineStr">
        <is>
          <t>视野内部</t>
        </is>
      </c>
      <c r="N1663" t="inlineStr">
        <is>
          <t>纳入A/D/Dh；若有Pair_ID则纳入CWR</t>
        </is>
      </c>
      <c r="O1663" t="inlineStr">
        <is>
          <t>自动管线检出的合格导管腔。</t>
        </is>
      </c>
      <c r="P1663" t="inlineStr">
        <is>
          <t>auto_pipeline;review_png_green</t>
        </is>
      </c>
      <c r="R1663" t="inlineStr">
        <is>
          <t>样品38</t>
        </is>
      </c>
    </row>
    <row r="1664">
      <c r="A1664" t="inlineStr">
        <is>
          <t>38(4)-V03</t>
        </is>
      </c>
      <c r="B1664" t="inlineStr">
        <is>
          <t>38 (4).tif</t>
        </is>
      </c>
      <c r="C1664" t="n">
        <v>747</v>
      </c>
      <c r="D1664" t="n">
        <v>588</v>
      </c>
      <c r="E1664" t="inlineStr">
        <is>
          <t>651,548,844,629</t>
        </is>
      </c>
      <c r="F1664" t="n">
        <v>139</v>
      </c>
      <c r="G1664" t="inlineStr">
        <is>
          <t>primary</t>
        </is>
      </c>
      <c r="H1664" t="inlineStr">
        <is>
          <t>AUTO_VESSEL</t>
        </is>
      </c>
      <c r="I1664" t="inlineStr">
        <is>
          <t>是</t>
        </is>
      </c>
      <c r="J1664" t="inlineStr">
        <is>
          <t>纳入</t>
        </is>
      </c>
      <c r="K1664" t="n">
        <v>318.7618147448015</v>
      </c>
      <c r="L1664">
        <f>导管母表_1781!G1664</f>
        <v/>
      </c>
      <c r="M1664" t="inlineStr">
        <is>
          <t>视野内部</t>
        </is>
      </c>
      <c r="N1664" t="inlineStr">
        <is>
          <t>纳入A/D/Dh；若有Pair_ID则纳入CWR</t>
        </is>
      </c>
      <c r="O1664" t="inlineStr">
        <is>
          <t>自动管线检出的合格导管腔。</t>
        </is>
      </c>
      <c r="P1664" t="inlineStr">
        <is>
          <t>auto_pipeline;review_png_green</t>
        </is>
      </c>
      <c r="R1664" t="inlineStr">
        <is>
          <t>样品38</t>
        </is>
      </c>
    </row>
    <row r="1665">
      <c r="A1665" t="inlineStr">
        <is>
          <t>38(4)-V04</t>
        </is>
      </c>
      <c r="B1665" t="inlineStr">
        <is>
          <t>38 (4).tif</t>
        </is>
      </c>
      <c r="C1665" t="n">
        <v>73</v>
      </c>
      <c r="D1665" t="n">
        <v>398</v>
      </c>
      <c r="E1665" t="inlineStr">
        <is>
          <t>19,370,128,427</t>
        </is>
      </c>
      <c r="F1665" t="n">
        <v>19</v>
      </c>
      <c r="G1665" t="inlineStr">
        <is>
          <t>primary</t>
        </is>
      </c>
      <c r="H1665" t="inlineStr">
        <is>
          <t>AUTO_VESSEL</t>
        </is>
      </c>
      <c r="I1665" t="inlineStr">
        <is>
          <t>是</t>
        </is>
      </c>
      <c r="J1665" t="inlineStr">
        <is>
          <t>纳入</t>
        </is>
      </c>
      <c r="K1665" t="n">
        <v>212.1928166351607</v>
      </c>
      <c r="L1665">
        <f>导管母表_1781!G1665</f>
        <v/>
      </c>
      <c r="M1665" t="inlineStr">
        <is>
          <t>近边缘（&lt;25 px）</t>
        </is>
      </c>
      <c r="N1665" t="inlineStr">
        <is>
          <t>纳入A/D/Dh；若有Pair_ID则纳入CWR</t>
        </is>
      </c>
      <c r="O1665" t="inlineStr">
        <is>
          <t>自动管线检出的合格导管腔。</t>
        </is>
      </c>
      <c r="P1665" t="inlineStr">
        <is>
          <t>auto_pipeline;review_png_green</t>
        </is>
      </c>
      <c r="R1665" t="inlineStr">
        <is>
          <t>样品38</t>
        </is>
      </c>
    </row>
    <row r="1666">
      <c r="A1666" t="inlineStr">
        <is>
          <t>38(4)-V05</t>
        </is>
      </c>
      <c r="B1666" t="inlineStr">
        <is>
          <t>38 (4).tif</t>
        </is>
      </c>
      <c r="C1666" t="n">
        <v>194</v>
      </c>
      <c r="D1666" t="n">
        <v>367</v>
      </c>
      <c r="E1666" t="inlineStr">
        <is>
          <t>142,335,247,400</t>
        </is>
      </c>
      <c r="F1666" t="n">
        <v>142</v>
      </c>
      <c r="G1666" t="inlineStr">
        <is>
          <t>primary</t>
        </is>
      </c>
      <c r="H1666" t="inlineStr">
        <is>
          <t>AUTO_VESSEL</t>
        </is>
      </c>
      <c r="I1666" t="inlineStr">
        <is>
          <t>是</t>
        </is>
      </c>
      <c r="J1666" t="inlineStr">
        <is>
          <t>纳入</t>
        </is>
      </c>
      <c r="K1666" t="n">
        <v>199.5037807183365</v>
      </c>
      <c r="L1666">
        <f>导管母表_1781!G1666</f>
        <v/>
      </c>
      <c r="M1666" t="inlineStr">
        <is>
          <t>视野内部</t>
        </is>
      </c>
      <c r="N1666" t="inlineStr">
        <is>
          <t>纳入A/D/Dh；若有Pair_ID则纳入CWR</t>
        </is>
      </c>
      <c r="O1666" t="inlineStr">
        <is>
          <t>自动管线检出的合格导管腔。</t>
        </is>
      </c>
      <c r="P1666" t="inlineStr">
        <is>
          <t>auto_pipeline;review_png_green</t>
        </is>
      </c>
      <c r="R1666" t="inlineStr">
        <is>
          <t>样品38</t>
        </is>
      </c>
    </row>
    <row r="1667">
      <c r="A1667" t="inlineStr">
        <is>
          <t>38(4)-V06</t>
        </is>
      </c>
      <c r="B1667" t="inlineStr">
        <is>
          <t>38 (4).tif</t>
        </is>
      </c>
      <c r="C1667" t="n">
        <v>926</v>
      </c>
      <c r="D1667" t="n">
        <v>310</v>
      </c>
      <c r="E1667" t="inlineStr">
        <is>
          <t>887,279,966,342</t>
        </is>
      </c>
      <c r="F1667" t="n">
        <v>58</v>
      </c>
      <c r="G1667" t="inlineStr">
        <is>
          <t>primary</t>
        </is>
      </c>
      <c r="H1667" t="inlineStr">
        <is>
          <t>AUTO_VESSEL</t>
        </is>
      </c>
      <c r="I1667" t="inlineStr">
        <is>
          <t>是</t>
        </is>
      </c>
      <c r="J1667" t="inlineStr">
        <is>
          <t>纳入</t>
        </is>
      </c>
      <c r="K1667" t="n">
        <v>165.6427221172023</v>
      </c>
      <c r="L1667">
        <f>导管母表_1781!G1667</f>
        <v/>
      </c>
      <c r="M1667" t="inlineStr">
        <is>
          <t>视野内部</t>
        </is>
      </c>
      <c r="N1667" t="inlineStr">
        <is>
          <t>纳入A/D/Dh；若有Pair_ID则纳入CWR</t>
        </is>
      </c>
      <c r="O1667" t="inlineStr">
        <is>
          <t>自动管线检出的合格导管腔。</t>
        </is>
      </c>
      <c r="P1667" t="inlineStr">
        <is>
          <t>auto_pipeline;review_png_green</t>
        </is>
      </c>
      <c r="R1667" t="inlineStr">
        <is>
          <t>样品38</t>
        </is>
      </c>
    </row>
    <row r="1668">
      <c r="A1668" t="inlineStr">
        <is>
          <t>38(5)-V01</t>
        </is>
      </c>
      <c r="B1668" t="inlineStr">
        <is>
          <t>38 (5).tif</t>
        </is>
      </c>
      <c r="C1668" t="n">
        <v>577</v>
      </c>
      <c r="D1668" t="n">
        <v>364</v>
      </c>
      <c r="E1668" t="inlineStr">
        <is>
          <t>493,279,662,450</t>
        </is>
      </c>
      <c r="F1668" t="n">
        <v>279</v>
      </c>
      <c r="G1668" t="inlineStr">
        <is>
          <t>primary</t>
        </is>
      </c>
      <c r="H1668" t="inlineStr">
        <is>
          <t>AUTO_VESSEL</t>
        </is>
      </c>
      <c r="I1668" t="inlineStr">
        <is>
          <t>是</t>
        </is>
      </c>
      <c r="J1668" t="inlineStr">
        <is>
          <t>纳入</t>
        </is>
      </c>
      <c r="K1668" t="n">
        <v>1058.175803402647</v>
      </c>
      <c r="L1668">
        <f>导管母表_1781!G1668</f>
        <v/>
      </c>
      <c r="M1668" t="inlineStr">
        <is>
          <t>视野内部</t>
        </is>
      </c>
      <c r="N1668" t="inlineStr">
        <is>
          <t>纳入A/D/Dh；若有Pair_ID则纳入CWR</t>
        </is>
      </c>
      <c r="O1668" t="inlineStr">
        <is>
          <t>自动管线检出的合格导管腔。</t>
        </is>
      </c>
      <c r="P1668" t="inlineStr">
        <is>
          <t>auto_pipeline;review_png_green</t>
        </is>
      </c>
      <c r="R1668" t="inlineStr">
        <is>
          <t>样品38</t>
        </is>
      </c>
    </row>
    <row r="1669">
      <c r="A1669" t="inlineStr">
        <is>
          <t>38(5)-V02</t>
        </is>
      </c>
      <c r="B1669" t="inlineStr">
        <is>
          <t>38 (5).tif</t>
        </is>
      </c>
      <c r="C1669" t="n">
        <v>366</v>
      </c>
      <c r="D1669" t="n">
        <v>364</v>
      </c>
      <c r="E1669" t="inlineStr">
        <is>
          <t>279,291,454,438</t>
        </is>
      </c>
      <c r="F1669" t="n">
        <v>279</v>
      </c>
      <c r="G1669" t="inlineStr">
        <is>
          <t>primary</t>
        </is>
      </c>
      <c r="H1669" t="inlineStr">
        <is>
          <t>AUTO_VESSEL</t>
        </is>
      </c>
      <c r="I1669" t="inlineStr">
        <is>
          <t>是</t>
        </is>
      </c>
      <c r="J1669" t="inlineStr">
        <is>
          <t>纳入</t>
        </is>
      </c>
      <c r="K1669" t="n">
        <v>892.249527410208</v>
      </c>
      <c r="L1669">
        <f>导管母表_1781!G1669</f>
        <v/>
      </c>
      <c r="M1669" t="inlineStr">
        <is>
          <t>视野内部</t>
        </is>
      </c>
      <c r="N1669" t="inlineStr">
        <is>
          <t>纳入A/D/Dh；若有Pair_ID则纳入CWR</t>
        </is>
      </c>
      <c r="O1669" t="inlineStr">
        <is>
          <t>自动管线检出的合格导管腔。</t>
        </is>
      </c>
      <c r="P1669" t="inlineStr">
        <is>
          <t>auto_pipeline;review_png_green</t>
        </is>
      </c>
      <c r="R1669" t="inlineStr">
        <is>
          <t>样品38</t>
        </is>
      </c>
    </row>
    <row r="1670">
      <c r="A1670" t="inlineStr">
        <is>
          <t>38(5)-V03</t>
        </is>
      </c>
      <c r="B1670" t="inlineStr">
        <is>
          <t>38 (5).tif</t>
        </is>
      </c>
      <c r="C1670" t="n">
        <v>863</v>
      </c>
      <c r="D1670" t="n">
        <v>394</v>
      </c>
      <c r="E1670" t="inlineStr">
        <is>
          <t>808,357,919,432</t>
        </is>
      </c>
      <c r="F1670" t="n">
        <v>105</v>
      </c>
      <c r="G1670" t="inlineStr">
        <is>
          <t>primary</t>
        </is>
      </c>
      <c r="H1670" t="inlineStr">
        <is>
          <t>AUTO_VESSEL</t>
        </is>
      </c>
      <c r="I1670" t="inlineStr">
        <is>
          <t>是</t>
        </is>
      </c>
      <c r="J1670" t="inlineStr">
        <is>
          <t>纳入</t>
        </is>
      </c>
      <c r="K1670" t="n">
        <v>295.7466918714556</v>
      </c>
      <c r="L1670">
        <f>导管母表_1781!G1670</f>
        <v/>
      </c>
      <c r="M1670" t="inlineStr">
        <is>
          <t>视野内部</t>
        </is>
      </c>
      <c r="N1670" t="inlineStr">
        <is>
          <t>纳入A/D/Dh；若有Pair_ID则纳入CWR</t>
        </is>
      </c>
      <c r="O1670" t="inlineStr">
        <is>
          <t>自动管线检出的合格导管腔。</t>
        </is>
      </c>
      <c r="P1670" t="inlineStr">
        <is>
          <t>auto_pipeline;review_png_green</t>
        </is>
      </c>
      <c r="R1670" t="inlineStr">
        <is>
          <t>样品38</t>
        </is>
      </c>
    </row>
    <row r="1671">
      <c r="A1671" t="inlineStr">
        <is>
          <t>38(5)-V04</t>
        </is>
      </c>
      <c r="B1671" t="inlineStr">
        <is>
          <t>38 (5).tif</t>
        </is>
      </c>
      <c r="C1671" t="n">
        <v>501</v>
      </c>
      <c r="D1671" t="n">
        <v>476</v>
      </c>
      <c r="E1671" t="inlineStr">
        <is>
          <t>440,461,563,492</t>
        </is>
      </c>
      <c r="F1671" t="n">
        <v>276</v>
      </c>
      <c r="G1671" t="inlineStr">
        <is>
          <t>primary</t>
        </is>
      </c>
      <c r="H1671" t="inlineStr">
        <is>
          <t>AUTO_VESSEL</t>
        </is>
      </c>
      <c r="I1671" t="inlineStr">
        <is>
          <t>是</t>
        </is>
      </c>
      <c r="J1671" t="inlineStr">
        <is>
          <t>纳入</t>
        </is>
      </c>
      <c r="K1671" t="n">
        <v>136.0586011342155</v>
      </c>
      <c r="L1671">
        <f>导管母表_1781!G1671</f>
        <v/>
      </c>
      <c r="M1671" t="inlineStr">
        <is>
          <t>视野内部</t>
        </is>
      </c>
      <c r="N1671" t="inlineStr">
        <is>
          <t>纳入A/D/Dh；若有Pair_ID则纳入CWR</t>
        </is>
      </c>
      <c r="O1671" t="inlineStr">
        <is>
          <t>自动管线检出的合格导管腔。</t>
        </is>
      </c>
      <c r="P1671" t="inlineStr">
        <is>
          <t>auto_pipeline;review_png_green</t>
        </is>
      </c>
      <c r="R1671" t="inlineStr">
        <is>
          <t>样品38</t>
        </is>
      </c>
    </row>
    <row r="1672">
      <c r="A1672" t="inlineStr">
        <is>
          <t>38(5)-V05</t>
        </is>
      </c>
      <c r="B1672" t="inlineStr">
        <is>
          <t>38 (5).tif</t>
        </is>
      </c>
      <c r="C1672" t="n">
        <v>970</v>
      </c>
      <c r="D1672" t="n">
        <v>222</v>
      </c>
      <c r="E1672" t="inlineStr">
        <is>
          <t>924,204,1017,241</t>
        </is>
      </c>
      <c r="F1672" t="n">
        <v>7</v>
      </c>
      <c r="G1672" t="inlineStr">
        <is>
          <t>primary</t>
        </is>
      </c>
      <c r="H1672" t="inlineStr">
        <is>
          <t>AUTO_VESSEL</t>
        </is>
      </c>
      <c r="I1672" t="inlineStr">
        <is>
          <t>是</t>
        </is>
      </c>
      <c r="J1672" t="inlineStr">
        <is>
          <t>纳入</t>
        </is>
      </c>
      <c r="K1672" t="n">
        <v>116.5879017013232</v>
      </c>
      <c r="L1672">
        <f>导管母表_1781!G1672</f>
        <v/>
      </c>
      <c r="M1672" t="inlineStr">
        <is>
          <t>近边缘（&lt;25 px）</t>
        </is>
      </c>
      <c r="N1672" t="inlineStr">
        <is>
          <t>纳入A/D/Dh；若有Pair_ID则纳入CWR</t>
        </is>
      </c>
      <c r="O1672" t="inlineStr">
        <is>
          <t>自动管线检出的合格导管腔。</t>
        </is>
      </c>
      <c r="P1672" t="inlineStr">
        <is>
          <t>auto_pipeline;review_png_green</t>
        </is>
      </c>
      <c r="R1672" t="inlineStr">
        <is>
          <t>样品38</t>
        </is>
      </c>
    </row>
    <row r="1673">
      <c r="A1673" t="inlineStr">
        <is>
          <t>38(5)-V06</t>
        </is>
      </c>
      <c r="B1673" t="inlineStr">
        <is>
          <t>38 (5).tif</t>
        </is>
      </c>
      <c r="C1673" t="n">
        <v>857</v>
      </c>
      <c r="D1673" t="n">
        <v>609</v>
      </c>
      <c r="E1673" t="inlineStr">
        <is>
          <t>824,586,891,633</t>
        </is>
      </c>
      <c r="F1673" t="n">
        <v>133</v>
      </c>
      <c r="G1673" t="inlineStr">
        <is>
          <t>primary</t>
        </is>
      </c>
      <c r="H1673" t="inlineStr">
        <is>
          <t>AUTO_VESSEL</t>
        </is>
      </c>
      <c r="I1673" t="inlineStr">
        <is>
          <t>是</t>
        </is>
      </c>
      <c r="J1673" t="inlineStr">
        <is>
          <t>纳入</t>
        </is>
      </c>
      <c r="K1673" t="n">
        <v>110.9877126654064</v>
      </c>
      <c r="L1673">
        <f>导管母表_1781!G1673</f>
        <v/>
      </c>
      <c r="M1673" t="inlineStr">
        <is>
          <t>视野内部</t>
        </is>
      </c>
      <c r="N1673" t="inlineStr">
        <is>
          <t>纳入A/D/Dh；若有Pair_ID则纳入CWR</t>
        </is>
      </c>
      <c r="O1673" t="inlineStr">
        <is>
          <t>自动管线检出的合格导管腔。</t>
        </is>
      </c>
      <c r="P1673" t="inlineStr">
        <is>
          <t>auto_pipeline;review_png_green</t>
        </is>
      </c>
      <c r="R1673" t="inlineStr">
        <is>
          <t>样品38</t>
        </is>
      </c>
    </row>
    <row r="1674">
      <c r="A1674" t="inlineStr">
        <is>
          <t>38(6)-V01</t>
        </is>
      </c>
      <c r="B1674" t="inlineStr">
        <is>
          <t>38 (6).tif</t>
        </is>
      </c>
      <c r="C1674" t="n">
        <v>523</v>
      </c>
      <c r="D1674" t="n">
        <v>371</v>
      </c>
      <c r="E1674" t="inlineStr">
        <is>
          <t>438,297,609,446</t>
        </is>
      </c>
      <c r="F1674" t="n">
        <v>297</v>
      </c>
      <c r="G1674" t="inlineStr">
        <is>
          <t>primary</t>
        </is>
      </c>
      <c r="H1674" t="inlineStr">
        <is>
          <t>AUTO_VESSEL</t>
        </is>
      </c>
      <c r="I1674" t="inlineStr">
        <is>
          <t>是</t>
        </is>
      </c>
      <c r="J1674" t="inlineStr">
        <is>
          <t>纳入</t>
        </is>
      </c>
      <c r="K1674" t="n">
        <v>914.0359168241966</v>
      </c>
      <c r="L1674">
        <f>导管母表_1781!G1674</f>
        <v/>
      </c>
      <c r="M1674" t="inlineStr">
        <is>
          <t>视野内部</t>
        </is>
      </c>
      <c r="N1674" t="inlineStr">
        <is>
          <t>纳入A/D/Dh；若有Pair_ID则纳入CWR</t>
        </is>
      </c>
      <c r="O1674" t="inlineStr">
        <is>
          <t>自动管线检出的合格导管腔。</t>
        </is>
      </c>
      <c r="P1674" t="inlineStr">
        <is>
          <t>auto_pipeline;review_png_green</t>
        </is>
      </c>
      <c r="Q1674" t="inlineStr">
        <is>
          <t>38(6)-P01</t>
        </is>
      </c>
      <c r="R1674" t="inlineStr">
        <is>
          <t>样品38</t>
        </is>
      </c>
    </row>
    <row r="1675">
      <c r="A1675" t="inlineStr">
        <is>
          <t>38(6)-V02</t>
        </is>
      </c>
      <c r="B1675" t="inlineStr">
        <is>
          <t>38 (6).tif</t>
        </is>
      </c>
      <c r="C1675" t="n">
        <v>359</v>
      </c>
      <c r="D1675" t="n">
        <v>368</v>
      </c>
      <c r="E1675" t="inlineStr">
        <is>
          <t>287,298,432,439</t>
        </is>
      </c>
      <c r="F1675" t="n">
        <v>287</v>
      </c>
      <c r="G1675" t="inlineStr">
        <is>
          <t>primary</t>
        </is>
      </c>
      <c r="H1675" t="inlineStr">
        <is>
          <t>AUTO_VESSEL</t>
        </is>
      </c>
      <c r="I1675" t="inlineStr">
        <is>
          <t>是</t>
        </is>
      </c>
      <c r="J1675" t="inlineStr">
        <is>
          <t>纳入</t>
        </is>
      </c>
      <c r="K1675" t="n">
        <v>746.4555765595463</v>
      </c>
      <c r="L1675">
        <f>导管母表_1781!G1675</f>
        <v/>
      </c>
      <c r="M1675" t="inlineStr">
        <is>
          <t>视野内部</t>
        </is>
      </c>
      <c r="N1675" t="inlineStr">
        <is>
          <t>纳入A/D/Dh；若有Pair_ID则纳入CWR</t>
        </is>
      </c>
      <c r="O1675" t="inlineStr">
        <is>
          <t>自动管线检出的合格导管腔。</t>
        </is>
      </c>
      <c r="P1675" t="inlineStr">
        <is>
          <t>auto_pipeline;review_png_green</t>
        </is>
      </c>
      <c r="Q1675" t="inlineStr">
        <is>
          <t>38(6)-P01</t>
        </is>
      </c>
      <c r="R1675" t="inlineStr">
        <is>
          <t>样品38</t>
        </is>
      </c>
    </row>
    <row r="1676">
      <c r="A1676" t="inlineStr">
        <is>
          <t>38(6)-V03</t>
        </is>
      </c>
      <c r="B1676" t="inlineStr">
        <is>
          <t>38 (6).tif</t>
        </is>
      </c>
      <c r="C1676" t="n">
        <v>950</v>
      </c>
      <c r="D1676" t="n">
        <v>261</v>
      </c>
      <c r="E1676" t="inlineStr">
        <is>
          <t>911,234,990,289</t>
        </is>
      </c>
      <c r="F1676" t="n">
        <v>34</v>
      </c>
      <c r="G1676" t="inlineStr">
        <is>
          <t>primary</t>
        </is>
      </c>
      <c r="H1676" t="inlineStr">
        <is>
          <t>AUTO_VESSEL</t>
        </is>
      </c>
      <c r="I1676" t="inlineStr">
        <is>
          <t>是</t>
        </is>
      </c>
      <c r="J1676" t="inlineStr">
        <is>
          <t>纳入</t>
        </is>
      </c>
      <c r="K1676" t="n">
        <v>146.2429111531191</v>
      </c>
      <c r="L1676">
        <f>导管母表_1781!G1676</f>
        <v/>
      </c>
      <c r="M1676" t="inlineStr">
        <is>
          <t>视野内部</t>
        </is>
      </c>
      <c r="N1676" t="inlineStr">
        <is>
          <t>纳入A/D/Dh；若有Pair_ID则纳入CWR</t>
        </is>
      </c>
      <c r="O1676" t="inlineStr">
        <is>
          <t>自动管线检出的合格导管腔。</t>
        </is>
      </c>
      <c r="P1676" t="inlineStr">
        <is>
          <t>auto_pipeline;review_png_green</t>
        </is>
      </c>
      <c r="R1676" t="inlineStr">
        <is>
          <t>样品38</t>
        </is>
      </c>
    </row>
    <row r="1677">
      <c r="A1677" t="inlineStr">
        <is>
          <t>38(6)-V04</t>
        </is>
      </c>
      <c r="B1677" t="inlineStr">
        <is>
          <t>38 (6).tif</t>
        </is>
      </c>
      <c r="C1677" t="n">
        <v>245</v>
      </c>
      <c r="D1677" t="n">
        <v>381</v>
      </c>
      <c r="E1677" t="inlineStr">
        <is>
          <t>212,351,279,412</t>
        </is>
      </c>
      <c r="F1677" t="n">
        <v>212</v>
      </c>
      <c r="G1677" t="inlineStr">
        <is>
          <t>primary</t>
        </is>
      </c>
      <c r="H1677" t="inlineStr">
        <is>
          <t>AUTO_VESSEL</t>
        </is>
      </c>
      <c r="I1677" t="inlineStr">
        <is>
          <t>是</t>
        </is>
      </c>
      <c r="J1677" t="inlineStr">
        <is>
          <t>纳入</t>
        </is>
      </c>
      <c r="K1677" t="n">
        <v>137.8780718336484</v>
      </c>
      <c r="L1677">
        <f>导管母表_1781!G1677</f>
        <v/>
      </c>
      <c r="M1677" t="inlineStr">
        <is>
          <t>视野内部</t>
        </is>
      </c>
      <c r="N1677" t="inlineStr">
        <is>
          <t>纳入A/D/Dh；若有Pair_ID则纳入CWR</t>
        </is>
      </c>
      <c r="O1677" t="inlineStr">
        <is>
          <t>自动管线检出的合格导管腔。</t>
        </is>
      </c>
      <c r="P1677" t="inlineStr">
        <is>
          <t>auto_pipeline;review_png_green</t>
        </is>
      </c>
      <c r="R1677" t="inlineStr">
        <is>
          <t>样品38</t>
        </is>
      </c>
    </row>
    <row r="1678">
      <c r="A1678" t="inlineStr">
        <is>
          <t>38(6)-V05</t>
        </is>
      </c>
      <c r="B1678" t="inlineStr">
        <is>
          <t>38 (6).tif</t>
        </is>
      </c>
      <c r="C1678" t="n">
        <v>805</v>
      </c>
      <c r="D1678" t="n">
        <v>373</v>
      </c>
      <c r="E1678" t="inlineStr">
        <is>
          <t>770,348,841,399</t>
        </is>
      </c>
      <c r="F1678" t="n">
        <v>183</v>
      </c>
      <c r="G1678" t="inlineStr">
        <is>
          <t>primary</t>
        </is>
      </c>
      <c r="H1678" t="inlineStr">
        <is>
          <t>AUTO_VESSEL</t>
        </is>
      </c>
      <c r="I1678" t="inlineStr">
        <is>
          <t>是</t>
        </is>
      </c>
      <c r="J1678" t="inlineStr">
        <is>
          <t>纳入</t>
        </is>
      </c>
      <c r="K1678" t="n">
        <v>123.2514177693762</v>
      </c>
      <c r="L1678">
        <f>导管母表_1781!G1678</f>
        <v/>
      </c>
      <c r="M1678" t="inlineStr">
        <is>
          <t>视野内部</t>
        </is>
      </c>
      <c r="N1678" t="inlineStr">
        <is>
          <t>纳入A/D/Dh；若有Pair_ID则纳入CWR</t>
        </is>
      </c>
      <c r="O1678" t="inlineStr">
        <is>
          <t>自动管线检出的合格导管腔。</t>
        </is>
      </c>
      <c r="P1678" t="inlineStr">
        <is>
          <t>auto_pipeline;review_png_green</t>
        </is>
      </c>
      <c r="R1678" t="inlineStr">
        <is>
          <t>样品38</t>
        </is>
      </c>
    </row>
    <row r="1679">
      <c r="A1679" t="inlineStr">
        <is>
          <t>38(6)-V06</t>
        </is>
      </c>
      <c r="B1679" t="inlineStr">
        <is>
          <t>38 (6).tif</t>
        </is>
      </c>
      <c r="C1679" t="n">
        <v>849</v>
      </c>
      <c r="D1679" t="n">
        <v>485</v>
      </c>
      <c r="E1679" t="inlineStr">
        <is>
          <t>805,464,894,507</t>
        </is>
      </c>
      <c r="F1679" t="n">
        <v>130</v>
      </c>
      <c r="G1679" t="inlineStr">
        <is>
          <t>primary</t>
        </is>
      </c>
      <c r="H1679" t="inlineStr">
        <is>
          <t>AUTO_VESSEL</t>
        </is>
      </c>
      <c r="I1679" t="inlineStr">
        <is>
          <t>是</t>
        </is>
      </c>
      <c r="J1679" t="inlineStr">
        <is>
          <t>纳入</t>
        </is>
      </c>
      <c r="K1679" t="n">
        <v>116.1625708884688</v>
      </c>
      <c r="L1679">
        <f>导管母表_1781!G1679</f>
        <v/>
      </c>
      <c r="M1679" t="inlineStr">
        <is>
          <t>视野内部</t>
        </is>
      </c>
      <c r="N1679" t="inlineStr">
        <is>
          <t>纳入A/D/Dh；若有Pair_ID则纳入CWR</t>
        </is>
      </c>
      <c r="O1679" t="inlineStr">
        <is>
          <t>自动管线检出的合格导管腔。</t>
        </is>
      </c>
      <c r="P1679" t="inlineStr">
        <is>
          <t>auto_pipeline;review_png_green</t>
        </is>
      </c>
      <c r="R1679" t="inlineStr">
        <is>
          <t>样品38</t>
        </is>
      </c>
    </row>
    <row r="1680">
      <c r="A1680" t="inlineStr">
        <is>
          <t>38(6)-V07</t>
        </is>
      </c>
      <c r="B1680" t="inlineStr">
        <is>
          <t>38 (6).tif</t>
        </is>
      </c>
      <c r="C1680" t="n">
        <v>531</v>
      </c>
      <c r="D1680" t="n">
        <v>245</v>
      </c>
      <c r="E1680" t="inlineStr">
        <is>
          <t>489,227,574,264</t>
        </is>
      </c>
      <c r="F1680" t="n">
        <v>227</v>
      </c>
      <c r="G1680" t="inlineStr">
        <is>
          <t>primary</t>
        </is>
      </c>
      <c r="H1680" t="inlineStr">
        <is>
          <t>AUTO_VESSEL</t>
        </is>
      </c>
      <c r="I1680" t="inlineStr">
        <is>
          <t>是</t>
        </is>
      </c>
      <c r="J1680" t="inlineStr">
        <is>
          <t>纳入</t>
        </is>
      </c>
      <c r="K1680" t="n">
        <v>112.2637051039698</v>
      </c>
      <c r="L1680">
        <f>导管母表_1781!G1680</f>
        <v/>
      </c>
      <c r="M1680" t="inlineStr">
        <is>
          <t>视野内部</t>
        </is>
      </c>
      <c r="N1680" t="inlineStr">
        <is>
          <t>纳入A/D/Dh；若有Pair_ID则纳入CWR</t>
        </is>
      </c>
      <c r="O1680" t="inlineStr">
        <is>
          <t>自动管线检出的合格导管腔。</t>
        </is>
      </c>
      <c r="P1680" t="inlineStr">
        <is>
          <t>auto_pipeline;review_png_green</t>
        </is>
      </c>
      <c r="R1680" t="inlineStr">
        <is>
          <t>样品38</t>
        </is>
      </c>
    </row>
    <row r="1681">
      <c r="A1681" t="inlineStr">
        <is>
          <t>38(6)-V08</t>
        </is>
      </c>
      <c r="B1681" t="inlineStr">
        <is>
          <t>38 (6).tif</t>
        </is>
      </c>
      <c r="C1681" t="n">
        <v>259</v>
      </c>
      <c r="D1681" t="n">
        <v>501</v>
      </c>
      <c r="E1681" t="inlineStr">
        <is>
          <t>221,482,298,521</t>
        </is>
      </c>
      <c r="F1681" t="n">
        <v>221</v>
      </c>
      <c r="G1681" t="inlineStr">
        <is>
          <t>primary</t>
        </is>
      </c>
      <c r="H1681" t="inlineStr">
        <is>
          <t>AUTO_VESSEL</t>
        </is>
      </c>
      <c r="I1681" t="inlineStr">
        <is>
          <t>是</t>
        </is>
      </c>
      <c r="J1681" t="inlineStr">
        <is>
          <t>纳入</t>
        </is>
      </c>
      <c r="K1681" t="n">
        <v>107.1597353497164</v>
      </c>
      <c r="L1681">
        <f>导管母表_1781!G1681</f>
        <v/>
      </c>
      <c r="M1681" t="inlineStr">
        <is>
          <t>视野内部</t>
        </is>
      </c>
      <c r="N1681" t="inlineStr">
        <is>
          <t>纳入A/D/Dh；若有Pair_ID则纳入CWR</t>
        </is>
      </c>
      <c r="O1681" t="inlineStr">
        <is>
          <t>自动管线检出的合格导管腔。</t>
        </is>
      </c>
      <c r="P1681" t="inlineStr">
        <is>
          <t>auto_pipeline;review_png_green</t>
        </is>
      </c>
      <c r="R1681" t="inlineStr">
        <is>
          <t>样品38</t>
        </is>
      </c>
    </row>
    <row r="1682">
      <c r="A1682" t="inlineStr">
        <is>
          <t>38(7)-V01</t>
        </is>
      </c>
      <c r="B1682" t="inlineStr">
        <is>
          <t>38 (7).tif</t>
        </is>
      </c>
      <c r="C1682" t="n">
        <v>435</v>
      </c>
      <c r="D1682" t="n">
        <v>273</v>
      </c>
      <c r="E1682" t="inlineStr">
        <is>
          <t>371,194,500,353</t>
        </is>
      </c>
      <c r="F1682" t="n">
        <v>194</v>
      </c>
      <c r="G1682" t="inlineStr">
        <is>
          <t>primary</t>
        </is>
      </c>
      <c r="H1682" t="inlineStr">
        <is>
          <t>AUTO_VESSEL</t>
        </is>
      </c>
      <c r="I1682" t="inlineStr">
        <is>
          <t>是</t>
        </is>
      </c>
      <c r="J1682" t="inlineStr">
        <is>
          <t>纳入</t>
        </is>
      </c>
      <c r="K1682" t="n">
        <v>749.2911153119093</v>
      </c>
      <c r="L1682">
        <f>导管母表_1781!G1682</f>
        <v/>
      </c>
      <c r="M1682" t="inlineStr">
        <is>
          <t>视野内部</t>
        </is>
      </c>
      <c r="N1682" t="inlineStr">
        <is>
          <t>纳入A/D/Dh；若有Pair_ID则纳入CWR</t>
        </is>
      </c>
      <c r="O1682" t="inlineStr">
        <is>
          <t>自动管线检出的合格导管腔。</t>
        </is>
      </c>
      <c r="P1682" t="inlineStr">
        <is>
          <t>auto_pipeline;review_png_green</t>
        </is>
      </c>
      <c r="R1682" t="inlineStr">
        <is>
          <t>样品38</t>
        </is>
      </c>
    </row>
    <row r="1683">
      <c r="A1683" t="inlineStr">
        <is>
          <t>38(7)-V02</t>
        </is>
      </c>
      <c r="B1683" t="inlineStr">
        <is>
          <t>38 (7).tif</t>
        </is>
      </c>
      <c r="C1683" t="n">
        <v>544</v>
      </c>
      <c r="D1683" t="n">
        <v>409</v>
      </c>
      <c r="E1683" t="inlineStr">
        <is>
          <t>480,341,609,478</t>
        </is>
      </c>
      <c r="F1683" t="n">
        <v>290</v>
      </c>
      <c r="G1683" t="inlineStr">
        <is>
          <t>primary</t>
        </is>
      </c>
      <c r="H1683" t="inlineStr">
        <is>
          <t>AUTO_VESSEL</t>
        </is>
      </c>
      <c r="I1683" t="inlineStr">
        <is>
          <t>是</t>
        </is>
      </c>
      <c r="J1683" t="inlineStr">
        <is>
          <t>纳入</t>
        </is>
      </c>
      <c r="K1683" t="n">
        <v>645.203213610586</v>
      </c>
      <c r="L1683">
        <f>导管母表_1781!G1683</f>
        <v/>
      </c>
      <c r="M1683" t="inlineStr">
        <is>
          <t>视野内部</t>
        </is>
      </c>
      <c r="N1683" t="inlineStr">
        <is>
          <t>纳入A/D/Dh；若有Pair_ID则纳入CWR</t>
        </is>
      </c>
      <c r="O1683" t="inlineStr">
        <is>
          <t>自动管线检出的合格导管腔。</t>
        </is>
      </c>
      <c r="P1683" t="inlineStr">
        <is>
          <t>auto_pipeline;review_png_green</t>
        </is>
      </c>
      <c r="R1683" t="inlineStr">
        <is>
          <t>样品38</t>
        </is>
      </c>
    </row>
    <row r="1684">
      <c r="A1684" t="inlineStr">
        <is>
          <t>38(7)-V03</t>
        </is>
      </c>
      <c r="B1684" t="inlineStr">
        <is>
          <t>38 (7).tif</t>
        </is>
      </c>
      <c r="C1684" t="n">
        <v>661</v>
      </c>
      <c r="D1684" t="n">
        <v>594</v>
      </c>
      <c r="E1684" t="inlineStr">
        <is>
          <t>606,529,717,660</t>
        </is>
      </c>
      <c r="F1684" t="n">
        <v>108</v>
      </c>
      <c r="G1684" t="inlineStr">
        <is>
          <t>primary</t>
        </is>
      </c>
      <c r="H1684" t="inlineStr">
        <is>
          <t>AUTO_VESSEL</t>
        </is>
      </c>
      <c r="I1684" t="inlineStr">
        <is>
          <t>是</t>
        </is>
      </c>
      <c r="J1684" t="inlineStr">
        <is>
          <t>纳入</t>
        </is>
      </c>
      <c r="K1684" t="n">
        <v>530.8837429111531</v>
      </c>
      <c r="L1684">
        <f>导管母表_1781!G1684</f>
        <v/>
      </c>
      <c r="M1684" t="inlineStr">
        <is>
          <t>视野内部</t>
        </is>
      </c>
      <c r="N1684" t="inlineStr">
        <is>
          <t>纳入A/D/Dh；若有Pair_ID则纳入CWR</t>
        </is>
      </c>
      <c r="O1684" t="inlineStr">
        <is>
          <t>自动管线检出的合格导管腔。</t>
        </is>
      </c>
      <c r="P1684" t="inlineStr">
        <is>
          <t>auto_pipeline;review_png_green</t>
        </is>
      </c>
      <c r="R1684" t="inlineStr">
        <is>
          <t>样品38</t>
        </is>
      </c>
    </row>
    <row r="1685">
      <c r="A1685" t="inlineStr">
        <is>
          <t>38(7)-V04</t>
        </is>
      </c>
      <c r="B1685" t="inlineStr">
        <is>
          <t>38 (7).tif</t>
        </is>
      </c>
      <c r="C1685" t="n">
        <v>877</v>
      </c>
      <c r="D1685" t="n">
        <v>468</v>
      </c>
      <c r="E1685" t="inlineStr">
        <is>
          <t>849,431,906,506</t>
        </is>
      </c>
      <c r="F1685" t="n">
        <v>118</v>
      </c>
      <c r="G1685" t="inlineStr">
        <is>
          <t>primary</t>
        </is>
      </c>
      <c r="H1685" t="inlineStr">
        <is>
          <t>AUTO_VESSEL</t>
        </is>
      </c>
      <c r="I1685" t="inlineStr">
        <is>
          <t>是</t>
        </is>
      </c>
      <c r="J1685" t="inlineStr">
        <is>
          <t>纳入</t>
        </is>
      </c>
      <c r="K1685" t="n">
        <v>152.6701323251418</v>
      </c>
      <c r="L1685">
        <f>导管母表_1781!G1685</f>
        <v/>
      </c>
      <c r="M1685" t="inlineStr">
        <is>
          <t>视野内部</t>
        </is>
      </c>
      <c r="N1685" t="inlineStr">
        <is>
          <t>纳入A/D/Dh；若有Pair_ID则纳入CWR</t>
        </is>
      </c>
      <c r="O1685" t="inlineStr">
        <is>
          <t>自动管线检出的合格导管腔。</t>
        </is>
      </c>
      <c r="P1685" t="inlineStr">
        <is>
          <t>auto_pipeline;review_png_green</t>
        </is>
      </c>
      <c r="R1685" t="inlineStr">
        <is>
          <t>样品38</t>
        </is>
      </c>
    </row>
    <row r="1686">
      <c r="A1686" t="inlineStr">
        <is>
          <t>38(7)-V05</t>
        </is>
      </c>
      <c r="B1686" t="inlineStr">
        <is>
          <t>38 (7).tif</t>
        </is>
      </c>
      <c r="C1686" t="n">
        <v>792</v>
      </c>
      <c r="D1686" t="n">
        <v>602</v>
      </c>
      <c r="E1686" t="inlineStr">
        <is>
          <t>766,567,819,638</t>
        </is>
      </c>
      <c r="F1686" t="n">
        <v>130</v>
      </c>
      <c r="G1686" t="inlineStr">
        <is>
          <t>primary</t>
        </is>
      </c>
      <c r="H1686" t="inlineStr">
        <is>
          <t>AUTO_VESSEL</t>
        </is>
      </c>
      <c r="I1686" t="inlineStr">
        <is>
          <t>是</t>
        </is>
      </c>
      <c r="J1686" t="inlineStr">
        <is>
          <t>纳入</t>
        </is>
      </c>
      <c r="K1686" t="n">
        <v>133.9319470699433</v>
      </c>
      <c r="L1686">
        <f>导管母表_1781!G1686</f>
        <v/>
      </c>
      <c r="M1686" t="inlineStr">
        <is>
          <t>视野内部</t>
        </is>
      </c>
      <c r="N1686" t="inlineStr">
        <is>
          <t>纳入A/D/Dh；若有Pair_ID则纳入CWR</t>
        </is>
      </c>
      <c r="O1686" t="inlineStr">
        <is>
          <t>自动管线检出的合格导管腔。</t>
        </is>
      </c>
      <c r="P1686" t="inlineStr">
        <is>
          <t>auto_pipeline;review_png_green</t>
        </is>
      </c>
      <c r="R1686" t="inlineStr">
        <is>
          <t>样品38</t>
        </is>
      </c>
    </row>
    <row r="1687">
      <c r="A1687" t="inlineStr">
        <is>
          <t>38(7)-V06</t>
        </is>
      </c>
      <c r="B1687" t="inlineStr">
        <is>
          <t>38 (7).tif</t>
        </is>
      </c>
      <c r="C1687" t="n">
        <v>845</v>
      </c>
      <c r="D1687" t="n">
        <v>54</v>
      </c>
      <c r="E1687" t="inlineStr">
        <is>
          <t>811,28,880,81</t>
        </is>
      </c>
      <c r="F1687" t="n">
        <v>28</v>
      </c>
      <c r="G1687" t="inlineStr">
        <is>
          <t>primary</t>
        </is>
      </c>
      <c r="H1687" t="inlineStr">
        <is>
          <t>AUTO_VESSEL</t>
        </is>
      </c>
      <c r="I1687" t="inlineStr">
        <is>
          <t>是</t>
        </is>
      </c>
      <c r="J1687" t="inlineStr">
        <is>
          <t>纳入</t>
        </is>
      </c>
      <c r="K1687" t="n">
        <v>129.6786389413989</v>
      </c>
      <c r="L1687">
        <f>导管母表_1781!G1687</f>
        <v/>
      </c>
      <c r="M1687" t="inlineStr">
        <is>
          <t>视野内部</t>
        </is>
      </c>
      <c r="N1687" t="inlineStr">
        <is>
          <t>纳入A/D/Dh；若有Pair_ID则纳入CWR</t>
        </is>
      </c>
      <c r="O1687" t="inlineStr">
        <is>
          <t>自动管线检出的合格导管腔。</t>
        </is>
      </c>
      <c r="P1687" t="inlineStr">
        <is>
          <t>auto_pipeline;review_png_green</t>
        </is>
      </c>
      <c r="R1687" t="inlineStr">
        <is>
          <t>样品38</t>
        </is>
      </c>
    </row>
    <row r="1688">
      <c r="A1688" t="inlineStr">
        <is>
          <t>38(8)-V01</t>
        </is>
      </c>
      <c r="B1688" t="inlineStr">
        <is>
          <t>38 (8).tif</t>
        </is>
      </c>
      <c r="C1688" t="n">
        <v>502</v>
      </c>
      <c r="D1688" t="n">
        <v>269</v>
      </c>
      <c r="E1688" t="inlineStr">
        <is>
          <t>414,182,591,357</t>
        </is>
      </c>
      <c r="F1688" t="n">
        <v>182</v>
      </c>
      <c r="G1688" t="inlineStr">
        <is>
          <t>primary</t>
        </is>
      </c>
      <c r="H1688" t="inlineStr">
        <is>
          <t>AUTO_VESSEL</t>
        </is>
      </c>
      <c r="I1688" t="inlineStr">
        <is>
          <t>是</t>
        </is>
      </c>
      <c r="J1688" t="inlineStr">
        <is>
          <t>纳入</t>
        </is>
      </c>
      <c r="K1688" t="n">
        <v>1133.506616257089</v>
      </c>
      <c r="L1688">
        <f>导管母表_1781!G1688</f>
        <v/>
      </c>
      <c r="M1688" t="inlineStr">
        <is>
          <t>视野内部</t>
        </is>
      </c>
      <c r="N1688" t="inlineStr">
        <is>
          <t>纳入A/D/Dh；若有Pair_ID则纳入CWR</t>
        </is>
      </c>
      <c r="O1688" t="inlineStr">
        <is>
          <t>自动管线检出的合格导管腔。</t>
        </is>
      </c>
      <c r="P1688" t="inlineStr">
        <is>
          <t>auto_pipeline;review_png_green</t>
        </is>
      </c>
      <c r="R1688" t="inlineStr">
        <is>
          <t>样品38</t>
        </is>
      </c>
    </row>
    <row r="1689">
      <c r="A1689" t="inlineStr">
        <is>
          <t>38(8)-V02</t>
        </is>
      </c>
      <c r="B1689" t="inlineStr">
        <is>
          <t>38 (8).tif</t>
        </is>
      </c>
      <c r="C1689" t="n">
        <v>450</v>
      </c>
      <c r="D1689" t="n">
        <v>473</v>
      </c>
      <c r="E1689" t="inlineStr">
        <is>
          <t>368,386,533,561</t>
        </is>
      </c>
      <c r="F1689" t="n">
        <v>207</v>
      </c>
      <c r="G1689" t="inlineStr">
        <is>
          <t>primary</t>
        </is>
      </c>
      <c r="H1689" t="inlineStr">
        <is>
          <t>AUTO_VESSEL</t>
        </is>
      </c>
      <c r="I1689" t="inlineStr">
        <is>
          <t>是</t>
        </is>
      </c>
      <c r="J1689" t="inlineStr">
        <is>
          <t>纳入</t>
        </is>
      </c>
      <c r="K1689" t="n">
        <v>1054.324196597353</v>
      </c>
      <c r="L1689">
        <f>导管母表_1781!G1689</f>
        <v/>
      </c>
      <c r="M1689" t="inlineStr">
        <is>
          <t>视野内部</t>
        </is>
      </c>
      <c r="N1689" t="inlineStr">
        <is>
          <t>纳入A/D/Dh；若有Pair_ID则纳入CWR</t>
        </is>
      </c>
      <c r="O1689" t="inlineStr">
        <is>
          <t>自动管线检出的合格导管腔。</t>
        </is>
      </c>
      <c r="P1689" t="inlineStr">
        <is>
          <t>auto_pipeline;review_png_green</t>
        </is>
      </c>
      <c r="R1689" t="inlineStr">
        <is>
          <t>样品38</t>
        </is>
      </c>
    </row>
    <row r="1690">
      <c r="A1690" t="inlineStr">
        <is>
          <t>38(8)-V03</t>
        </is>
      </c>
      <c r="B1690" t="inlineStr">
        <is>
          <t>38 (8).tif</t>
        </is>
      </c>
      <c r="C1690" t="n">
        <v>852</v>
      </c>
      <c r="D1690" t="n">
        <v>279</v>
      </c>
      <c r="E1690" t="inlineStr">
        <is>
          <t>778,187,927,372</t>
        </is>
      </c>
      <c r="F1690" t="n">
        <v>97</v>
      </c>
      <c r="G1690" t="inlineStr">
        <is>
          <t>primary</t>
        </is>
      </c>
      <c r="H1690" t="inlineStr">
        <is>
          <t>AUTO_VESSEL</t>
        </is>
      </c>
      <c r="I1690" t="inlineStr">
        <is>
          <t>是</t>
        </is>
      </c>
      <c r="J1690" t="inlineStr">
        <is>
          <t>纳入</t>
        </is>
      </c>
      <c r="K1690" t="n">
        <v>1006.09640831758</v>
      </c>
      <c r="L1690">
        <f>导管母表_1781!G1690</f>
        <v/>
      </c>
      <c r="M1690" t="inlineStr">
        <is>
          <t>视野内部</t>
        </is>
      </c>
      <c r="N1690" t="inlineStr">
        <is>
          <t>纳入A/D/Dh；若有Pair_ID则纳入CWR</t>
        </is>
      </c>
      <c r="O1690" t="inlineStr">
        <is>
          <t>自动管线检出的合格导管腔。</t>
        </is>
      </c>
      <c r="P1690" t="inlineStr">
        <is>
          <t>auto_pipeline;review_png_green</t>
        </is>
      </c>
      <c r="R1690" t="inlineStr">
        <is>
          <t>样品38</t>
        </is>
      </c>
    </row>
    <row r="1691">
      <c r="A1691" t="inlineStr">
        <is>
          <t>38(8)-V04</t>
        </is>
      </c>
      <c r="B1691" t="inlineStr">
        <is>
          <t>38 (8).tif</t>
        </is>
      </c>
      <c r="C1691" t="n">
        <v>229</v>
      </c>
      <c r="D1691" t="n">
        <v>518</v>
      </c>
      <c r="E1691" t="inlineStr">
        <is>
          <t>166,442,293,595</t>
        </is>
      </c>
      <c r="F1691" t="n">
        <v>166</v>
      </c>
      <c r="G1691" t="inlineStr">
        <is>
          <t>primary</t>
        </is>
      </c>
      <c r="H1691" t="inlineStr">
        <is>
          <t>AUTO_VESSEL</t>
        </is>
      </c>
      <c r="I1691" t="inlineStr">
        <is>
          <t>是</t>
        </is>
      </c>
      <c r="J1691" t="inlineStr">
        <is>
          <t>纳入</t>
        </is>
      </c>
      <c r="K1691" t="n">
        <v>688.492438563327</v>
      </c>
      <c r="L1691">
        <f>导管母表_1781!G1691</f>
        <v/>
      </c>
      <c r="M1691" t="inlineStr">
        <is>
          <t>视野内部</t>
        </is>
      </c>
      <c r="N1691" t="inlineStr">
        <is>
          <t>纳入A/D/Dh；若有Pair_ID则纳入CWR</t>
        </is>
      </c>
      <c r="O1691" t="inlineStr">
        <is>
          <t>自动管线检出的合格导管腔。</t>
        </is>
      </c>
      <c r="P1691" t="inlineStr">
        <is>
          <t>auto_pipeline;review_png_green</t>
        </is>
      </c>
      <c r="R1691" t="inlineStr">
        <is>
          <t>样品38</t>
        </is>
      </c>
    </row>
    <row r="1692">
      <c r="A1692" t="inlineStr">
        <is>
          <t>38(8)-V05</t>
        </is>
      </c>
      <c r="B1692" t="inlineStr">
        <is>
          <t>38 (8).tif</t>
        </is>
      </c>
      <c r="C1692" t="n">
        <v>667</v>
      </c>
      <c r="D1692" t="n">
        <v>272</v>
      </c>
      <c r="E1692" t="inlineStr">
        <is>
          <t>639,225,696,320</t>
        </is>
      </c>
      <c r="F1692" t="n">
        <v>225</v>
      </c>
      <c r="G1692" t="inlineStr">
        <is>
          <t>primary</t>
        </is>
      </c>
      <c r="H1692" t="inlineStr">
        <is>
          <t>AUTO_VESSEL</t>
        </is>
      </c>
      <c r="I1692" t="inlineStr">
        <is>
          <t>是</t>
        </is>
      </c>
      <c r="J1692" t="inlineStr">
        <is>
          <t>纳入</t>
        </is>
      </c>
      <c r="K1692" t="n">
        <v>195.6521739130435</v>
      </c>
      <c r="L1692">
        <f>导管母表_1781!G1692</f>
        <v/>
      </c>
      <c r="M1692" t="inlineStr">
        <is>
          <t>视野内部</t>
        </is>
      </c>
      <c r="N1692" t="inlineStr">
        <is>
          <t>纳入A/D/Dh；若有Pair_ID则纳入CWR</t>
        </is>
      </c>
      <c r="O1692" t="inlineStr">
        <is>
          <t>自动管线检出的合格导管腔。</t>
        </is>
      </c>
      <c r="P1692" t="inlineStr">
        <is>
          <t>auto_pipeline;review_png_green</t>
        </is>
      </c>
      <c r="R1692" t="inlineStr">
        <is>
          <t>样品38</t>
        </is>
      </c>
    </row>
    <row r="1693">
      <c r="A1693" t="inlineStr">
        <is>
          <t>38(8)-V06</t>
        </is>
      </c>
      <c r="B1693" t="inlineStr">
        <is>
          <t>38 (8).tif</t>
        </is>
      </c>
      <c r="C1693" t="n">
        <v>694</v>
      </c>
      <c r="D1693" t="n">
        <v>157</v>
      </c>
      <c r="E1693" t="inlineStr">
        <is>
          <t>666,109,723,206</t>
        </is>
      </c>
      <c r="F1693" t="n">
        <v>109</v>
      </c>
      <c r="G1693" t="inlineStr">
        <is>
          <t>primary</t>
        </is>
      </c>
      <c r="H1693" t="inlineStr">
        <is>
          <t>AUTO_VESSEL</t>
        </is>
      </c>
      <c r="I1693" t="inlineStr">
        <is>
          <t>是</t>
        </is>
      </c>
      <c r="J1693" t="inlineStr">
        <is>
          <t>纳入</t>
        </is>
      </c>
      <c r="K1693" t="n">
        <v>178.4971644612476</v>
      </c>
      <c r="L1693">
        <f>导管母表_1781!G1693</f>
        <v/>
      </c>
      <c r="M1693" t="inlineStr">
        <is>
          <t>视野内部</t>
        </is>
      </c>
      <c r="N1693" t="inlineStr">
        <is>
          <t>纳入A/D/Dh；若有Pair_ID则纳入CWR</t>
        </is>
      </c>
      <c r="O1693" t="inlineStr">
        <is>
          <t>自动管线检出的合格导管腔。</t>
        </is>
      </c>
      <c r="P1693" t="inlineStr">
        <is>
          <t>auto_pipeline;review_png_green</t>
        </is>
      </c>
      <c r="R1693" t="inlineStr">
        <is>
          <t>样品38</t>
        </is>
      </c>
    </row>
    <row r="1694">
      <c r="A1694" t="inlineStr">
        <is>
          <t>39(1)-V01</t>
        </is>
      </c>
      <c r="B1694" t="inlineStr">
        <is>
          <t>39 (1).tif</t>
        </is>
      </c>
      <c r="C1694" t="n">
        <v>433</v>
      </c>
      <c r="D1694" t="n">
        <v>471</v>
      </c>
      <c r="E1694" t="inlineStr">
        <is>
          <t>361,387,506,556</t>
        </is>
      </c>
      <c r="F1694" t="n">
        <v>212</v>
      </c>
      <c r="G1694" t="inlineStr">
        <is>
          <t>primary</t>
        </is>
      </c>
      <c r="H1694" t="inlineStr">
        <is>
          <t>AUTO_VESSEL</t>
        </is>
      </c>
      <c r="I1694" t="inlineStr">
        <is>
          <t>是</t>
        </is>
      </c>
      <c r="J1694" t="inlineStr">
        <is>
          <t>纳入</t>
        </is>
      </c>
      <c r="K1694" t="n">
        <v>893.0293005671077</v>
      </c>
      <c r="L1694">
        <f>导管母表_1781!G1694</f>
        <v/>
      </c>
      <c r="M1694" t="inlineStr">
        <is>
          <t>视野内部</t>
        </is>
      </c>
      <c r="N1694" t="inlineStr">
        <is>
          <t>纳入A/D/Dh；若有Pair_ID则纳入CWR</t>
        </is>
      </c>
      <c r="O1694" t="inlineStr">
        <is>
          <t>自动管线检出的合格导管腔。</t>
        </is>
      </c>
      <c r="P1694" t="inlineStr">
        <is>
          <t>auto_pipeline;review_png_green</t>
        </is>
      </c>
      <c r="R1694" t="inlineStr">
        <is>
          <t>样品39</t>
        </is>
      </c>
    </row>
    <row r="1695">
      <c r="A1695" t="inlineStr">
        <is>
          <t>39(1)-V02</t>
        </is>
      </c>
      <c r="B1695" t="inlineStr">
        <is>
          <t>39 (1).tif</t>
        </is>
      </c>
      <c r="C1695" t="n">
        <v>548</v>
      </c>
      <c r="D1695" t="n">
        <v>305</v>
      </c>
      <c r="E1695" t="inlineStr">
        <is>
          <t>465,237,632,374</t>
        </is>
      </c>
      <c r="F1695" t="n">
        <v>237</v>
      </c>
      <c r="G1695" t="inlineStr">
        <is>
          <t>primary</t>
        </is>
      </c>
      <c r="H1695" t="inlineStr">
        <is>
          <t>AUTO_VESSEL</t>
        </is>
      </c>
      <c r="I1695" t="inlineStr">
        <is>
          <t>是</t>
        </is>
      </c>
      <c r="J1695" t="inlineStr">
        <is>
          <t>纳入</t>
        </is>
      </c>
      <c r="K1695" t="n">
        <v>837.547258979206</v>
      </c>
      <c r="L1695">
        <f>导管母表_1781!G1695</f>
        <v/>
      </c>
      <c r="M1695" t="inlineStr">
        <is>
          <t>视野内部</t>
        </is>
      </c>
      <c r="N1695" t="inlineStr">
        <is>
          <t>纳入A/D/Dh；若有Pair_ID则纳入CWR</t>
        </is>
      </c>
      <c r="O1695" t="inlineStr">
        <is>
          <t>自动管线检出的合格导管腔。</t>
        </is>
      </c>
      <c r="P1695" t="inlineStr">
        <is>
          <t>auto_pipeline;review_png_green</t>
        </is>
      </c>
      <c r="R1695" t="inlineStr">
        <is>
          <t>样品39</t>
        </is>
      </c>
    </row>
    <row r="1696">
      <c r="A1696" t="inlineStr">
        <is>
          <t>39(1)-V03</t>
        </is>
      </c>
      <c r="B1696" t="inlineStr">
        <is>
          <t>39 (1).tif</t>
        </is>
      </c>
      <c r="C1696" t="n">
        <v>649</v>
      </c>
      <c r="D1696" t="n">
        <v>448</v>
      </c>
      <c r="E1696" t="inlineStr">
        <is>
          <t>586,368,713,529</t>
        </is>
      </c>
      <c r="F1696" t="n">
        <v>239</v>
      </c>
      <c r="G1696" t="inlineStr">
        <is>
          <t>primary</t>
        </is>
      </c>
      <c r="H1696" t="inlineStr">
        <is>
          <t>AUTO_VESSEL</t>
        </is>
      </c>
      <c r="I1696" t="inlineStr">
        <is>
          <t>是</t>
        </is>
      </c>
      <c r="J1696" t="inlineStr">
        <is>
          <t>纳入</t>
        </is>
      </c>
      <c r="K1696" t="n">
        <v>748.4877126654064</v>
      </c>
      <c r="L1696">
        <f>导管母表_1781!G1696</f>
        <v/>
      </c>
      <c r="M1696" t="inlineStr">
        <is>
          <t>视野内部</t>
        </is>
      </c>
      <c r="N1696" t="inlineStr">
        <is>
          <t>纳入A/D/Dh；若有Pair_ID则纳入CWR</t>
        </is>
      </c>
      <c r="O1696" t="inlineStr">
        <is>
          <t>自动管线检出的合格导管腔。</t>
        </is>
      </c>
      <c r="P1696" t="inlineStr">
        <is>
          <t>auto_pipeline;review_png_green</t>
        </is>
      </c>
      <c r="R1696" t="inlineStr">
        <is>
          <t>样品39</t>
        </is>
      </c>
    </row>
    <row r="1697">
      <c r="A1697" t="inlineStr">
        <is>
          <t>39(1)-V04</t>
        </is>
      </c>
      <c r="B1697" t="inlineStr">
        <is>
          <t>39 (1).tif</t>
        </is>
      </c>
      <c r="C1697" t="n">
        <v>878</v>
      </c>
      <c r="D1697" t="n">
        <v>484</v>
      </c>
      <c r="E1697" t="inlineStr">
        <is>
          <t>814,425,943,544</t>
        </is>
      </c>
      <c r="F1697" t="n">
        <v>81</v>
      </c>
      <c r="G1697" t="inlineStr">
        <is>
          <t>primary</t>
        </is>
      </c>
      <c r="H1697" t="inlineStr">
        <is>
          <t>AUTO_VESSEL</t>
        </is>
      </c>
      <c r="I1697" t="inlineStr">
        <is>
          <t>是</t>
        </is>
      </c>
      <c r="J1697" t="inlineStr">
        <is>
          <t>纳入</t>
        </is>
      </c>
      <c r="K1697" t="n">
        <v>559.8534971644613</v>
      </c>
      <c r="L1697">
        <f>导管母表_1781!G1697</f>
        <v/>
      </c>
      <c r="M1697" t="inlineStr">
        <is>
          <t>视野内部</t>
        </is>
      </c>
      <c r="N1697" t="inlineStr">
        <is>
          <t>纳入A/D/Dh；若有Pair_ID则纳入CWR</t>
        </is>
      </c>
      <c r="O1697" t="inlineStr">
        <is>
          <t>自动管线检出的合格导管腔。</t>
        </is>
      </c>
      <c r="P1697" t="inlineStr">
        <is>
          <t>auto_pipeline;review_png_green</t>
        </is>
      </c>
      <c r="R1697" t="inlineStr">
        <is>
          <t>样品39</t>
        </is>
      </c>
    </row>
    <row r="1698">
      <c r="A1698" t="inlineStr">
        <is>
          <t>39(1)-V05</t>
        </is>
      </c>
      <c r="B1698" t="inlineStr">
        <is>
          <t>39 (1).tif</t>
        </is>
      </c>
      <c r="C1698" t="n">
        <v>899</v>
      </c>
      <c r="D1698" t="n">
        <v>136</v>
      </c>
      <c r="E1698" t="inlineStr">
        <is>
          <t>836,86,963,187</t>
        </is>
      </c>
      <c r="F1698" t="n">
        <v>61</v>
      </c>
      <c r="G1698" t="inlineStr">
        <is>
          <t>primary</t>
        </is>
      </c>
      <c r="H1698" t="inlineStr">
        <is>
          <t>AUTO_VESSEL</t>
        </is>
      </c>
      <c r="I1698" t="inlineStr">
        <is>
          <t>是</t>
        </is>
      </c>
      <c r="J1698" t="inlineStr">
        <is>
          <t>纳入</t>
        </is>
      </c>
      <c r="K1698" t="n">
        <v>465.430056710775</v>
      </c>
      <c r="L1698">
        <f>导管母表_1781!G1698</f>
        <v/>
      </c>
      <c r="M1698" t="inlineStr">
        <is>
          <t>视野内部</t>
        </is>
      </c>
      <c r="N1698" t="inlineStr">
        <is>
          <t>纳入A/D/Dh；若有Pair_ID则纳入CWR</t>
        </is>
      </c>
      <c r="O1698" t="inlineStr">
        <is>
          <t>自动管线检出的合格导管腔。</t>
        </is>
      </c>
      <c r="P1698" t="inlineStr">
        <is>
          <t>auto_pipeline;review_png_green</t>
        </is>
      </c>
      <c r="R1698" t="inlineStr">
        <is>
          <t>样品39</t>
        </is>
      </c>
    </row>
    <row r="1699">
      <c r="A1699" t="inlineStr">
        <is>
          <t>39(1)-V06</t>
        </is>
      </c>
      <c r="B1699" t="inlineStr">
        <is>
          <t>39 (1).tif</t>
        </is>
      </c>
      <c r="C1699" t="n">
        <v>512</v>
      </c>
      <c r="D1699" t="n">
        <v>152</v>
      </c>
      <c r="E1699" t="inlineStr">
        <is>
          <t>458,110,567,195</t>
        </is>
      </c>
      <c r="F1699" t="n">
        <v>110</v>
      </c>
      <c r="G1699" t="inlineStr">
        <is>
          <t>primary</t>
        </is>
      </c>
      <c r="H1699" t="inlineStr">
        <is>
          <t>AUTO_VESSEL</t>
        </is>
      </c>
      <c r="I1699" t="inlineStr">
        <is>
          <t>是</t>
        </is>
      </c>
      <c r="J1699" t="inlineStr">
        <is>
          <t>纳入</t>
        </is>
      </c>
      <c r="K1699" t="n">
        <v>337.0982986767486</v>
      </c>
      <c r="L1699">
        <f>导管母表_1781!G1699</f>
        <v/>
      </c>
      <c r="M1699" t="inlineStr">
        <is>
          <t>视野内部</t>
        </is>
      </c>
      <c r="N1699" t="inlineStr">
        <is>
          <t>纳入A/D/Dh；若有Pair_ID则纳入CWR</t>
        </is>
      </c>
      <c r="O1699" t="inlineStr">
        <is>
          <t>自动管线检出的合格导管腔。</t>
        </is>
      </c>
      <c r="P1699" t="inlineStr">
        <is>
          <t>auto_pipeline;review_png_green</t>
        </is>
      </c>
      <c r="R1699" t="inlineStr">
        <is>
          <t>样品39</t>
        </is>
      </c>
    </row>
    <row r="1700">
      <c r="A1700" t="inlineStr">
        <is>
          <t>39(2)-V01</t>
        </is>
      </c>
      <c r="B1700" t="inlineStr">
        <is>
          <t>39 (2).tif</t>
        </is>
      </c>
      <c r="C1700" t="n">
        <v>562</v>
      </c>
      <c r="D1700" t="n">
        <v>284</v>
      </c>
      <c r="E1700" t="inlineStr">
        <is>
          <t>487,210,638,359</t>
        </is>
      </c>
      <c r="F1700" t="n">
        <v>210</v>
      </c>
      <c r="G1700" t="inlineStr">
        <is>
          <t>primary</t>
        </is>
      </c>
      <c r="H1700" t="inlineStr">
        <is>
          <t>AUTO_VESSEL</t>
        </is>
      </c>
      <c r="I1700" t="inlineStr">
        <is>
          <t>是</t>
        </is>
      </c>
      <c r="J1700" t="inlineStr">
        <is>
          <t>纳入</t>
        </is>
      </c>
      <c r="K1700" t="n">
        <v>808.3175803402646</v>
      </c>
      <c r="L1700">
        <f>导管母表_1781!G1700</f>
        <v/>
      </c>
      <c r="M1700" t="inlineStr">
        <is>
          <t>视野内部</t>
        </is>
      </c>
      <c r="N1700" t="inlineStr">
        <is>
          <t>纳入A/D/Dh；若有Pair_ID则纳入CWR</t>
        </is>
      </c>
      <c r="O1700" t="inlineStr">
        <is>
          <t>自动管线检出的合格导管腔。</t>
        </is>
      </c>
      <c r="P1700" t="inlineStr">
        <is>
          <t>auto_pipeline;review_png_green</t>
        </is>
      </c>
      <c r="Q1700" t="inlineStr">
        <is>
          <t>39(2)-P01</t>
        </is>
      </c>
      <c r="R1700" t="inlineStr">
        <is>
          <t>样品39</t>
        </is>
      </c>
    </row>
    <row r="1701">
      <c r="A1701" t="inlineStr">
        <is>
          <t>39(2)-V02</t>
        </is>
      </c>
      <c r="B1701" t="inlineStr">
        <is>
          <t>39 (2).tif</t>
        </is>
      </c>
      <c r="C1701" t="n">
        <v>460</v>
      </c>
      <c r="D1701" t="n">
        <v>425</v>
      </c>
      <c r="E1701" t="inlineStr">
        <is>
          <t>379,362,542,489</t>
        </is>
      </c>
      <c r="F1701" t="n">
        <v>279</v>
      </c>
      <c r="G1701" t="inlineStr">
        <is>
          <t>primary</t>
        </is>
      </c>
      <c r="H1701" t="inlineStr">
        <is>
          <t>AUTO_VESSEL</t>
        </is>
      </c>
      <c r="I1701" t="inlineStr">
        <is>
          <t>是</t>
        </is>
      </c>
      <c r="J1701" t="inlineStr">
        <is>
          <t>纳入</t>
        </is>
      </c>
      <c r="K1701" t="n">
        <v>736.0113421550094</v>
      </c>
      <c r="L1701">
        <f>导管母表_1781!G1701</f>
        <v/>
      </c>
      <c r="M1701" t="inlineStr">
        <is>
          <t>视野内部</t>
        </is>
      </c>
      <c r="N1701" t="inlineStr">
        <is>
          <t>纳入A/D/Dh；若有Pair_ID则纳入CWR</t>
        </is>
      </c>
      <c r="O1701" t="inlineStr">
        <is>
          <t>自动管线检出的合格导管腔。</t>
        </is>
      </c>
      <c r="P1701" t="inlineStr">
        <is>
          <t>auto_pipeline;review_png_green</t>
        </is>
      </c>
      <c r="Q1701" t="inlineStr">
        <is>
          <t>39(2)-P01</t>
        </is>
      </c>
      <c r="R1701" t="inlineStr">
        <is>
          <t>样品39</t>
        </is>
      </c>
    </row>
    <row r="1702">
      <c r="A1702" t="inlineStr">
        <is>
          <t>39(2)-V03</t>
        </is>
      </c>
      <c r="B1702" t="inlineStr">
        <is>
          <t>39 (2).tif</t>
        </is>
      </c>
      <c r="C1702" t="n">
        <v>719</v>
      </c>
      <c r="D1702" t="n">
        <v>205</v>
      </c>
      <c r="E1702" t="inlineStr">
        <is>
          <t>654,141,785,270</t>
        </is>
      </c>
      <c r="F1702" t="n">
        <v>141</v>
      </c>
      <c r="G1702" t="inlineStr">
        <is>
          <t>primary</t>
        </is>
      </c>
      <c r="H1702" t="inlineStr">
        <is>
          <t>AUTO_VESSEL</t>
        </is>
      </c>
      <c r="I1702" t="inlineStr">
        <is>
          <t>是</t>
        </is>
      </c>
      <c r="J1702" t="inlineStr">
        <is>
          <t>纳入</t>
        </is>
      </c>
      <c r="K1702" t="n">
        <v>582.4905482041588</v>
      </c>
      <c r="L1702">
        <f>导管母表_1781!G1702</f>
        <v/>
      </c>
      <c r="M1702" t="inlineStr">
        <is>
          <t>视野内部</t>
        </is>
      </c>
      <c r="N1702" t="inlineStr">
        <is>
          <t>纳入A/D/Dh；若有Pair_ID则纳入CWR</t>
        </is>
      </c>
      <c r="O1702" t="inlineStr">
        <is>
          <t>自动管线检出的合格导管腔。</t>
        </is>
      </c>
      <c r="P1702" t="inlineStr">
        <is>
          <t>auto_pipeline;review_png_green</t>
        </is>
      </c>
      <c r="R1702" t="inlineStr">
        <is>
          <t>样品39</t>
        </is>
      </c>
    </row>
    <row r="1703">
      <c r="A1703" t="inlineStr">
        <is>
          <t>39(2)-V04</t>
        </is>
      </c>
      <c r="B1703" t="inlineStr">
        <is>
          <t>39 (2).tif</t>
        </is>
      </c>
      <c r="C1703" t="n">
        <v>235</v>
      </c>
      <c r="D1703" t="n">
        <v>270</v>
      </c>
      <c r="E1703" t="inlineStr">
        <is>
          <t>175,207,296,334</t>
        </is>
      </c>
      <c r="F1703" t="n">
        <v>175</v>
      </c>
      <c r="G1703" t="inlineStr">
        <is>
          <t>primary</t>
        </is>
      </c>
      <c r="H1703" t="inlineStr">
        <is>
          <t>AUTO_VESSEL</t>
        </is>
      </c>
      <c r="I1703" t="inlineStr">
        <is>
          <t>是</t>
        </is>
      </c>
      <c r="J1703" t="inlineStr">
        <is>
          <t>纳入</t>
        </is>
      </c>
      <c r="K1703" t="n">
        <v>485.586011342155</v>
      </c>
      <c r="L1703">
        <f>导管母表_1781!G1703</f>
        <v/>
      </c>
      <c r="M1703" t="inlineStr">
        <is>
          <t>视野内部</t>
        </is>
      </c>
      <c r="N1703" t="inlineStr">
        <is>
          <t>纳入A/D/Dh；若有Pair_ID则纳入CWR</t>
        </is>
      </c>
      <c r="O1703" t="inlineStr">
        <is>
          <t>自动管线检出的合格导管腔。</t>
        </is>
      </c>
      <c r="P1703" t="inlineStr">
        <is>
          <t>auto_pipeline;review_png_green</t>
        </is>
      </c>
      <c r="R1703" t="inlineStr">
        <is>
          <t>样品39</t>
        </is>
      </c>
    </row>
    <row r="1704">
      <c r="A1704" t="inlineStr">
        <is>
          <t>39(2)-V05</t>
        </is>
      </c>
      <c r="B1704" t="inlineStr">
        <is>
          <t>39 (2).tif</t>
        </is>
      </c>
      <c r="C1704" t="n">
        <v>586</v>
      </c>
      <c r="D1704" t="n">
        <v>549</v>
      </c>
      <c r="E1704" t="inlineStr">
        <is>
          <t>506,516,667,583</t>
        </is>
      </c>
      <c r="F1704" t="n">
        <v>185</v>
      </c>
      <c r="G1704" t="inlineStr">
        <is>
          <t>primary</t>
        </is>
      </c>
      <c r="H1704" t="inlineStr">
        <is>
          <t>AUTO_VESSEL</t>
        </is>
      </c>
      <c r="I1704" t="inlineStr">
        <is>
          <t>是</t>
        </is>
      </c>
      <c r="J1704" t="inlineStr">
        <is>
          <t>纳入</t>
        </is>
      </c>
      <c r="K1704" t="n">
        <v>202.1266540642722</v>
      </c>
      <c r="L1704">
        <f>导管母表_1781!G1704</f>
        <v/>
      </c>
      <c r="M1704" t="inlineStr">
        <is>
          <t>视野内部</t>
        </is>
      </c>
      <c r="N1704" t="inlineStr">
        <is>
          <t>纳入A/D/Dh；若有Pair_ID则纳入CWR</t>
        </is>
      </c>
      <c r="O1704" t="inlineStr">
        <is>
          <t>自动管线检出的合格导管腔。</t>
        </is>
      </c>
      <c r="P1704" t="inlineStr">
        <is>
          <t>auto_pipeline;review_png_green</t>
        </is>
      </c>
      <c r="R1704" t="inlineStr">
        <is>
          <t>样品39</t>
        </is>
      </c>
    </row>
    <row r="1705">
      <c r="A1705" t="inlineStr">
        <is>
          <t>39(2)-V06</t>
        </is>
      </c>
      <c r="B1705" t="inlineStr">
        <is>
          <t>39 (2).tif</t>
        </is>
      </c>
      <c r="C1705" t="n">
        <v>567</v>
      </c>
      <c r="D1705" t="n">
        <v>624</v>
      </c>
      <c r="E1705" t="inlineStr">
        <is>
          <t>488,590,647,659</t>
        </is>
      </c>
      <c r="F1705" t="n">
        <v>109</v>
      </c>
      <c r="G1705" t="inlineStr">
        <is>
          <t>primary</t>
        </is>
      </c>
      <c r="H1705" t="inlineStr">
        <is>
          <t>AUTO_VESSEL</t>
        </is>
      </c>
      <c r="I1705" t="inlineStr">
        <is>
          <t>是</t>
        </is>
      </c>
      <c r="J1705" t="inlineStr">
        <is>
          <t>纳入</t>
        </is>
      </c>
      <c r="K1705" t="n">
        <v>164.2013232514178</v>
      </c>
      <c r="L1705">
        <f>导管母表_1781!G1705</f>
        <v/>
      </c>
      <c r="M1705" t="inlineStr">
        <is>
          <t>视野内部</t>
        </is>
      </c>
      <c r="N1705" t="inlineStr">
        <is>
          <t>纳入A/D/Dh；若有Pair_ID则纳入CWR</t>
        </is>
      </c>
      <c r="O1705" t="inlineStr">
        <is>
          <t>自动管线检出的合格导管腔。</t>
        </is>
      </c>
      <c r="P1705" t="inlineStr">
        <is>
          <t>auto_pipeline;review_png_green</t>
        </is>
      </c>
      <c r="R1705" t="inlineStr">
        <is>
          <t>样品39</t>
        </is>
      </c>
    </row>
    <row r="1706">
      <c r="A1706" t="inlineStr">
        <is>
          <t>39(2)-V07</t>
        </is>
      </c>
      <c r="B1706" t="inlineStr">
        <is>
          <t>39 (2).tif</t>
        </is>
      </c>
      <c r="C1706" t="n">
        <v>967</v>
      </c>
      <c r="D1706" t="n">
        <v>576</v>
      </c>
      <c r="E1706" t="inlineStr">
        <is>
          <t>944,529,991,624</t>
        </is>
      </c>
      <c r="F1706" t="n">
        <v>33</v>
      </c>
      <c r="G1706" t="inlineStr">
        <is>
          <t>primary</t>
        </is>
      </c>
      <c r="H1706" t="inlineStr">
        <is>
          <t>AUTO_VESSEL</t>
        </is>
      </c>
      <c r="I1706" t="inlineStr">
        <is>
          <t>是</t>
        </is>
      </c>
      <c r="J1706" t="inlineStr">
        <is>
          <t>纳入</t>
        </is>
      </c>
      <c r="K1706" t="n">
        <v>160.586011342155</v>
      </c>
      <c r="L1706">
        <f>导管母表_1781!G1706</f>
        <v/>
      </c>
      <c r="M1706" t="inlineStr">
        <is>
          <t>视野内部</t>
        </is>
      </c>
      <c r="N1706" t="inlineStr">
        <is>
          <t>纳入A/D/Dh；若有Pair_ID则纳入CWR</t>
        </is>
      </c>
      <c r="O1706" t="inlineStr">
        <is>
          <t>自动管线检出的合格导管腔。</t>
        </is>
      </c>
      <c r="P1706" t="inlineStr">
        <is>
          <t>auto_pipeline;review_png_green</t>
        </is>
      </c>
      <c r="R1706" t="inlineStr">
        <is>
          <t>样品39</t>
        </is>
      </c>
    </row>
    <row r="1707">
      <c r="A1707" t="inlineStr">
        <is>
          <t>39(3)-V01</t>
        </is>
      </c>
      <c r="B1707" t="inlineStr">
        <is>
          <t>39 (3).tif</t>
        </is>
      </c>
      <c r="C1707" t="n">
        <v>534</v>
      </c>
      <c r="D1707" t="n">
        <v>338</v>
      </c>
      <c r="E1707" t="inlineStr">
        <is>
          <t>461,247,608,430</t>
        </is>
      </c>
      <c r="F1707" t="n">
        <v>247</v>
      </c>
      <c r="G1707" t="inlineStr">
        <is>
          <t>primary</t>
        </is>
      </c>
      <c r="H1707" t="inlineStr">
        <is>
          <t>AUTO_VESSEL</t>
        </is>
      </c>
      <c r="I1707" t="inlineStr">
        <is>
          <t>是</t>
        </is>
      </c>
      <c r="J1707" t="inlineStr">
        <is>
          <t>纳入</t>
        </is>
      </c>
      <c r="K1707" t="n">
        <v>985.4678638941399</v>
      </c>
      <c r="L1707">
        <f>导管母表_1781!G1707</f>
        <v/>
      </c>
      <c r="M1707" t="inlineStr">
        <is>
          <t>视野内部</t>
        </is>
      </c>
      <c r="N1707" t="inlineStr">
        <is>
          <t>纳入A/D/Dh；若有Pair_ID则纳入CWR</t>
        </is>
      </c>
      <c r="O1707" t="inlineStr">
        <is>
          <t>自动管线检出的合格导管腔。</t>
        </is>
      </c>
      <c r="P1707" t="inlineStr">
        <is>
          <t>auto_pipeline;review_png_green</t>
        </is>
      </c>
      <c r="R1707" t="inlineStr">
        <is>
          <t>样品39</t>
        </is>
      </c>
    </row>
    <row r="1708">
      <c r="A1708" t="inlineStr">
        <is>
          <t>39(3)-V02</t>
        </is>
      </c>
      <c r="B1708" t="inlineStr">
        <is>
          <t>39 (3).tif</t>
        </is>
      </c>
      <c r="C1708" t="n">
        <v>868</v>
      </c>
      <c r="D1708" t="n">
        <v>352</v>
      </c>
      <c r="E1708" t="inlineStr">
        <is>
          <t>795,279,942,426</t>
        </is>
      </c>
      <c r="F1708" t="n">
        <v>82</v>
      </c>
      <c r="G1708" t="inlineStr">
        <is>
          <t>primary</t>
        </is>
      </c>
      <c r="H1708" t="inlineStr">
        <is>
          <t>AUTO_VESSEL</t>
        </is>
      </c>
      <c r="I1708" t="inlineStr">
        <is>
          <t>是</t>
        </is>
      </c>
      <c r="J1708" t="inlineStr">
        <is>
          <t>纳入</t>
        </is>
      </c>
      <c r="K1708" t="n">
        <v>770.0850661625709</v>
      </c>
      <c r="L1708">
        <f>导管母表_1781!G1708</f>
        <v/>
      </c>
      <c r="M1708" t="inlineStr">
        <is>
          <t>视野内部</t>
        </is>
      </c>
      <c r="N1708" t="inlineStr">
        <is>
          <t>纳入A/D/Dh；若有Pair_ID则纳入CWR</t>
        </is>
      </c>
      <c r="O1708" t="inlineStr">
        <is>
          <t>自动管线检出的合格导管腔。</t>
        </is>
      </c>
      <c r="P1708" t="inlineStr">
        <is>
          <t>auto_pipeline;review_png_green</t>
        </is>
      </c>
      <c r="R1708" t="inlineStr">
        <is>
          <t>样品39</t>
        </is>
      </c>
    </row>
    <row r="1709">
      <c r="A1709" t="inlineStr">
        <is>
          <t>39(4)-V01</t>
        </is>
      </c>
      <c r="B1709" t="inlineStr">
        <is>
          <t>39 (4).tif</t>
        </is>
      </c>
      <c r="C1709" t="n">
        <v>149</v>
      </c>
      <c r="D1709" t="n">
        <v>454</v>
      </c>
      <c r="E1709" t="inlineStr">
        <is>
          <t>86,391,213,518</t>
        </is>
      </c>
      <c r="F1709" t="n">
        <v>86</v>
      </c>
      <c r="G1709" t="inlineStr">
        <is>
          <t>primary</t>
        </is>
      </c>
      <c r="H1709" t="inlineStr">
        <is>
          <t>AUTO_VESSEL</t>
        </is>
      </c>
      <c r="I1709" t="inlineStr">
        <is>
          <t>是</t>
        </is>
      </c>
      <c r="J1709" t="inlineStr">
        <is>
          <t>纳入</t>
        </is>
      </c>
      <c r="K1709" t="n">
        <v>577.2448015122874</v>
      </c>
      <c r="L1709">
        <f>导管母表_1781!G1709</f>
        <v/>
      </c>
      <c r="M1709" t="inlineStr">
        <is>
          <t>视野内部</t>
        </is>
      </c>
      <c r="N1709" t="inlineStr">
        <is>
          <t>纳入A/D/Dh；若有Pair_ID则纳入CWR</t>
        </is>
      </c>
      <c r="O1709" t="inlineStr">
        <is>
          <t>自动管线检出的合格导管腔。</t>
        </is>
      </c>
      <c r="P1709" t="inlineStr">
        <is>
          <t>auto_pipeline;review_png_green</t>
        </is>
      </c>
      <c r="R1709" t="inlineStr">
        <is>
          <t>样品39</t>
        </is>
      </c>
    </row>
    <row r="1710">
      <c r="A1710" t="inlineStr">
        <is>
          <t>39(4)-V02</t>
        </is>
      </c>
      <c r="B1710" t="inlineStr">
        <is>
          <t>39 (4).tif</t>
        </is>
      </c>
      <c r="C1710" t="n">
        <v>568</v>
      </c>
      <c r="D1710" t="n">
        <v>410</v>
      </c>
      <c r="E1710" t="inlineStr">
        <is>
          <t>512,348,625,473</t>
        </is>
      </c>
      <c r="F1710" t="n">
        <v>295</v>
      </c>
      <c r="G1710" t="inlineStr">
        <is>
          <t>primary</t>
        </is>
      </c>
      <c r="H1710" t="inlineStr">
        <is>
          <t>AUTO_VESSEL</t>
        </is>
      </c>
      <c r="I1710" t="inlineStr">
        <is>
          <t>是</t>
        </is>
      </c>
      <c r="J1710" t="inlineStr">
        <is>
          <t>纳入</t>
        </is>
      </c>
      <c r="K1710" t="n">
        <v>515.2410207939508</v>
      </c>
      <c r="L1710">
        <f>导管母表_1781!G1710</f>
        <v/>
      </c>
      <c r="M1710" t="inlineStr">
        <is>
          <t>视野内部</t>
        </is>
      </c>
      <c r="N1710" t="inlineStr">
        <is>
          <t>纳入A/D/Dh；若有Pair_ID则纳入CWR</t>
        </is>
      </c>
      <c r="O1710" t="inlineStr">
        <is>
          <t>自动管线检出的合格导管腔。</t>
        </is>
      </c>
      <c r="P1710" t="inlineStr">
        <is>
          <t>auto_pipeline;review_png_green</t>
        </is>
      </c>
      <c r="Q1710" t="inlineStr">
        <is>
          <t>39(4)-P01</t>
        </is>
      </c>
      <c r="R1710" t="inlineStr">
        <is>
          <t>样品39</t>
        </is>
      </c>
    </row>
    <row r="1711">
      <c r="A1711" t="inlineStr">
        <is>
          <t>39(4)-V03</t>
        </is>
      </c>
      <c r="B1711" t="inlineStr">
        <is>
          <t>39 (4).tif</t>
        </is>
      </c>
      <c r="C1711" t="n">
        <v>474</v>
      </c>
      <c r="D1711" t="n">
        <v>311</v>
      </c>
      <c r="E1711" t="inlineStr">
        <is>
          <t>419,250,530,373</t>
        </is>
      </c>
      <c r="F1711" t="n">
        <v>250</v>
      </c>
      <c r="G1711" t="inlineStr">
        <is>
          <t>primary</t>
        </is>
      </c>
      <c r="H1711" t="inlineStr">
        <is>
          <t>AUTO_VESSEL</t>
        </is>
      </c>
      <c r="I1711" t="inlineStr">
        <is>
          <t>是</t>
        </is>
      </c>
      <c r="J1711" t="inlineStr">
        <is>
          <t>纳入</t>
        </is>
      </c>
      <c r="K1711" t="n">
        <v>497.8733459357278</v>
      </c>
      <c r="L1711">
        <f>导管母表_1781!G1711</f>
        <v/>
      </c>
      <c r="M1711" t="inlineStr">
        <is>
          <t>视野内部</t>
        </is>
      </c>
      <c r="N1711" t="inlineStr">
        <is>
          <t>纳入A/D/Dh；若有Pair_ID则纳入CWR</t>
        </is>
      </c>
      <c r="O1711" t="inlineStr">
        <is>
          <t>自动管线检出的合格导管腔。</t>
        </is>
      </c>
      <c r="P1711" t="inlineStr">
        <is>
          <t>auto_pipeline;review_png_green</t>
        </is>
      </c>
      <c r="Q1711" t="inlineStr">
        <is>
          <t>39(4)-P01</t>
        </is>
      </c>
      <c r="R1711" t="inlineStr">
        <is>
          <t>样品39</t>
        </is>
      </c>
    </row>
    <row r="1712">
      <c r="A1712" t="inlineStr">
        <is>
          <t>39(4)-V04</t>
        </is>
      </c>
      <c r="B1712" t="inlineStr">
        <is>
          <t>39 (4).tif</t>
        </is>
      </c>
      <c r="C1712" t="n">
        <v>284</v>
      </c>
      <c r="D1712" t="n">
        <v>615</v>
      </c>
      <c r="E1712" t="inlineStr">
        <is>
          <t>247,555,322,676</t>
        </is>
      </c>
      <c r="F1712" t="n">
        <v>92</v>
      </c>
      <c r="G1712" t="inlineStr">
        <is>
          <t>primary</t>
        </is>
      </c>
      <c r="H1712" t="inlineStr">
        <is>
          <t>AUTO_VESSEL</t>
        </is>
      </c>
      <c r="I1712" t="inlineStr">
        <is>
          <t>是</t>
        </is>
      </c>
      <c r="J1712" t="inlineStr">
        <is>
          <t>纳入</t>
        </is>
      </c>
      <c r="K1712" t="n">
        <v>299.1965973534972</v>
      </c>
      <c r="L1712">
        <f>导管母表_1781!G1712</f>
        <v/>
      </c>
      <c r="M1712" t="inlineStr">
        <is>
          <t>视野内部</t>
        </is>
      </c>
      <c r="N1712" t="inlineStr">
        <is>
          <t>纳入A/D/Dh；若有Pair_ID则纳入CWR</t>
        </is>
      </c>
      <c r="O1712" t="inlineStr">
        <is>
          <t>自动管线检出的合格导管腔。</t>
        </is>
      </c>
      <c r="P1712" t="inlineStr">
        <is>
          <t>auto_pipeline;review_png_green</t>
        </is>
      </c>
      <c r="R1712" t="inlineStr">
        <is>
          <t>样品39</t>
        </is>
      </c>
    </row>
    <row r="1713">
      <c r="A1713" t="inlineStr">
        <is>
          <t>39(4)-V05</t>
        </is>
      </c>
      <c r="B1713" t="inlineStr">
        <is>
          <t>39 (4).tif</t>
        </is>
      </c>
      <c r="C1713" t="n">
        <v>434</v>
      </c>
      <c r="D1713" t="n">
        <v>160</v>
      </c>
      <c r="E1713" t="inlineStr">
        <is>
          <t>400,118,469,203</t>
        </is>
      </c>
      <c r="F1713" t="n">
        <v>118</v>
      </c>
      <c r="G1713" t="inlineStr">
        <is>
          <t>primary</t>
        </is>
      </c>
      <c r="H1713" t="inlineStr">
        <is>
          <t>AUTO_VESSEL</t>
        </is>
      </c>
      <c r="I1713" t="inlineStr">
        <is>
          <t>是</t>
        </is>
      </c>
      <c r="J1713" t="inlineStr">
        <is>
          <t>纳入</t>
        </is>
      </c>
      <c r="K1713" t="n">
        <v>200.6616257088847</v>
      </c>
      <c r="L1713">
        <f>导管母表_1781!G1713</f>
        <v/>
      </c>
      <c r="M1713" t="inlineStr">
        <is>
          <t>视野内部</t>
        </is>
      </c>
      <c r="N1713" t="inlineStr">
        <is>
          <t>纳入A/D/Dh；若有Pair_ID则纳入CWR</t>
        </is>
      </c>
      <c r="O1713" t="inlineStr">
        <is>
          <t>自动管线检出的合格导管腔。</t>
        </is>
      </c>
      <c r="P1713" t="inlineStr">
        <is>
          <t>auto_pipeline;review_png_green</t>
        </is>
      </c>
      <c r="R1713" t="inlineStr">
        <is>
          <t>样品39</t>
        </is>
      </c>
    </row>
    <row r="1714">
      <c r="A1714" t="inlineStr">
        <is>
          <t>39(4)-V06</t>
        </is>
      </c>
      <c r="B1714" t="inlineStr">
        <is>
          <t>39 (4).tif</t>
        </is>
      </c>
      <c r="C1714" t="n">
        <v>287</v>
      </c>
      <c r="D1714" t="n">
        <v>97</v>
      </c>
      <c r="E1714" t="inlineStr">
        <is>
          <t>254,57,321,138</t>
        </is>
      </c>
      <c r="F1714" t="n">
        <v>57</v>
      </c>
      <c r="G1714" t="inlineStr">
        <is>
          <t>primary</t>
        </is>
      </c>
      <c r="H1714" t="inlineStr">
        <is>
          <t>AUTO_VESSEL</t>
        </is>
      </c>
      <c r="I1714" t="inlineStr">
        <is>
          <t>是</t>
        </is>
      </c>
      <c r="J1714" t="inlineStr">
        <is>
          <t>纳入</t>
        </is>
      </c>
      <c r="K1714" t="n">
        <v>182.8213610586011</v>
      </c>
      <c r="L1714">
        <f>导管母表_1781!G1714</f>
        <v/>
      </c>
      <c r="M1714" t="inlineStr">
        <is>
          <t>视野内部</t>
        </is>
      </c>
      <c r="N1714" t="inlineStr">
        <is>
          <t>纳入A/D/Dh；若有Pair_ID则纳入CWR</t>
        </is>
      </c>
      <c r="O1714" t="inlineStr">
        <is>
          <t>自动管线检出的合格导管腔。</t>
        </is>
      </c>
      <c r="P1714" t="inlineStr">
        <is>
          <t>auto_pipeline;review_png_green</t>
        </is>
      </c>
      <c r="R1714" t="inlineStr">
        <is>
          <t>样品39</t>
        </is>
      </c>
    </row>
    <row r="1715">
      <c r="A1715" t="inlineStr">
        <is>
          <t>39(4)-V07</t>
        </is>
      </c>
      <c r="B1715" t="inlineStr">
        <is>
          <t>39 (4).tif</t>
        </is>
      </c>
      <c r="C1715" t="n">
        <v>171</v>
      </c>
      <c r="D1715" t="n">
        <v>597</v>
      </c>
      <c r="E1715" t="inlineStr">
        <is>
          <t>140,560,203,635</t>
        </is>
      </c>
      <c r="F1715" t="n">
        <v>133</v>
      </c>
      <c r="G1715" t="inlineStr">
        <is>
          <t>primary</t>
        </is>
      </c>
      <c r="H1715" t="inlineStr">
        <is>
          <t>AUTO_VESSEL</t>
        </is>
      </c>
      <c r="I1715" t="inlineStr">
        <is>
          <t>是</t>
        </is>
      </c>
      <c r="J1715" t="inlineStr">
        <is>
          <t>纳入</t>
        </is>
      </c>
      <c r="K1715" t="n">
        <v>168.9981096408318</v>
      </c>
      <c r="L1715">
        <f>导管母表_1781!G1715</f>
        <v/>
      </c>
      <c r="M1715" t="inlineStr">
        <is>
          <t>视野内部</t>
        </is>
      </c>
      <c r="N1715" t="inlineStr">
        <is>
          <t>纳入A/D/Dh；若有Pair_ID则纳入CWR</t>
        </is>
      </c>
      <c r="O1715" t="inlineStr">
        <is>
          <t>自动管线检出的合格导管腔。</t>
        </is>
      </c>
      <c r="P1715" t="inlineStr">
        <is>
          <t>auto_pipeline;review_png_green</t>
        </is>
      </c>
      <c r="R1715" t="inlineStr">
        <is>
          <t>样品39</t>
        </is>
      </c>
    </row>
    <row r="1716">
      <c r="A1716" t="inlineStr">
        <is>
          <t>39(4)-V08</t>
        </is>
      </c>
      <c r="B1716" t="inlineStr">
        <is>
          <t>39 (4).tif</t>
        </is>
      </c>
      <c r="C1716" t="n">
        <v>182</v>
      </c>
      <c r="D1716" t="n">
        <v>153</v>
      </c>
      <c r="E1716" t="inlineStr">
        <is>
          <t>141,108,224,199</t>
        </is>
      </c>
      <c r="F1716" t="n">
        <v>108</v>
      </c>
      <c r="G1716" t="inlineStr">
        <is>
          <t>primary</t>
        </is>
      </c>
      <c r="H1716" t="inlineStr">
        <is>
          <t>AUTO_VESSEL</t>
        </is>
      </c>
      <c r="I1716" t="inlineStr">
        <is>
          <t>是</t>
        </is>
      </c>
      <c r="J1716" t="inlineStr">
        <is>
          <t>纳入</t>
        </is>
      </c>
      <c r="K1716" t="n">
        <v>163.5869565217391</v>
      </c>
      <c r="L1716">
        <f>导管母表_1781!G1716</f>
        <v/>
      </c>
      <c r="M1716" t="inlineStr">
        <is>
          <t>视野内部</t>
        </is>
      </c>
      <c r="N1716" t="inlineStr">
        <is>
          <t>纳入A/D/Dh；若有Pair_ID则纳入CWR</t>
        </is>
      </c>
      <c r="O1716" t="inlineStr">
        <is>
          <t>自动管线检出的合格导管腔。</t>
        </is>
      </c>
      <c r="P1716" t="inlineStr">
        <is>
          <t>auto_pipeline;review_png_green</t>
        </is>
      </c>
      <c r="R1716" t="inlineStr">
        <is>
          <t>样品39</t>
        </is>
      </c>
    </row>
    <row r="1717">
      <c r="A1717" t="inlineStr">
        <is>
          <t>39(5)-V01</t>
        </is>
      </c>
      <c r="B1717" t="inlineStr">
        <is>
          <t>39 (5).tif</t>
        </is>
      </c>
      <c r="C1717" t="n">
        <v>505</v>
      </c>
      <c r="D1717" t="n">
        <v>266</v>
      </c>
      <c r="E1717" t="inlineStr">
        <is>
          <t>428,177,583,356</t>
        </is>
      </c>
      <c r="F1717" t="n">
        <v>177</v>
      </c>
      <c r="G1717" t="inlineStr">
        <is>
          <t>primary</t>
        </is>
      </c>
      <c r="H1717" t="inlineStr">
        <is>
          <t>AUTO_VESSEL</t>
        </is>
      </c>
      <c r="I1717" t="inlineStr">
        <is>
          <t>是</t>
        </is>
      </c>
      <c r="J1717" t="inlineStr">
        <is>
          <t>纳入</t>
        </is>
      </c>
      <c r="K1717" t="n">
        <v>1012.074669187146</v>
      </c>
      <c r="L1717">
        <f>导管母表_1781!G1717</f>
        <v/>
      </c>
      <c r="M1717" t="inlineStr">
        <is>
          <t>视野内部</t>
        </is>
      </c>
      <c r="N1717" t="inlineStr">
        <is>
          <t>纳入A/D/Dh；若有Pair_ID则纳入CWR</t>
        </is>
      </c>
      <c r="O1717" t="inlineStr">
        <is>
          <t>自动管线检出的合格导管腔。</t>
        </is>
      </c>
      <c r="P1717" t="inlineStr">
        <is>
          <t>auto_pipeline;review_png_green</t>
        </is>
      </c>
      <c r="R1717" t="inlineStr">
        <is>
          <t>样品39</t>
        </is>
      </c>
    </row>
    <row r="1718">
      <c r="A1718" t="inlineStr">
        <is>
          <t>39(5)-V02</t>
        </is>
      </c>
      <c r="B1718" t="inlineStr">
        <is>
          <t>39 (5).tif</t>
        </is>
      </c>
      <c r="C1718" t="n">
        <v>151</v>
      </c>
      <c r="D1718" t="n">
        <v>423</v>
      </c>
      <c r="E1718" t="inlineStr">
        <is>
          <t>91,343,212,504</t>
        </is>
      </c>
      <c r="F1718" t="n">
        <v>91</v>
      </c>
      <c r="G1718" t="inlineStr">
        <is>
          <t>primary</t>
        </is>
      </c>
      <c r="H1718" t="inlineStr">
        <is>
          <t>AUTO_VESSEL</t>
        </is>
      </c>
      <c r="I1718" t="inlineStr">
        <is>
          <t>是</t>
        </is>
      </c>
      <c r="J1718" t="inlineStr">
        <is>
          <t>纳入</t>
        </is>
      </c>
      <c r="K1718" t="n">
        <v>693.5964083175803</v>
      </c>
      <c r="L1718">
        <f>导管母表_1781!G1718</f>
        <v/>
      </c>
      <c r="M1718" t="inlineStr">
        <is>
          <t>视野内部</t>
        </is>
      </c>
      <c r="N1718" t="inlineStr">
        <is>
          <t>纳入A/D/Dh；若有Pair_ID则纳入CWR</t>
        </is>
      </c>
      <c r="O1718" t="inlineStr">
        <is>
          <t>自动管线检出的合格导管腔。</t>
        </is>
      </c>
      <c r="P1718" t="inlineStr">
        <is>
          <t>auto_pipeline;review_png_green</t>
        </is>
      </c>
      <c r="R1718" t="inlineStr">
        <is>
          <t>样品39</t>
        </is>
      </c>
    </row>
    <row r="1719">
      <c r="A1719" t="inlineStr">
        <is>
          <t>39(5)-V03</t>
        </is>
      </c>
      <c r="B1719" t="inlineStr">
        <is>
          <t>39 (5).tif</t>
        </is>
      </c>
      <c r="C1719" t="n">
        <v>96</v>
      </c>
      <c r="D1719" t="n">
        <v>210</v>
      </c>
      <c r="E1719" t="inlineStr">
        <is>
          <t>51,135,142,286</t>
        </is>
      </c>
      <c r="F1719" t="n">
        <v>51</v>
      </c>
      <c r="G1719" t="inlineStr">
        <is>
          <t>primary</t>
        </is>
      </c>
      <c r="H1719" t="inlineStr">
        <is>
          <t>AUTO_VESSEL</t>
        </is>
      </c>
      <c r="I1719" t="inlineStr">
        <is>
          <t>是</t>
        </is>
      </c>
      <c r="J1719" t="inlineStr">
        <is>
          <t>纳入</t>
        </is>
      </c>
      <c r="K1719" t="n">
        <v>500.1890359168242</v>
      </c>
      <c r="L1719">
        <f>导管母表_1781!G1719</f>
        <v/>
      </c>
      <c r="M1719" t="inlineStr">
        <is>
          <t>视野内部</t>
        </is>
      </c>
      <c r="N1719" t="inlineStr">
        <is>
          <t>纳入A/D/Dh；若有Pair_ID则纳入CWR</t>
        </is>
      </c>
      <c r="O1719" t="inlineStr">
        <is>
          <t>自动管线检出的合格导管腔。</t>
        </is>
      </c>
      <c r="P1719" t="inlineStr">
        <is>
          <t>auto_pipeline;review_png_green</t>
        </is>
      </c>
      <c r="R1719" t="inlineStr">
        <is>
          <t>样品39</t>
        </is>
      </c>
    </row>
    <row r="1720">
      <c r="A1720" t="inlineStr">
        <is>
          <t>39(5)-V04</t>
        </is>
      </c>
      <c r="B1720" t="inlineStr">
        <is>
          <t>39 (5).tif</t>
        </is>
      </c>
      <c r="C1720" t="n">
        <v>476</v>
      </c>
      <c r="D1720" t="n">
        <v>420</v>
      </c>
      <c r="E1720" t="inlineStr">
        <is>
          <t>419,370,534,471</t>
        </is>
      </c>
      <c r="F1720" t="n">
        <v>297</v>
      </c>
      <c r="G1720" t="inlineStr">
        <is>
          <t>primary</t>
        </is>
      </c>
      <c r="H1720" t="inlineStr">
        <is>
          <t>AUTO_VESSEL</t>
        </is>
      </c>
      <c r="I1720" t="inlineStr">
        <is>
          <t>是</t>
        </is>
      </c>
      <c r="J1720" t="inlineStr">
        <is>
          <t>纳入</t>
        </is>
      </c>
      <c r="K1720" t="n">
        <v>420.7939508506616</v>
      </c>
      <c r="L1720">
        <f>导管母表_1781!G1720</f>
        <v/>
      </c>
      <c r="M1720" t="inlineStr">
        <is>
          <t>视野内部</t>
        </is>
      </c>
      <c r="N1720" t="inlineStr">
        <is>
          <t>纳入A/D/Dh；若有Pair_ID则纳入CWR</t>
        </is>
      </c>
      <c r="O1720" t="inlineStr">
        <is>
          <t>自动管线检出的合格导管腔。</t>
        </is>
      </c>
      <c r="P1720" t="inlineStr">
        <is>
          <t>auto_pipeline;review_png_green</t>
        </is>
      </c>
      <c r="R1720" t="inlineStr">
        <is>
          <t>样品39</t>
        </is>
      </c>
    </row>
    <row r="1721">
      <c r="A1721" t="inlineStr">
        <is>
          <t>39(5)-V05</t>
        </is>
      </c>
      <c r="B1721" t="inlineStr">
        <is>
          <t>39 (5).tif</t>
        </is>
      </c>
      <c r="C1721" t="n">
        <v>451</v>
      </c>
      <c r="D1721" t="n">
        <v>543</v>
      </c>
      <c r="E1721" t="inlineStr">
        <is>
          <t>405,502,498,585</t>
        </is>
      </c>
      <c r="F1721" t="n">
        <v>183</v>
      </c>
      <c r="G1721" t="inlineStr">
        <is>
          <t>primary</t>
        </is>
      </c>
      <c r="H1721" t="inlineStr">
        <is>
          <t>AUTO_VESSEL</t>
        </is>
      </c>
      <c r="I1721" t="inlineStr">
        <is>
          <t>是</t>
        </is>
      </c>
      <c r="J1721" t="inlineStr">
        <is>
          <t>纳入</t>
        </is>
      </c>
      <c r="K1721" t="n">
        <v>278.898865784499</v>
      </c>
      <c r="L1721">
        <f>导管母表_1781!G1721</f>
        <v/>
      </c>
      <c r="M1721" t="inlineStr">
        <is>
          <t>视野内部</t>
        </is>
      </c>
      <c r="N1721" t="inlineStr">
        <is>
          <t>纳入A/D/Dh；若有Pair_ID则纳入CWR</t>
        </is>
      </c>
      <c r="O1721" t="inlineStr">
        <is>
          <t>自动管线检出的合格导管腔。</t>
        </is>
      </c>
      <c r="P1721" t="inlineStr">
        <is>
          <t>auto_pipeline;review_png_green</t>
        </is>
      </c>
      <c r="R1721" t="inlineStr">
        <is>
          <t>样品39</t>
        </is>
      </c>
    </row>
    <row r="1722">
      <c r="A1722" t="inlineStr">
        <is>
          <t>39(5)-V06</t>
        </is>
      </c>
      <c r="B1722" t="inlineStr">
        <is>
          <t>39 (5).tif</t>
        </is>
      </c>
      <c r="C1722" t="n">
        <v>108</v>
      </c>
      <c r="D1722" t="n">
        <v>71</v>
      </c>
      <c r="E1722" t="inlineStr">
        <is>
          <t>82,38,135,105</t>
        </is>
      </c>
      <c r="F1722" t="n">
        <v>38</v>
      </c>
      <c r="G1722" t="inlineStr">
        <is>
          <t>primary</t>
        </is>
      </c>
      <c r="H1722" t="inlineStr">
        <is>
          <t>AUTO_VESSEL</t>
        </is>
      </c>
      <c r="I1722" t="inlineStr">
        <is>
          <t>是</t>
        </is>
      </c>
      <c r="J1722" t="inlineStr">
        <is>
          <t>纳入</t>
        </is>
      </c>
      <c r="K1722" t="n">
        <v>127.2211720226843</v>
      </c>
      <c r="L1722">
        <f>导管母表_1781!G1722</f>
        <v/>
      </c>
      <c r="M1722" t="inlineStr">
        <is>
          <t>视野内部</t>
        </is>
      </c>
      <c r="N1722" t="inlineStr">
        <is>
          <t>纳入A/D/Dh；若有Pair_ID则纳入CWR</t>
        </is>
      </c>
      <c r="O1722" t="inlineStr">
        <is>
          <t>自动管线检出的合格导管腔。</t>
        </is>
      </c>
      <c r="P1722" t="inlineStr">
        <is>
          <t>auto_pipeline;review_png_green</t>
        </is>
      </c>
      <c r="R1722" t="inlineStr">
        <is>
          <t>样品39</t>
        </is>
      </c>
    </row>
    <row r="1723">
      <c r="A1723" t="inlineStr">
        <is>
          <t>39(6)-V01</t>
        </is>
      </c>
      <c r="B1723" t="inlineStr">
        <is>
          <t>39 (6).tif</t>
        </is>
      </c>
      <c r="C1723" t="n">
        <v>511</v>
      </c>
      <c r="D1723" t="n">
        <v>420</v>
      </c>
      <c r="E1723" t="inlineStr">
        <is>
          <t>438,343,585,498</t>
        </is>
      </c>
      <c r="F1723" t="n">
        <v>270</v>
      </c>
      <c r="G1723" t="inlineStr">
        <is>
          <t>primary</t>
        </is>
      </c>
      <c r="H1723" t="inlineStr">
        <is>
          <t>AUTO_VESSEL</t>
        </is>
      </c>
      <c r="I1723" t="inlineStr">
        <is>
          <t>是</t>
        </is>
      </c>
      <c r="J1723" t="inlineStr">
        <is>
          <t>纳入</t>
        </is>
      </c>
      <c r="K1723" t="n">
        <v>834.8534971644613</v>
      </c>
      <c r="L1723">
        <f>导管母表_1781!G1723</f>
        <v/>
      </c>
      <c r="M1723" t="inlineStr">
        <is>
          <t>视野内部</t>
        </is>
      </c>
      <c r="N1723" t="inlineStr">
        <is>
          <t>纳入A/D/Dh；若有Pair_ID则纳入CWR</t>
        </is>
      </c>
      <c r="O1723" t="inlineStr">
        <is>
          <t>自动管线检出的合格导管腔。</t>
        </is>
      </c>
      <c r="P1723" t="inlineStr">
        <is>
          <t>auto_pipeline;review_png_green</t>
        </is>
      </c>
      <c r="R1723" t="inlineStr">
        <is>
          <t>样品39</t>
        </is>
      </c>
    </row>
    <row r="1724">
      <c r="A1724" t="inlineStr">
        <is>
          <t>39(6)-V02</t>
        </is>
      </c>
      <c r="B1724" t="inlineStr">
        <is>
          <t>39 (6).tif</t>
        </is>
      </c>
      <c r="C1724" t="n">
        <v>899</v>
      </c>
      <c r="D1724" t="n">
        <v>289</v>
      </c>
      <c r="E1724" t="inlineStr">
        <is>
          <t>873,253,926,326</t>
        </is>
      </c>
      <c r="F1724" t="n">
        <v>98</v>
      </c>
      <c r="G1724" t="inlineStr">
        <is>
          <t>primary</t>
        </is>
      </c>
      <c r="H1724" t="inlineStr">
        <is>
          <t>AUTO_VESSEL</t>
        </is>
      </c>
      <c r="I1724" t="inlineStr">
        <is>
          <t>是</t>
        </is>
      </c>
      <c r="J1724" t="inlineStr">
        <is>
          <t>纳入</t>
        </is>
      </c>
      <c r="K1724" t="n">
        <v>137.1691871455577</v>
      </c>
      <c r="L1724">
        <f>导管母表_1781!G1724</f>
        <v/>
      </c>
      <c r="M1724" t="inlineStr">
        <is>
          <t>视野内部</t>
        </is>
      </c>
      <c r="N1724" t="inlineStr">
        <is>
          <t>纳入A/D/Dh；若有Pair_ID则纳入CWR</t>
        </is>
      </c>
      <c r="O1724" t="inlineStr">
        <is>
          <t>自动管线检出的合格导管腔。</t>
        </is>
      </c>
      <c r="P1724" t="inlineStr">
        <is>
          <t>auto_pipeline;review_png_green</t>
        </is>
      </c>
      <c r="R1724" t="inlineStr">
        <is>
          <t>样品39</t>
        </is>
      </c>
    </row>
    <row r="1725">
      <c r="A1725" t="inlineStr">
        <is>
          <t>39(6)-V03</t>
        </is>
      </c>
      <c r="B1725" t="inlineStr">
        <is>
          <t>39 (6).tif</t>
        </is>
      </c>
      <c r="C1725" t="n">
        <v>576</v>
      </c>
      <c r="D1725" t="n">
        <v>202</v>
      </c>
      <c r="E1725" t="inlineStr">
        <is>
          <t>529,181,624,224</t>
        </is>
      </c>
      <c r="F1725" t="n">
        <v>181</v>
      </c>
      <c r="G1725" t="inlineStr">
        <is>
          <t>primary</t>
        </is>
      </c>
      <c r="H1725" t="inlineStr">
        <is>
          <t>AUTO_VESSEL</t>
        </is>
      </c>
      <c r="I1725" t="inlineStr">
        <is>
          <t>是</t>
        </is>
      </c>
      <c r="J1725" t="inlineStr">
        <is>
          <t>纳入</t>
        </is>
      </c>
      <c r="K1725" t="n">
        <v>128.1899810964083</v>
      </c>
      <c r="L1725">
        <f>导管母表_1781!G1725</f>
        <v/>
      </c>
      <c r="M1725" t="inlineStr">
        <is>
          <t>视野内部</t>
        </is>
      </c>
      <c r="N1725" t="inlineStr">
        <is>
          <t>纳入A/D/Dh；若有Pair_ID则纳入CWR</t>
        </is>
      </c>
      <c r="O1725" t="inlineStr">
        <is>
          <t>自动管线检出的合格导管腔。</t>
        </is>
      </c>
      <c r="P1725" t="inlineStr">
        <is>
          <t>auto_pipeline;review_png_green</t>
        </is>
      </c>
      <c r="R1725" t="inlineStr">
        <is>
          <t>样品39</t>
        </is>
      </c>
    </row>
    <row r="1726">
      <c r="A1726" t="inlineStr">
        <is>
          <t>39(7)-V01</t>
        </is>
      </c>
      <c r="B1726" t="inlineStr">
        <is>
          <t>39 (7).tif</t>
        </is>
      </c>
      <c r="C1726" t="n">
        <v>230</v>
      </c>
      <c r="D1726" t="n">
        <v>501</v>
      </c>
      <c r="E1726" t="inlineStr">
        <is>
          <t>142,426,319,577</t>
        </is>
      </c>
      <c r="F1726" t="n">
        <v>142</v>
      </c>
      <c r="G1726" t="inlineStr">
        <is>
          <t>primary</t>
        </is>
      </c>
      <c r="H1726" t="inlineStr">
        <is>
          <t>AUTO_VESSEL</t>
        </is>
      </c>
      <c r="I1726" t="inlineStr">
        <is>
          <t>是</t>
        </is>
      </c>
      <c r="J1726" t="inlineStr">
        <is>
          <t>纳入</t>
        </is>
      </c>
      <c r="K1726" t="n">
        <v>977.3629489603024</v>
      </c>
      <c r="L1726">
        <f>导管母表_1781!G1726</f>
        <v/>
      </c>
      <c r="M1726" t="inlineStr">
        <is>
          <t>视野内部</t>
        </is>
      </c>
      <c r="N1726" t="inlineStr">
        <is>
          <t>纳入A/D/Dh；若有Pair_ID则纳入CWR</t>
        </is>
      </c>
      <c r="O1726" t="inlineStr">
        <is>
          <t>自动管线检出的合格导管腔。</t>
        </is>
      </c>
      <c r="P1726" t="inlineStr">
        <is>
          <t>auto_pipeline;review_png_green</t>
        </is>
      </c>
      <c r="R1726" t="inlineStr">
        <is>
          <t>样品39</t>
        </is>
      </c>
    </row>
    <row r="1727">
      <c r="A1727" t="inlineStr">
        <is>
          <t>39(7)-V02</t>
        </is>
      </c>
      <c r="B1727" t="inlineStr">
        <is>
          <t>39 (7).tif</t>
        </is>
      </c>
      <c r="C1727" t="n">
        <v>549</v>
      </c>
      <c r="D1727" t="n">
        <v>344</v>
      </c>
      <c r="E1727" t="inlineStr">
        <is>
          <t>471,266,628,423</t>
        </is>
      </c>
      <c r="F1727" t="n">
        <v>266</v>
      </c>
      <c r="G1727" t="inlineStr">
        <is>
          <t>primary</t>
        </is>
      </c>
      <c r="H1727" t="inlineStr">
        <is>
          <t>AUTO_VESSEL</t>
        </is>
      </c>
      <c r="I1727" t="inlineStr">
        <is>
          <t>是</t>
        </is>
      </c>
      <c r="J1727" t="inlineStr">
        <is>
          <t>纳入</t>
        </is>
      </c>
      <c r="K1727" t="n">
        <v>900.2362948960302</v>
      </c>
      <c r="L1727">
        <f>导管母表_1781!G1727</f>
        <v/>
      </c>
      <c r="M1727" t="inlineStr">
        <is>
          <t>视野内部</t>
        </is>
      </c>
      <c r="N1727" t="inlineStr">
        <is>
          <t>纳入A/D/Dh；若有Pair_ID则纳入CWR</t>
        </is>
      </c>
      <c r="O1727" t="inlineStr">
        <is>
          <t>自动管线检出的合格导管腔。</t>
        </is>
      </c>
      <c r="P1727" t="inlineStr">
        <is>
          <t>auto_pipeline;review_png_green</t>
        </is>
      </c>
      <c r="Q1727" t="inlineStr">
        <is>
          <t>39(7)-P01</t>
        </is>
      </c>
      <c r="R1727" t="inlineStr">
        <is>
          <t>样品39</t>
        </is>
      </c>
    </row>
    <row r="1728">
      <c r="A1728" t="inlineStr">
        <is>
          <t>39(7)-V03</t>
        </is>
      </c>
      <c r="B1728" t="inlineStr">
        <is>
          <t>39 (7).tif</t>
        </is>
      </c>
      <c r="C1728" t="n">
        <v>824</v>
      </c>
      <c r="D1728" t="n">
        <v>182</v>
      </c>
      <c r="E1728" t="inlineStr">
        <is>
          <t>750,123,899,242</t>
        </is>
      </c>
      <c r="F1728" t="n">
        <v>123</v>
      </c>
      <c r="G1728" t="inlineStr">
        <is>
          <t>primary</t>
        </is>
      </c>
      <c r="H1728" t="inlineStr">
        <is>
          <t>AUTO_VESSEL</t>
        </is>
      </c>
      <c r="I1728" t="inlineStr">
        <is>
          <t>是</t>
        </is>
      </c>
      <c r="J1728" t="inlineStr">
        <is>
          <t>纳入</t>
        </is>
      </c>
      <c r="K1728" t="n">
        <v>633.8374291115312</v>
      </c>
      <c r="L1728">
        <f>导管母表_1781!G1728</f>
        <v/>
      </c>
      <c r="M1728" t="inlineStr">
        <is>
          <t>视野内部</t>
        </is>
      </c>
      <c r="N1728" t="inlineStr">
        <is>
          <t>纳入A/D/Dh；若有Pair_ID则纳入CWR</t>
        </is>
      </c>
      <c r="O1728" t="inlineStr">
        <is>
          <t>自动管线检出的合格导管腔。</t>
        </is>
      </c>
      <c r="P1728" t="inlineStr">
        <is>
          <t>auto_pipeline;review_png_green</t>
        </is>
      </c>
      <c r="R1728" t="inlineStr">
        <is>
          <t>样品39</t>
        </is>
      </c>
    </row>
    <row r="1729">
      <c r="A1729" t="inlineStr">
        <is>
          <t>39(7)-V04</t>
        </is>
      </c>
      <c r="B1729" t="inlineStr">
        <is>
          <t>39 (7).tif</t>
        </is>
      </c>
      <c r="C1729" t="n">
        <v>411</v>
      </c>
      <c r="D1729" t="n">
        <v>419</v>
      </c>
      <c r="E1729" t="inlineStr">
        <is>
          <t>354,364,469,475</t>
        </is>
      </c>
      <c r="F1729" t="n">
        <v>293</v>
      </c>
      <c r="G1729" t="inlineStr">
        <is>
          <t>primary</t>
        </is>
      </c>
      <c r="H1729" t="inlineStr">
        <is>
          <t>AUTO_VESSEL</t>
        </is>
      </c>
      <c r="I1729" t="inlineStr">
        <is>
          <t>是</t>
        </is>
      </c>
      <c r="J1729" t="inlineStr">
        <is>
          <t>纳入</t>
        </is>
      </c>
      <c r="K1729" t="n">
        <v>463.445179584121</v>
      </c>
      <c r="L1729">
        <f>导管母表_1781!G1729</f>
        <v/>
      </c>
      <c r="M1729" t="inlineStr">
        <is>
          <t>视野内部</t>
        </is>
      </c>
      <c r="N1729" t="inlineStr">
        <is>
          <t>纳入A/D/Dh；若有Pair_ID则纳入CWR</t>
        </is>
      </c>
      <c r="O1729" t="inlineStr">
        <is>
          <t>自动管线检出的合格导管腔。</t>
        </is>
      </c>
      <c r="P1729" t="inlineStr">
        <is>
          <t>auto_pipeline;review_png_green</t>
        </is>
      </c>
      <c r="Q1729" t="inlineStr">
        <is>
          <t>39(7)-P01</t>
        </is>
      </c>
      <c r="R1729" t="inlineStr">
        <is>
          <t>样品39</t>
        </is>
      </c>
    </row>
    <row r="1730">
      <c r="A1730" t="inlineStr">
        <is>
          <t>39(7)-V05</t>
        </is>
      </c>
      <c r="B1730" t="inlineStr">
        <is>
          <t>39 (7).tif</t>
        </is>
      </c>
      <c r="C1730" t="n">
        <v>862</v>
      </c>
      <c r="D1730" t="n">
        <v>338</v>
      </c>
      <c r="E1730" t="inlineStr">
        <is>
          <t>770,284,955,393</t>
        </is>
      </c>
      <c r="F1730" t="n">
        <v>69</v>
      </c>
      <c r="G1730" t="inlineStr">
        <is>
          <t>primary</t>
        </is>
      </c>
      <c r="H1730" t="inlineStr">
        <is>
          <t>AUTO_VESSEL</t>
        </is>
      </c>
      <c r="I1730" t="inlineStr">
        <is>
          <t>是</t>
        </is>
      </c>
      <c r="J1730" t="inlineStr">
        <is>
          <t>纳入</t>
        </is>
      </c>
      <c r="K1730" t="n">
        <v>413.3506616257089</v>
      </c>
      <c r="L1730">
        <f>导管母表_1781!G1730</f>
        <v/>
      </c>
      <c r="M1730" t="inlineStr">
        <is>
          <t>视野内部</t>
        </is>
      </c>
      <c r="N1730" t="inlineStr">
        <is>
          <t>纳入A/D/Dh；若有Pair_ID则纳入CWR</t>
        </is>
      </c>
      <c r="O1730" t="inlineStr">
        <is>
          <t>自动管线检出的合格导管腔。</t>
        </is>
      </c>
      <c r="P1730" t="inlineStr">
        <is>
          <t>auto_pipeline;review_png_green</t>
        </is>
      </c>
      <c r="R1730" t="inlineStr">
        <is>
          <t>样品39</t>
        </is>
      </c>
    </row>
    <row r="1731">
      <c r="A1731" t="inlineStr">
        <is>
          <t>39(7)-V06</t>
        </is>
      </c>
      <c r="B1731" t="inlineStr">
        <is>
          <t>39 (7).tif</t>
        </is>
      </c>
      <c r="C1731" t="n">
        <v>730</v>
      </c>
      <c r="D1731" t="n">
        <v>408</v>
      </c>
      <c r="E1731" t="inlineStr">
        <is>
          <t>683,369,778,448</t>
        </is>
      </c>
      <c r="F1731" t="n">
        <v>246</v>
      </c>
      <c r="G1731" t="inlineStr">
        <is>
          <t>primary</t>
        </is>
      </c>
      <c r="H1731" t="inlineStr">
        <is>
          <t>AUTO_VESSEL</t>
        </is>
      </c>
      <c r="I1731" t="inlineStr">
        <is>
          <t>是</t>
        </is>
      </c>
      <c r="J1731" t="inlineStr">
        <is>
          <t>纳入</t>
        </is>
      </c>
      <c r="K1731" t="n">
        <v>257.3015122873346</v>
      </c>
      <c r="L1731">
        <f>导管母表_1781!G1731</f>
        <v/>
      </c>
      <c r="M1731" t="inlineStr">
        <is>
          <t>视野内部</t>
        </is>
      </c>
      <c r="N1731" t="inlineStr">
        <is>
          <t>纳入A/D/Dh；若有Pair_ID则纳入CWR</t>
        </is>
      </c>
      <c r="O1731" t="inlineStr">
        <is>
          <t>自动管线检出的合格导管腔。</t>
        </is>
      </c>
      <c r="P1731" t="inlineStr">
        <is>
          <t>auto_pipeline;review_png_green</t>
        </is>
      </c>
      <c r="R1731" t="inlineStr">
        <is>
          <t>样品39</t>
        </is>
      </c>
    </row>
    <row r="1732">
      <c r="A1732" t="inlineStr">
        <is>
          <t>39(7)-V07</t>
        </is>
      </c>
      <c r="B1732" t="inlineStr">
        <is>
          <t>39 (7).tif</t>
        </is>
      </c>
      <c r="C1732" t="n">
        <v>552</v>
      </c>
      <c r="D1732" t="n">
        <v>477</v>
      </c>
      <c r="E1732" t="inlineStr">
        <is>
          <t>516,442,589,513</t>
        </is>
      </c>
      <c r="F1732" t="n">
        <v>255</v>
      </c>
      <c r="G1732" t="inlineStr">
        <is>
          <t>primary</t>
        </is>
      </c>
      <c r="H1732" t="inlineStr">
        <is>
          <t>AUTO_VESSEL</t>
        </is>
      </c>
      <c r="I1732" t="inlineStr">
        <is>
          <t>是</t>
        </is>
      </c>
      <c r="J1732" t="inlineStr">
        <is>
          <t>纳入</t>
        </is>
      </c>
      <c r="K1732" t="n">
        <v>159.2863894139887</v>
      </c>
      <c r="L1732">
        <f>导管母表_1781!G1732</f>
        <v/>
      </c>
      <c r="M1732" t="inlineStr">
        <is>
          <t>视野内部</t>
        </is>
      </c>
      <c r="N1732" t="inlineStr">
        <is>
          <t>纳入A/D/Dh；若有Pair_ID则纳入CWR</t>
        </is>
      </c>
      <c r="O1732" t="inlineStr">
        <is>
          <t>自动管线检出的合格导管腔。</t>
        </is>
      </c>
      <c r="P1732" t="inlineStr">
        <is>
          <t>auto_pipeline;review_png_green</t>
        </is>
      </c>
      <c r="R1732" t="inlineStr">
        <is>
          <t>样品39</t>
        </is>
      </c>
    </row>
    <row r="1733">
      <c r="A1733" t="inlineStr">
        <is>
          <t>39(8)-V01</t>
        </is>
      </c>
      <c r="B1733" t="inlineStr">
        <is>
          <t>39 (8).tif</t>
        </is>
      </c>
      <c r="C1733" t="n">
        <v>548</v>
      </c>
      <c r="D1733" t="n">
        <v>385</v>
      </c>
      <c r="E1733" t="inlineStr">
        <is>
          <t>476,321,621,450</t>
        </is>
      </c>
      <c r="F1733" t="n">
        <v>318</v>
      </c>
      <c r="G1733" t="inlineStr">
        <is>
          <t>primary</t>
        </is>
      </c>
      <c r="H1733" t="inlineStr">
        <is>
          <t>AUTO_VESSEL</t>
        </is>
      </c>
      <c r="I1733" t="inlineStr">
        <is>
          <t>是</t>
        </is>
      </c>
      <c r="J1733" t="inlineStr">
        <is>
          <t>纳入</t>
        </is>
      </c>
      <c r="K1733" t="n">
        <v>683.7665406427221</v>
      </c>
      <c r="L1733">
        <f>导管母表_1781!G1733</f>
        <v/>
      </c>
      <c r="M1733" t="inlineStr">
        <is>
          <t>视野内部</t>
        </is>
      </c>
      <c r="N1733" t="inlineStr">
        <is>
          <t>纳入A/D/Dh；若有Pair_ID则纳入CWR</t>
        </is>
      </c>
      <c r="O1733" t="inlineStr">
        <is>
          <t>自动管线检出的合格导管腔。</t>
        </is>
      </c>
      <c r="P1733" t="inlineStr">
        <is>
          <t>auto_pipeline;review_png_green</t>
        </is>
      </c>
      <c r="R1733" t="inlineStr">
        <is>
          <t>样品39</t>
        </is>
      </c>
    </row>
    <row r="1734">
      <c r="A1734" t="inlineStr">
        <is>
          <t>39(8)-V02</t>
        </is>
      </c>
      <c r="B1734" t="inlineStr">
        <is>
          <t>39 (8).tif</t>
        </is>
      </c>
      <c r="C1734" t="n">
        <v>790</v>
      </c>
      <c r="D1734" t="n">
        <v>270</v>
      </c>
      <c r="E1734" t="inlineStr">
        <is>
          <t>719,206,862,335</t>
        </is>
      </c>
      <c r="F1734" t="n">
        <v>162</v>
      </c>
      <c r="G1734" t="inlineStr">
        <is>
          <t>primary</t>
        </is>
      </c>
      <c r="H1734" t="inlineStr">
        <is>
          <t>AUTO_VESSEL</t>
        </is>
      </c>
      <c r="I1734" t="inlineStr">
        <is>
          <t>是</t>
        </is>
      </c>
      <c r="J1734" t="inlineStr">
        <is>
          <t>纳入</t>
        </is>
      </c>
      <c r="K1734" t="n">
        <v>673.5822306238185</v>
      </c>
      <c r="L1734">
        <f>导管母表_1781!G1734</f>
        <v/>
      </c>
      <c r="M1734" t="inlineStr">
        <is>
          <t>视野内部</t>
        </is>
      </c>
      <c r="N1734" t="inlineStr">
        <is>
          <t>纳入A/D/Dh；若有Pair_ID则纳入CWR</t>
        </is>
      </c>
      <c r="O1734" t="inlineStr">
        <is>
          <t>自动管线检出的合格导管腔。</t>
        </is>
      </c>
      <c r="P1734" t="inlineStr">
        <is>
          <t>auto_pipeline;review_png_green</t>
        </is>
      </c>
      <c r="R1734" t="inlineStr">
        <is>
          <t>样品39</t>
        </is>
      </c>
    </row>
    <row r="1735">
      <c r="A1735" t="inlineStr">
        <is>
          <t>39(8)-V03</t>
        </is>
      </c>
      <c r="B1735" t="inlineStr">
        <is>
          <t>39 (8).tif</t>
        </is>
      </c>
      <c r="C1735" t="n">
        <v>450</v>
      </c>
      <c r="D1735" t="n">
        <v>643</v>
      </c>
      <c r="E1735" t="inlineStr">
        <is>
          <t>372,606,529,681</t>
        </is>
      </c>
      <c r="F1735" t="n">
        <v>87</v>
      </c>
      <c r="G1735" t="inlineStr">
        <is>
          <t>primary</t>
        </is>
      </c>
      <c r="H1735" t="inlineStr">
        <is>
          <t>AUTO_VESSEL</t>
        </is>
      </c>
      <c r="I1735" t="inlineStr">
        <is>
          <t>是</t>
        </is>
      </c>
      <c r="J1735" t="inlineStr">
        <is>
          <t>纳入</t>
        </is>
      </c>
      <c r="K1735" t="n">
        <v>428.6389413988658</v>
      </c>
      <c r="L1735">
        <f>导管母表_1781!G1735</f>
        <v/>
      </c>
      <c r="M1735" t="inlineStr">
        <is>
          <t>视野内部</t>
        </is>
      </c>
      <c r="N1735" t="inlineStr">
        <is>
          <t>纳入A/D/Dh；若有Pair_ID则纳入CWR</t>
        </is>
      </c>
      <c r="O1735" t="inlineStr">
        <is>
          <t>自动管线检出的合格导管腔。</t>
        </is>
      </c>
      <c r="P1735" t="inlineStr">
        <is>
          <t>auto_pipeline;review_png_green</t>
        </is>
      </c>
      <c r="R1735" t="inlineStr">
        <is>
          <t>样品39</t>
        </is>
      </c>
    </row>
    <row r="1736">
      <c r="A1736" t="inlineStr">
        <is>
          <t>39(8)-V04</t>
        </is>
      </c>
      <c r="B1736" t="inlineStr">
        <is>
          <t>39 (8).tif</t>
        </is>
      </c>
      <c r="C1736" t="n">
        <v>607</v>
      </c>
      <c r="D1736" t="n">
        <v>461</v>
      </c>
      <c r="E1736" t="inlineStr">
        <is>
          <t>552,438,663,485</t>
        </is>
      </c>
      <c r="F1736" t="n">
        <v>283</v>
      </c>
      <c r="G1736" t="inlineStr">
        <is>
          <t>primary</t>
        </is>
      </c>
      <c r="H1736" t="inlineStr">
        <is>
          <t>AUTO_VESSEL</t>
        </is>
      </c>
      <c r="I1736" t="inlineStr">
        <is>
          <t>是</t>
        </is>
      </c>
      <c r="J1736" t="inlineStr">
        <is>
          <t>纳入</t>
        </is>
      </c>
      <c r="K1736" t="n">
        <v>135.2315689981097</v>
      </c>
      <c r="L1736">
        <f>导管母表_1781!G1736</f>
        <v/>
      </c>
      <c r="M1736" t="inlineStr">
        <is>
          <t>视野内部</t>
        </is>
      </c>
      <c r="N1736" t="inlineStr">
        <is>
          <t>纳入A/D/Dh；若有Pair_ID则纳入CWR</t>
        </is>
      </c>
      <c r="O1736" t="inlineStr">
        <is>
          <t>自动管线检出的合格导管腔。</t>
        </is>
      </c>
      <c r="P1736" t="inlineStr">
        <is>
          <t>auto_pipeline;review_png_green</t>
        </is>
      </c>
      <c r="R1736" t="inlineStr">
        <is>
          <t>样品39</t>
        </is>
      </c>
    </row>
    <row r="1737">
      <c r="A1737" t="inlineStr">
        <is>
          <t>39(8)-V05</t>
        </is>
      </c>
      <c r="B1737" t="inlineStr">
        <is>
          <t>39 (8).tif</t>
        </is>
      </c>
      <c r="C1737" t="n">
        <v>930</v>
      </c>
      <c r="D1737" t="n">
        <v>258</v>
      </c>
      <c r="E1737" t="inlineStr">
        <is>
          <t>894,229,967,288</t>
        </is>
      </c>
      <c r="F1737" t="n">
        <v>57</v>
      </c>
      <c r="G1737" t="inlineStr">
        <is>
          <t>primary</t>
        </is>
      </c>
      <c r="H1737" t="inlineStr">
        <is>
          <t>AUTO_VESSEL</t>
        </is>
      </c>
      <c r="I1737" t="inlineStr">
        <is>
          <t>是</t>
        </is>
      </c>
      <c r="J1737" t="inlineStr">
        <is>
          <t>纳入</t>
        </is>
      </c>
      <c r="K1737" t="n">
        <v>124.8818525519849</v>
      </c>
      <c r="L1737">
        <f>导管母表_1781!G1737</f>
        <v/>
      </c>
      <c r="M1737" t="inlineStr">
        <is>
          <t>视野内部</t>
        </is>
      </c>
      <c r="N1737" t="inlineStr">
        <is>
          <t>纳入A/D/Dh；若有Pair_ID则纳入CWR</t>
        </is>
      </c>
      <c r="O1737" t="inlineStr">
        <is>
          <t>自动管线检出的合格导管腔。</t>
        </is>
      </c>
      <c r="P1737" t="inlineStr">
        <is>
          <t>auto_pipeline;review_png_green</t>
        </is>
      </c>
      <c r="R1737" t="inlineStr">
        <is>
          <t>样品39</t>
        </is>
      </c>
    </row>
    <row r="1738">
      <c r="A1738" t="inlineStr">
        <is>
          <t>39(8)-V06</t>
        </is>
      </c>
      <c r="B1738" t="inlineStr">
        <is>
          <t>39 (8).tif</t>
        </is>
      </c>
      <c r="C1738" t="n">
        <v>174</v>
      </c>
      <c r="D1738" t="n">
        <v>541</v>
      </c>
      <c r="E1738" t="inlineStr">
        <is>
          <t>133,521,216,562</t>
        </is>
      </c>
      <c r="F1738" t="n">
        <v>133</v>
      </c>
      <c r="G1738" t="inlineStr">
        <is>
          <t>primary</t>
        </is>
      </c>
      <c r="H1738" t="inlineStr">
        <is>
          <t>AUTO_VESSEL</t>
        </is>
      </c>
      <c r="I1738" t="inlineStr">
        <is>
          <t>是</t>
        </is>
      </c>
      <c r="J1738" t="inlineStr">
        <is>
          <t>纳入</t>
        </is>
      </c>
      <c r="K1738" t="n">
        <v>121.9990548204159</v>
      </c>
      <c r="L1738">
        <f>导管母表_1781!G1738</f>
        <v/>
      </c>
      <c r="M1738" t="inlineStr">
        <is>
          <t>视野内部</t>
        </is>
      </c>
      <c r="N1738" t="inlineStr">
        <is>
          <t>纳入A/D/Dh；若有Pair_ID则纳入CWR</t>
        </is>
      </c>
      <c r="O1738" t="inlineStr">
        <is>
          <t>自动管线检出的合格导管腔。</t>
        </is>
      </c>
      <c r="P1738" t="inlineStr">
        <is>
          <t>auto_pipeline;review_png_green</t>
        </is>
      </c>
      <c r="R1738" t="inlineStr">
        <is>
          <t>样品39</t>
        </is>
      </c>
    </row>
    <row r="1739">
      <c r="A1739" t="inlineStr">
        <is>
          <t>40(1)-V01</t>
        </is>
      </c>
      <c r="B1739" t="inlineStr">
        <is>
          <t>40 (1).tif</t>
        </is>
      </c>
      <c r="C1739" t="n">
        <v>577</v>
      </c>
      <c r="D1739" t="n">
        <v>446</v>
      </c>
      <c r="E1739" t="inlineStr">
        <is>
          <t>487,361,668,532</t>
        </is>
      </c>
      <c r="F1739" t="n">
        <v>236</v>
      </c>
      <c r="G1739" t="inlineStr">
        <is>
          <t>primary</t>
        </is>
      </c>
      <c r="H1739" t="inlineStr">
        <is>
          <t>AUTO_VESSEL</t>
        </is>
      </c>
      <c r="I1739" t="inlineStr">
        <is>
          <t>是</t>
        </is>
      </c>
      <c r="J1739" t="inlineStr">
        <is>
          <t>纳入</t>
        </is>
      </c>
      <c r="K1739" t="n">
        <v>1132.986767485822</v>
      </c>
      <c r="L1739">
        <f>导管母表_1781!G1739</f>
        <v/>
      </c>
      <c r="M1739" t="inlineStr">
        <is>
          <t>视野内部</t>
        </is>
      </c>
      <c r="N1739" t="inlineStr">
        <is>
          <t>纳入A/D/Dh；若有Pair_ID则纳入CWR</t>
        </is>
      </c>
      <c r="O1739" t="inlineStr">
        <is>
          <t>自动管线检出的合格导管腔。</t>
        </is>
      </c>
      <c r="P1739" t="inlineStr">
        <is>
          <t>auto_pipeline;review_png_green</t>
        </is>
      </c>
      <c r="Q1739" t="inlineStr">
        <is>
          <t>40(1)-P01</t>
        </is>
      </c>
      <c r="R1739" t="inlineStr">
        <is>
          <t>样品40</t>
        </is>
      </c>
    </row>
    <row r="1740">
      <c r="A1740" t="inlineStr">
        <is>
          <t>40(1)-V02</t>
        </is>
      </c>
      <c r="B1740" t="inlineStr">
        <is>
          <t>40 (1).tif</t>
        </is>
      </c>
      <c r="C1740" t="n">
        <v>445</v>
      </c>
      <c r="D1740" t="n">
        <v>314</v>
      </c>
      <c r="E1740" t="inlineStr">
        <is>
          <t>375,241,516,388</t>
        </is>
      </c>
      <c r="F1740" t="n">
        <v>241</v>
      </c>
      <c r="G1740" t="inlineStr">
        <is>
          <t>primary</t>
        </is>
      </c>
      <c r="H1740" t="inlineStr">
        <is>
          <t>AUTO_VESSEL</t>
        </is>
      </c>
      <c r="I1740" t="inlineStr">
        <is>
          <t>是</t>
        </is>
      </c>
      <c r="J1740" t="inlineStr">
        <is>
          <t>纳入</t>
        </is>
      </c>
      <c r="K1740" t="n">
        <v>756.8998109640831</v>
      </c>
      <c r="L1740">
        <f>导管母表_1781!G1740</f>
        <v/>
      </c>
      <c r="M1740" t="inlineStr">
        <is>
          <t>视野内部</t>
        </is>
      </c>
      <c r="N1740" t="inlineStr">
        <is>
          <t>纳入A/D/Dh；若有Pair_ID则纳入CWR</t>
        </is>
      </c>
      <c r="O1740" t="inlineStr">
        <is>
          <t>自动管线检出的合格导管腔。</t>
        </is>
      </c>
      <c r="P1740" t="inlineStr">
        <is>
          <t>auto_pipeline;review_png_green</t>
        </is>
      </c>
      <c r="Q1740" t="inlineStr">
        <is>
          <t>40(1)-P01</t>
        </is>
      </c>
      <c r="R1740" t="inlineStr">
        <is>
          <t>样品40</t>
        </is>
      </c>
    </row>
    <row r="1741">
      <c r="A1741" t="inlineStr">
        <is>
          <t>40(1)-V03</t>
        </is>
      </c>
      <c r="B1741" t="inlineStr">
        <is>
          <t>40 (1).tif</t>
        </is>
      </c>
      <c r="C1741" t="n">
        <v>477</v>
      </c>
      <c r="D1741" t="n">
        <v>336</v>
      </c>
      <c r="E1741" t="inlineStr">
        <is>
          <t>437,289,518,384</t>
        </is>
      </c>
      <c r="F1741" t="n">
        <v>289</v>
      </c>
      <c r="G1741" t="inlineStr">
        <is>
          <t>primary</t>
        </is>
      </c>
      <c r="H1741" t="inlineStr">
        <is>
          <t>AUTO_VESSEL</t>
        </is>
      </c>
      <c r="I1741" t="inlineStr">
        <is>
          <t>是</t>
        </is>
      </c>
      <c r="J1741" t="inlineStr">
        <is>
          <t>纳入</t>
        </is>
      </c>
      <c r="K1741" t="n">
        <v>264.9338374291115</v>
      </c>
      <c r="L1741">
        <f>导管母表_1781!G1741</f>
        <v/>
      </c>
      <c r="M1741" t="inlineStr">
        <is>
          <t>视野内部</t>
        </is>
      </c>
      <c r="N1741" t="inlineStr">
        <is>
          <t>纳入A/D/Dh；若有Pair_ID则纳入CWR</t>
        </is>
      </c>
      <c r="O1741" t="inlineStr">
        <is>
          <t>自动管线检出的合格导管腔。</t>
        </is>
      </c>
      <c r="P1741" t="inlineStr">
        <is>
          <t>auto_pipeline;review_png_green</t>
        </is>
      </c>
      <c r="R1741" t="inlineStr">
        <is>
          <t>样品40</t>
        </is>
      </c>
    </row>
    <row r="1742">
      <c r="A1742" t="inlineStr">
        <is>
          <t>40(2)-V01</t>
        </is>
      </c>
      <c r="B1742" t="inlineStr">
        <is>
          <t>40 (2).tif</t>
        </is>
      </c>
      <c r="C1742" t="n">
        <v>515</v>
      </c>
      <c r="D1742" t="n">
        <v>430</v>
      </c>
      <c r="E1742" t="inlineStr">
        <is>
          <t>443,358,588,503</t>
        </is>
      </c>
      <c r="F1742" t="n">
        <v>265</v>
      </c>
      <c r="G1742" t="inlineStr">
        <is>
          <t>primary</t>
        </is>
      </c>
      <c r="H1742" t="inlineStr">
        <is>
          <t>AUTO_VESSEL</t>
        </is>
      </c>
      <c r="I1742" t="inlineStr">
        <is>
          <t>是</t>
        </is>
      </c>
      <c r="J1742" t="inlineStr">
        <is>
          <t>纳入</t>
        </is>
      </c>
      <c r="K1742" t="n">
        <v>763.6578449905483</v>
      </c>
      <c r="L1742">
        <f>导管母表_1781!G1742</f>
        <v/>
      </c>
      <c r="M1742" t="inlineStr">
        <is>
          <t>视野内部</t>
        </is>
      </c>
      <c r="N1742" t="inlineStr">
        <is>
          <t>纳入A/D/Dh；若有Pair_ID则纳入CWR</t>
        </is>
      </c>
      <c r="O1742" t="inlineStr">
        <is>
          <t>自动管线检出的合格导管腔。</t>
        </is>
      </c>
      <c r="P1742" t="inlineStr">
        <is>
          <t>auto_pipeline;review_png_green</t>
        </is>
      </c>
      <c r="R1742" t="inlineStr">
        <is>
          <t>样品40</t>
        </is>
      </c>
    </row>
    <row r="1743">
      <c r="A1743" t="inlineStr">
        <is>
          <t>40(2)-V02</t>
        </is>
      </c>
      <c r="B1743" t="inlineStr">
        <is>
          <t>40 (2).tif</t>
        </is>
      </c>
      <c r="C1743" t="n">
        <v>173</v>
      </c>
      <c r="D1743" t="n">
        <v>281</v>
      </c>
      <c r="E1743" t="inlineStr">
        <is>
          <t>110,209,237,354</t>
        </is>
      </c>
      <c r="F1743" t="n">
        <v>110</v>
      </c>
      <c r="G1743" t="inlineStr">
        <is>
          <t>primary</t>
        </is>
      </c>
      <c r="H1743" t="inlineStr">
        <is>
          <t>AUTO_VESSEL</t>
        </is>
      </c>
      <c r="I1743" t="inlineStr">
        <is>
          <t>是</t>
        </is>
      </c>
      <c r="J1743" t="inlineStr">
        <is>
          <t>纳入</t>
        </is>
      </c>
      <c r="K1743" t="n">
        <v>672.8969754253308</v>
      </c>
      <c r="L1743">
        <f>导管母表_1781!G1743</f>
        <v/>
      </c>
      <c r="M1743" t="inlineStr">
        <is>
          <t>视野内部</t>
        </is>
      </c>
      <c r="N1743" t="inlineStr">
        <is>
          <t>纳入A/D/Dh；若有Pair_ID则纳入CWR</t>
        </is>
      </c>
      <c r="O1743" t="inlineStr">
        <is>
          <t>自动管线检出的合格导管腔。</t>
        </is>
      </c>
      <c r="P1743" t="inlineStr">
        <is>
          <t>auto_pipeline;review_png_green</t>
        </is>
      </c>
      <c r="R1743" t="inlineStr">
        <is>
          <t>样品40</t>
        </is>
      </c>
    </row>
    <row r="1744">
      <c r="A1744" t="inlineStr">
        <is>
          <t>40(2)-V03</t>
        </is>
      </c>
      <c r="B1744" t="inlineStr">
        <is>
          <t>40 (2).tif</t>
        </is>
      </c>
      <c r="C1744" t="n">
        <v>150</v>
      </c>
      <c r="D1744" t="n">
        <v>73</v>
      </c>
      <c r="E1744" t="inlineStr">
        <is>
          <t>117,21,184,126</t>
        </is>
      </c>
      <c r="F1744" t="n">
        <v>21</v>
      </c>
      <c r="G1744" t="inlineStr">
        <is>
          <t>primary</t>
        </is>
      </c>
      <c r="H1744" t="inlineStr">
        <is>
          <t>AUTO_VESSEL</t>
        </is>
      </c>
      <c r="I1744" t="inlineStr">
        <is>
          <t>是</t>
        </is>
      </c>
      <c r="J1744" t="inlineStr">
        <is>
          <t>纳入</t>
        </is>
      </c>
      <c r="K1744" t="n">
        <v>243.9035916824197</v>
      </c>
      <c r="L1744">
        <f>导管母表_1781!G1744</f>
        <v/>
      </c>
      <c r="M1744" t="inlineStr">
        <is>
          <t>近边缘（&lt;25 px）</t>
        </is>
      </c>
      <c r="N1744" t="inlineStr">
        <is>
          <t>纳入A/D/Dh；若有Pair_ID则纳入CWR</t>
        </is>
      </c>
      <c r="O1744" t="inlineStr">
        <is>
          <t>自动管线检出的合格导管腔。</t>
        </is>
      </c>
      <c r="P1744" t="inlineStr">
        <is>
          <t>auto_pipeline;review_png_green</t>
        </is>
      </c>
      <c r="R1744" t="inlineStr">
        <is>
          <t>样品40</t>
        </is>
      </c>
    </row>
    <row r="1745">
      <c r="A1745" t="inlineStr">
        <is>
          <t>40(2)-V04</t>
        </is>
      </c>
      <c r="B1745" t="inlineStr">
        <is>
          <t>40 (2).tif</t>
        </is>
      </c>
      <c r="C1745" t="n">
        <v>124</v>
      </c>
      <c r="D1745" t="n">
        <v>456</v>
      </c>
      <c r="E1745" t="inlineStr">
        <is>
          <t>90,408,159,505</t>
        </is>
      </c>
      <c r="F1745" t="n">
        <v>90</v>
      </c>
      <c r="G1745" t="inlineStr">
        <is>
          <t>primary</t>
        </is>
      </c>
      <c r="H1745" t="inlineStr">
        <is>
          <t>AUTO_VESSEL</t>
        </is>
      </c>
      <c r="I1745" t="inlineStr">
        <is>
          <t>是</t>
        </is>
      </c>
      <c r="J1745" t="inlineStr">
        <is>
          <t>纳入</t>
        </is>
      </c>
      <c r="K1745" t="n">
        <v>219.7069943289225</v>
      </c>
      <c r="L1745">
        <f>导管母表_1781!G1745</f>
        <v/>
      </c>
      <c r="M1745" t="inlineStr">
        <is>
          <t>视野内部</t>
        </is>
      </c>
      <c r="N1745" t="inlineStr">
        <is>
          <t>纳入A/D/Dh；若有Pair_ID则纳入CWR</t>
        </is>
      </c>
      <c r="O1745" t="inlineStr">
        <is>
          <t>自动管线检出的合格导管腔。</t>
        </is>
      </c>
      <c r="P1745" t="inlineStr">
        <is>
          <t>auto_pipeline;review_png_green</t>
        </is>
      </c>
      <c r="R1745" t="inlineStr">
        <is>
          <t>样品40</t>
        </is>
      </c>
    </row>
    <row r="1746">
      <c r="A1746" t="inlineStr">
        <is>
          <t>40(2)-V05</t>
        </is>
      </c>
      <c r="B1746" t="inlineStr">
        <is>
          <t>40 (2).tif</t>
        </is>
      </c>
      <c r="C1746" t="n">
        <v>884</v>
      </c>
      <c r="D1746" t="n">
        <v>517</v>
      </c>
      <c r="E1746" t="inlineStr">
        <is>
          <t>850,478,919,557</t>
        </is>
      </c>
      <c r="F1746" t="n">
        <v>105</v>
      </c>
      <c r="G1746" t="inlineStr">
        <is>
          <t>primary</t>
        </is>
      </c>
      <c r="H1746" t="inlineStr">
        <is>
          <t>AUTO_VESSEL</t>
        </is>
      </c>
      <c r="I1746" t="inlineStr">
        <is>
          <t>是</t>
        </is>
      </c>
      <c r="J1746" t="inlineStr">
        <is>
          <t>纳入</t>
        </is>
      </c>
      <c r="K1746" t="n">
        <v>197.1644612476371</v>
      </c>
      <c r="L1746">
        <f>导管母表_1781!G1746</f>
        <v/>
      </c>
      <c r="M1746" t="inlineStr">
        <is>
          <t>视野内部</t>
        </is>
      </c>
      <c r="N1746" t="inlineStr">
        <is>
          <t>纳入A/D/Dh；若有Pair_ID则纳入CWR</t>
        </is>
      </c>
      <c r="O1746" t="inlineStr">
        <is>
          <t>自动管线检出的合格导管腔。</t>
        </is>
      </c>
      <c r="P1746" t="inlineStr">
        <is>
          <t>auto_pipeline;review_png_green</t>
        </is>
      </c>
      <c r="R1746" t="inlineStr">
        <is>
          <t>样品40</t>
        </is>
      </c>
    </row>
    <row r="1747">
      <c r="A1747" t="inlineStr">
        <is>
          <t>40(2)-V06</t>
        </is>
      </c>
      <c r="B1747" t="inlineStr">
        <is>
          <t>40 (2).tif</t>
        </is>
      </c>
      <c r="C1747" t="n">
        <v>87</v>
      </c>
      <c r="D1747" t="n">
        <v>92</v>
      </c>
      <c r="E1747" t="inlineStr">
        <is>
          <t>67,44,108,141</t>
        </is>
      </c>
      <c r="F1747" t="n">
        <v>44</v>
      </c>
      <c r="G1747" t="inlineStr">
        <is>
          <t>primary</t>
        </is>
      </c>
      <c r="H1747" t="inlineStr">
        <is>
          <t>AUTO_VESSEL</t>
        </is>
      </c>
      <c r="I1747" t="inlineStr">
        <is>
          <t>是</t>
        </is>
      </c>
      <c r="J1747" t="inlineStr">
        <is>
          <t>纳入</t>
        </is>
      </c>
      <c r="K1747" t="n">
        <v>137.2873345935728</v>
      </c>
      <c r="L1747">
        <f>导管母表_1781!G1747</f>
        <v/>
      </c>
      <c r="M1747" t="inlineStr">
        <is>
          <t>视野内部</t>
        </is>
      </c>
      <c r="N1747" t="inlineStr">
        <is>
          <t>纳入A/D/Dh；若有Pair_ID则纳入CWR</t>
        </is>
      </c>
      <c r="O1747" t="inlineStr">
        <is>
          <t>自动管线检出的合格导管腔。</t>
        </is>
      </c>
      <c r="P1747" t="inlineStr">
        <is>
          <t>auto_pipeline;review_png_green</t>
        </is>
      </c>
      <c r="R1747" t="inlineStr">
        <is>
          <t>样品40</t>
        </is>
      </c>
    </row>
    <row r="1748">
      <c r="A1748" t="inlineStr">
        <is>
          <t>40(3)-V01</t>
        </is>
      </c>
      <c r="B1748" t="inlineStr">
        <is>
          <t>40 (3).tif</t>
        </is>
      </c>
      <c r="C1748" t="n">
        <v>467</v>
      </c>
      <c r="D1748" t="n">
        <v>228</v>
      </c>
      <c r="E1748" t="inlineStr">
        <is>
          <t>389,150,546,307</t>
        </is>
      </c>
      <c r="F1748" t="n">
        <v>150</v>
      </c>
      <c r="G1748" t="inlineStr">
        <is>
          <t>primary</t>
        </is>
      </c>
      <c r="H1748" t="inlineStr">
        <is>
          <t>AUTO_VESSEL</t>
        </is>
      </c>
      <c r="I1748" t="inlineStr">
        <is>
          <t>是</t>
        </is>
      </c>
      <c r="J1748" t="inlineStr">
        <is>
          <t>纳入</t>
        </is>
      </c>
      <c r="K1748" t="n">
        <v>885.1843100189036</v>
      </c>
      <c r="L1748">
        <f>导管母表_1781!G1748</f>
        <v/>
      </c>
      <c r="M1748" t="inlineStr">
        <is>
          <t>视野内部</t>
        </is>
      </c>
      <c r="N1748" t="inlineStr">
        <is>
          <t>纳入A/D/Dh；若有Pair_ID则纳入CWR</t>
        </is>
      </c>
      <c r="O1748" t="inlineStr">
        <is>
          <t>自动管线检出的合格导管腔。</t>
        </is>
      </c>
      <c r="P1748" t="inlineStr">
        <is>
          <t>auto_pipeline;review_png_green</t>
        </is>
      </c>
      <c r="Q1748" t="inlineStr">
        <is>
          <t>40(3)-P01</t>
        </is>
      </c>
      <c r="R1748" t="inlineStr">
        <is>
          <t>样品40</t>
        </is>
      </c>
    </row>
    <row r="1749">
      <c r="A1749" t="inlineStr">
        <is>
          <t>40(3)-V02</t>
        </is>
      </c>
      <c r="B1749" t="inlineStr">
        <is>
          <t>40 (3).tif</t>
        </is>
      </c>
      <c r="C1749" t="n">
        <v>444</v>
      </c>
      <c r="D1749" t="n">
        <v>390</v>
      </c>
      <c r="E1749" t="inlineStr">
        <is>
          <t>373,318,516,463</t>
        </is>
      </c>
      <c r="F1749" t="n">
        <v>305</v>
      </c>
      <c r="G1749" t="inlineStr">
        <is>
          <t>primary</t>
        </is>
      </c>
      <c r="H1749" t="inlineStr">
        <is>
          <t>AUTO_VESSEL</t>
        </is>
      </c>
      <c r="I1749" t="inlineStr">
        <is>
          <t>是</t>
        </is>
      </c>
      <c r="J1749" t="inlineStr">
        <is>
          <t>纳入</t>
        </is>
      </c>
      <c r="K1749" t="n">
        <v>758.3648393194707</v>
      </c>
      <c r="L1749">
        <f>导管母表_1781!G1749</f>
        <v/>
      </c>
      <c r="M1749" t="inlineStr">
        <is>
          <t>视野内部</t>
        </is>
      </c>
      <c r="N1749" t="inlineStr">
        <is>
          <t>纳入A/D/Dh；若有Pair_ID则纳入CWR</t>
        </is>
      </c>
      <c r="O1749" t="inlineStr">
        <is>
          <t>自动管线检出的合格导管腔。</t>
        </is>
      </c>
      <c r="P1749" t="inlineStr">
        <is>
          <t>auto_pipeline;review_png_green</t>
        </is>
      </c>
      <c r="Q1749" t="inlineStr">
        <is>
          <t>40(3)-P01</t>
        </is>
      </c>
      <c r="R1749" t="inlineStr">
        <is>
          <t>样品40</t>
        </is>
      </c>
    </row>
    <row r="1750">
      <c r="A1750" t="inlineStr">
        <is>
          <t>40(3)-V03</t>
        </is>
      </c>
      <c r="B1750" t="inlineStr">
        <is>
          <t>40 (3).tif</t>
        </is>
      </c>
      <c r="C1750" t="n">
        <v>774</v>
      </c>
      <c r="D1750" t="n">
        <v>395</v>
      </c>
      <c r="E1750" t="inlineStr">
        <is>
          <t>719,337,830,454</t>
        </is>
      </c>
      <c r="F1750" t="n">
        <v>194</v>
      </c>
      <c r="G1750" t="inlineStr">
        <is>
          <t>primary</t>
        </is>
      </c>
      <c r="H1750" t="inlineStr">
        <is>
          <t>AUTO_VESSEL</t>
        </is>
      </c>
      <c r="I1750" t="inlineStr">
        <is>
          <t>是</t>
        </is>
      </c>
      <c r="J1750" t="inlineStr">
        <is>
          <t>纳入</t>
        </is>
      </c>
      <c r="K1750" t="n">
        <v>473.9366729678639</v>
      </c>
      <c r="L1750">
        <f>导管母表_1781!G1750</f>
        <v/>
      </c>
      <c r="M1750" t="inlineStr">
        <is>
          <t>视野内部</t>
        </is>
      </c>
      <c r="N1750" t="inlineStr">
        <is>
          <t>纳入A/D/Dh；若有Pair_ID则纳入CWR</t>
        </is>
      </c>
      <c r="O1750" t="inlineStr">
        <is>
          <t>自动管线检出的合格导管腔。</t>
        </is>
      </c>
      <c r="P1750" t="inlineStr">
        <is>
          <t>auto_pipeline;review_png_green</t>
        </is>
      </c>
      <c r="R1750" t="inlineStr">
        <is>
          <t>样品40</t>
        </is>
      </c>
    </row>
    <row r="1751">
      <c r="A1751" t="inlineStr">
        <is>
          <t>40(3)-V04</t>
        </is>
      </c>
      <c r="B1751" t="inlineStr">
        <is>
          <t>40 (3).tif</t>
        </is>
      </c>
      <c r="C1751" t="n">
        <v>758</v>
      </c>
      <c r="D1751" t="n">
        <v>211</v>
      </c>
      <c r="E1751" t="inlineStr">
        <is>
          <t>703,159,814,264</t>
        </is>
      </c>
      <c r="F1751" t="n">
        <v>159</v>
      </c>
      <c r="G1751" t="inlineStr">
        <is>
          <t>primary</t>
        </is>
      </c>
      <c r="H1751" t="inlineStr">
        <is>
          <t>AUTO_VESSEL</t>
        </is>
      </c>
      <c r="I1751" t="inlineStr">
        <is>
          <t>是</t>
        </is>
      </c>
      <c r="J1751" t="inlineStr">
        <is>
          <t>纳入</t>
        </is>
      </c>
      <c r="K1751" t="n">
        <v>424.9291115311909</v>
      </c>
      <c r="L1751">
        <f>导管母表_1781!G1751</f>
        <v/>
      </c>
      <c r="M1751" t="inlineStr">
        <is>
          <t>视野内部</t>
        </is>
      </c>
      <c r="N1751" t="inlineStr">
        <is>
          <t>纳入A/D/Dh；若有Pair_ID则纳入CWR</t>
        </is>
      </c>
      <c r="O1751" t="inlineStr">
        <is>
          <t>自动管线检出的合格导管腔。</t>
        </is>
      </c>
      <c r="P1751" t="inlineStr">
        <is>
          <t>auto_pipeline;review_png_green</t>
        </is>
      </c>
      <c r="R1751" t="inlineStr">
        <is>
          <t>样品40</t>
        </is>
      </c>
    </row>
    <row r="1752">
      <c r="A1752" t="inlineStr">
        <is>
          <t>40(3)-V05</t>
        </is>
      </c>
      <c r="B1752" t="inlineStr">
        <is>
          <t>40 (3).tif</t>
        </is>
      </c>
      <c r="C1752" t="n">
        <v>916</v>
      </c>
      <c r="D1752" t="n">
        <v>395</v>
      </c>
      <c r="E1752" t="inlineStr">
        <is>
          <t>888,362,945,429</t>
        </is>
      </c>
      <c r="F1752" t="n">
        <v>79</v>
      </c>
      <c r="G1752" t="inlineStr">
        <is>
          <t>primary</t>
        </is>
      </c>
      <c r="H1752" t="inlineStr">
        <is>
          <t>AUTO_VESSEL</t>
        </is>
      </c>
      <c r="I1752" t="inlineStr">
        <is>
          <t>是</t>
        </is>
      </c>
      <c r="J1752" t="inlineStr">
        <is>
          <t>纳入</t>
        </is>
      </c>
      <c r="K1752" t="n">
        <v>137.476370510397</v>
      </c>
      <c r="L1752">
        <f>导管母表_1781!G1752</f>
        <v/>
      </c>
      <c r="M1752" t="inlineStr">
        <is>
          <t>视野内部</t>
        </is>
      </c>
      <c r="N1752" t="inlineStr">
        <is>
          <t>纳入A/D/Dh；若有Pair_ID则纳入CWR</t>
        </is>
      </c>
      <c r="O1752" t="inlineStr">
        <is>
          <t>自动管线检出的合格导管腔。</t>
        </is>
      </c>
      <c r="P1752" t="inlineStr">
        <is>
          <t>auto_pipeline;review_png_green</t>
        </is>
      </c>
      <c r="R1752" t="inlineStr">
        <is>
          <t>样品40</t>
        </is>
      </c>
    </row>
    <row r="1753">
      <c r="A1753" t="inlineStr">
        <is>
          <t>40(3)-V06</t>
        </is>
      </c>
      <c r="B1753" t="inlineStr">
        <is>
          <t>40 (3).tif</t>
        </is>
      </c>
      <c r="C1753" t="n">
        <v>536</v>
      </c>
      <c r="D1753" t="n">
        <v>594</v>
      </c>
      <c r="E1753" t="inlineStr">
        <is>
          <t>512,558,561,631</t>
        </is>
      </c>
      <c r="F1753" t="n">
        <v>137</v>
      </c>
      <c r="G1753" t="inlineStr">
        <is>
          <t>primary</t>
        </is>
      </c>
      <c r="H1753" t="inlineStr">
        <is>
          <t>AUTO_VESSEL</t>
        </is>
      </c>
      <c r="I1753" t="inlineStr">
        <is>
          <t>是</t>
        </is>
      </c>
      <c r="J1753" t="inlineStr">
        <is>
          <t>纳入</t>
        </is>
      </c>
      <c r="K1753" t="n">
        <v>121.2901701323251</v>
      </c>
      <c r="L1753">
        <f>导管母表_1781!G1753</f>
        <v/>
      </c>
      <c r="M1753" t="inlineStr">
        <is>
          <t>视野内部</t>
        </is>
      </c>
      <c r="N1753" t="inlineStr">
        <is>
          <t>纳入A/D/Dh；若有Pair_ID则纳入CWR</t>
        </is>
      </c>
      <c r="O1753" t="inlineStr">
        <is>
          <t>自动管线检出的合格导管腔。</t>
        </is>
      </c>
      <c r="P1753" t="inlineStr">
        <is>
          <t>auto_pipeline;review_png_green</t>
        </is>
      </c>
      <c r="R1753" t="inlineStr">
        <is>
          <t>样品40</t>
        </is>
      </c>
    </row>
    <row r="1754">
      <c r="A1754" t="inlineStr">
        <is>
          <t>40(3)-V07</t>
        </is>
      </c>
      <c r="B1754" t="inlineStr">
        <is>
          <t>40 (3).tif</t>
        </is>
      </c>
      <c r="C1754" t="n">
        <v>641</v>
      </c>
      <c r="D1754" t="n">
        <v>134</v>
      </c>
      <c r="E1754" t="inlineStr">
        <is>
          <t>626,78,657,191</t>
        </is>
      </c>
      <c r="F1754" t="n">
        <v>78</v>
      </c>
      <c r="G1754" t="inlineStr">
        <is>
          <t>primary</t>
        </is>
      </c>
      <c r="H1754" t="inlineStr">
        <is>
          <t>AUTO_VESSEL</t>
        </is>
      </c>
      <c r="I1754" t="inlineStr">
        <is>
          <t>是</t>
        </is>
      </c>
      <c r="J1754" t="inlineStr">
        <is>
          <t>纳入</t>
        </is>
      </c>
      <c r="K1754" t="n">
        <v>116.7296786389414</v>
      </c>
      <c r="L1754">
        <f>导管母表_1781!G1754</f>
        <v/>
      </c>
      <c r="M1754" t="inlineStr">
        <is>
          <t>视野内部</t>
        </is>
      </c>
      <c r="N1754" t="inlineStr">
        <is>
          <t>纳入A/D/Dh；若有Pair_ID则纳入CWR</t>
        </is>
      </c>
      <c r="O1754" t="inlineStr">
        <is>
          <t>自动管线检出的合格导管腔。</t>
        </is>
      </c>
      <c r="P1754" t="inlineStr">
        <is>
          <t>auto_pipeline;review_png_green</t>
        </is>
      </c>
      <c r="R1754" t="inlineStr">
        <is>
          <t>样品40</t>
        </is>
      </c>
    </row>
    <row r="1755">
      <c r="A1755" t="inlineStr">
        <is>
          <t>40(3)-V08</t>
        </is>
      </c>
      <c r="B1755" t="inlineStr">
        <is>
          <t>40 (3).tif</t>
        </is>
      </c>
      <c r="C1755" t="n">
        <v>590</v>
      </c>
      <c r="D1755" t="n">
        <v>534</v>
      </c>
      <c r="E1755" t="inlineStr">
        <is>
          <t>571,494,610,575</t>
        </is>
      </c>
      <c r="F1755" t="n">
        <v>193</v>
      </c>
      <c r="G1755" t="inlineStr">
        <is>
          <t>primary</t>
        </is>
      </c>
      <c r="H1755" t="inlineStr">
        <is>
          <t>AUTO_VESSEL</t>
        </is>
      </c>
      <c r="I1755" t="inlineStr">
        <is>
          <t>是</t>
        </is>
      </c>
      <c r="J1755" t="inlineStr">
        <is>
          <t>纳入</t>
        </is>
      </c>
      <c r="K1755" t="n">
        <v>109.4517958412098</v>
      </c>
      <c r="L1755">
        <f>导管母表_1781!G1755</f>
        <v/>
      </c>
      <c r="M1755" t="inlineStr">
        <is>
          <t>视野内部</t>
        </is>
      </c>
      <c r="N1755" t="inlineStr">
        <is>
          <t>纳入A/D/Dh；若有Pair_ID则纳入CWR</t>
        </is>
      </c>
      <c r="O1755" t="inlineStr">
        <is>
          <t>自动管线检出的合格导管腔。</t>
        </is>
      </c>
      <c r="P1755" t="inlineStr">
        <is>
          <t>auto_pipeline;review_png_green</t>
        </is>
      </c>
      <c r="R1755" t="inlineStr">
        <is>
          <t>样品40</t>
        </is>
      </c>
    </row>
    <row r="1756">
      <c r="A1756" t="inlineStr">
        <is>
          <t>40(4)-V01</t>
        </is>
      </c>
      <c r="B1756" t="inlineStr">
        <is>
          <t>40 (4).tif</t>
        </is>
      </c>
      <c r="C1756" t="n">
        <v>398</v>
      </c>
      <c r="D1756" t="n">
        <v>338</v>
      </c>
      <c r="E1756" t="inlineStr">
        <is>
          <t>319,255,478,422</t>
        </is>
      </c>
      <c r="F1756" t="n">
        <v>255</v>
      </c>
      <c r="G1756" t="inlineStr">
        <is>
          <t>primary</t>
        </is>
      </c>
      <c r="H1756" t="inlineStr">
        <is>
          <t>AUTO_VESSEL</t>
        </is>
      </c>
      <c r="I1756" t="inlineStr">
        <is>
          <t>是</t>
        </is>
      </c>
      <c r="J1756" t="inlineStr">
        <is>
          <t>纳入</t>
        </is>
      </c>
      <c r="K1756" t="n">
        <v>972.1644612476371</v>
      </c>
      <c r="L1756">
        <f>导管母表_1781!G1756</f>
        <v/>
      </c>
      <c r="M1756" t="inlineStr">
        <is>
          <t>视野内部</t>
        </is>
      </c>
      <c r="N1756" t="inlineStr">
        <is>
          <t>纳入A/D/Dh；若有Pair_ID则纳入CWR</t>
        </is>
      </c>
      <c r="O1756" t="inlineStr">
        <is>
          <t>自动管线检出的合格导管腔。</t>
        </is>
      </c>
      <c r="P1756" t="inlineStr">
        <is>
          <t>auto_pipeline;review_png_green</t>
        </is>
      </c>
      <c r="Q1756" t="inlineStr">
        <is>
          <t>40(4)-P01</t>
        </is>
      </c>
      <c r="R1756" t="inlineStr">
        <is>
          <t>样品40</t>
        </is>
      </c>
    </row>
    <row r="1757">
      <c r="A1757" t="inlineStr">
        <is>
          <t>40(4)-V02</t>
        </is>
      </c>
      <c r="B1757" t="inlineStr">
        <is>
          <t>40 (4).tif</t>
        </is>
      </c>
      <c r="C1757" t="n">
        <v>94</v>
      </c>
      <c r="D1757" t="n">
        <v>514</v>
      </c>
      <c r="E1757" t="inlineStr">
        <is>
          <t>28,447,161,582</t>
        </is>
      </c>
      <c r="F1757" t="n">
        <v>28</v>
      </c>
      <c r="G1757" t="inlineStr">
        <is>
          <t>primary</t>
        </is>
      </c>
      <c r="H1757" t="inlineStr">
        <is>
          <t>AUTO_VESSEL</t>
        </is>
      </c>
      <c r="I1757" t="inlineStr">
        <is>
          <t>是</t>
        </is>
      </c>
      <c r="J1757" t="inlineStr">
        <is>
          <t>纳入</t>
        </is>
      </c>
      <c r="K1757" t="n">
        <v>640.9499054820416</v>
      </c>
      <c r="L1757">
        <f>导管母表_1781!G1757</f>
        <v/>
      </c>
      <c r="M1757" t="inlineStr">
        <is>
          <t>视野内部</t>
        </is>
      </c>
      <c r="N1757" t="inlineStr">
        <is>
          <t>纳入A/D/Dh；若有Pair_ID则纳入CWR</t>
        </is>
      </c>
      <c r="O1757" t="inlineStr">
        <is>
          <t>自动管线检出的合格导管腔。</t>
        </is>
      </c>
      <c r="P1757" t="inlineStr">
        <is>
          <t>auto_pipeline;review_png_green</t>
        </is>
      </c>
      <c r="R1757" t="inlineStr">
        <is>
          <t>样品40</t>
        </is>
      </c>
    </row>
    <row r="1758">
      <c r="A1758" t="inlineStr">
        <is>
          <t>40(4)-V03</t>
        </is>
      </c>
      <c r="B1758" t="inlineStr">
        <is>
          <t>40 (4).tif</t>
        </is>
      </c>
      <c r="C1758" t="n">
        <v>912</v>
      </c>
      <c r="D1758" t="n">
        <v>432</v>
      </c>
      <c r="E1758" t="inlineStr">
        <is>
          <t>843,370,982,495</t>
        </is>
      </c>
      <c r="F1758" t="n">
        <v>42</v>
      </c>
      <c r="G1758" t="inlineStr">
        <is>
          <t>primary</t>
        </is>
      </c>
      <c r="H1758" t="inlineStr">
        <is>
          <t>AUTO_VESSEL</t>
        </is>
      </c>
      <c r="I1758" t="inlineStr">
        <is>
          <t>是</t>
        </is>
      </c>
      <c r="J1758" t="inlineStr">
        <is>
          <t>纳入</t>
        </is>
      </c>
      <c r="K1758" t="n">
        <v>631.9470699432892</v>
      </c>
      <c r="L1758">
        <f>导管母表_1781!G1758</f>
        <v/>
      </c>
      <c r="M1758" t="inlineStr">
        <is>
          <t>视野内部</t>
        </is>
      </c>
      <c r="N1758" t="inlineStr">
        <is>
          <t>纳入A/D/Dh；若有Pair_ID则纳入CWR</t>
        </is>
      </c>
      <c r="O1758" t="inlineStr">
        <is>
          <t>自动管线检出的合格导管腔。</t>
        </is>
      </c>
      <c r="P1758" t="inlineStr">
        <is>
          <t>auto_pipeline;review_png_green</t>
        </is>
      </c>
      <c r="R1758" t="inlineStr">
        <is>
          <t>样品40</t>
        </is>
      </c>
    </row>
    <row r="1759">
      <c r="A1759" t="inlineStr">
        <is>
          <t>40(4)-V04</t>
        </is>
      </c>
      <c r="B1759" t="inlineStr">
        <is>
          <t>40 (4).tif</t>
        </is>
      </c>
      <c r="C1759" t="n">
        <v>495</v>
      </c>
      <c r="D1759" t="n">
        <v>475</v>
      </c>
      <c r="E1759" t="inlineStr">
        <is>
          <t>445,420,546,531</t>
        </is>
      </c>
      <c r="F1759" t="n">
        <v>237</v>
      </c>
      <c r="G1759" t="inlineStr">
        <is>
          <t>primary</t>
        </is>
      </c>
      <c r="H1759" t="inlineStr">
        <is>
          <t>AUTO_VESSEL</t>
        </is>
      </c>
      <c r="I1759" t="inlineStr">
        <is>
          <t>是</t>
        </is>
      </c>
      <c r="J1759" t="inlineStr">
        <is>
          <t>纳入</t>
        </is>
      </c>
      <c r="K1759" t="n">
        <v>404.3950850661626</v>
      </c>
      <c r="L1759">
        <f>导管母表_1781!G1759</f>
        <v/>
      </c>
      <c r="M1759" t="inlineStr">
        <is>
          <t>视野内部</t>
        </is>
      </c>
      <c r="N1759" t="inlineStr">
        <is>
          <t>纳入A/D/Dh；若有Pair_ID则纳入CWR</t>
        </is>
      </c>
      <c r="O1759" t="inlineStr">
        <is>
          <t>自动管线检出的合格导管腔。</t>
        </is>
      </c>
      <c r="P1759" t="inlineStr">
        <is>
          <t>auto_pipeline;review_png_green</t>
        </is>
      </c>
      <c r="Q1759" t="inlineStr">
        <is>
          <t>40(4)-P01</t>
        </is>
      </c>
      <c r="R1759" t="inlineStr">
        <is>
          <t>样品40</t>
        </is>
      </c>
    </row>
    <row r="1760">
      <c r="A1760" t="inlineStr">
        <is>
          <t>40(4)-V05</t>
        </is>
      </c>
      <c r="B1760" t="inlineStr">
        <is>
          <t>40 (4).tif</t>
        </is>
      </c>
      <c r="C1760" t="n">
        <v>563</v>
      </c>
      <c r="D1760" t="n">
        <v>237</v>
      </c>
      <c r="E1760" t="inlineStr">
        <is>
          <t>537,204,590,271</t>
        </is>
      </c>
      <c r="F1760" t="n">
        <v>204</v>
      </c>
      <c r="G1760" t="inlineStr">
        <is>
          <t>primary</t>
        </is>
      </c>
      <c r="H1760" t="inlineStr">
        <is>
          <t>AUTO_VESSEL</t>
        </is>
      </c>
      <c r="I1760" t="inlineStr">
        <is>
          <t>是</t>
        </is>
      </c>
      <c r="J1760" t="inlineStr">
        <is>
          <t>纳入</t>
        </is>
      </c>
      <c r="K1760" t="n">
        <v>127.4102079395085</v>
      </c>
      <c r="L1760">
        <f>导管母表_1781!G1760</f>
        <v/>
      </c>
      <c r="M1760" t="inlineStr">
        <is>
          <t>视野内部</t>
        </is>
      </c>
      <c r="N1760" t="inlineStr">
        <is>
          <t>纳入A/D/Dh；若有Pair_ID则纳入CWR</t>
        </is>
      </c>
      <c r="O1760" t="inlineStr">
        <is>
          <t>自动管线检出的合格导管腔。</t>
        </is>
      </c>
      <c r="P1760" t="inlineStr">
        <is>
          <t>auto_pipeline;review_png_green</t>
        </is>
      </c>
      <c r="R1760" t="inlineStr">
        <is>
          <t>样品40</t>
        </is>
      </c>
    </row>
    <row r="1761">
      <c r="A1761" t="inlineStr">
        <is>
          <t>40(4)-V06</t>
        </is>
      </c>
      <c r="B1761" t="inlineStr">
        <is>
          <t>40 (4).tif</t>
        </is>
      </c>
      <c r="C1761" t="n">
        <v>663</v>
      </c>
      <c r="D1761" t="n">
        <v>129</v>
      </c>
      <c r="E1761" t="inlineStr">
        <is>
          <t>638,90,689,169</t>
        </is>
      </c>
      <c r="F1761" t="n">
        <v>90</v>
      </c>
      <c r="G1761" t="inlineStr">
        <is>
          <t>primary</t>
        </is>
      </c>
      <c r="H1761" t="inlineStr">
        <is>
          <t>AUTO_VESSEL</t>
        </is>
      </c>
      <c r="I1761" t="inlineStr">
        <is>
          <t>是</t>
        </is>
      </c>
      <c r="J1761" t="inlineStr">
        <is>
          <t>纳入</t>
        </is>
      </c>
      <c r="K1761" t="n">
        <v>118.7854442344045</v>
      </c>
      <c r="L1761">
        <f>导管母表_1781!G1761</f>
        <v/>
      </c>
      <c r="M1761" t="inlineStr">
        <is>
          <t>视野内部</t>
        </is>
      </c>
      <c r="N1761" t="inlineStr">
        <is>
          <t>纳入A/D/Dh；若有Pair_ID则纳入CWR</t>
        </is>
      </c>
      <c r="O1761" t="inlineStr">
        <is>
          <t>自动管线检出的合格导管腔。</t>
        </is>
      </c>
      <c r="P1761" t="inlineStr">
        <is>
          <t>auto_pipeline;review_png_green</t>
        </is>
      </c>
      <c r="R1761" t="inlineStr">
        <is>
          <t>样品40</t>
        </is>
      </c>
    </row>
    <row r="1762">
      <c r="A1762" t="inlineStr">
        <is>
          <t>40(5)-V01</t>
        </is>
      </c>
      <c r="B1762" t="inlineStr">
        <is>
          <t>40 (5).tif</t>
        </is>
      </c>
      <c r="C1762" t="n">
        <v>838</v>
      </c>
      <c r="D1762" t="n">
        <v>285</v>
      </c>
      <c r="E1762" t="inlineStr">
        <is>
          <t>761,200,916,371</t>
        </is>
      </c>
      <c r="F1762" t="n">
        <v>108</v>
      </c>
      <c r="G1762" t="inlineStr">
        <is>
          <t>primary</t>
        </is>
      </c>
      <c r="H1762" t="inlineStr">
        <is>
          <t>AUTO_VESSEL</t>
        </is>
      </c>
      <c r="I1762" t="inlineStr">
        <is>
          <t>是</t>
        </is>
      </c>
      <c r="J1762" t="inlineStr">
        <is>
          <t>纳入</t>
        </is>
      </c>
      <c r="K1762" t="n">
        <v>971.5264650283553</v>
      </c>
      <c r="L1762">
        <f>导管母表_1781!G1762</f>
        <v/>
      </c>
      <c r="M1762" t="inlineStr">
        <is>
          <t>视野内部</t>
        </is>
      </c>
      <c r="N1762" t="inlineStr">
        <is>
          <t>纳入A/D/Dh；若有Pair_ID则纳入CWR</t>
        </is>
      </c>
      <c r="O1762" t="inlineStr">
        <is>
          <t>自动管线检出的合格导管腔。</t>
        </is>
      </c>
      <c r="P1762" t="inlineStr">
        <is>
          <t>auto_pipeline;review_png_green</t>
        </is>
      </c>
      <c r="Q1762" t="inlineStr">
        <is>
          <t>40(5)-P01</t>
        </is>
      </c>
      <c r="R1762" t="inlineStr">
        <is>
          <t>样品40</t>
        </is>
      </c>
    </row>
    <row r="1763">
      <c r="A1763" t="inlineStr">
        <is>
          <t>40(5)-V02</t>
        </is>
      </c>
      <c r="B1763" t="inlineStr">
        <is>
          <t>40 (5).tif</t>
        </is>
      </c>
      <c r="C1763" t="n">
        <v>522</v>
      </c>
      <c r="D1763" t="n">
        <v>462</v>
      </c>
      <c r="E1763" t="inlineStr">
        <is>
          <t>442,390,603,535</t>
        </is>
      </c>
      <c r="F1763" t="n">
        <v>233</v>
      </c>
      <c r="G1763" t="inlineStr">
        <is>
          <t>primary</t>
        </is>
      </c>
      <c r="H1763" t="inlineStr">
        <is>
          <t>AUTO_VESSEL</t>
        </is>
      </c>
      <c r="I1763" t="inlineStr">
        <is>
          <t>是</t>
        </is>
      </c>
      <c r="J1763" t="inlineStr">
        <is>
          <t>纳入</t>
        </is>
      </c>
      <c r="K1763" t="n">
        <v>836.6493383742911</v>
      </c>
      <c r="L1763">
        <f>导管母表_1781!G1763</f>
        <v/>
      </c>
      <c r="M1763" t="inlineStr">
        <is>
          <t>视野内部</t>
        </is>
      </c>
      <c r="N1763" t="inlineStr">
        <is>
          <t>纳入A/D/Dh；若有Pair_ID则纳入CWR</t>
        </is>
      </c>
      <c r="O1763" t="inlineStr">
        <is>
          <t>自动管线检出的合格导管腔。</t>
        </is>
      </c>
      <c r="P1763" t="inlineStr">
        <is>
          <t>auto_pipeline;review_png_green</t>
        </is>
      </c>
      <c r="R1763" t="inlineStr">
        <is>
          <t>样品40</t>
        </is>
      </c>
    </row>
    <row r="1764">
      <c r="A1764" t="inlineStr">
        <is>
          <t>40(5)-V03</t>
        </is>
      </c>
      <c r="B1764" t="inlineStr">
        <is>
          <t>40 (5).tif</t>
        </is>
      </c>
      <c r="C1764" t="n">
        <v>934</v>
      </c>
      <c r="D1764" t="n">
        <v>424</v>
      </c>
      <c r="E1764" t="inlineStr">
        <is>
          <t>885,370,984,479</t>
        </is>
      </c>
      <c r="F1764" t="n">
        <v>40</v>
      </c>
      <c r="G1764" t="inlineStr">
        <is>
          <t>primary</t>
        </is>
      </c>
      <c r="H1764" t="inlineStr">
        <is>
          <t>AUTO_VESSEL</t>
        </is>
      </c>
      <c r="I1764" t="inlineStr">
        <is>
          <t>是</t>
        </is>
      </c>
      <c r="J1764" t="inlineStr">
        <is>
          <t>纳入</t>
        </is>
      </c>
      <c r="K1764" t="n">
        <v>390.5954631379962</v>
      </c>
      <c r="L1764">
        <f>导管母表_1781!G1764</f>
        <v/>
      </c>
      <c r="M1764" t="inlineStr">
        <is>
          <t>视野内部</t>
        </is>
      </c>
      <c r="N1764" t="inlineStr">
        <is>
          <t>纳入A/D/Dh；若有Pair_ID则纳入CWR</t>
        </is>
      </c>
      <c r="O1764" t="inlineStr">
        <is>
          <t>自动管线检出的合格导管腔。</t>
        </is>
      </c>
      <c r="P1764" t="inlineStr">
        <is>
          <t>auto_pipeline;review_png_green</t>
        </is>
      </c>
      <c r="Q1764" t="inlineStr">
        <is>
          <t>40(5)-P01</t>
        </is>
      </c>
      <c r="R1764" t="inlineStr">
        <is>
          <t>样品40</t>
        </is>
      </c>
    </row>
    <row r="1765">
      <c r="A1765" t="inlineStr">
        <is>
          <t>40(5)-V04</t>
        </is>
      </c>
      <c r="B1765" t="inlineStr">
        <is>
          <t>40 (5).tif</t>
        </is>
      </c>
      <c r="C1765" t="n">
        <v>408</v>
      </c>
      <c r="D1765" t="n">
        <v>165</v>
      </c>
      <c r="E1765" t="inlineStr">
        <is>
          <t>374,110,443,221</t>
        </is>
      </c>
      <c r="F1765" t="n">
        <v>110</v>
      </c>
      <c r="G1765" t="inlineStr">
        <is>
          <t>primary</t>
        </is>
      </c>
      <c r="H1765" t="inlineStr">
        <is>
          <t>AUTO_VESSEL</t>
        </is>
      </c>
      <c r="I1765" t="inlineStr">
        <is>
          <t>是</t>
        </is>
      </c>
      <c r="J1765" t="inlineStr">
        <is>
          <t>纳入</t>
        </is>
      </c>
      <c r="K1765" t="n">
        <v>174.4565217391304</v>
      </c>
      <c r="L1765">
        <f>导管母表_1781!G1765</f>
        <v/>
      </c>
      <c r="M1765" t="inlineStr">
        <is>
          <t>视野内部</t>
        </is>
      </c>
      <c r="N1765" t="inlineStr">
        <is>
          <t>纳入A/D/Dh；若有Pair_ID则纳入CWR</t>
        </is>
      </c>
      <c r="O1765" t="inlineStr">
        <is>
          <t>自动管线检出的合格导管腔。</t>
        </is>
      </c>
      <c r="P1765" t="inlineStr">
        <is>
          <t>auto_pipeline;review_png_green</t>
        </is>
      </c>
      <c r="R1765" t="inlineStr">
        <is>
          <t>样品40</t>
        </is>
      </c>
    </row>
    <row r="1766">
      <c r="A1766" t="inlineStr">
        <is>
          <t>40(6)-V01</t>
        </is>
      </c>
      <c r="B1766" t="inlineStr">
        <is>
          <t>40 (6).tif</t>
        </is>
      </c>
      <c r="C1766" t="n">
        <v>806</v>
      </c>
      <c r="D1766" t="n">
        <v>250</v>
      </c>
      <c r="E1766" t="inlineStr">
        <is>
          <t>721,163,892,338</t>
        </is>
      </c>
      <c r="F1766" t="n">
        <v>132</v>
      </c>
      <c r="G1766" t="inlineStr">
        <is>
          <t>primary</t>
        </is>
      </c>
      <c r="H1766" t="inlineStr">
        <is>
          <t>AUTO_VESSEL</t>
        </is>
      </c>
      <c r="I1766" t="inlineStr">
        <is>
          <t>是</t>
        </is>
      </c>
      <c r="J1766" t="inlineStr">
        <is>
          <t>纳入</t>
        </is>
      </c>
      <c r="K1766" t="n">
        <v>1098.4404536862</v>
      </c>
      <c r="L1766">
        <f>导管母表_1781!G1766</f>
        <v/>
      </c>
      <c r="M1766" t="inlineStr">
        <is>
          <t>视野内部</t>
        </is>
      </c>
      <c r="N1766" t="inlineStr">
        <is>
          <t>纳入A/D/Dh；若有Pair_ID则纳入CWR</t>
        </is>
      </c>
      <c r="O1766" t="inlineStr">
        <is>
          <t>自动管线检出的合格导管腔。</t>
        </is>
      </c>
      <c r="P1766" t="inlineStr">
        <is>
          <t>auto_pipeline;review_png_green</t>
        </is>
      </c>
      <c r="R1766" t="inlineStr">
        <is>
          <t>样品40</t>
        </is>
      </c>
    </row>
    <row r="1767">
      <c r="A1767" t="inlineStr">
        <is>
          <t>40(6)-V02</t>
        </is>
      </c>
      <c r="B1767" t="inlineStr">
        <is>
          <t>40 (6).tif</t>
        </is>
      </c>
      <c r="C1767" t="n">
        <v>412</v>
      </c>
      <c r="D1767" t="n">
        <v>383</v>
      </c>
      <c r="E1767" t="inlineStr">
        <is>
          <t>338,307,487,460</t>
        </is>
      </c>
      <c r="F1767" t="n">
        <v>307</v>
      </c>
      <c r="G1767" t="inlineStr">
        <is>
          <t>primary</t>
        </is>
      </c>
      <c r="H1767" t="inlineStr">
        <is>
          <t>AUTO_VESSEL</t>
        </is>
      </c>
      <c r="I1767" t="inlineStr">
        <is>
          <t>是</t>
        </is>
      </c>
      <c r="J1767" t="inlineStr">
        <is>
          <t>纳入</t>
        </is>
      </c>
      <c r="K1767" t="n">
        <v>830.812854442344</v>
      </c>
      <c r="L1767">
        <f>导管母表_1781!G1767</f>
        <v/>
      </c>
      <c r="M1767" t="inlineStr">
        <is>
          <t>视野内部</t>
        </is>
      </c>
      <c r="N1767" t="inlineStr">
        <is>
          <t>纳入A/D/Dh；若有Pair_ID则纳入CWR</t>
        </is>
      </c>
      <c r="O1767" t="inlineStr">
        <is>
          <t>自动管线检出的合格导管腔。</t>
        </is>
      </c>
      <c r="P1767" t="inlineStr">
        <is>
          <t>auto_pipeline;review_png_green</t>
        </is>
      </c>
      <c r="Q1767" t="inlineStr">
        <is>
          <t>40(6)-P01</t>
        </is>
      </c>
      <c r="R1767" t="inlineStr">
        <is>
          <t>样品40</t>
        </is>
      </c>
    </row>
    <row r="1768">
      <c r="A1768" t="inlineStr">
        <is>
          <t>40(6)-V03</t>
        </is>
      </c>
      <c r="B1768" t="inlineStr">
        <is>
          <t>40 (6).tif</t>
        </is>
      </c>
      <c r="C1768" t="n">
        <v>567</v>
      </c>
      <c r="D1768" t="n">
        <v>428</v>
      </c>
      <c r="E1768" t="inlineStr">
        <is>
          <t>504,367,631,490</t>
        </is>
      </c>
      <c r="F1768" t="n">
        <v>278</v>
      </c>
      <c r="G1768" t="inlineStr">
        <is>
          <t>primary</t>
        </is>
      </c>
      <c r="H1768" t="inlineStr">
        <is>
          <t>AUTO_VESSEL</t>
        </is>
      </c>
      <c r="I1768" t="inlineStr">
        <is>
          <t>是</t>
        </is>
      </c>
      <c r="J1768" t="inlineStr">
        <is>
          <t>纳入</t>
        </is>
      </c>
      <c r="K1768" t="n">
        <v>568.2892249527411</v>
      </c>
      <c r="L1768">
        <f>导管母表_1781!G1768</f>
        <v/>
      </c>
      <c r="M1768" t="inlineStr">
        <is>
          <t>视野内部</t>
        </is>
      </c>
      <c r="N1768" t="inlineStr">
        <is>
          <t>纳入A/D/Dh；若有Pair_ID则纳入CWR</t>
        </is>
      </c>
      <c r="O1768" t="inlineStr">
        <is>
          <t>自动管线检出的合格导管腔。</t>
        </is>
      </c>
      <c r="P1768" t="inlineStr">
        <is>
          <t>auto_pipeline;review_png_green</t>
        </is>
      </c>
      <c r="Q1768" t="inlineStr">
        <is>
          <t>40(6)-P01</t>
        </is>
      </c>
      <c r="R1768" t="inlineStr">
        <is>
          <t>样品40</t>
        </is>
      </c>
    </row>
    <row r="1769">
      <c r="A1769" t="inlineStr">
        <is>
          <t>40(6)-V04</t>
        </is>
      </c>
      <c r="B1769" t="inlineStr">
        <is>
          <t>40 (6).tif</t>
        </is>
      </c>
      <c r="C1769" t="n">
        <v>400</v>
      </c>
      <c r="D1769" t="n">
        <v>491</v>
      </c>
      <c r="E1769" t="inlineStr">
        <is>
          <t>352,465,449,518</t>
        </is>
      </c>
      <c r="F1769" t="n">
        <v>250</v>
      </c>
      <c r="G1769" t="inlineStr">
        <is>
          <t>primary</t>
        </is>
      </c>
      <c r="H1769" t="inlineStr">
        <is>
          <t>AUTO_VESSEL</t>
        </is>
      </c>
      <c r="I1769" t="inlineStr">
        <is>
          <t>是</t>
        </is>
      </c>
      <c r="J1769" t="inlineStr">
        <is>
          <t>纳入</t>
        </is>
      </c>
      <c r="K1769" t="n">
        <v>124.054820415879</v>
      </c>
      <c r="L1769">
        <f>导管母表_1781!G1769</f>
        <v/>
      </c>
      <c r="M1769" t="inlineStr">
        <is>
          <t>视野内部</t>
        </is>
      </c>
      <c r="N1769" t="inlineStr">
        <is>
          <t>纳入A/D/Dh；若有Pair_ID则纳入CWR</t>
        </is>
      </c>
      <c r="O1769" t="inlineStr">
        <is>
          <t>自动管线检出的合格导管腔。</t>
        </is>
      </c>
      <c r="P1769" t="inlineStr">
        <is>
          <t>auto_pipeline;review_png_green</t>
        </is>
      </c>
      <c r="R1769" t="inlineStr">
        <is>
          <t>样品40</t>
        </is>
      </c>
    </row>
    <row r="1770">
      <c r="A1770" t="inlineStr">
        <is>
          <t>40(6)-V05</t>
        </is>
      </c>
      <c r="B1770" t="inlineStr">
        <is>
          <t>40 (6).tif</t>
        </is>
      </c>
      <c r="C1770" t="n">
        <v>617</v>
      </c>
      <c r="D1770" t="n">
        <v>121</v>
      </c>
      <c r="E1770" t="inlineStr">
        <is>
          <t>597,84,638,159</t>
        </is>
      </c>
      <c r="F1770" t="n">
        <v>84</v>
      </c>
      <c r="G1770" t="inlineStr">
        <is>
          <t>primary</t>
        </is>
      </c>
      <c r="H1770" t="inlineStr">
        <is>
          <t>AUTO_VESSEL</t>
        </is>
      </c>
      <c r="I1770" t="inlineStr">
        <is>
          <t>是</t>
        </is>
      </c>
      <c r="J1770" t="inlineStr">
        <is>
          <t>纳入</t>
        </is>
      </c>
      <c r="K1770" t="n">
        <v>110.3024574669187</v>
      </c>
      <c r="L1770">
        <f>导管母表_1781!G1770</f>
        <v/>
      </c>
      <c r="M1770" t="inlineStr">
        <is>
          <t>视野内部</t>
        </is>
      </c>
      <c r="N1770" t="inlineStr">
        <is>
          <t>纳入A/D/Dh；若有Pair_ID则纳入CWR</t>
        </is>
      </c>
      <c r="O1770" t="inlineStr">
        <is>
          <t>自动管线检出的合格导管腔。</t>
        </is>
      </c>
      <c r="P1770" t="inlineStr">
        <is>
          <t>auto_pipeline;review_png_green</t>
        </is>
      </c>
      <c r="R1770" t="inlineStr">
        <is>
          <t>样品40</t>
        </is>
      </c>
    </row>
    <row r="1771">
      <c r="A1771" t="inlineStr">
        <is>
          <t>40(7)-V01</t>
        </is>
      </c>
      <c r="B1771" t="inlineStr">
        <is>
          <t>40 (7).tif</t>
        </is>
      </c>
      <c r="C1771" t="n">
        <v>543</v>
      </c>
      <c r="D1771" t="n">
        <v>285</v>
      </c>
      <c r="E1771" t="inlineStr">
        <is>
          <t>451,195,636,376</t>
        </is>
      </c>
      <c r="F1771" t="n">
        <v>195</v>
      </c>
      <c r="G1771" t="inlineStr">
        <is>
          <t>primary</t>
        </is>
      </c>
      <c r="H1771" t="inlineStr">
        <is>
          <t>AUTO_VESSEL</t>
        </is>
      </c>
      <c r="I1771" t="inlineStr">
        <is>
          <t>是</t>
        </is>
      </c>
      <c r="J1771" t="inlineStr">
        <is>
          <t>纳入</t>
        </is>
      </c>
      <c r="K1771" t="n">
        <v>1228.898865784499</v>
      </c>
      <c r="L1771">
        <f>导管母表_1781!G1771</f>
        <v/>
      </c>
      <c r="M1771" t="inlineStr">
        <is>
          <t>视野内部</t>
        </is>
      </c>
      <c r="N1771" t="inlineStr">
        <is>
          <t>纳入A/D/Dh；若有Pair_ID则纳入CWR</t>
        </is>
      </c>
      <c r="O1771" t="inlineStr">
        <is>
          <t>自动管线检出的合格导管腔。</t>
        </is>
      </c>
      <c r="P1771" t="inlineStr">
        <is>
          <t>auto_pipeline;review_png_green</t>
        </is>
      </c>
      <c r="Q1771" t="inlineStr">
        <is>
          <t>40(7)-P01</t>
        </is>
      </c>
      <c r="R1771" t="inlineStr">
        <is>
          <t>样品40</t>
        </is>
      </c>
    </row>
    <row r="1772">
      <c r="A1772" t="inlineStr">
        <is>
          <t>40(7)-V02</t>
        </is>
      </c>
      <c r="B1772" t="inlineStr">
        <is>
          <t>40 (7).tif</t>
        </is>
      </c>
      <c r="C1772" t="n">
        <v>430</v>
      </c>
      <c r="D1772" t="n">
        <v>455</v>
      </c>
      <c r="E1772" t="inlineStr">
        <is>
          <t>338,369,523,542</t>
        </is>
      </c>
      <c r="F1772" t="n">
        <v>226</v>
      </c>
      <c r="G1772" t="inlineStr">
        <is>
          <t>primary</t>
        </is>
      </c>
      <c r="H1772" t="inlineStr">
        <is>
          <t>AUTO_VESSEL</t>
        </is>
      </c>
      <c r="I1772" t="inlineStr">
        <is>
          <t>是</t>
        </is>
      </c>
      <c r="J1772" t="inlineStr">
        <is>
          <t>纳入</t>
        </is>
      </c>
      <c r="K1772" t="n">
        <v>1174.52741020794</v>
      </c>
      <c r="L1772">
        <f>导管母表_1781!G1772</f>
        <v/>
      </c>
      <c r="M1772" t="inlineStr">
        <is>
          <t>视野内部</t>
        </is>
      </c>
      <c r="N1772" t="inlineStr">
        <is>
          <t>纳入A/D/Dh；若有Pair_ID则纳入CWR</t>
        </is>
      </c>
      <c r="O1772" t="inlineStr">
        <is>
          <t>自动管线检出的合格导管腔。</t>
        </is>
      </c>
      <c r="P1772" t="inlineStr">
        <is>
          <t>auto_pipeline;review_png_green</t>
        </is>
      </c>
      <c r="Q1772" t="inlineStr">
        <is>
          <t>40(7)-P01</t>
        </is>
      </c>
      <c r="R1772" t="inlineStr">
        <is>
          <t>样品40</t>
        </is>
      </c>
    </row>
    <row r="1773">
      <c r="A1773" t="inlineStr">
        <is>
          <t>40(7)-V03</t>
        </is>
      </c>
      <c r="B1773" t="inlineStr">
        <is>
          <t>40 (7).tif</t>
        </is>
      </c>
      <c r="C1773" t="n">
        <v>127</v>
      </c>
      <c r="D1773" t="n">
        <v>440</v>
      </c>
      <c r="E1773" t="inlineStr">
        <is>
          <t>55,369,200,512</t>
        </is>
      </c>
      <c r="F1773" t="n">
        <v>55</v>
      </c>
      <c r="G1773" t="inlineStr">
        <is>
          <t>primary</t>
        </is>
      </c>
      <c r="H1773" t="inlineStr">
        <is>
          <t>AUTO_VESSEL</t>
        </is>
      </c>
      <c r="I1773" t="inlineStr">
        <is>
          <t>是</t>
        </is>
      </c>
      <c r="J1773" t="inlineStr">
        <is>
          <t>纳入</t>
        </is>
      </c>
      <c r="K1773" t="n">
        <v>758.4357277882798</v>
      </c>
      <c r="L1773">
        <f>导管母表_1781!G1773</f>
        <v/>
      </c>
      <c r="M1773" t="inlineStr">
        <is>
          <t>视野内部</t>
        </is>
      </c>
      <c r="N1773" t="inlineStr">
        <is>
          <t>纳入A/D/Dh；若有Pair_ID则纳入CWR</t>
        </is>
      </c>
      <c r="O1773" t="inlineStr">
        <is>
          <t>自动管线检出的合格导管腔。</t>
        </is>
      </c>
      <c r="P1773" t="inlineStr">
        <is>
          <t>auto_pipeline;review_png_green</t>
        </is>
      </c>
      <c r="R1773" t="inlineStr">
        <is>
          <t>样品40</t>
        </is>
      </c>
    </row>
    <row r="1774">
      <c r="A1774" t="inlineStr">
        <is>
          <t>40(7)-V04</t>
        </is>
      </c>
      <c r="B1774" t="inlineStr">
        <is>
          <t>40 (7).tif</t>
        </is>
      </c>
      <c r="C1774" t="n">
        <v>827</v>
      </c>
      <c r="D1774" t="n">
        <v>420</v>
      </c>
      <c r="E1774" t="inlineStr">
        <is>
          <t>798,383,857,458</t>
        </is>
      </c>
      <c r="F1774" t="n">
        <v>167</v>
      </c>
      <c r="G1774" t="inlineStr">
        <is>
          <t>primary</t>
        </is>
      </c>
      <c r="H1774" t="inlineStr">
        <is>
          <t>AUTO_VESSEL</t>
        </is>
      </c>
      <c r="I1774" t="inlineStr">
        <is>
          <t>是</t>
        </is>
      </c>
      <c r="J1774" t="inlineStr">
        <is>
          <t>纳入</t>
        </is>
      </c>
      <c r="K1774" t="n">
        <v>137.1455576559546</v>
      </c>
      <c r="L1774">
        <f>导管母表_1781!G1774</f>
        <v/>
      </c>
      <c r="M1774" t="inlineStr">
        <is>
          <t>视野内部</t>
        </is>
      </c>
      <c r="N1774" t="inlineStr">
        <is>
          <t>纳入A/D/Dh；若有Pair_ID则纳入CWR</t>
        </is>
      </c>
      <c r="O1774" t="inlineStr">
        <is>
          <t>自动管线检出的合格导管腔。</t>
        </is>
      </c>
      <c r="P1774" t="inlineStr">
        <is>
          <t>auto_pipeline;review_png_green</t>
        </is>
      </c>
      <c r="R1774" t="inlineStr">
        <is>
          <t>样品40</t>
        </is>
      </c>
    </row>
    <row r="1775">
      <c r="A1775" t="inlineStr">
        <is>
          <t>40(7)-V05</t>
        </is>
      </c>
      <c r="B1775" t="inlineStr">
        <is>
          <t>40 (7).tif</t>
        </is>
      </c>
      <c r="C1775" t="n">
        <v>890</v>
      </c>
      <c r="D1775" t="n">
        <v>327</v>
      </c>
      <c r="E1775" t="inlineStr">
        <is>
          <t>857,293,924,362</t>
        </is>
      </c>
      <c r="F1775" t="n">
        <v>100</v>
      </c>
      <c r="G1775" t="inlineStr">
        <is>
          <t>primary</t>
        </is>
      </c>
      <c r="H1775" t="inlineStr">
        <is>
          <t>AUTO_VESSEL</t>
        </is>
      </c>
      <c r="I1775" t="inlineStr">
        <is>
          <t>是</t>
        </is>
      </c>
      <c r="J1775" t="inlineStr">
        <is>
          <t>纳入</t>
        </is>
      </c>
      <c r="K1775" t="n">
        <v>127.7173913043478</v>
      </c>
      <c r="L1775">
        <f>导管母表_1781!G1775</f>
        <v/>
      </c>
      <c r="M1775" t="inlineStr">
        <is>
          <t>视野内部</t>
        </is>
      </c>
      <c r="N1775" t="inlineStr">
        <is>
          <t>纳入A/D/Dh；若有Pair_ID则纳入CWR</t>
        </is>
      </c>
      <c r="O1775" t="inlineStr">
        <is>
          <t>自动管线检出的合格导管腔。</t>
        </is>
      </c>
      <c r="P1775" t="inlineStr">
        <is>
          <t>auto_pipeline;review_png_green</t>
        </is>
      </c>
      <c r="R1775" t="inlineStr">
        <is>
          <t>样品40</t>
        </is>
      </c>
    </row>
    <row r="1776">
      <c r="A1776" t="inlineStr">
        <is>
          <t>40(8)-V01</t>
        </is>
      </c>
      <c r="B1776" t="inlineStr">
        <is>
          <t>40 (8).tif</t>
        </is>
      </c>
      <c r="C1776" t="n">
        <v>559</v>
      </c>
      <c r="D1776" t="n">
        <v>243</v>
      </c>
      <c r="E1776" t="inlineStr">
        <is>
          <t>462,141,657,346</t>
        </is>
      </c>
      <c r="F1776" t="n">
        <v>141</v>
      </c>
      <c r="G1776" t="inlineStr">
        <is>
          <t>primary</t>
        </is>
      </c>
      <c r="H1776" t="inlineStr">
        <is>
          <t>AUTO_VESSEL</t>
        </is>
      </c>
      <c r="I1776" t="inlineStr">
        <is>
          <t>是</t>
        </is>
      </c>
      <c r="J1776" t="inlineStr">
        <is>
          <t>纳入</t>
        </is>
      </c>
      <c r="K1776" t="n">
        <v>1468.407372400756</v>
      </c>
      <c r="L1776">
        <f>导管母表_1781!G1776</f>
        <v/>
      </c>
      <c r="M1776" t="inlineStr">
        <is>
          <t>视野内部</t>
        </is>
      </c>
      <c r="N1776" t="inlineStr">
        <is>
          <t>纳入A/D/Dh；若有Pair_ID则纳入CWR</t>
        </is>
      </c>
      <c r="O1776" t="inlineStr">
        <is>
          <t>自动管线检出的合格导管腔。</t>
        </is>
      </c>
      <c r="P1776" t="inlineStr">
        <is>
          <t>auto_pipeline;review_png_green</t>
        </is>
      </c>
      <c r="Q1776" t="inlineStr">
        <is>
          <t>40(8)-P01</t>
        </is>
      </c>
      <c r="R1776" t="inlineStr">
        <is>
          <t>样品40</t>
        </is>
      </c>
    </row>
    <row r="1777">
      <c r="A1777" t="inlineStr">
        <is>
          <t>40(8)-V02</t>
        </is>
      </c>
      <c r="B1777" t="inlineStr">
        <is>
          <t>40 (8).tif</t>
        </is>
      </c>
      <c r="C1777" t="n">
        <v>851</v>
      </c>
      <c r="D1777" t="n">
        <v>198</v>
      </c>
      <c r="E1777" t="inlineStr">
        <is>
          <t>762,88,941,309</t>
        </is>
      </c>
      <c r="F1777" t="n">
        <v>83</v>
      </c>
      <c r="G1777" t="inlineStr">
        <is>
          <t>primary</t>
        </is>
      </c>
      <c r="H1777" t="inlineStr">
        <is>
          <t>AUTO_VESSEL</t>
        </is>
      </c>
      <c r="I1777" t="inlineStr">
        <is>
          <t>是</t>
        </is>
      </c>
      <c r="J1777" t="inlineStr">
        <is>
          <t>纳入</t>
        </is>
      </c>
      <c r="K1777" t="n">
        <v>1453.402646502836</v>
      </c>
      <c r="L1777">
        <f>导管母表_1781!G1777</f>
        <v/>
      </c>
      <c r="M1777" t="inlineStr">
        <is>
          <t>视野内部</t>
        </is>
      </c>
      <c r="N1777" t="inlineStr">
        <is>
          <t>纳入A/D/Dh；若有Pair_ID则纳入CWR</t>
        </is>
      </c>
      <c r="O1777" t="inlineStr">
        <is>
          <t>自动管线检出的合格导管腔。</t>
        </is>
      </c>
      <c r="P1777" t="inlineStr">
        <is>
          <t>auto_pipeline;review_png_green</t>
        </is>
      </c>
      <c r="R1777" t="inlineStr">
        <is>
          <t>样品40</t>
        </is>
      </c>
    </row>
    <row r="1778">
      <c r="A1778" t="inlineStr">
        <is>
          <t>40(8)-V03</t>
        </is>
      </c>
      <c r="B1778" t="inlineStr">
        <is>
          <t>40 (8).tif</t>
        </is>
      </c>
      <c r="C1778" t="n">
        <v>486</v>
      </c>
      <c r="D1778" t="n">
        <v>444</v>
      </c>
      <c r="E1778" t="inlineStr">
        <is>
          <t>396,359,577,530</t>
        </is>
      </c>
      <c r="F1778" t="n">
        <v>238</v>
      </c>
      <c r="G1778" t="inlineStr">
        <is>
          <t>primary</t>
        </is>
      </c>
      <c r="H1778" t="inlineStr">
        <is>
          <t>AUTO_VESSEL</t>
        </is>
      </c>
      <c r="I1778" t="inlineStr">
        <is>
          <t>是</t>
        </is>
      </c>
      <c r="J1778" t="inlineStr">
        <is>
          <t>纳入</t>
        </is>
      </c>
      <c r="K1778" t="n">
        <v>1135.586011342155</v>
      </c>
      <c r="L1778">
        <f>导管母表_1781!G1778</f>
        <v/>
      </c>
      <c r="M1778" t="inlineStr">
        <is>
          <t>视野内部</t>
        </is>
      </c>
      <c r="N1778" t="inlineStr">
        <is>
          <t>纳入A/D/Dh；若有Pair_ID则纳入CWR</t>
        </is>
      </c>
      <c r="O1778" t="inlineStr">
        <is>
          <t>自动管线检出的合格导管腔。</t>
        </is>
      </c>
      <c r="P1778" t="inlineStr">
        <is>
          <t>auto_pipeline;review_png_green</t>
        </is>
      </c>
      <c r="Q1778" t="inlineStr">
        <is>
          <t>40(8)-P01</t>
        </is>
      </c>
      <c r="R1778" t="inlineStr">
        <is>
          <t>样品40</t>
        </is>
      </c>
    </row>
    <row r="1779">
      <c r="A1779" t="inlineStr">
        <is>
          <t>40(8)-V04</t>
        </is>
      </c>
      <c r="B1779" t="inlineStr">
        <is>
          <t>40 (8).tif</t>
        </is>
      </c>
      <c r="C1779" t="n">
        <v>182</v>
      </c>
      <c r="D1779" t="n">
        <v>593</v>
      </c>
      <c r="E1779" t="inlineStr">
        <is>
          <t>98,536,267,651</t>
        </is>
      </c>
      <c r="F1779" t="n">
        <v>98</v>
      </c>
      <c r="G1779" t="inlineStr">
        <is>
          <t>primary</t>
        </is>
      </c>
      <c r="H1779" t="inlineStr">
        <is>
          <t>AUTO_VESSEL</t>
        </is>
      </c>
      <c r="I1779" t="inlineStr">
        <is>
          <t>是</t>
        </is>
      </c>
      <c r="J1779" t="inlineStr">
        <is>
          <t>纳入</t>
        </is>
      </c>
      <c r="K1779" t="n">
        <v>705.8364839319471</v>
      </c>
      <c r="L1779">
        <f>导管母表_1781!G1779</f>
        <v/>
      </c>
      <c r="M1779" t="inlineStr">
        <is>
          <t>视野内部</t>
        </is>
      </c>
      <c r="N1779" t="inlineStr">
        <is>
          <t>纳入A/D/Dh；若有Pair_ID则纳入CWR</t>
        </is>
      </c>
      <c r="O1779" t="inlineStr">
        <is>
          <t>自动管线检出的合格导管腔。</t>
        </is>
      </c>
      <c r="P1779" t="inlineStr">
        <is>
          <t>auto_pipeline;review_png_green</t>
        </is>
      </c>
      <c r="R1779" t="inlineStr">
        <is>
          <t>样品40</t>
        </is>
      </c>
    </row>
    <row r="1780">
      <c r="A1780" t="inlineStr">
        <is>
          <t>40(8)-V05</t>
        </is>
      </c>
      <c r="B1780" t="inlineStr">
        <is>
          <t>40 (8).tif</t>
        </is>
      </c>
      <c r="C1780" t="n">
        <v>164</v>
      </c>
      <c r="D1780" t="n">
        <v>263</v>
      </c>
      <c r="E1780" t="inlineStr">
        <is>
          <t>131,218,198,309</t>
        </is>
      </c>
      <c r="F1780" t="n">
        <v>131</v>
      </c>
      <c r="G1780" t="inlineStr">
        <is>
          <t>primary</t>
        </is>
      </c>
      <c r="H1780" t="inlineStr">
        <is>
          <t>AUTO_VESSEL</t>
        </is>
      </c>
      <c r="I1780" t="inlineStr">
        <is>
          <t>是</t>
        </is>
      </c>
      <c r="J1780" t="inlineStr">
        <is>
          <t>纳入</t>
        </is>
      </c>
      <c r="K1780" t="n">
        <v>174.3383742911153</v>
      </c>
      <c r="L1780">
        <f>导管母表_1781!G1780</f>
        <v/>
      </c>
      <c r="M1780" t="inlineStr">
        <is>
          <t>视野内部</t>
        </is>
      </c>
      <c r="N1780" t="inlineStr">
        <is>
          <t>纳入A/D/Dh；若有Pair_ID则纳入CWR</t>
        </is>
      </c>
      <c r="O1780" t="inlineStr">
        <is>
          <t>自动管线检出的合格导管腔。</t>
        </is>
      </c>
      <c r="P1780" t="inlineStr">
        <is>
          <t>auto_pipeline;review_png_green</t>
        </is>
      </c>
      <c r="R1780" t="inlineStr">
        <is>
          <t>样品40</t>
        </is>
      </c>
    </row>
    <row r="1781">
      <c r="A1781" t="inlineStr">
        <is>
          <t>40(9)-V01</t>
        </is>
      </c>
      <c r="B1781" t="inlineStr">
        <is>
          <t>40 (9).tif</t>
        </is>
      </c>
      <c r="C1781" t="n">
        <v>536</v>
      </c>
      <c r="D1781" t="n">
        <v>453</v>
      </c>
      <c r="E1781" t="inlineStr">
        <is>
          <t>463,378,610,529</t>
        </is>
      </c>
      <c r="F1781" t="n">
        <v>239</v>
      </c>
      <c r="G1781" t="inlineStr">
        <is>
          <t>primary</t>
        </is>
      </c>
      <c r="H1781" t="inlineStr">
        <is>
          <t>AUTO_VESSEL</t>
        </is>
      </c>
      <c r="I1781" t="inlineStr">
        <is>
          <t>是</t>
        </is>
      </c>
      <c r="J1781" t="inlineStr">
        <is>
          <t>纳入</t>
        </is>
      </c>
      <c r="K1781" t="n">
        <v>812.6181474480152</v>
      </c>
      <c r="L1781">
        <f>导管母表_1781!G1781</f>
        <v/>
      </c>
      <c r="M1781" t="inlineStr">
        <is>
          <t>视野内部</t>
        </is>
      </c>
      <c r="N1781" t="inlineStr">
        <is>
          <t>纳入A/D/Dh；若有Pair_ID则纳入CWR</t>
        </is>
      </c>
      <c r="O1781" t="inlineStr">
        <is>
          <t>自动管线检出的合格导管腔。</t>
        </is>
      </c>
      <c r="P1781" t="inlineStr">
        <is>
          <t>auto_pipeline;review_png_green</t>
        </is>
      </c>
      <c r="Q1781" t="inlineStr">
        <is>
          <t>40(9)-P01</t>
        </is>
      </c>
      <c r="R1781" t="inlineStr">
        <is>
          <t>样品40</t>
        </is>
      </c>
    </row>
    <row r="1782">
      <c r="A1782" t="inlineStr">
        <is>
          <t>40(9)-V02</t>
        </is>
      </c>
      <c r="B1782" t="inlineStr">
        <is>
          <t>40 (9).tif</t>
        </is>
      </c>
      <c r="C1782" t="n">
        <v>479</v>
      </c>
      <c r="D1782" t="n">
        <v>300</v>
      </c>
      <c r="E1782" t="inlineStr">
        <is>
          <t>410,231,549,370</t>
        </is>
      </c>
      <c r="F1782" t="n">
        <v>231</v>
      </c>
      <c r="G1782" t="inlineStr">
        <is>
          <t>primary</t>
        </is>
      </c>
      <c r="H1782" t="inlineStr">
        <is>
          <t>AUTO_VESSEL</t>
        </is>
      </c>
      <c r="I1782" t="inlineStr">
        <is>
          <t>是</t>
        </is>
      </c>
      <c r="J1782" t="inlineStr">
        <is>
          <t>纳入</t>
        </is>
      </c>
      <c r="K1782" t="n">
        <v>706.1200378071834</v>
      </c>
      <c r="L1782">
        <f>导管母表_1781!G1782</f>
        <v/>
      </c>
      <c r="M1782" t="inlineStr">
        <is>
          <t>视野内部</t>
        </is>
      </c>
      <c r="N1782" t="inlineStr">
        <is>
          <t>纳入A/D/Dh；若有Pair_ID则纳入CWR</t>
        </is>
      </c>
      <c r="O1782" t="inlineStr">
        <is>
          <t>自动管线检出的合格导管腔。</t>
        </is>
      </c>
      <c r="P1782" t="inlineStr">
        <is>
          <t>auto_pipeline;review_png_green</t>
        </is>
      </c>
      <c r="Q1782" t="inlineStr">
        <is>
          <t>40(9)-P01</t>
        </is>
      </c>
      <c r="R1782" t="inlineStr">
        <is>
          <t>样品40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图像</t>
        </is>
      </c>
      <c r="B1" t="inlineStr">
        <is>
          <t>primary导管</t>
        </is>
      </c>
      <c r="C1" t="inlineStr">
        <is>
          <t>borderline候选（含未测）</t>
        </is>
      </c>
      <c r="D1" t="inlineStr">
        <is>
          <t>excluded候选</t>
        </is>
      </c>
      <c r="E1" t="inlineStr">
        <is>
          <t>edge_truncated筛查候选</t>
        </is>
      </c>
      <c r="F1" t="inlineStr">
        <is>
          <t>相贴导管对</t>
        </is>
      </c>
      <c r="G1" t="inlineStr">
        <is>
          <t>TVW线数</t>
        </is>
      </c>
      <c r="H1" t="inlineStr">
        <is>
          <t>像素尺寸 (μm/px)</t>
        </is>
      </c>
      <c r="I1" t="inlineStr">
        <is>
          <t>组织高 (px)</t>
        </is>
      </c>
      <c r="J1" t="inlineStr">
        <is>
          <t>视野面积 (mm²)</t>
        </is>
      </c>
      <c r="K1" t="inlineStr">
        <is>
          <t>说明</t>
        </is>
      </c>
      <c r="L1" t="inlineStr">
        <is>
          <t>样品</t>
        </is>
      </c>
    </row>
    <row r="2">
      <c r="A2" t="inlineStr">
        <is>
          <t>1 (1).tif</t>
        </is>
      </c>
      <c r="B2">
        <f>COUNTIF(导管母表_1781!B:B,A2)</f>
        <v/>
      </c>
      <c r="C2">
        <f>COUNTIFS(候选导管审计!B:B,A2,候选导管审计!G:G,"borderline")</f>
        <v/>
      </c>
      <c r="D2">
        <f>COUNTIFS(候选导管审计!B:B,A2,候选导管审计!G:G,"excluded")</f>
        <v/>
      </c>
      <c r="E2">
        <f>COUNTIFS(候选导管审计!B:B,A2,候选导管审计!G:G,"edge_truncated")</f>
        <v/>
      </c>
      <c r="F2">
        <f>COUNTIF(导管对_CWR_172!B:B,A2)</f>
        <v/>
      </c>
      <c r="G2">
        <f>COUNTIF(TVW线测量明细!B:B,A2)</f>
        <v/>
      </c>
      <c r="H2" t="n">
        <v>0.2173913043478261</v>
      </c>
      <c r="I2" t="n">
        <v>286</v>
      </c>
      <c r="J2">
        <f>1024*I2*H2^2/1000000</f>
        <v/>
      </c>
      <c r="K2" t="inlineStr">
        <is>
          <t>同一样品的技术视野；不是独立生物学重复</t>
        </is>
      </c>
      <c r="L2" t="inlineStr">
        <is>
          <t>样品1</t>
        </is>
      </c>
    </row>
    <row r="3">
      <c r="A3" t="inlineStr">
        <is>
          <t>1 (2).tif</t>
        </is>
      </c>
      <c r="B3">
        <f>COUNTIF(导管母表_1781!B:B,A3)</f>
        <v/>
      </c>
      <c r="C3">
        <f>COUNTIFS(候选导管审计!B:B,A3,候选导管审计!G:G,"borderline")</f>
        <v/>
      </c>
      <c r="D3">
        <f>COUNTIFS(候选导管审计!B:B,A3,候选导管审计!G:G,"excluded")</f>
        <v/>
      </c>
      <c r="E3">
        <f>COUNTIFS(候选导管审计!B:B,A3,候选导管审计!G:G,"edge_truncated")</f>
        <v/>
      </c>
      <c r="F3">
        <f>COUNTIF(导管对_CWR_172!B:B,A3)</f>
        <v/>
      </c>
      <c r="G3">
        <f>COUNTIF(TVW线测量明细!B:B,A3)</f>
        <v/>
      </c>
      <c r="H3" t="n">
        <v>0.2173913043478261</v>
      </c>
      <c r="I3" t="n">
        <v>181</v>
      </c>
      <c r="J3">
        <f>1024*I3*H3^2/1000000</f>
        <v/>
      </c>
      <c r="K3" t="inlineStr">
        <is>
          <t>同一样品的技术视野；不是独立生物学重复</t>
        </is>
      </c>
      <c r="L3" t="inlineStr">
        <is>
          <t>样品1</t>
        </is>
      </c>
    </row>
    <row r="4">
      <c r="A4" t="inlineStr">
        <is>
          <t>1 (3).tif</t>
        </is>
      </c>
      <c r="B4">
        <f>COUNTIF(导管母表_1781!B:B,A4)</f>
        <v/>
      </c>
      <c r="C4">
        <f>COUNTIFS(候选导管审计!B:B,A4,候选导管审计!G:G,"borderline")</f>
        <v/>
      </c>
      <c r="D4">
        <f>COUNTIFS(候选导管审计!B:B,A4,候选导管审计!G:G,"excluded")</f>
        <v/>
      </c>
      <c r="E4">
        <f>COUNTIFS(候选导管审计!B:B,A4,候选导管审计!G:G,"edge_truncated")</f>
        <v/>
      </c>
      <c r="F4">
        <f>COUNTIF(导管对_CWR_172!B:B,A4)</f>
        <v/>
      </c>
      <c r="G4">
        <f>COUNTIF(TVW线测量明细!B:B,A4)</f>
        <v/>
      </c>
      <c r="H4" t="n">
        <v>0.2173913043478261</v>
      </c>
      <c r="I4" t="n">
        <v>208</v>
      </c>
      <c r="J4">
        <f>1024*I4*H4^2/1000000</f>
        <v/>
      </c>
      <c r="K4" t="inlineStr">
        <is>
          <t>同一样品的技术视野；不是独立生物学重复</t>
        </is>
      </c>
      <c r="L4" t="inlineStr">
        <is>
          <t>样品1</t>
        </is>
      </c>
    </row>
    <row r="5">
      <c r="A5" t="inlineStr">
        <is>
          <t>1 (4).tif</t>
        </is>
      </c>
      <c r="B5">
        <f>COUNTIF(导管母表_1781!B:B,A5)</f>
        <v/>
      </c>
      <c r="C5">
        <f>COUNTIFS(候选导管审计!B:B,A5,候选导管审计!G:G,"borderline")</f>
        <v/>
      </c>
      <c r="D5">
        <f>COUNTIFS(候选导管审计!B:B,A5,候选导管审计!G:G,"excluded")</f>
        <v/>
      </c>
      <c r="E5">
        <f>COUNTIFS(候选导管审计!B:B,A5,候选导管审计!G:G,"edge_truncated")</f>
        <v/>
      </c>
      <c r="F5">
        <f>COUNTIF(导管对_CWR_172!B:B,A5)</f>
        <v/>
      </c>
      <c r="G5">
        <f>COUNTIF(TVW线测量明细!B:B,A5)</f>
        <v/>
      </c>
      <c r="H5" t="n">
        <v>0.2173913043478261</v>
      </c>
      <c r="I5" t="n">
        <v>174</v>
      </c>
      <c r="J5">
        <f>1024*I5*H5^2/1000000</f>
        <v/>
      </c>
      <c r="K5" t="inlineStr">
        <is>
          <t>同一样品的技术视野；不是独立生物学重复</t>
        </is>
      </c>
      <c r="L5" t="inlineStr">
        <is>
          <t>样品1</t>
        </is>
      </c>
    </row>
    <row r="6">
      <c r="A6" t="inlineStr">
        <is>
          <t>1 (5).tif</t>
        </is>
      </c>
      <c r="B6">
        <f>COUNTIF(导管母表_1781!B:B,A6)</f>
        <v/>
      </c>
      <c r="C6">
        <f>COUNTIFS(候选导管审计!B:B,A6,候选导管审计!G:G,"borderline")</f>
        <v/>
      </c>
      <c r="D6">
        <f>COUNTIFS(候选导管审计!B:B,A6,候选导管审计!G:G,"excluded")</f>
        <v/>
      </c>
      <c r="E6">
        <f>COUNTIFS(候选导管审计!B:B,A6,候选导管审计!G:G,"edge_truncated")</f>
        <v/>
      </c>
      <c r="F6">
        <f>COUNTIF(导管对_CWR_172!B:B,A6)</f>
        <v/>
      </c>
      <c r="G6">
        <f>COUNTIF(TVW线测量明细!B:B,A6)</f>
        <v/>
      </c>
      <c r="H6" t="n">
        <v>0.2173913043478261</v>
      </c>
      <c r="I6" t="n">
        <v>198</v>
      </c>
      <c r="J6">
        <f>1024*I6*H6^2/1000000</f>
        <v/>
      </c>
      <c r="K6" t="inlineStr">
        <is>
          <t>同一样品的技术视野；不是独立生物学重复</t>
        </is>
      </c>
      <c r="L6" t="inlineStr">
        <is>
          <t>样品1</t>
        </is>
      </c>
    </row>
    <row r="7">
      <c r="A7" t="inlineStr">
        <is>
          <t>1 (6).tif</t>
        </is>
      </c>
      <c r="B7">
        <f>COUNTIF(导管母表_1781!B:B,A7)</f>
        <v/>
      </c>
      <c r="C7">
        <f>COUNTIFS(候选导管审计!B:B,A7,候选导管审计!G:G,"borderline")</f>
        <v/>
      </c>
      <c r="D7">
        <f>COUNTIFS(候选导管审计!B:B,A7,候选导管审计!G:G,"excluded")</f>
        <v/>
      </c>
      <c r="E7">
        <f>COUNTIFS(候选导管审计!B:B,A7,候选导管审计!G:G,"edge_truncated")</f>
        <v/>
      </c>
      <c r="F7">
        <f>COUNTIF(导管对_CWR_172!B:B,A7)</f>
        <v/>
      </c>
      <c r="G7">
        <f>COUNTIF(TVW线测量明细!B:B,A7)</f>
        <v/>
      </c>
      <c r="H7" t="n">
        <v>0.2173913043478261</v>
      </c>
      <c r="I7" t="n">
        <v>197</v>
      </c>
      <c r="J7">
        <f>1024*I7*H7^2/1000000</f>
        <v/>
      </c>
      <c r="K7" t="inlineStr">
        <is>
          <t>同一样品的技术视野；不是独立生物学重复</t>
        </is>
      </c>
      <c r="L7" t="inlineStr">
        <is>
          <t>样品1</t>
        </is>
      </c>
    </row>
    <row r="8">
      <c r="A8" t="inlineStr">
        <is>
          <t>1 (7).tif</t>
        </is>
      </c>
      <c r="B8">
        <f>COUNTIF(导管母表_1781!B:B,A8)</f>
        <v/>
      </c>
      <c r="C8">
        <f>COUNTIFS(候选导管审计!B:B,A8,候选导管审计!G:G,"borderline")</f>
        <v/>
      </c>
      <c r="D8">
        <f>COUNTIFS(候选导管审计!B:B,A8,候选导管审计!G:G,"excluded")</f>
        <v/>
      </c>
      <c r="E8">
        <f>COUNTIFS(候选导管审计!B:B,A8,候选导管审计!G:G,"edge_truncated")</f>
        <v/>
      </c>
      <c r="F8">
        <f>COUNTIF(导管对_CWR_172!B:B,A8)</f>
        <v/>
      </c>
      <c r="G8">
        <f>COUNTIF(TVW线测量明细!B:B,A8)</f>
        <v/>
      </c>
      <c r="H8" t="n">
        <v>0.2173913043478261</v>
      </c>
      <c r="I8" t="n">
        <v>691</v>
      </c>
      <c r="J8">
        <f>1024*I8*H8^2/1000000</f>
        <v/>
      </c>
      <c r="K8" t="inlineStr">
        <is>
          <t>同一样品的技术视野；不是独立生物学重复</t>
        </is>
      </c>
      <c r="L8" t="inlineStr">
        <is>
          <t>样品1</t>
        </is>
      </c>
    </row>
    <row r="9">
      <c r="A9" t="inlineStr">
        <is>
          <t>1 (8).tif</t>
        </is>
      </c>
      <c r="B9">
        <f>COUNTIF(导管母表_1781!B:B,A9)</f>
        <v/>
      </c>
      <c r="C9">
        <f>COUNTIFS(候选导管审计!B:B,A9,候选导管审计!G:G,"borderline")</f>
        <v/>
      </c>
      <c r="D9">
        <f>COUNTIFS(候选导管审计!B:B,A9,候选导管审计!G:G,"excluded")</f>
        <v/>
      </c>
      <c r="E9">
        <f>COUNTIFS(候选导管审计!B:B,A9,候选导管审计!G:G,"edge_truncated")</f>
        <v/>
      </c>
      <c r="F9">
        <f>COUNTIF(导管对_CWR_172!B:B,A9)</f>
        <v/>
      </c>
      <c r="G9">
        <f>COUNTIF(TVW线测量明细!B:B,A9)</f>
        <v/>
      </c>
      <c r="H9" t="n">
        <v>0.2173913043478261</v>
      </c>
      <c r="I9" t="n">
        <v>691</v>
      </c>
      <c r="J9">
        <f>1024*I9*H9^2/1000000</f>
        <v/>
      </c>
      <c r="K9" t="inlineStr">
        <is>
          <t>同一样品的技术视野；不是独立生物学重复</t>
        </is>
      </c>
      <c r="L9" t="inlineStr">
        <is>
          <t>样品1</t>
        </is>
      </c>
    </row>
    <row r="10">
      <c r="A10" t="inlineStr">
        <is>
          <t>2 (1).tif</t>
        </is>
      </c>
      <c r="B10">
        <f>COUNTIF(导管母表_1781!B:B,A10)</f>
        <v/>
      </c>
      <c r="C10">
        <f>COUNTIFS(候选导管审计!B:B,A10,候选导管审计!G:G,"borderline")</f>
        <v/>
      </c>
      <c r="D10">
        <f>COUNTIFS(候选导管审计!B:B,A10,候选导管审计!G:G,"excluded")</f>
        <v/>
      </c>
      <c r="E10">
        <f>COUNTIFS(候选导管审计!B:B,A10,候选导管审计!G:G,"edge_truncated")</f>
        <v/>
      </c>
      <c r="F10">
        <f>COUNTIF(导管对_CWR_172!B:B,A10)</f>
        <v/>
      </c>
      <c r="G10">
        <f>COUNTIF(TVW线测量明细!B:B,A10)</f>
        <v/>
      </c>
      <c r="H10" t="n">
        <v>0.2173913043478261</v>
      </c>
      <c r="I10" t="n">
        <v>691</v>
      </c>
      <c r="J10">
        <f>1024*I10*H10^2/1000000</f>
        <v/>
      </c>
      <c r="K10" t="inlineStr">
        <is>
          <t>同一样品的技术视野；不是独立生物学重复</t>
        </is>
      </c>
      <c r="L10" t="inlineStr">
        <is>
          <t>样品2</t>
        </is>
      </c>
    </row>
    <row r="11">
      <c r="A11" t="inlineStr">
        <is>
          <t>2 (2).tif</t>
        </is>
      </c>
      <c r="B11">
        <f>COUNTIF(导管母表_1781!B:B,A11)</f>
        <v/>
      </c>
      <c r="C11">
        <f>COUNTIFS(候选导管审计!B:B,A11,候选导管审计!G:G,"borderline")</f>
        <v/>
      </c>
      <c r="D11">
        <f>COUNTIFS(候选导管审计!B:B,A11,候选导管审计!G:G,"excluded")</f>
        <v/>
      </c>
      <c r="E11">
        <f>COUNTIFS(候选导管审计!B:B,A11,候选导管审计!G:G,"edge_truncated")</f>
        <v/>
      </c>
      <c r="F11">
        <f>COUNTIF(导管对_CWR_172!B:B,A11)</f>
        <v/>
      </c>
      <c r="G11">
        <f>COUNTIF(TVW线测量明细!B:B,A11)</f>
        <v/>
      </c>
      <c r="H11" t="n">
        <v>0.2173913043478261</v>
      </c>
      <c r="I11" t="n">
        <v>691</v>
      </c>
      <c r="J11">
        <f>1024*I11*H11^2/1000000</f>
        <v/>
      </c>
      <c r="K11" t="inlineStr">
        <is>
          <t>同一样品的技术视野；不是独立生物学重复</t>
        </is>
      </c>
      <c r="L11" t="inlineStr">
        <is>
          <t>样品2</t>
        </is>
      </c>
    </row>
    <row r="12">
      <c r="A12" t="inlineStr">
        <is>
          <t>2 (3).tif</t>
        </is>
      </c>
      <c r="B12">
        <f>COUNTIF(导管母表_1781!B:B,A12)</f>
        <v/>
      </c>
      <c r="C12">
        <f>COUNTIFS(候选导管审计!B:B,A12,候选导管审计!G:G,"borderline")</f>
        <v/>
      </c>
      <c r="D12">
        <f>COUNTIFS(候选导管审计!B:B,A12,候选导管审计!G:G,"excluded")</f>
        <v/>
      </c>
      <c r="E12">
        <f>COUNTIFS(候选导管审计!B:B,A12,候选导管审计!G:G,"edge_truncated")</f>
        <v/>
      </c>
      <c r="F12">
        <f>COUNTIF(导管对_CWR_172!B:B,A12)</f>
        <v/>
      </c>
      <c r="G12">
        <f>COUNTIF(TVW线测量明细!B:B,A12)</f>
        <v/>
      </c>
      <c r="H12" t="n">
        <v>0.2173913043478261</v>
      </c>
      <c r="I12" t="n">
        <v>198</v>
      </c>
      <c r="J12">
        <f>1024*I12*H12^2/1000000</f>
        <v/>
      </c>
      <c r="K12" t="inlineStr">
        <is>
          <t>同一样品的技术视野；不是独立生物学重复</t>
        </is>
      </c>
      <c r="L12" t="inlineStr">
        <is>
          <t>样品2</t>
        </is>
      </c>
    </row>
    <row r="13">
      <c r="A13" t="inlineStr">
        <is>
          <t>2 (4).tif</t>
        </is>
      </c>
      <c r="B13">
        <f>COUNTIF(导管母表_1781!B:B,A13)</f>
        <v/>
      </c>
      <c r="C13">
        <f>COUNTIFS(候选导管审计!B:B,A13,候选导管审计!G:G,"borderline")</f>
        <v/>
      </c>
      <c r="D13">
        <f>COUNTIFS(候选导管审计!B:B,A13,候选导管审计!G:G,"excluded")</f>
        <v/>
      </c>
      <c r="E13">
        <f>COUNTIFS(候选导管审计!B:B,A13,候选导管审计!G:G,"edge_truncated")</f>
        <v/>
      </c>
      <c r="F13">
        <f>COUNTIF(导管对_CWR_172!B:B,A13)</f>
        <v/>
      </c>
      <c r="G13">
        <f>COUNTIF(TVW线测量明细!B:B,A13)</f>
        <v/>
      </c>
      <c r="H13" t="n">
        <v>0.2173913043478261</v>
      </c>
      <c r="I13" t="n">
        <v>206</v>
      </c>
      <c r="J13">
        <f>1024*I13*H13^2/1000000</f>
        <v/>
      </c>
      <c r="K13" t="inlineStr">
        <is>
          <t>同一样品的技术视野；不是独立生物学重复</t>
        </is>
      </c>
      <c r="L13" t="inlineStr">
        <is>
          <t>样品2</t>
        </is>
      </c>
    </row>
    <row r="14">
      <c r="A14" t="inlineStr">
        <is>
          <t>2 (5).tif</t>
        </is>
      </c>
      <c r="B14">
        <f>COUNTIF(导管母表_1781!B:B,A14)</f>
        <v/>
      </c>
      <c r="C14">
        <f>COUNTIFS(候选导管审计!B:B,A14,候选导管审计!G:G,"borderline")</f>
        <v/>
      </c>
      <c r="D14">
        <f>COUNTIFS(候选导管审计!B:B,A14,候选导管审计!G:G,"excluded")</f>
        <v/>
      </c>
      <c r="E14">
        <f>COUNTIFS(候选导管审计!B:B,A14,候选导管审计!G:G,"edge_truncated")</f>
        <v/>
      </c>
      <c r="F14">
        <f>COUNTIF(导管对_CWR_172!B:B,A14)</f>
        <v/>
      </c>
      <c r="G14">
        <f>COUNTIF(TVW线测量明细!B:B,A14)</f>
        <v/>
      </c>
      <c r="H14" t="n">
        <v>0.2173913043478261</v>
      </c>
      <c r="I14" t="n">
        <v>164</v>
      </c>
      <c r="J14">
        <f>1024*I14*H14^2/1000000</f>
        <v/>
      </c>
      <c r="K14" t="inlineStr">
        <is>
          <t>同一样品的技术视野；不是独立生物学重复</t>
        </is>
      </c>
      <c r="L14" t="inlineStr">
        <is>
          <t>样品2</t>
        </is>
      </c>
    </row>
    <row r="15">
      <c r="A15" t="inlineStr">
        <is>
          <t>2 (6).tif</t>
        </is>
      </c>
      <c r="B15">
        <f>COUNTIF(导管母表_1781!B:B,A15)</f>
        <v/>
      </c>
      <c r="C15">
        <f>COUNTIFS(候选导管审计!B:B,A15,候选导管审计!G:G,"borderline")</f>
        <v/>
      </c>
      <c r="D15">
        <f>COUNTIFS(候选导管审计!B:B,A15,候选导管审计!G:G,"excluded")</f>
        <v/>
      </c>
      <c r="E15">
        <f>COUNTIFS(候选导管审计!B:B,A15,候选导管审计!G:G,"edge_truncated")</f>
        <v/>
      </c>
      <c r="F15">
        <f>COUNTIF(导管对_CWR_172!B:B,A15)</f>
        <v/>
      </c>
      <c r="G15">
        <f>COUNTIF(TVW线测量明细!B:B,A15)</f>
        <v/>
      </c>
      <c r="H15" t="n">
        <v>0.2173913043478261</v>
      </c>
      <c r="I15" t="n">
        <v>216</v>
      </c>
      <c r="J15">
        <f>1024*I15*H15^2/1000000</f>
        <v/>
      </c>
      <c r="K15" t="inlineStr">
        <is>
          <t>同一样品的技术视野；不是独立生物学重复</t>
        </is>
      </c>
      <c r="L15" t="inlineStr">
        <is>
          <t>样品2</t>
        </is>
      </c>
    </row>
    <row r="16">
      <c r="A16" t="inlineStr">
        <is>
          <t>2 (7).tif</t>
        </is>
      </c>
      <c r="B16">
        <f>COUNTIF(导管母表_1781!B:B,A16)</f>
        <v/>
      </c>
      <c r="C16">
        <f>COUNTIFS(候选导管审计!B:B,A16,候选导管审计!G:G,"borderline")</f>
        <v/>
      </c>
      <c r="D16">
        <f>COUNTIFS(候选导管审计!B:B,A16,候选导管审计!G:G,"excluded")</f>
        <v/>
      </c>
      <c r="E16">
        <f>COUNTIFS(候选导管审计!B:B,A16,候选导管审计!G:G,"edge_truncated")</f>
        <v/>
      </c>
      <c r="F16">
        <f>COUNTIF(导管对_CWR_172!B:B,A16)</f>
        <v/>
      </c>
      <c r="G16">
        <f>COUNTIF(TVW线测量明细!B:B,A16)</f>
        <v/>
      </c>
      <c r="H16" t="n">
        <v>0.2173913043478261</v>
      </c>
      <c r="I16" t="n">
        <v>256</v>
      </c>
      <c r="J16">
        <f>1024*I16*H16^2/1000000</f>
        <v/>
      </c>
      <c r="K16" t="inlineStr">
        <is>
          <t>同一样品的技术视野；不是独立生物学重复</t>
        </is>
      </c>
      <c r="L16" t="inlineStr">
        <is>
          <t>样品2</t>
        </is>
      </c>
    </row>
    <row r="17">
      <c r="A17" t="inlineStr">
        <is>
          <t>2 (8).tif</t>
        </is>
      </c>
      <c r="B17">
        <f>COUNTIF(导管母表_1781!B:B,A17)</f>
        <v/>
      </c>
      <c r="C17">
        <f>COUNTIFS(候选导管审计!B:B,A17,候选导管审计!G:G,"borderline")</f>
        <v/>
      </c>
      <c r="D17">
        <f>COUNTIFS(候选导管审计!B:B,A17,候选导管审计!G:G,"excluded")</f>
        <v/>
      </c>
      <c r="E17">
        <f>COUNTIFS(候选导管审计!B:B,A17,候选导管审计!G:G,"edge_truncated")</f>
        <v/>
      </c>
      <c r="F17">
        <f>COUNTIF(导管对_CWR_172!B:B,A17)</f>
        <v/>
      </c>
      <c r="G17">
        <f>COUNTIF(TVW线测量明细!B:B,A17)</f>
        <v/>
      </c>
      <c r="H17" t="n">
        <v>0.2173913043478261</v>
      </c>
      <c r="I17" t="n">
        <v>185</v>
      </c>
      <c r="J17">
        <f>1024*I17*H17^2/1000000</f>
        <v/>
      </c>
      <c r="K17" t="inlineStr">
        <is>
          <t>同一样品的技术视野；不是独立生物学重复</t>
        </is>
      </c>
      <c r="L17" t="inlineStr">
        <is>
          <t>样品2</t>
        </is>
      </c>
    </row>
    <row r="18">
      <c r="A18" t="inlineStr">
        <is>
          <t>2 (9).tif</t>
        </is>
      </c>
      <c r="B18">
        <f>COUNTIF(导管母表_1781!B:B,A18)</f>
        <v/>
      </c>
      <c r="C18">
        <f>COUNTIFS(候选导管审计!B:B,A18,候选导管审计!G:G,"borderline")</f>
        <v/>
      </c>
      <c r="D18">
        <f>COUNTIFS(候选导管审计!B:B,A18,候选导管审计!G:G,"excluded")</f>
        <v/>
      </c>
      <c r="E18">
        <f>COUNTIFS(候选导管审计!B:B,A18,候选导管审计!G:G,"edge_truncated")</f>
        <v/>
      </c>
      <c r="F18">
        <f>COUNTIF(导管对_CWR_172!B:B,A18)</f>
        <v/>
      </c>
      <c r="G18">
        <f>COUNTIF(TVW线测量明细!B:B,A18)</f>
        <v/>
      </c>
      <c r="H18" t="n">
        <v>0.2173913043478261</v>
      </c>
      <c r="I18" t="n">
        <v>168</v>
      </c>
      <c r="J18">
        <f>1024*I18*H18^2/1000000</f>
        <v/>
      </c>
      <c r="K18" t="inlineStr">
        <is>
          <t>同一样品的技术视野；不是独立生物学重复</t>
        </is>
      </c>
      <c r="L18" t="inlineStr">
        <is>
          <t>样品2</t>
        </is>
      </c>
    </row>
    <row r="19">
      <c r="A19" t="inlineStr">
        <is>
          <t>2 (10).tif</t>
        </is>
      </c>
      <c r="B19">
        <f>COUNTIF(导管母表_1781!B:B,A19)</f>
        <v/>
      </c>
      <c r="C19">
        <f>COUNTIFS(候选导管审计!B:B,A19,候选导管审计!G:G,"borderline")</f>
        <v/>
      </c>
      <c r="D19">
        <f>COUNTIFS(候选导管审计!B:B,A19,候选导管审计!G:G,"excluded")</f>
        <v/>
      </c>
      <c r="E19">
        <f>COUNTIFS(候选导管审计!B:B,A19,候选导管审计!G:G,"edge_truncated")</f>
        <v/>
      </c>
      <c r="F19">
        <f>COUNTIF(导管对_CWR_172!B:B,A19)</f>
        <v/>
      </c>
      <c r="G19">
        <f>COUNTIF(TVW线测量明细!B:B,A19)</f>
        <v/>
      </c>
      <c r="H19" t="n">
        <v>0.2173913043478261</v>
      </c>
      <c r="I19" t="n">
        <v>691</v>
      </c>
      <c r="J19">
        <f>1024*I19*H19^2/1000000</f>
        <v/>
      </c>
      <c r="K19" t="inlineStr">
        <is>
          <t>同一样品的技术视野；不是独立生物学重复</t>
        </is>
      </c>
      <c r="L19" t="inlineStr">
        <is>
          <t>样品2</t>
        </is>
      </c>
    </row>
    <row r="20">
      <c r="A20" t="inlineStr">
        <is>
          <t>2 (11).tif</t>
        </is>
      </c>
      <c r="B20">
        <f>COUNTIF(导管母表_1781!B:B,A20)</f>
        <v/>
      </c>
      <c r="C20">
        <f>COUNTIFS(候选导管审计!B:B,A20,候选导管审计!G:G,"borderline")</f>
        <v/>
      </c>
      <c r="D20">
        <f>COUNTIFS(候选导管审计!B:B,A20,候选导管审计!G:G,"excluded")</f>
        <v/>
      </c>
      <c r="E20">
        <f>COUNTIFS(候选导管审计!B:B,A20,候选导管审计!G:G,"edge_truncated")</f>
        <v/>
      </c>
      <c r="F20">
        <f>COUNTIF(导管对_CWR_172!B:B,A20)</f>
        <v/>
      </c>
      <c r="G20">
        <f>COUNTIF(TVW线测量明细!B:B,A20)</f>
        <v/>
      </c>
      <c r="H20" t="n">
        <v>0.2173913043478261</v>
      </c>
      <c r="I20" t="n">
        <v>691</v>
      </c>
      <c r="J20">
        <f>1024*I20*H20^2/1000000</f>
        <v/>
      </c>
      <c r="K20" t="inlineStr">
        <is>
          <t>同一样品的技术视野；不是独立生物学重复</t>
        </is>
      </c>
      <c r="L20" t="inlineStr">
        <is>
          <t>样品2</t>
        </is>
      </c>
    </row>
    <row r="21">
      <c r="A21" t="inlineStr">
        <is>
          <t>2 (12).tif</t>
        </is>
      </c>
      <c r="B21">
        <f>COUNTIF(导管母表_1781!B:B,A21)</f>
        <v/>
      </c>
      <c r="C21">
        <f>COUNTIFS(候选导管审计!B:B,A21,候选导管审计!G:G,"borderline")</f>
        <v/>
      </c>
      <c r="D21">
        <f>COUNTIFS(候选导管审计!B:B,A21,候选导管审计!G:G,"excluded")</f>
        <v/>
      </c>
      <c r="E21">
        <f>COUNTIFS(候选导管审计!B:B,A21,候选导管审计!G:G,"edge_truncated")</f>
        <v/>
      </c>
      <c r="F21">
        <f>COUNTIF(导管对_CWR_172!B:B,A21)</f>
        <v/>
      </c>
      <c r="G21">
        <f>COUNTIF(TVW线测量明细!B:B,A21)</f>
        <v/>
      </c>
      <c r="H21" t="n">
        <v>0.2173913043478261</v>
      </c>
      <c r="I21" t="n">
        <v>691</v>
      </c>
      <c r="J21">
        <f>1024*I21*H21^2/1000000</f>
        <v/>
      </c>
      <c r="K21" t="inlineStr">
        <is>
          <t>同一样品的技术视野；不是独立生物学重复</t>
        </is>
      </c>
      <c r="L21" t="inlineStr">
        <is>
          <t>样品2</t>
        </is>
      </c>
    </row>
    <row r="22">
      <c r="A22" t="inlineStr">
        <is>
          <t>2 (13).tif</t>
        </is>
      </c>
      <c r="B22">
        <f>COUNTIF(导管母表_1781!B:B,A22)</f>
        <v/>
      </c>
      <c r="C22">
        <f>COUNTIFS(候选导管审计!B:B,A22,候选导管审计!G:G,"borderline")</f>
        <v/>
      </c>
      <c r="D22">
        <f>COUNTIFS(候选导管审计!B:B,A22,候选导管审计!G:G,"excluded")</f>
        <v/>
      </c>
      <c r="E22">
        <f>COUNTIFS(候选导管审计!B:B,A22,候选导管审计!G:G,"edge_truncated")</f>
        <v/>
      </c>
      <c r="F22">
        <f>COUNTIF(导管对_CWR_172!B:B,A22)</f>
        <v/>
      </c>
      <c r="G22">
        <f>COUNTIF(TVW线测量明细!B:B,A22)</f>
        <v/>
      </c>
      <c r="H22" t="n">
        <v>0.2173913043478261</v>
      </c>
      <c r="I22" t="n">
        <v>225</v>
      </c>
      <c r="J22">
        <f>1024*I22*H22^2/1000000</f>
        <v/>
      </c>
      <c r="K22" t="inlineStr">
        <is>
          <t>同一样品的技术视野；不是独立生物学重复</t>
        </is>
      </c>
      <c r="L22" t="inlineStr">
        <is>
          <t>样品2</t>
        </is>
      </c>
    </row>
    <row r="23">
      <c r="A23" t="inlineStr">
        <is>
          <t>2 (14).tif</t>
        </is>
      </c>
      <c r="B23">
        <f>COUNTIF(导管母表_1781!B:B,A23)</f>
        <v/>
      </c>
      <c r="C23">
        <f>COUNTIFS(候选导管审计!B:B,A23,候选导管审计!G:G,"borderline")</f>
        <v/>
      </c>
      <c r="D23">
        <f>COUNTIFS(候选导管审计!B:B,A23,候选导管审计!G:G,"excluded")</f>
        <v/>
      </c>
      <c r="E23">
        <f>COUNTIFS(候选导管审计!B:B,A23,候选导管审计!G:G,"edge_truncated")</f>
        <v/>
      </c>
      <c r="F23">
        <f>COUNTIF(导管对_CWR_172!B:B,A23)</f>
        <v/>
      </c>
      <c r="G23">
        <f>COUNTIF(TVW线测量明细!B:B,A23)</f>
        <v/>
      </c>
      <c r="H23" t="n">
        <v>0.2173913043478261</v>
      </c>
      <c r="I23" t="n">
        <v>291</v>
      </c>
      <c r="J23">
        <f>1024*I23*H23^2/1000000</f>
        <v/>
      </c>
      <c r="K23" t="inlineStr">
        <is>
          <t>同一样品的技术视野；不是独立生物学重复</t>
        </is>
      </c>
      <c r="L23" t="inlineStr">
        <is>
          <t>样品2</t>
        </is>
      </c>
    </row>
    <row r="24">
      <c r="A24" t="inlineStr">
        <is>
          <t>3 (1).tif</t>
        </is>
      </c>
      <c r="B24">
        <f>COUNTIF(导管母表_1781!B:B,A24)</f>
        <v/>
      </c>
      <c r="C24">
        <f>COUNTIFS(候选导管审计!B:B,A24,候选导管审计!G:G,"borderline")</f>
        <v/>
      </c>
      <c r="D24">
        <f>COUNTIFS(候选导管审计!B:B,A24,候选导管审计!G:G,"excluded")</f>
        <v/>
      </c>
      <c r="E24">
        <f>COUNTIFS(候选导管审计!B:B,A24,候选导管审计!G:G,"edge_truncated")</f>
        <v/>
      </c>
      <c r="F24">
        <f>COUNTIF(导管对_CWR_172!B:B,A24)</f>
        <v/>
      </c>
      <c r="G24">
        <f>COUNTIF(TVW线测量明细!B:B,A24)</f>
        <v/>
      </c>
      <c r="H24" t="n">
        <v>0.2173913043478261</v>
      </c>
      <c r="I24" t="n">
        <v>266</v>
      </c>
      <c r="J24">
        <f>1024*I24*H24^2/1000000</f>
        <v/>
      </c>
      <c r="K24" t="inlineStr">
        <is>
          <t>同一样品的技术视野；不是独立生物学重复</t>
        </is>
      </c>
      <c r="L24" t="inlineStr">
        <is>
          <t>样品3</t>
        </is>
      </c>
    </row>
    <row r="25">
      <c r="A25" t="inlineStr">
        <is>
          <t>3 (2).tif</t>
        </is>
      </c>
      <c r="B25">
        <f>COUNTIF(导管母表_1781!B:B,A25)</f>
        <v/>
      </c>
      <c r="C25">
        <f>COUNTIFS(候选导管审计!B:B,A25,候选导管审计!G:G,"borderline")</f>
        <v/>
      </c>
      <c r="D25">
        <f>COUNTIFS(候选导管审计!B:B,A25,候选导管审计!G:G,"excluded")</f>
        <v/>
      </c>
      <c r="E25">
        <f>COUNTIFS(候选导管审计!B:B,A25,候选导管审计!G:G,"edge_truncated")</f>
        <v/>
      </c>
      <c r="F25">
        <f>COUNTIF(导管对_CWR_172!B:B,A25)</f>
        <v/>
      </c>
      <c r="G25">
        <f>COUNTIF(TVW线测量明细!B:B,A25)</f>
        <v/>
      </c>
      <c r="H25" t="n">
        <v>0.2173913043478261</v>
      </c>
      <c r="I25" t="n">
        <v>386</v>
      </c>
      <c r="J25">
        <f>1024*I25*H25^2/1000000</f>
        <v/>
      </c>
      <c r="K25" t="inlineStr">
        <is>
          <t>同一样品的技术视野；不是独立生物学重复</t>
        </is>
      </c>
      <c r="L25" t="inlineStr">
        <is>
          <t>样品3</t>
        </is>
      </c>
    </row>
    <row r="26">
      <c r="A26" t="inlineStr">
        <is>
          <t>3 (3).tif</t>
        </is>
      </c>
      <c r="B26">
        <f>COUNTIF(导管母表_1781!B:B,A26)</f>
        <v/>
      </c>
      <c r="C26">
        <f>COUNTIFS(候选导管审计!B:B,A26,候选导管审计!G:G,"borderline")</f>
        <v/>
      </c>
      <c r="D26">
        <f>COUNTIFS(候选导管审计!B:B,A26,候选导管审计!G:G,"excluded")</f>
        <v/>
      </c>
      <c r="E26">
        <f>COUNTIFS(候选导管审计!B:B,A26,候选导管审计!G:G,"edge_truncated")</f>
        <v/>
      </c>
      <c r="F26">
        <f>COUNTIF(导管对_CWR_172!B:B,A26)</f>
        <v/>
      </c>
      <c r="G26">
        <f>COUNTIF(TVW线测量明细!B:B,A26)</f>
        <v/>
      </c>
      <c r="H26" t="n">
        <v>0.2173913043478261</v>
      </c>
      <c r="I26" t="n">
        <v>691</v>
      </c>
      <c r="J26">
        <f>1024*I26*H26^2/1000000</f>
        <v/>
      </c>
      <c r="K26" t="inlineStr">
        <is>
          <t>同一样品的技术视野；不是独立生物学重复</t>
        </is>
      </c>
      <c r="L26" t="inlineStr">
        <is>
          <t>样品3</t>
        </is>
      </c>
    </row>
    <row r="27">
      <c r="A27" t="inlineStr">
        <is>
          <t>3 (4).tif</t>
        </is>
      </c>
      <c r="B27">
        <f>COUNTIF(导管母表_1781!B:B,A27)</f>
        <v/>
      </c>
      <c r="C27">
        <f>COUNTIFS(候选导管审计!B:B,A27,候选导管审计!G:G,"borderline")</f>
        <v/>
      </c>
      <c r="D27">
        <f>COUNTIFS(候选导管审计!B:B,A27,候选导管审计!G:G,"excluded")</f>
        <v/>
      </c>
      <c r="E27">
        <f>COUNTIFS(候选导管审计!B:B,A27,候选导管审计!G:G,"edge_truncated")</f>
        <v/>
      </c>
      <c r="F27">
        <f>COUNTIF(导管对_CWR_172!B:B,A27)</f>
        <v/>
      </c>
      <c r="G27">
        <f>COUNTIF(TVW线测量明细!B:B,A27)</f>
        <v/>
      </c>
      <c r="H27" t="n">
        <v>0.2173913043478261</v>
      </c>
      <c r="I27" t="n">
        <v>348</v>
      </c>
      <c r="J27">
        <f>1024*I27*H27^2/1000000</f>
        <v/>
      </c>
      <c r="K27" t="inlineStr">
        <is>
          <t>同一样品的技术视野；不是独立生物学重复</t>
        </is>
      </c>
      <c r="L27" t="inlineStr">
        <is>
          <t>样品3</t>
        </is>
      </c>
    </row>
    <row r="28">
      <c r="A28" t="inlineStr">
        <is>
          <t>3 (5).tif</t>
        </is>
      </c>
      <c r="B28">
        <f>COUNTIF(导管母表_1781!B:B,A28)</f>
        <v/>
      </c>
      <c r="C28">
        <f>COUNTIFS(候选导管审计!B:B,A28,候选导管审计!G:G,"borderline")</f>
        <v/>
      </c>
      <c r="D28">
        <f>COUNTIFS(候选导管审计!B:B,A28,候选导管审计!G:G,"excluded")</f>
        <v/>
      </c>
      <c r="E28">
        <f>COUNTIFS(候选导管审计!B:B,A28,候选导管审计!G:G,"edge_truncated")</f>
        <v/>
      </c>
      <c r="F28">
        <f>COUNTIF(导管对_CWR_172!B:B,A28)</f>
        <v/>
      </c>
      <c r="G28">
        <f>COUNTIF(TVW线测量明细!B:B,A28)</f>
        <v/>
      </c>
      <c r="H28" t="n">
        <v>0.2173913043478261</v>
      </c>
      <c r="I28" t="n">
        <v>287</v>
      </c>
      <c r="J28">
        <f>1024*I28*H28^2/1000000</f>
        <v/>
      </c>
      <c r="K28" t="inlineStr">
        <is>
          <t>同一样品的技术视野；不是独立生物学重复</t>
        </is>
      </c>
      <c r="L28" t="inlineStr">
        <is>
          <t>样品3</t>
        </is>
      </c>
    </row>
    <row r="29">
      <c r="A29" t="inlineStr">
        <is>
          <t>3 (6).tif</t>
        </is>
      </c>
      <c r="B29">
        <f>COUNTIF(导管母表_1781!B:B,A29)</f>
        <v/>
      </c>
      <c r="C29">
        <f>COUNTIFS(候选导管审计!B:B,A29,候选导管审计!G:G,"borderline")</f>
        <v/>
      </c>
      <c r="D29">
        <f>COUNTIFS(候选导管审计!B:B,A29,候选导管审计!G:G,"excluded")</f>
        <v/>
      </c>
      <c r="E29">
        <f>COUNTIFS(候选导管审计!B:B,A29,候选导管审计!G:G,"edge_truncated")</f>
        <v/>
      </c>
      <c r="F29">
        <f>COUNTIF(导管对_CWR_172!B:B,A29)</f>
        <v/>
      </c>
      <c r="G29">
        <f>COUNTIF(TVW线测量明细!B:B,A29)</f>
        <v/>
      </c>
      <c r="H29" t="n">
        <v>0.2173913043478261</v>
      </c>
      <c r="I29" t="n">
        <v>691</v>
      </c>
      <c r="J29">
        <f>1024*I29*H29^2/1000000</f>
        <v/>
      </c>
      <c r="K29" t="inlineStr">
        <is>
          <t>同一样品的技术视野；不是独立生物学重复</t>
        </is>
      </c>
      <c r="L29" t="inlineStr">
        <is>
          <t>样品3</t>
        </is>
      </c>
    </row>
    <row r="30">
      <c r="A30" t="inlineStr">
        <is>
          <t>3 (7).tif</t>
        </is>
      </c>
      <c r="B30">
        <f>COUNTIF(导管母表_1781!B:B,A30)</f>
        <v/>
      </c>
      <c r="C30">
        <f>COUNTIFS(候选导管审计!B:B,A30,候选导管审计!G:G,"borderline")</f>
        <v/>
      </c>
      <c r="D30">
        <f>COUNTIFS(候选导管审计!B:B,A30,候选导管审计!G:G,"excluded")</f>
        <v/>
      </c>
      <c r="E30">
        <f>COUNTIFS(候选导管审计!B:B,A30,候选导管审计!G:G,"edge_truncated")</f>
        <v/>
      </c>
      <c r="F30">
        <f>COUNTIF(导管对_CWR_172!B:B,A30)</f>
        <v/>
      </c>
      <c r="G30">
        <f>COUNTIF(TVW线测量明细!B:B,A30)</f>
        <v/>
      </c>
      <c r="H30" t="n">
        <v>0.2173913043478261</v>
      </c>
      <c r="I30" t="n">
        <v>166</v>
      </c>
      <c r="J30">
        <f>1024*I30*H30^2/1000000</f>
        <v/>
      </c>
      <c r="K30" t="inlineStr">
        <is>
          <t>同一样品的技术视野；不是独立生物学重复</t>
        </is>
      </c>
      <c r="L30" t="inlineStr">
        <is>
          <t>样品3</t>
        </is>
      </c>
    </row>
    <row r="31">
      <c r="A31" t="inlineStr">
        <is>
          <t>3 (8).tif</t>
        </is>
      </c>
      <c r="B31">
        <f>COUNTIF(导管母表_1781!B:B,A31)</f>
        <v/>
      </c>
      <c r="C31">
        <f>COUNTIFS(候选导管审计!B:B,A31,候选导管审计!G:G,"borderline")</f>
        <v/>
      </c>
      <c r="D31">
        <f>COUNTIFS(候选导管审计!B:B,A31,候选导管审计!G:G,"excluded")</f>
        <v/>
      </c>
      <c r="E31">
        <f>COUNTIFS(候选导管审计!B:B,A31,候选导管审计!G:G,"edge_truncated")</f>
        <v/>
      </c>
      <c r="F31">
        <f>COUNTIF(导管对_CWR_172!B:B,A31)</f>
        <v/>
      </c>
      <c r="G31">
        <f>COUNTIF(TVW线测量明细!B:B,A31)</f>
        <v/>
      </c>
      <c r="H31" t="n">
        <v>0.2173913043478261</v>
      </c>
      <c r="I31" t="n">
        <v>166</v>
      </c>
      <c r="J31">
        <f>1024*I31*H31^2/1000000</f>
        <v/>
      </c>
      <c r="K31" t="inlineStr">
        <is>
          <t>同一样品的技术视野；不是独立生物学重复</t>
        </is>
      </c>
      <c r="L31" t="inlineStr">
        <is>
          <t>样品3</t>
        </is>
      </c>
    </row>
    <row r="32">
      <c r="A32" t="inlineStr">
        <is>
          <t>3 (9).tif</t>
        </is>
      </c>
      <c r="B32">
        <f>COUNTIF(导管母表_1781!B:B,A32)</f>
        <v/>
      </c>
      <c r="C32">
        <f>COUNTIFS(候选导管审计!B:B,A32,候选导管审计!G:G,"borderline")</f>
        <v/>
      </c>
      <c r="D32">
        <f>COUNTIFS(候选导管审计!B:B,A32,候选导管审计!G:G,"excluded")</f>
        <v/>
      </c>
      <c r="E32">
        <f>COUNTIFS(候选导管审计!B:B,A32,候选导管审计!G:G,"edge_truncated")</f>
        <v/>
      </c>
      <c r="F32">
        <f>COUNTIF(导管对_CWR_172!B:B,A32)</f>
        <v/>
      </c>
      <c r="G32">
        <f>COUNTIF(TVW线测量明细!B:B,A32)</f>
        <v/>
      </c>
      <c r="H32" t="n">
        <v>0.2173913043478261</v>
      </c>
      <c r="I32" t="n">
        <v>187</v>
      </c>
      <c r="J32">
        <f>1024*I32*H32^2/1000000</f>
        <v/>
      </c>
      <c r="K32" t="inlineStr">
        <is>
          <t>同一样品的技术视野；不是独立生物学重复</t>
        </is>
      </c>
      <c r="L32" t="inlineStr">
        <is>
          <t>样品3</t>
        </is>
      </c>
    </row>
    <row r="33">
      <c r="A33" t="inlineStr">
        <is>
          <t>4 (1).tif</t>
        </is>
      </c>
      <c r="B33">
        <f>COUNTIF(导管母表_1781!B:B,A33)</f>
        <v/>
      </c>
      <c r="C33">
        <f>COUNTIFS(候选导管审计!B:B,A33,候选导管审计!G:G,"borderline")</f>
        <v/>
      </c>
      <c r="D33">
        <f>COUNTIFS(候选导管审计!B:B,A33,候选导管审计!G:G,"excluded")</f>
        <v/>
      </c>
      <c r="E33">
        <f>COUNTIFS(候选导管审计!B:B,A33,候选导管审计!G:G,"edge_truncated")</f>
        <v/>
      </c>
      <c r="F33">
        <f>COUNTIF(导管对_CWR_172!B:B,A33)</f>
        <v/>
      </c>
      <c r="G33">
        <f>COUNTIF(TVW线测量明细!B:B,A33)</f>
        <v/>
      </c>
      <c r="H33" t="n">
        <v>0.2173913043478261</v>
      </c>
      <c r="I33" t="n">
        <v>328</v>
      </c>
      <c r="J33">
        <f>1024*I33*H33^2/1000000</f>
        <v/>
      </c>
      <c r="K33" t="inlineStr">
        <is>
          <t>同一样品的技术视野；不是独立生物学重复</t>
        </is>
      </c>
      <c r="L33" t="inlineStr">
        <is>
          <t>样品4</t>
        </is>
      </c>
    </row>
    <row r="34">
      <c r="A34" t="inlineStr">
        <is>
          <t>4 (2).tif</t>
        </is>
      </c>
      <c r="B34">
        <f>COUNTIF(导管母表_1781!B:B,A34)</f>
        <v/>
      </c>
      <c r="C34">
        <f>COUNTIFS(候选导管审计!B:B,A34,候选导管审计!G:G,"borderline")</f>
        <v/>
      </c>
      <c r="D34">
        <f>COUNTIFS(候选导管审计!B:B,A34,候选导管审计!G:G,"excluded")</f>
        <v/>
      </c>
      <c r="E34">
        <f>COUNTIFS(候选导管审计!B:B,A34,候选导管审计!G:G,"edge_truncated")</f>
        <v/>
      </c>
      <c r="F34">
        <f>COUNTIF(导管对_CWR_172!B:B,A34)</f>
        <v/>
      </c>
      <c r="G34">
        <f>COUNTIF(TVW线测量明细!B:B,A34)</f>
        <v/>
      </c>
      <c r="H34" t="n">
        <v>0.2173913043478261</v>
      </c>
      <c r="I34" t="n">
        <v>284</v>
      </c>
      <c r="J34">
        <f>1024*I34*H34^2/1000000</f>
        <v/>
      </c>
      <c r="K34" t="inlineStr">
        <is>
          <t>同一样品的技术视野；不是独立生物学重复</t>
        </is>
      </c>
      <c r="L34" t="inlineStr">
        <is>
          <t>样品4</t>
        </is>
      </c>
    </row>
    <row r="35">
      <c r="A35" t="inlineStr">
        <is>
          <t>4 (3).tif</t>
        </is>
      </c>
      <c r="B35">
        <f>COUNTIF(导管母表_1781!B:B,A35)</f>
        <v/>
      </c>
      <c r="C35">
        <f>COUNTIFS(候选导管审计!B:B,A35,候选导管审计!G:G,"borderline")</f>
        <v/>
      </c>
      <c r="D35">
        <f>COUNTIFS(候选导管审计!B:B,A35,候选导管审计!G:G,"excluded")</f>
        <v/>
      </c>
      <c r="E35">
        <f>COUNTIFS(候选导管审计!B:B,A35,候选导管审计!G:G,"edge_truncated")</f>
        <v/>
      </c>
      <c r="F35">
        <f>COUNTIF(导管对_CWR_172!B:B,A35)</f>
        <v/>
      </c>
      <c r="G35">
        <f>COUNTIF(TVW线测量明细!B:B,A35)</f>
        <v/>
      </c>
      <c r="H35" t="n">
        <v>0.2173913043478261</v>
      </c>
      <c r="I35" t="n">
        <v>691</v>
      </c>
      <c r="J35">
        <f>1024*I35*H35^2/1000000</f>
        <v/>
      </c>
      <c r="K35" t="inlineStr">
        <is>
          <t>同一样品的技术视野；不是独立生物学重复</t>
        </is>
      </c>
      <c r="L35" t="inlineStr">
        <is>
          <t>样品4</t>
        </is>
      </c>
    </row>
    <row r="36">
      <c r="A36" t="inlineStr">
        <is>
          <t>4 (4).tif</t>
        </is>
      </c>
      <c r="B36">
        <f>COUNTIF(导管母表_1781!B:B,A36)</f>
        <v/>
      </c>
      <c r="C36">
        <f>COUNTIFS(候选导管审计!B:B,A36,候选导管审计!G:G,"borderline")</f>
        <v/>
      </c>
      <c r="D36">
        <f>COUNTIFS(候选导管审计!B:B,A36,候选导管审计!G:G,"excluded")</f>
        <v/>
      </c>
      <c r="E36">
        <f>COUNTIFS(候选导管审计!B:B,A36,候选导管审计!G:G,"edge_truncated")</f>
        <v/>
      </c>
      <c r="F36">
        <f>COUNTIF(导管对_CWR_172!B:B,A36)</f>
        <v/>
      </c>
      <c r="G36">
        <f>COUNTIF(TVW线测量明细!B:B,A36)</f>
        <v/>
      </c>
      <c r="H36" t="n">
        <v>0.2173913043478261</v>
      </c>
      <c r="I36" t="n">
        <v>389</v>
      </c>
      <c r="J36">
        <f>1024*I36*H36^2/1000000</f>
        <v/>
      </c>
      <c r="K36" t="inlineStr">
        <is>
          <t>同一样品的技术视野；不是独立生物学重复</t>
        </is>
      </c>
      <c r="L36" t="inlineStr">
        <is>
          <t>样品4</t>
        </is>
      </c>
    </row>
    <row r="37">
      <c r="A37" t="inlineStr">
        <is>
          <t>4 (5).tif</t>
        </is>
      </c>
      <c r="B37">
        <f>COUNTIF(导管母表_1781!B:B,A37)</f>
        <v/>
      </c>
      <c r="C37">
        <f>COUNTIFS(候选导管审计!B:B,A37,候选导管审计!G:G,"borderline")</f>
        <v/>
      </c>
      <c r="D37">
        <f>COUNTIFS(候选导管审计!B:B,A37,候选导管审计!G:G,"excluded")</f>
        <v/>
      </c>
      <c r="E37">
        <f>COUNTIFS(候选导管审计!B:B,A37,候选导管审计!G:G,"edge_truncated")</f>
        <v/>
      </c>
      <c r="F37">
        <f>COUNTIF(导管对_CWR_172!B:B,A37)</f>
        <v/>
      </c>
      <c r="G37">
        <f>COUNTIF(TVW线测量明细!B:B,A37)</f>
        <v/>
      </c>
      <c r="H37" t="n">
        <v>0.2173913043478261</v>
      </c>
      <c r="I37" t="n">
        <v>691</v>
      </c>
      <c r="J37">
        <f>1024*I37*H37^2/1000000</f>
        <v/>
      </c>
      <c r="K37" t="inlineStr">
        <is>
          <t>同一样品的技术视野；不是独立生物学重复</t>
        </is>
      </c>
      <c r="L37" t="inlineStr">
        <is>
          <t>样品4</t>
        </is>
      </c>
    </row>
    <row r="38">
      <c r="A38" t="inlineStr">
        <is>
          <t>4 (6).tif</t>
        </is>
      </c>
      <c r="B38">
        <f>COUNTIF(导管母表_1781!B:B,A38)</f>
        <v/>
      </c>
      <c r="C38">
        <f>COUNTIFS(候选导管审计!B:B,A38,候选导管审计!G:G,"borderline")</f>
        <v/>
      </c>
      <c r="D38">
        <f>COUNTIFS(候选导管审计!B:B,A38,候选导管审计!G:G,"excluded")</f>
        <v/>
      </c>
      <c r="E38">
        <f>COUNTIFS(候选导管审计!B:B,A38,候选导管审计!G:G,"edge_truncated")</f>
        <v/>
      </c>
      <c r="F38">
        <f>COUNTIF(导管对_CWR_172!B:B,A38)</f>
        <v/>
      </c>
      <c r="G38">
        <f>COUNTIF(TVW线测量明细!B:B,A38)</f>
        <v/>
      </c>
      <c r="H38" t="n">
        <v>0.2173913043478261</v>
      </c>
      <c r="I38" t="n">
        <v>333</v>
      </c>
      <c r="J38">
        <f>1024*I38*H38^2/1000000</f>
        <v/>
      </c>
      <c r="K38" t="inlineStr">
        <is>
          <t>同一样品的技术视野；不是独立生物学重复</t>
        </is>
      </c>
      <c r="L38" t="inlineStr">
        <is>
          <t>样品4</t>
        </is>
      </c>
    </row>
    <row r="39">
      <c r="A39" t="inlineStr">
        <is>
          <t>4 (7).tif</t>
        </is>
      </c>
      <c r="B39">
        <f>COUNTIF(导管母表_1781!B:B,A39)</f>
        <v/>
      </c>
      <c r="C39">
        <f>COUNTIFS(候选导管审计!B:B,A39,候选导管审计!G:G,"borderline")</f>
        <v/>
      </c>
      <c r="D39">
        <f>COUNTIFS(候选导管审计!B:B,A39,候选导管审计!G:G,"excluded")</f>
        <v/>
      </c>
      <c r="E39">
        <f>COUNTIFS(候选导管审计!B:B,A39,候选导管审计!G:G,"edge_truncated")</f>
        <v/>
      </c>
      <c r="F39">
        <f>COUNTIF(导管对_CWR_172!B:B,A39)</f>
        <v/>
      </c>
      <c r="G39">
        <f>COUNTIF(TVW线测量明细!B:B,A39)</f>
        <v/>
      </c>
      <c r="H39" t="n">
        <v>0.2173913043478261</v>
      </c>
      <c r="I39" t="n">
        <v>691</v>
      </c>
      <c r="J39">
        <f>1024*I39*H39^2/1000000</f>
        <v/>
      </c>
      <c r="K39" t="inlineStr">
        <is>
          <t>同一样品的技术视野；不是独立生物学重复</t>
        </is>
      </c>
      <c r="L39" t="inlineStr">
        <is>
          <t>样品4</t>
        </is>
      </c>
    </row>
    <row r="40">
      <c r="A40" t="inlineStr">
        <is>
          <t>4 (8).tif</t>
        </is>
      </c>
      <c r="B40">
        <f>COUNTIF(导管母表_1781!B:B,A40)</f>
        <v/>
      </c>
      <c r="C40">
        <f>COUNTIFS(候选导管审计!B:B,A40,候选导管审计!G:G,"borderline")</f>
        <v/>
      </c>
      <c r="D40">
        <f>COUNTIFS(候选导管审计!B:B,A40,候选导管审计!G:G,"excluded")</f>
        <v/>
      </c>
      <c r="E40">
        <f>COUNTIFS(候选导管审计!B:B,A40,候选导管审计!G:G,"edge_truncated")</f>
        <v/>
      </c>
      <c r="F40">
        <f>COUNTIF(导管对_CWR_172!B:B,A40)</f>
        <v/>
      </c>
      <c r="G40">
        <f>COUNTIF(TVW线测量明细!B:B,A40)</f>
        <v/>
      </c>
      <c r="H40" t="n">
        <v>0.2173913043478261</v>
      </c>
      <c r="I40" t="n">
        <v>691</v>
      </c>
      <c r="J40">
        <f>1024*I40*H40^2/1000000</f>
        <v/>
      </c>
      <c r="K40" t="inlineStr">
        <is>
          <t>同一样品的技术视野；不是独立生物学重复</t>
        </is>
      </c>
      <c r="L40" t="inlineStr">
        <is>
          <t>样品4</t>
        </is>
      </c>
    </row>
    <row r="41">
      <c r="A41" t="inlineStr">
        <is>
          <t>5 (1).tif</t>
        </is>
      </c>
      <c r="B41">
        <f>COUNTIF(导管母表_1781!B:B,A41)</f>
        <v/>
      </c>
      <c r="C41">
        <f>COUNTIFS(候选导管审计!B:B,A41,候选导管审计!G:G,"borderline")</f>
        <v/>
      </c>
      <c r="D41">
        <f>COUNTIFS(候选导管审计!B:B,A41,候选导管审计!G:G,"excluded")</f>
        <v/>
      </c>
      <c r="E41">
        <f>COUNTIFS(候选导管审计!B:B,A41,候选导管审计!G:G,"edge_truncated")</f>
        <v/>
      </c>
      <c r="F41">
        <f>COUNTIF(导管对_CWR_172!B:B,A41)</f>
        <v/>
      </c>
      <c r="G41">
        <f>COUNTIF(TVW线测量明细!B:B,A41)</f>
        <v/>
      </c>
      <c r="H41" t="n">
        <v>0.2173913043478261</v>
      </c>
      <c r="I41" t="n">
        <v>691</v>
      </c>
      <c r="J41">
        <f>1024*I41*H41^2/1000000</f>
        <v/>
      </c>
      <c r="K41" t="inlineStr">
        <is>
          <t>同一样品的技术视野；不是独立生物学重复</t>
        </is>
      </c>
      <c r="L41" t="inlineStr">
        <is>
          <t>样品5</t>
        </is>
      </c>
    </row>
    <row r="42">
      <c r="A42" t="inlineStr">
        <is>
          <t>5 (2).tif</t>
        </is>
      </c>
      <c r="B42">
        <f>COUNTIF(导管母表_1781!B:B,A42)</f>
        <v/>
      </c>
      <c r="C42">
        <f>COUNTIFS(候选导管审计!B:B,A42,候选导管审计!G:G,"borderline")</f>
        <v/>
      </c>
      <c r="D42">
        <f>COUNTIFS(候选导管审计!B:B,A42,候选导管审计!G:G,"excluded")</f>
        <v/>
      </c>
      <c r="E42">
        <f>COUNTIFS(候选导管审计!B:B,A42,候选导管审计!G:G,"edge_truncated")</f>
        <v/>
      </c>
      <c r="F42">
        <f>COUNTIF(导管对_CWR_172!B:B,A42)</f>
        <v/>
      </c>
      <c r="G42">
        <f>COUNTIF(TVW线测量明细!B:B,A42)</f>
        <v/>
      </c>
      <c r="H42" t="n">
        <v>0.2173913043478261</v>
      </c>
      <c r="I42" t="n">
        <v>211</v>
      </c>
      <c r="J42">
        <f>1024*I42*H42^2/1000000</f>
        <v/>
      </c>
      <c r="K42" t="inlineStr">
        <is>
          <t>同一样品的技术视野；不是独立生物学重复</t>
        </is>
      </c>
      <c r="L42" t="inlineStr">
        <is>
          <t>样品5</t>
        </is>
      </c>
    </row>
    <row r="43">
      <c r="A43" t="inlineStr">
        <is>
          <t>5 (3).tif</t>
        </is>
      </c>
      <c r="B43">
        <f>COUNTIF(导管母表_1781!B:B,A43)</f>
        <v/>
      </c>
      <c r="C43">
        <f>COUNTIFS(候选导管审计!B:B,A43,候选导管审计!G:G,"borderline")</f>
        <v/>
      </c>
      <c r="D43">
        <f>COUNTIFS(候选导管审计!B:B,A43,候选导管审计!G:G,"excluded")</f>
        <v/>
      </c>
      <c r="E43">
        <f>COUNTIFS(候选导管审计!B:B,A43,候选导管审计!G:G,"edge_truncated")</f>
        <v/>
      </c>
      <c r="F43">
        <f>COUNTIF(导管对_CWR_172!B:B,A43)</f>
        <v/>
      </c>
      <c r="G43">
        <f>COUNTIF(TVW线测量明细!B:B,A43)</f>
        <v/>
      </c>
      <c r="H43" t="n">
        <v>0.2173913043478261</v>
      </c>
      <c r="I43" t="n">
        <v>279</v>
      </c>
      <c r="J43">
        <f>1024*I43*H43^2/1000000</f>
        <v/>
      </c>
      <c r="K43" t="inlineStr">
        <is>
          <t>同一样品的技术视野；不是独立生物学重复</t>
        </is>
      </c>
      <c r="L43" t="inlineStr">
        <is>
          <t>样品5</t>
        </is>
      </c>
    </row>
    <row r="44">
      <c r="A44" t="inlineStr">
        <is>
          <t>5 (4).tif</t>
        </is>
      </c>
      <c r="B44">
        <f>COUNTIF(导管母表_1781!B:B,A44)</f>
        <v/>
      </c>
      <c r="C44">
        <f>COUNTIFS(候选导管审计!B:B,A44,候选导管审计!G:G,"borderline")</f>
        <v/>
      </c>
      <c r="D44">
        <f>COUNTIFS(候选导管审计!B:B,A44,候选导管审计!G:G,"excluded")</f>
        <v/>
      </c>
      <c r="E44">
        <f>COUNTIFS(候选导管审计!B:B,A44,候选导管审计!G:G,"edge_truncated")</f>
        <v/>
      </c>
      <c r="F44">
        <f>COUNTIF(导管对_CWR_172!B:B,A44)</f>
        <v/>
      </c>
      <c r="G44">
        <f>COUNTIF(TVW线测量明细!B:B,A44)</f>
        <v/>
      </c>
      <c r="H44" t="n">
        <v>0.2173913043478261</v>
      </c>
      <c r="I44" t="n">
        <v>691</v>
      </c>
      <c r="J44">
        <f>1024*I44*H44^2/1000000</f>
        <v/>
      </c>
      <c r="K44" t="inlineStr">
        <is>
          <t>同一样品的技术视野；不是独立生物学重复</t>
        </is>
      </c>
      <c r="L44" t="inlineStr">
        <is>
          <t>样品5</t>
        </is>
      </c>
    </row>
    <row r="45">
      <c r="A45" t="inlineStr">
        <is>
          <t>5 (5).tif</t>
        </is>
      </c>
      <c r="B45">
        <f>COUNTIF(导管母表_1781!B:B,A45)</f>
        <v/>
      </c>
      <c r="C45">
        <f>COUNTIFS(候选导管审计!B:B,A45,候选导管审计!G:G,"borderline")</f>
        <v/>
      </c>
      <c r="D45">
        <f>COUNTIFS(候选导管审计!B:B,A45,候选导管审计!G:G,"excluded")</f>
        <v/>
      </c>
      <c r="E45">
        <f>COUNTIFS(候选导管审计!B:B,A45,候选导管审计!G:G,"edge_truncated")</f>
        <v/>
      </c>
      <c r="F45">
        <f>COUNTIF(导管对_CWR_172!B:B,A45)</f>
        <v/>
      </c>
      <c r="G45">
        <f>COUNTIF(TVW线测量明细!B:B,A45)</f>
        <v/>
      </c>
      <c r="H45" t="n">
        <v>0.2173913043478261</v>
      </c>
      <c r="I45" t="n">
        <v>691</v>
      </c>
      <c r="J45">
        <f>1024*I45*H45^2/1000000</f>
        <v/>
      </c>
      <c r="K45" t="inlineStr">
        <is>
          <t>同一样品的技术视野；不是独立生物学重复</t>
        </is>
      </c>
      <c r="L45" t="inlineStr">
        <is>
          <t>样品5</t>
        </is>
      </c>
    </row>
    <row r="46">
      <c r="A46" t="inlineStr">
        <is>
          <t>5 (6).tif</t>
        </is>
      </c>
      <c r="B46">
        <f>COUNTIF(导管母表_1781!B:B,A46)</f>
        <v/>
      </c>
      <c r="C46">
        <f>COUNTIFS(候选导管审计!B:B,A46,候选导管审计!G:G,"borderline")</f>
        <v/>
      </c>
      <c r="D46">
        <f>COUNTIFS(候选导管审计!B:B,A46,候选导管审计!G:G,"excluded")</f>
        <v/>
      </c>
      <c r="E46">
        <f>COUNTIFS(候选导管审计!B:B,A46,候选导管审计!G:G,"edge_truncated")</f>
        <v/>
      </c>
      <c r="F46">
        <f>COUNTIF(导管对_CWR_172!B:B,A46)</f>
        <v/>
      </c>
      <c r="G46">
        <f>COUNTIF(TVW线测量明细!B:B,A46)</f>
        <v/>
      </c>
      <c r="H46" t="n">
        <v>0.2173913043478261</v>
      </c>
      <c r="I46" t="n">
        <v>691</v>
      </c>
      <c r="J46">
        <f>1024*I46*H46^2/1000000</f>
        <v/>
      </c>
      <c r="K46" t="inlineStr">
        <is>
          <t>同一样品的技术视野；不是独立生物学重复</t>
        </is>
      </c>
      <c r="L46" t="inlineStr">
        <is>
          <t>样品5</t>
        </is>
      </c>
    </row>
    <row r="47">
      <c r="A47" t="inlineStr">
        <is>
          <t>5 (7).tif</t>
        </is>
      </c>
      <c r="B47">
        <f>COUNTIF(导管母表_1781!B:B,A47)</f>
        <v/>
      </c>
      <c r="C47">
        <f>COUNTIFS(候选导管审计!B:B,A47,候选导管审计!G:G,"borderline")</f>
        <v/>
      </c>
      <c r="D47">
        <f>COUNTIFS(候选导管审计!B:B,A47,候选导管审计!G:G,"excluded")</f>
        <v/>
      </c>
      <c r="E47">
        <f>COUNTIFS(候选导管审计!B:B,A47,候选导管审计!G:G,"edge_truncated")</f>
        <v/>
      </c>
      <c r="F47">
        <f>COUNTIF(导管对_CWR_172!B:B,A47)</f>
        <v/>
      </c>
      <c r="G47">
        <f>COUNTIF(TVW线测量明细!B:B,A47)</f>
        <v/>
      </c>
      <c r="H47" t="n">
        <v>0.2173913043478261</v>
      </c>
      <c r="I47" t="n">
        <v>691</v>
      </c>
      <c r="J47">
        <f>1024*I47*H47^2/1000000</f>
        <v/>
      </c>
      <c r="K47" t="inlineStr">
        <is>
          <t>同一样品的技术视野；不是独立生物学重复</t>
        </is>
      </c>
      <c r="L47" t="inlineStr">
        <is>
          <t>样品5</t>
        </is>
      </c>
    </row>
    <row r="48">
      <c r="A48" t="inlineStr">
        <is>
          <t>5 (8).tif</t>
        </is>
      </c>
      <c r="B48">
        <f>COUNTIF(导管母表_1781!B:B,A48)</f>
        <v/>
      </c>
      <c r="C48">
        <f>COUNTIFS(候选导管审计!B:B,A48,候选导管审计!G:G,"borderline")</f>
        <v/>
      </c>
      <c r="D48">
        <f>COUNTIFS(候选导管审计!B:B,A48,候选导管审计!G:G,"excluded")</f>
        <v/>
      </c>
      <c r="E48">
        <f>COUNTIFS(候选导管审计!B:B,A48,候选导管审计!G:G,"edge_truncated")</f>
        <v/>
      </c>
      <c r="F48">
        <f>COUNTIF(导管对_CWR_172!B:B,A48)</f>
        <v/>
      </c>
      <c r="G48">
        <f>COUNTIF(TVW线测量明细!B:B,A48)</f>
        <v/>
      </c>
      <c r="H48" t="n">
        <v>0.2173913043478261</v>
      </c>
      <c r="I48" t="n">
        <v>691</v>
      </c>
      <c r="J48">
        <f>1024*I48*H48^2/1000000</f>
        <v/>
      </c>
      <c r="K48" t="inlineStr">
        <is>
          <t>同一样品的技术视野；不是独立生物学重复</t>
        </is>
      </c>
      <c r="L48" t="inlineStr">
        <is>
          <t>样品5</t>
        </is>
      </c>
    </row>
    <row r="49">
      <c r="A49" t="inlineStr">
        <is>
          <t>6 (1).tif</t>
        </is>
      </c>
      <c r="B49">
        <f>COUNTIF(导管母表_1781!B:B,A49)</f>
        <v/>
      </c>
      <c r="C49">
        <f>COUNTIFS(候选导管审计!B:B,A49,候选导管审计!G:G,"borderline")</f>
        <v/>
      </c>
      <c r="D49">
        <f>COUNTIFS(候选导管审计!B:B,A49,候选导管审计!G:G,"excluded")</f>
        <v/>
      </c>
      <c r="E49">
        <f>COUNTIFS(候选导管审计!B:B,A49,候选导管审计!G:G,"edge_truncated")</f>
        <v/>
      </c>
      <c r="F49">
        <f>COUNTIF(导管对_CWR_172!B:B,A49)</f>
        <v/>
      </c>
      <c r="G49">
        <f>COUNTIF(TVW线测量明细!B:B,A49)</f>
        <v/>
      </c>
      <c r="H49" t="n">
        <v>0.2173913043478261</v>
      </c>
      <c r="I49" t="n">
        <v>173</v>
      </c>
      <c r="J49">
        <f>1024*I49*H49^2/1000000</f>
        <v/>
      </c>
      <c r="K49" t="inlineStr">
        <is>
          <t>同一样品的技术视野；不是独立生物学重复</t>
        </is>
      </c>
      <c r="L49" t="inlineStr">
        <is>
          <t>样品6</t>
        </is>
      </c>
    </row>
    <row r="50">
      <c r="A50" t="inlineStr">
        <is>
          <t>6 (2).tif</t>
        </is>
      </c>
      <c r="B50">
        <f>COUNTIF(导管母表_1781!B:B,A50)</f>
        <v/>
      </c>
      <c r="C50">
        <f>COUNTIFS(候选导管审计!B:B,A50,候选导管审计!G:G,"borderline")</f>
        <v/>
      </c>
      <c r="D50">
        <f>COUNTIFS(候选导管审计!B:B,A50,候选导管审计!G:G,"excluded")</f>
        <v/>
      </c>
      <c r="E50">
        <f>COUNTIFS(候选导管审计!B:B,A50,候选导管审计!G:G,"edge_truncated")</f>
        <v/>
      </c>
      <c r="F50">
        <f>COUNTIF(导管对_CWR_172!B:B,A50)</f>
        <v/>
      </c>
      <c r="G50">
        <f>COUNTIF(TVW线测量明细!B:B,A50)</f>
        <v/>
      </c>
      <c r="H50" t="n">
        <v>0.2173913043478261</v>
      </c>
      <c r="I50" t="n">
        <v>691</v>
      </c>
      <c r="J50">
        <f>1024*I50*H50^2/1000000</f>
        <v/>
      </c>
      <c r="K50" t="inlineStr">
        <is>
          <t>同一样品的技术视野；不是独立生物学重复</t>
        </is>
      </c>
      <c r="L50" t="inlineStr">
        <is>
          <t>样品6</t>
        </is>
      </c>
    </row>
    <row r="51">
      <c r="A51" t="inlineStr">
        <is>
          <t>6 (3).tif</t>
        </is>
      </c>
      <c r="B51">
        <f>COUNTIF(导管母表_1781!B:B,A51)</f>
        <v/>
      </c>
      <c r="C51">
        <f>COUNTIFS(候选导管审计!B:B,A51,候选导管审计!G:G,"borderline")</f>
        <v/>
      </c>
      <c r="D51">
        <f>COUNTIFS(候选导管审计!B:B,A51,候选导管审计!G:G,"excluded")</f>
        <v/>
      </c>
      <c r="E51">
        <f>COUNTIFS(候选导管审计!B:B,A51,候选导管审计!G:G,"edge_truncated")</f>
        <v/>
      </c>
      <c r="F51">
        <f>COUNTIF(导管对_CWR_172!B:B,A51)</f>
        <v/>
      </c>
      <c r="G51">
        <f>COUNTIF(TVW线测量明细!B:B,A51)</f>
        <v/>
      </c>
      <c r="H51" t="n">
        <v>0.2173913043478261</v>
      </c>
      <c r="I51" t="n">
        <v>379</v>
      </c>
      <c r="J51">
        <f>1024*I51*H51^2/1000000</f>
        <v/>
      </c>
      <c r="K51" t="inlineStr">
        <is>
          <t>同一样品的技术视野；不是独立生物学重复</t>
        </is>
      </c>
      <c r="L51" t="inlineStr">
        <is>
          <t>样品6</t>
        </is>
      </c>
    </row>
    <row r="52">
      <c r="A52" t="inlineStr">
        <is>
          <t>6 (4).tif</t>
        </is>
      </c>
      <c r="B52">
        <f>COUNTIF(导管母表_1781!B:B,A52)</f>
        <v/>
      </c>
      <c r="C52">
        <f>COUNTIFS(候选导管审计!B:B,A52,候选导管审计!G:G,"borderline")</f>
        <v/>
      </c>
      <c r="D52">
        <f>COUNTIFS(候选导管审计!B:B,A52,候选导管审计!G:G,"excluded")</f>
        <v/>
      </c>
      <c r="E52">
        <f>COUNTIFS(候选导管审计!B:B,A52,候选导管审计!G:G,"edge_truncated")</f>
        <v/>
      </c>
      <c r="F52">
        <f>COUNTIF(导管对_CWR_172!B:B,A52)</f>
        <v/>
      </c>
      <c r="G52">
        <f>COUNTIF(TVW线测量明细!B:B,A52)</f>
        <v/>
      </c>
      <c r="H52" t="n">
        <v>0.2173913043478261</v>
      </c>
      <c r="I52" t="n">
        <v>292</v>
      </c>
      <c r="J52">
        <f>1024*I52*H52^2/1000000</f>
        <v/>
      </c>
      <c r="K52" t="inlineStr">
        <is>
          <t>同一样品的技术视野；不是独立生物学重复</t>
        </is>
      </c>
      <c r="L52" t="inlineStr">
        <is>
          <t>样品6</t>
        </is>
      </c>
    </row>
    <row r="53">
      <c r="A53" t="inlineStr">
        <is>
          <t>6 (5).tif</t>
        </is>
      </c>
      <c r="B53">
        <f>COUNTIF(导管母表_1781!B:B,A53)</f>
        <v/>
      </c>
      <c r="C53">
        <f>COUNTIFS(候选导管审计!B:B,A53,候选导管审计!G:G,"borderline")</f>
        <v/>
      </c>
      <c r="D53">
        <f>COUNTIFS(候选导管审计!B:B,A53,候选导管审计!G:G,"excluded")</f>
        <v/>
      </c>
      <c r="E53">
        <f>COUNTIFS(候选导管审计!B:B,A53,候选导管审计!G:G,"edge_truncated")</f>
        <v/>
      </c>
      <c r="F53">
        <f>COUNTIF(导管对_CWR_172!B:B,A53)</f>
        <v/>
      </c>
      <c r="G53">
        <f>COUNTIF(TVW线测量明细!B:B,A53)</f>
        <v/>
      </c>
      <c r="H53" t="n">
        <v>0.2173913043478261</v>
      </c>
      <c r="I53" t="n">
        <v>691</v>
      </c>
      <c r="J53">
        <f>1024*I53*H53^2/1000000</f>
        <v/>
      </c>
      <c r="K53" t="inlineStr">
        <is>
          <t>同一样品的技术视野；不是独立生物学重复</t>
        </is>
      </c>
      <c r="L53" t="inlineStr">
        <is>
          <t>样品6</t>
        </is>
      </c>
    </row>
    <row r="54">
      <c r="A54" t="inlineStr">
        <is>
          <t>6 (6).tif</t>
        </is>
      </c>
      <c r="B54">
        <f>COUNTIF(导管母表_1781!B:B,A54)</f>
        <v/>
      </c>
      <c r="C54">
        <f>COUNTIFS(候选导管审计!B:B,A54,候选导管审计!G:G,"borderline")</f>
        <v/>
      </c>
      <c r="D54">
        <f>COUNTIFS(候选导管审计!B:B,A54,候选导管审计!G:G,"excluded")</f>
        <v/>
      </c>
      <c r="E54">
        <f>COUNTIFS(候选导管审计!B:B,A54,候选导管审计!G:G,"edge_truncated")</f>
        <v/>
      </c>
      <c r="F54">
        <f>COUNTIF(导管对_CWR_172!B:B,A54)</f>
        <v/>
      </c>
      <c r="G54">
        <f>COUNTIF(TVW线测量明细!B:B,A54)</f>
        <v/>
      </c>
      <c r="H54" t="n">
        <v>0.2173913043478261</v>
      </c>
      <c r="I54" t="n">
        <v>691</v>
      </c>
      <c r="J54">
        <f>1024*I54*H54^2/1000000</f>
        <v/>
      </c>
      <c r="K54" t="inlineStr">
        <is>
          <t>同一样品的技术视野；不是独立生物学重复</t>
        </is>
      </c>
      <c r="L54" t="inlineStr">
        <is>
          <t>样品6</t>
        </is>
      </c>
    </row>
    <row r="55">
      <c r="A55" t="inlineStr">
        <is>
          <t>6 (7).tif</t>
        </is>
      </c>
      <c r="B55">
        <f>COUNTIF(导管母表_1781!B:B,A55)</f>
        <v/>
      </c>
      <c r="C55">
        <f>COUNTIFS(候选导管审计!B:B,A55,候选导管审计!G:G,"borderline")</f>
        <v/>
      </c>
      <c r="D55">
        <f>COUNTIFS(候选导管审计!B:B,A55,候选导管审计!G:G,"excluded")</f>
        <v/>
      </c>
      <c r="E55">
        <f>COUNTIFS(候选导管审计!B:B,A55,候选导管审计!G:G,"edge_truncated")</f>
        <v/>
      </c>
      <c r="F55">
        <f>COUNTIF(导管对_CWR_172!B:B,A55)</f>
        <v/>
      </c>
      <c r="G55">
        <f>COUNTIF(TVW线测量明细!B:B,A55)</f>
        <v/>
      </c>
      <c r="H55" t="n">
        <v>0.2173913043478261</v>
      </c>
      <c r="I55" t="n">
        <v>144</v>
      </c>
      <c r="J55">
        <f>1024*I55*H55^2/1000000</f>
        <v/>
      </c>
      <c r="K55" t="inlineStr">
        <is>
          <t>同一样品的技术视野；不是独立生物学重复</t>
        </is>
      </c>
      <c r="L55" t="inlineStr">
        <is>
          <t>样品6</t>
        </is>
      </c>
    </row>
    <row r="56">
      <c r="A56" t="inlineStr">
        <is>
          <t>6 (8).tif</t>
        </is>
      </c>
      <c r="B56">
        <f>COUNTIF(导管母表_1781!B:B,A56)</f>
        <v/>
      </c>
      <c r="C56">
        <f>COUNTIFS(候选导管审计!B:B,A56,候选导管审计!G:G,"borderline")</f>
        <v/>
      </c>
      <c r="D56">
        <f>COUNTIFS(候选导管审计!B:B,A56,候选导管审计!G:G,"excluded")</f>
        <v/>
      </c>
      <c r="E56">
        <f>COUNTIFS(候选导管审计!B:B,A56,候选导管审计!G:G,"edge_truncated")</f>
        <v/>
      </c>
      <c r="F56">
        <f>COUNTIF(导管对_CWR_172!B:B,A56)</f>
        <v/>
      </c>
      <c r="G56">
        <f>COUNTIF(TVW线测量明细!B:B,A56)</f>
        <v/>
      </c>
      <c r="H56" t="n">
        <v>0.2173913043478261</v>
      </c>
      <c r="I56" t="n">
        <v>691</v>
      </c>
      <c r="J56">
        <f>1024*I56*H56^2/1000000</f>
        <v/>
      </c>
      <c r="K56" t="inlineStr">
        <is>
          <t>同一样品的技术视野；不是独立生物学重复</t>
        </is>
      </c>
      <c r="L56" t="inlineStr">
        <is>
          <t>样品6</t>
        </is>
      </c>
    </row>
    <row r="57">
      <c r="A57" t="inlineStr">
        <is>
          <t>6 (9).tif</t>
        </is>
      </c>
      <c r="B57">
        <f>COUNTIF(导管母表_1781!B:B,A57)</f>
        <v/>
      </c>
      <c r="C57">
        <f>COUNTIFS(候选导管审计!B:B,A57,候选导管审计!G:G,"borderline")</f>
        <v/>
      </c>
      <c r="D57">
        <f>COUNTIFS(候选导管审计!B:B,A57,候选导管审计!G:G,"excluded")</f>
        <v/>
      </c>
      <c r="E57">
        <f>COUNTIFS(候选导管审计!B:B,A57,候选导管审计!G:G,"edge_truncated")</f>
        <v/>
      </c>
      <c r="F57">
        <f>COUNTIF(导管对_CWR_172!B:B,A57)</f>
        <v/>
      </c>
      <c r="G57">
        <f>COUNTIF(TVW线测量明细!B:B,A57)</f>
        <v/>
      </c>
      <c r="H57" t="n">
        <v>0.2173913043478261</v>
      </c>
      <c r="I57" t="n">
        <v>211</v>
      </c>
      <c r="J57">
        <f>1024*I57*H57^2/1000000</f>
        <v/>
      </c>
      <c r="K57" t="inlineStr">
        <is>
          <t>同一样品的技术视野；不是独立生物学重复</t>
        </is>
      </c>
      <c r="L57" t="inlineStr">
        <is>
          <t>样品6</t>
        </is>
      </c>
    </row>
    <row r="58">
      <c r="A58" t="inlineStr">
        <is>
          <t>6 (10).tif</t>
        </is>
      </c>
      <c r="B58">
        <f>COUNTIF(导管母表_1781!B:B,A58)</f>
        <v/>
      </c>
      <c r="C58">
        <f>COUNTIFS(候选导管审计!B:B,A58,候选导管审计!G:G,"borderline")</f>
        <v/>
      </c>
      <c r="D58">
        <f>COUNTIFS(候选导管审计!B:B,A58,候选导管审计!G:G,"excluded")</f>
        <v/>
      </c>
      <c r="E58">
        <f>COUNTIFS(候选导管审计!B:B,A58,候选导管审计!G:G,"edge_truncated")</f>
        <v/>
      </c>
      <c r="F58">
        <f>COUNTIF(导管对_CWR_172!B:B,A58)</f>
        <v/>
      </c>
      <c r="G58">
        <f>COUNTIF(TVW线测量明细!B:B,A58)</f>
        <v/>
      </c>
      <c r="H58" t="n">
        <v>0.2173913043478261</v>
      </c>
      <c r="I58" t="n">
        <v>198</v>
      </c>
      <c r="J58">
        <f>1024*I58*H58^2/1000000</f>
        <v/>
      </c>
      <c r="K58" t="inlineStr">
        <is>
          <t>同一样品的技术视野；不是独立生物学重复</t>
        </is>
      </c>
      <c r="L58" t="inlineStr">
        <is>
          <t>样品6</t>
        </is>
      </c>
    </row>
    <row r="59">
      <c r="A59" t="inlineStr">
        <is>
          <t>6 (11).tif</t>
        </is>
      </c>
      <c r="B59">
        <f>COUNTIF(导管母表_1781!B:B,A59)</f>
        <v/>
      </c>
      <c r="C59">
        <f>COUNTIFS(候选导管审计!B:B,A59,候选导管审计!G:G,"borderline")</f>
        <v/>
      </c>
      <c r="D59">
        <f>COUNTIFS(候选导管审计!B:B,A59,候选导管审计!G:G,"excluded")</f>
        <v/>
      </c>
      <c r="E59">
        <f>COUNTIFS(候选导管审计!B:B,A59,候选导管审计!G:G,"edge_truncated")</f>
        <v/>
      </c>
      <c r="F59">
        <f>COUNTIF(导管对_CWR_172!B:B,A59)</f>
        <v/>
      </c>
      <c r="G59">
        <f>COUNTIF(TVW线测量明细!B:B,A59)</f>
        <v/>
      </c>
      <c r="H59" t="n">
        <v>0.2173913043478261</v>
      </c>
      <c r="I59" t="n">
        <v>175</v>
      </c>
      <c r="J59">
        <f>1024*I59*H59^2/1000000</f>
        <v/>
      </c>
      <c r="K59" t="inlineStr">
        <is>
          <t>同一样品的技术视野；不是独立生物学重复</t>
        </is>
      </c>
      <c r="L59" t="inlineStr">
        <is>
          <t>样品6</t>
        </is>
      </c>
    </row>
    <row r="60">
      <c r="A60" t="inlineStr">
        <is>
          <t>6 (12).tif</t>
        </is>
      </c>
      <c r="B60">
        <f>COUNTIF(导管母表_1781!B:B,A60)</f>
        <v/>
      </c>
      <c r="C60">
        <f>COUNTIFS(候选导管审计!B:B,A60,候选导管审计!G:G,"borderline")</f>
        <v/>
      </c>
      <c r="D60">
        <f>COUNTIFS(候选导管审计!B:B,A60,候选导管审计!G:G,"excluded")</f>
        <v/>
      </c>
      <c r="E60">
        <f>COUNTIFS(候选导管审计!B:B,A60,候选导管审计!G:G,"edge_truncated")</f>
        <v/>
      </c>
      <c r="F60">
        <f>COUNTIF(导管对_CWR_172!B:B,A60)</f>
        <v/>
      </c>
      <c r="G60">
        <f>COUNTIF(TVW线测量明细!B:B,A60)</f>
        <v/>
      </c>
      <c r="H60" t="n">
        <v>0.2173913043478261</v>
      </c>
      <c r="I60" t="n">
        <v>216</v>
      </c>
      <c r="J60">
        <f>1024*I60*H60^2/1000000</f>
        <v/>
      </c>
      <c r="K60" t="inlineStr">
        <is>
          <t>同一样品的技术视野；不是独立生物学重复</t>
        </is>
      </c>
      <c r="L60" t="inlineStr">
        <is>
          <t>样品6</t>
        </is>
      </c>
    </row>
    <row r="61">
      <c r="A61" t="inlineStr">
        <is>
          <t>6 (13).tif</t>
        </is>
      </c>
      <c r="B61">
        <f>COUNTIF(导管母表_1781!B:B,A61)</f>
        <v/>
      </c>
      <c r="C61">
        <f>COUNTIFS(候选导管审计!B:B,A61,候选导管审计!G:G,"borderline")</f>
        <v/>
      </c>
      <c r="D61">
        <f>COUNTIFS(候选导管审计!B:B,A61,候选导管审计!G:G,"excluded")</f>
        <v/>
      </c>
      <c r="E61">
        <f>COUNTIFS(候选导管审计!B:B,A61,候选导管审计!G:G,"edge_truncated")</f>
        <v/>
      </c>
      <c r="F61">
        <f>COUNTIF(导管对_CWR_172!B:B,A61)</f>
        <v/>
      </c>
      <c r="G61">
        <f>COUNTIF(TVW线测量明细!B:B,A61)</f>
        <v/>
      </c>
      <c r="H61" t="n">
        <v>0.2173913043478261</v>
      </c>
      <c r="I61" t="n">
        <v>691</v>
      </c>
      <c r="J61">
        <f>1024*I61*H61^2/1000000</f>
        <v/>
      </c>
      <c r="K61" t="inlineStr">
        <is>
          <t>同一样品的技术视野；不是独立生物学重复</t>
        </is>
      </c>
      <c r="L61" t="inlineStr">
        <is>
          <t>样品6</t>
        </is>
      </c>
    </row>
    <row r="62">
      <c r="A62" t="inlineStr">
        <is>
          <t>6 (14).tif</t>
        </is>
      </c>
      <c r="B62">
        <f>COUNTIF(导管母表_1781!B:B,A62)</f>
        <v/>
      </c>
      <c r="C62">
        <f>COUNTIFS(候选导管审计!B:B,A62,候选导管审计!G:G,"borderline")</f>
        <v/>
      </c>
      <c r="D62">
        <f>COUNTIFS(候选导管审计!B:B,A62,候选导管审计!G:G,"excluded")</f>
        <v/>
      </c>
      <c r="E62">
        <f>COUNTIFS(候选导管审计!B:B,A62,候选导管审计!G:G,"edge_truncated")</f>
        <v/>
      </c>
      <c r="F62">
        <f>COUNTIF(导管对_CWR_172!B:B,A62)</f>
        <v/>
      </c>
      <c r="G62">
        <f>COUNTIF(TVW线测量明细!B:B,A62)</f>
        <v/>
      </c>
      <c r="H62" t="n">
        <v>0.2173913043478261</v>
      </c>
      <c r="I62" t="n">
        <v>691</v>
      </c>
      <c r="J62">
        <f>1024*I62*H62^2/1000000</f>
        <v/>
      </c>
      <c r="K62" t="inlineStr">
        <is>
          <t>同一样品的技术视野；不是独立生物学重复</t>
        </is>
      </c>
      <c r="L62" t="inlineStr">
        <is>
          <t>样品6</t>
        </is>
      </c>
    </row>
    <row r="63">
      <c r="A63" t="inlineStr">
        <is>
          <t>7 (1).tif</t>
        </is>
      </c>
      <c r="B63">
        <f>COUNTIF(导管母表_1781!B:B,A63)</f>
        <v/>
      </c>
      <c r="C63">
        <f>COUNTIFS(候选导管审计!B:B,A63,候选导管审计!G:G,"borderline")</f>
        <v/>
      </c>
      <c r="D63">
        <f>COUNTIFS(候选导管审计!B:B,A63,候选导管审计!G:G,"excluded")</f>
        <v/>
      </c>
      <c r="E63">
        <f>COUNTIFS(候选导管审计!B:B,A63,候选导管审计!G:G,"edge_truncated")</f>
        <v/>
      </c>
      <c r="F63">
        <f>COUNTIF(导管对_CWR_172!B:B,A63)</f>
        <v/>
      </c>
      <c r="G63">
        <f>COUNTIF(TVW线测量明细!B:B,A63)</f>
        <v/>
      </c>
      <c r="H63" t="n">
        <v>0.2173913043478261</v>
      </c>
      <c r="I63" t="n">
        <v>213</v>
      </c>
      <c r="J63">
        <f>1024*I63*H63^2/1000000</f>
        <v/>
      </c>
      <c r="K63" t="inlineStr">
        <is>
          <t>同一样品的技术视野；不是独立生物学重复</t>
        </is>
      </c>
      <c r="L63" t="inlineStr">
        <is>
          <t>样品7</t>
        </is>
      </c>
    </row>
    <row r="64">
      <c r="A64" t="inlineStr">
        <is>
          <t>7 (2).tif</t>
        </is>
      </c>
      <c r="B64">
        <f>COUNTIF(导管母表_1781!B:B,A64)</f>
        <v/>
      </c>
      <c r="C64">
        <f>COUNTIFS(候选导管审计!B:B,A64,候选导管审计!G:G,"borderline")</f>
        <v/>
      </c>
      <c r="D64">
        <f>COUNTIFS(候选导管审计!B:B,A64,候选导管审计!G:G,"excluded")</f>
        <v/>
      </c>
      <c r="E64">
        <f>COUNTIFS(候选导管审计!B:B,A64,候选导管审计!G:G,"edge_truncated")</f>
        <v/>
      </c>
      <c r="F64">
        <f>COUNTIF(导管对_CWR_172!B:B,A64)</f>
        <v/>
      </c>
      <c r="G64">
        <f>COUNTIF(TVW线测量明细!B:B,A64)</f>
        <v/>
      </c>
      <c r="H64" t="n">
        <v>0.2173913043478261</v>
      </c>
      <c r="I64" t="n">
        <v>691</v>
      </c>
      <c r="J64">
        <f>1024*I64*H64^2/1000000</f>
        <v/>
      </c>
      <c r="K64" t="inlineStr">
        <is>
          <t>同一样品的技术视野；不是独立生物学重复</t>
        </is>
      </c>
      <c r="L64" t="inlineStr">
        <is>
          <t>样品7</t>
        </is>
      </c>
    </row>
    <row r="65">
      <c r="A65" t="inlineStr">
        <is>
          <t>7 (3).tif</t>
        </is>
      </c>
      <c r="B65">
        <f>COUNTIF(导管母表_1781!B:B,A65)</f>
        <v/>
      </c>
      <c r="C65">
        <f>COUNTIFS(候选导管审计!B:B,A65,候选导管审计!G:G,"borderline")</f>
        <v/>
      </c>
      <c r="D65">
        <f>COUNTIFS(候选导管审计!B:B,A65,候选导管审计!G:G,"excluded")</f>
        <v/>
      </c>
      <c r="E65">
        <f>COUNTIFS(候选导管审计!B:B,A65,候选导管审计!G:G,"edge_truncated")</f>
        <v/>
      </c>
      <c r="F65">
        <f>COUNTIF(导管对_CWR_172!B:B,A65)</f>
        <v/>
      </c>
      <c r="G65">
        <f>COUNTIF(TVW线测量明细!B:B,A65)</f>
        <v/>
      </c>
      <c r="H65" t="n">
        <v>0.2173913043478261</v>
      </c>
      <c r="I65" t="n">
        <v>691</v>
      </c>
      <c r="J65">
        <f>1024*I65*H65^2/1000000</f>
        <v/>
      </c>
      <c r="K65" t="inlineStr">
        <is>
          <t>同一样品的技术视野；不是独立生物学重复</t>
        </is>
      </c>
      <c r="L65" t="inlineStr">
        <is>
          <t>样品7</t>
        </is>
      </c>
    </row>
    <row r="66">
      <c r="A66" t="inlineStr">
        <is>
          <t>7 (4).tif</t>
        </is>
      </c>
      <c r="B66">
        <f>COUNTIF(导管母表_1781!B:B,A66)</f>
        <v/>
      </c>
      <c r="C66">
        <f>COUNTIFS(候选导管审计!B:B,A66,候选导管审计!G:G,"borderline")</f>
        <v/>
      </c>
      <c r="D66">
        <f>COUNTIFS(候选导管审计!B:B,A66,候选导管审计!G:G,"excluded")</f>
        <v/>
      </c>
      <c r="E66">
        <f>COUNTIFS(候选导管审计!B:B,A66,候选导管审计!G:G,"edge_truncated")</f>
        <v/>
      </c>
      <c r="F66">
        <f>COUNTIF(导管对_CWR_172!B:B,A66)</f>
        <v/>
      </c>
      <c r="G66">
        <f>COUNTIF(TVW线测量明细!B:B,A66)</f>
        <v/>
      </c>
      <c r="H66" t="n">
        <v>0.2173913043478261</v>
      </c>
      <c r="I66" t="n">
        <v>315</v>
      </c>
      <c r="J66">
        <f>1024*I66*H66^2/1000000</f>
        <v/>
      </c>
      <c r="K66" t="inlineStr">
        <is>
          <t>同一样品的技术视野；不是独立生物学重复</t>
        </is>
      </c>
      <c r="L66" t="inlineStr">
        <is>
          <t>样品7</t>
        </is>
      </c>
    </row>
    <row r="67">
      <c r="A67" t="inlineStr">
        <is>
          <t>7 (5).tif</t>
        </is>
      </c>
      <c r="B67">
        <f>COUNTIF(导管母表_1781!B:B,A67)</f>
        <v/>
      </c>
      <c r="C67">
        <f>COUNTIFS(候选导管审计!B:B,A67,候选导管审计!G:G,"borderline")</f>
        <v/>
      </c>
      <c r="D67">
        <f>COUNTIFS(候选导管审计!B:B,A67,候选导管审计!G:G,"excluded")</f>
        <v/>
      </c>
      <c r="E67">
        <f>COUNTIFS(候选导管审计!B:B,A67,候选导管审计!G:G,"edge_truncated")</f>
        <v/>
      </c>
      <c r="F67">
        <f>COUNTIF(导管对_CWR_172!B:B,A67)</f>
        <v/>
      </c>
      <c r="G67">
        <f>COUNTIF(TVW线测量明细!B:B,A67)</f>
        <v/>
      </c>
      <c r="H67" t="n">
        <v>0.2173913043478261</v>
      </c>
      <c r="I67" t="n">
        <v>691</v>
      </c>
      <c r="J67">
        <f>1024*I67*H67^2/1000000</f>
        <v/>
      </c>
      <c r="K67" t="inlineStr">
        <is>
          <t>同一样品的技术视野；不是独立生物学重复</t>
        </is>
      </c>
      <c r="L67" t="inlineStr">
        <is>
          <t>样品7</t>
        </is>
      </c>
    </row>
    <row r="68">
      <c r="A68" t="inlineStr">
        <is>
          <t>7 (6).tif</t>
        </is>
      </c>
      <c r="B68">
        <f>COUNTIF(导管母表_1781!B:B,A68)</f>
        <v/>
      </c>
      <c r="C68">
        <f>COUNTIFS(候选导管审计!B:B,A68,候选导管审计!G:G,"borderline")</f>
        <v/>
      </c>
      <c r="D68">
        <f>COUNTIFS(候选导管审计!B:B,A68,候选导管审计!G:G,"excluded")</f>
        <v/>
      </c>
      <c r="E68">
        <f>COUNTIFS(候选导管审计!B:B,A68,候选导管审计!G:G,"edge_truncated")</f>
        <v/>
      </c>
      <c r="F68">
        <f>COUNTIF(导管对_CWR_172!B:B,A68)</f>
        <v/>
      </c>
      <c r="G68">
        <f>COUNTIF(TVW线测量明细!B:B,A68)</f>
        <v/>
      </c>
      <c r="H68" t="n">
        <v>0.2173913043478261</v>
      </c>
      <c r="I68" t="n">
        <v>691</v>
      </c>
      <c r="J68">
        <f>1024*I68*H68^2/1000000</f>
        <v/>
      </c>
      <c r="K68" t="inlineStr">
        <is>
          <t>同一样品的技术视野；不是独立生物学重复</t>
        </is>
      </c>
      <c r="L68" t="inlineStr">
        <is>
          <t>样品7</t>
        </is>
      </c>
    </row>
    <row r="69">
      <c r="A69" t="inlineStr">
        <is>
          <t>7 (7).tif</t>
        </is>
      </c>
      <c r="B69">
        <f>COUNTIF(导管母表_1781!B:B,A69)</f>
        <v/>
      </c>
      <c r="C69">
        <f>COUNTIFS(候选导管审计!B:B,A69,候选导管审计!G:G,"borderline")</f>
        <v/>
      </c>
      <c r="D69">
        <f>COUNTIFS(候选导管审计!B:B,A69,候选导管审计!G:G,"excluded")</f>
        <v/>
      </c>
      <c r="E69">
        <f>COUNTIFS(候选导管审计!B:B,A69,候选导管审计!G:G,"edge_truncated")</f>
        <v/>
      </c>
      <c r="F69">
        <f>COUNTIF(导管对_CWR_172!B:B,A69)</f>
        <v/>
      </c>
      <c r="G69">
        <f>COUNTIF(TVW线测量明细!B:B,A69)</f>
        <v/>
      </c>
      <c r="H69" t="n">
        <v>0.2173913043478261</v>
      </c>
      <c r="I69" t="n">
        <v>331</v>
      </c>
      <c r="J69">
        <f>1024*I69*H69^2/1000000</f>
        <v/>
      </c>
      <c r="K69" t="inlineStr">
        <is>
          <t>同一样品的技术视野；不是独立生物学重复</t>
        </is>
      </c>
      <c r="L69" t="inlineStr">
        <is>
          <t>样品7</t>
        </is>
      </c>
    </row>
    <row r="70">
      <c r="A70" t="inlineStr">
        <is>
          <t>7 (8).tif</t>
        </is>
      </c>
      <c r="B70">
        <f>COUNTIF(导管母表_1781!B:B,A70)</f>
        <v/>
      </c>
      <c r="C70">
        <f>COUNTIFS(候选导管审计!B:B,A70,候选导管审计!G:G,"borderline")</f>
        <v/>
      </c>
      <c r="D70">
        <f>COUNTIFS(候选导管审计!B:B,A70,候选导管审计!G:G,"excluded")</f>
        <v/>
      </c>
      <c r="E70">
        <f>COUNTIFS(候选导管审计!B:B,A70,候选导管审计!G:G,"edge_truncated")</f>
        <v/>
      </c>
      <c r="F70">
        <f>COUNTIF(导管对_CWR_172!B:B,A70)</f>
        <v/>
      </c>
      <c r="G70">
        <f>COUNTIF(TVW线测量明细!B:B,A70)</f>
        <v/>
      </c>
      <c r="H70" t="n">
        <v>0.2173913043478261</v>
      </c>
      <c r="I70" t="n">
        <v>691</v>
      </c>
      <c r="J70">
        <f>1024*I70*H70^2/1000000</f>
        <v/>
      </c>
      <c r="K70" t="inlineStr">
        <is>
          <t>同一样品的技术视野；不是独立生物学重复</t>
        </is>
      </c>
      <c r="L70" t="inlineStr">
        <is>
          <t>样品7</t>
        </is>
      </c>
    </row>
    <row r="71">
      <c r="A71" t="inlineStr">
        <is>
          <t>8 (1).tif</t>
        </is>
      </c>
      <c r="B71">
        <f>COUNTIF(导管母表_1781!B:B,A71)</f>
        <v/>
      </c>
      <c r="C71">
        <f>COUNTIFS(候选导管审计!B:B,A71,候选导管审计!G:G,"borderline")</f>
        <v/>
      </c>
      <c r="D71">
        <f>COUNTIFS(候选导管审计!B:B,A71,候选导管审计!G:G,"excluded")</f>
        <v/>
      </c>
      <c r="E71">
        <f>COUNTIFS(候选导管审计!B:B,A71,候选导管审计!G:G,"edge_truncated")</f>
        <v/>
      </c>
      <c r="F71">
        <f>COUNTIF(导管对_CWR_172!B:B,A71)</f>
        <v/>
      </c>
      <c r="G71">
        <f>COUNTIF(TVW线测量明细!B:B,A71)</f>
        <v/>
      </c>
      <c r="H71" t="n">
        <v>0.2173913043478261</v>
      </c>
      <c r="I71" t="n">
        <v>691</v>
      </c>
      <c r="J71">
        <f>1024*I71*H71^2/1000000</f>
        <v/>
      </c>
      <c r="K71" t="inlineStr">
        <is>
          <t>同一样品的技术视野；不是独立生物学重复</t>
        </is>
      </c>
      <c r="L71" t="inlineStr">
        <is>
          <t>样品8</t>
        </is>
      </c>
    </row>
    <row r="72">
      <c r="A72" t="inlineStr">
        <is>
          <t>8 (2).tif</t>
        </is>
      </c>
      <c r="B72">
        <f>COUNTIF(导管母表_1781!B:B,A72)</f>
        <v/>
      </c>
      <c r="C72">
        <f>COUNTIFS(候选导管审计!B:B,A72,候选导管审计!G:G,"borderline")</f>
        <v/>
      </c>
      <c r="D72">
        <f>COUNTIFS(候选导管审计!B:B,A72,候选导管审计!G:G,"excluded")</f>
        <v/>
      </c>
      <c r="E72">
        <f>COUNTIFS(候选导管审计!B:B,A72,候选导管审计!G:G,"edge_truncated")</f>
        <v/>
      </c>
      <c r="F72">
        <f>COUNTIF(导管对_CWR_172!B:B,A72)</f>
        <v/>
      </c>
      <c r="G72">
        <f>COUNTIF(TVW线测量明细!B:B,A72)</f>
        <v/>
      </c>
      <c r="H72" t="n">
        <v>0.2173913043478261</v>
      </c>
      <c r="I72" t="n">
        <v>691</v>
      </c>
      <c r="J72">
        <f>1024*I72*H72^2/1000000</f>
        <v/>
      </c>
      <c r="K72" t="inlineStr">
        <is>
          <t>同一样品的技术视野；不是独立生物学重复</t>
        </is>
      </c>
      <c r="L72" t="inlineStr">
        <is>
          <t>样品8</t>
        </is>
      </c>
    </row>
    <row r="73">
      <c r="A73" t="inlineStr">
        <is>
          <t>8 (3).tif</t>
        </is>
      </c>
      <c r="B73">
        <f>COUNTIF(导管母表_1781!B:B,A73)</f>
        <v/>
      </c>
      <c r="C73">
        <f>COUNTIFS(候选导管审计!B:B,A73,候选导管审计!G:G,"borderline")</f>
        <v/>
      </c>
      <c r="D73">
        <f>COUNTIFS(候选导管审计!B:B,A73,候选导管审计!G:G,"excluded")</f>
        <v/>
      </c>
      <c r="E73">
        <f>COUNTIFS(候选导管审计!B:B,A73,候选导管审计!G:G,"edge_truncated")</f>
        <v/>
      </c>
      <c r="F73">
        <f>COUNTIF(导管对_CWR_172!B:B,A73)</f>
        <v/>
      </c>
      <c r="G73">
        <f>COUNTIF(TVW线测量明细!B:B,A73)</f>
        <v/>
      </c>
      <c r="H73" t="n">
        <v>0.2173913043478261</v>
      </c>
      <c r="I73" t="n">
        <v>691</v>
      </c>
      <c r="J73">
        <f>1024*I73*H73^2/1000000</f>
        <v/>
      </c>
      <c r="K73" t="inlineStr">
        <is>
          <t>同一样品的技术视野；不是独立生物学重复</t>
        </is>
      </c>
      <c r="L73" t="inlineStr">
        <is>
          <t>样品8</t>
        </is>
      </c>
    </row>
    <row r="74">
      <c r="A74" t="inlineStr">
        <is>
          <t>8 (4).tif</t>
        </is>
      </c>
      <c r="B74">
        <f>COUNTIF(导管母表_1781!B:B,A74)</f>
        <v/>
      </c>
      <c r="C74">
        <f>COUNTIFS(候选导管审计!B:B,A74,候选导管审计!G:G,"borderline")</f>
        <v/>
      </c>
      <c r="D74">
        <f>COUNTIFS(候选导管审计!B:B,A74,候选导管审计!G:G,"excluded")</f>
        <v/>
      </c>
      <c r="E74">
        <f>COUNTIFS(候选导管审计!B:B,A74,候选导管审计!G:G,"edge_truncated")</f>
        <v/>
      </c>
      <c r="F74">
        <f>COUNTIF(导管对_CWR_172!B:B,A74)</f>
        <v/>
      </c>
      <c r="G74">
        <f>COUNTIF(TVW线测量明细!B:B,A74)</f>
        <v/>
      </c>
      <c r="H74" t="n">
        <v>0.2173913043478261</v>
      </c>
      <c r="I74" t="n">
        <v>691</v>
      </c>
      <c r="J74">
        <f>1024*I74*H74^2/1000000</f>
        <v/>
      </c>
      <c r="K74" t="inlineStr">
        <is>
          <t>同一样品的技术视野；不是独立生物学重复</t>
        </is>
      </c>
      <c r="L74" t="inlineStr">
        <is>
          <t>样品8</t>
        </is>
      </c>
    </row>
    <row r="75">
      <c r="A75" t="inlineStr">
        <is>
          <t>8 (5).tif</t>
        </is>
      </c>
      <c r="B75">
        <f>COUNTIF(导管母表_1781!B:B,A75)</f>
        <v/>
      </c>
      <c r="C75">
        <f>COUNTIFS(候选导管审计!B:B,A75,候选导管审计!G:G,"borderline")</f>
        <v/>
      </c>
      <c r="D75">
        <f>COUNTIFS(候选导管审计!B:B,A75,候选导管审计!G:G,"excluded")</f>
        <v/>
      </c>
      <c r="E75">
        <f>COUNTIFS(候选导管审计!B:B,A75,候选导管审计!G:G,"edge_truncated")</f>
        <v/>
      </c>
      <c r="F75">
        <f>COUNTIF(导管对_CWR_172!B:B,A75)</f>
        <v/>
      </c>
      <c r="G75">
        <f>COUNTIF(TVW线测量明细!B:B,A75)</f>
        <v/>
      </c>
      <c r="H75" t="n">
        <v>0.2173913043478261</v>
      </c>
      <c r="I75" t="n">
        <v>691</v>
      </c>
      <c r="J75">
        <f>1024*I75*H75^2/1000000</f>
        <v/>
      </c>
      <c r="K75" t="inlineStr">
        <is>
          <t>同一样品的技术视野；不是独立生物学重复</t>
        </is>
      </c>
      <c r="L75" t="inlineStr">
        <is>
          <t>样品8</t>
        </is>
      </c>
    </row>
    <row r="76">
      <c r="A76" t="inlineStr">
        <is>
          <t>8 (6).tif</t>
        </is>
      </c>
      <c r="B76">
        <f>COUNTIF(导管母表_1781!B:B,A76)</f>
        <v/>
      </c>
      <c r="C76">
        <f>COUNTIFS(候选导管审计!B:B,A76,候选导管审计!G:G,"borderline")</f>
        <v/>
      </c>
      <c r="D76">
        <f>COUNTIFS(候选导管审计!B:B,A76,候选导管审计!G:G,"excluded")</f>
        <v/>
      </c>
      <c r="E76">
        <f>COUNTIFS(候选导管审计!B:B,A76,候选导管审计!G:G,"edge_truncated")</f>
        <v/>
      </c>
      <c r="F76">
        <f>COUNTIF(导管对_CWR_172!B:B,A76)</f>
        <v/>
      </c>
      <c r="G76">
        <f>COUNTIF(TVW线测量明细!B:B,A76)</f>
        <v/>
      </c>
      <c r="H76" t="n">
        <v>0.2173913043478261</v>
      </c>
      <c r="I76" t="n">
        <v>691</v>
      </c>
      <c r="J76">
        <f>1024*I76*H76^2/1000000</f>
        <v/>
      </c>
      <c r="K76" t="inlineStr">
        <is>
          <t>同一样品的技术视野；不是独立生物学重复</t>
        </is>
      </c>
      <c r="L76" t="inlineStr">
        <is>
          <t>样品8</t>
        </is>
      </c>
    </row>
    <row r="77">
      <c r="A77" t="inlineStr">
        <is>
          <t>8 (7).tif</t>
        </is>
      </c>
      <c r="B77">
        <f>COUNTIF(导管母表_1781!B:B,A77)</f>
        <v/>
      </c>
      <c r="C77">
        <f>COUNTIFS(候选导管审计!B:B,A77,候选导管审计!G:G,"borderline")</f>
        <v/>
      </c>
      <c r="D77">
        <f>COUNTIFS(候选导管审计!B:B,A77,候选导管审计!G:G,"excluded")</f>
        <v/>
      </c>
      <c r="E77">
        <f>COUNTIFS(候选导管审计!B:B,A77,候选导管审计!G:G,"edge_truncated")</f>
        <v/>
      </c>
      <c r="F77">
        <f>COUNTIF(导管对_CWR_172!B:B,A77)</f>
        <v/>
      </c>
      <c r="G77">
        <f>COUNTIF(TVW线测量明细!B:B,A77)</f>
        <v/>
      </c>
      <c r="H77" t="n">
        <v>0.2173913043478261</v>
      </c>
      <c r="I77" t="n">
        <v>250</v>
      </c>
      <c r="J77">
        <f>1024*I77*H77^2/1000000</f>
        <v/>
      </c>
      <c r="K77" t="inlineStr">
        <is>
          <t>同一样品的技术视野；不是独立生物学重复</t>
        </is>
      </c>
      <c r="L77" t="inlineStr">
        <is>
          <t>样品8</t>
        </is>
      </c>
    </row>
    <row r="78">
      <c r="A78" t="inlineStr">
        <is>
          <t>8 (8).tif</t>
        </is>
      </c>
      <c r="B78">
        <f>COUNTIF(导管母表_1781!B:B,A78)</f>
        <v/>
      </c>
      <c r="C78">
        <f>COUNTIFS(候选导管审计!B:B,A78,候选导管审计!G:G,"borderline")</f>
        <v/>
      </c>
      <c r="D78">
        <f>COUNTIFS(候选导管审计!B:B,A78,候选导管审计!G:G,"excluded")</f>
        <v/>
      </c>
      <c r="E78">
        <f>COUNTIFS(候选导管审计!B:B,A78,候选导管审计!G:G,"edge_truncated")</f>
        <v/>
      </c>
      <c r="F78">
        <f>COUNTIF(导管对_CWR_172!B:B,A78)</f>
        <v/>
      </c>
      <c r="G78">
        <f>COUNTIF(TVW线测量明细!B:B,A78)</f>
        <v/>
      </c>
      <c r="H78" t="n">
        <v>0.2173913043478261</v>
      </c>
      <c r="I78" t="n">
        <v>691</v>
      </c>
      <c r="J78">
        <f>1024*I78*H78^2/1000000</f>
        <v/>
      </c>
      <c r="K78" t="inlineStr">
        <is>
          <t>同一样品的技术视野；不是独立生物学重复</t>
        </is>
      </c>
      <c r="L78" t="inlineStr">
        <is>
          <t>样品8</t>
        </is>
      </c>
    </row>
    <row r="79">
      <c r="A79" t="inlineStr">
        <is>
          <t>9 (1).tif</t>
        </is>
      </c>
      <c r="B79">
        <f>COUNTIF(导管母表_1781!B:B,A79)</f>
        <v/>
      </c>
      <c r="C79">
        <f>COUNTIFS(候选导管审计!B:B,A79,候选导管审计!G:G,"borderline")</f>
        <v/>
      </c>
      <c r="D79">
        <f>COUNTIFS(候选导管审计!B:B,A79,候选导管审计!G:G,"excluded")</f>
        <v/>
      </c>
      <c r="E79">
        <f>COUNTIFS(候选导管审计!B:B,A79,候选导管审计!G:G,"edge_truncated")</f>
        <v/>
      </c>
      <c r="F79">
        <f>COUNTIF(导管对_CWR_172!B:B,A79)</f>
        <v/>
      </c>
      <c r="G79">
        <f>COUNTIF(TVW线测量明细!B:B,A79)</f>
        <v/>
      </c>
      <c r="H79" t="n">
        <v>0.2173913043478261</v>
      </c>
      <c r="I79" t="n">
        <v>691</v>
      </c>
      <c r="J79">
        <f>1024*I79*H79^2/1000000</f>
        <v/>
      </c>
      <c r="K79" t="inlineStr">
        <is>
          <t>同一样品的技术视野；不是独立生物学重复</t>
        </is>
      </c>
      <c r="L79" t="inlineStr">
        <is>
          <t>样品9</t>
        </is>
      </c>
    </row>
    <row r="80">
      <c r="A80" t="inlineStr">
        <is>
          <t>9 (2).tif</t>
        </is>
      </c>
      <c r="B80">
        <f>COUNTIF(导管母表_1781!B:B,A80)</f>
        <v/>
      </c>
      <c r="C80">
        <f>COUNTIFS(候选导管审计!B:B,A80,候选导管审计!G:G,"borderline")</f>
        <v/>
      </c>
      <c r="D80">
        <f>COUNTIFS(候选导管审计!B:B,A80,候选导管审计!G:G,"excluded")</f>
        <v/>
      </c>
      <c r="E80">
        <f>COUNTIFS(候选导管审计!B:B,A80,候选导管审计!G:G,"edge_truncated")</f>
        <v/>
      </c>
      <c r="F80">
        <f>COUNTIF(导管对_CWR_172!B:B,A80)</f>
        <v/>
      </c>
      <c r="G80">
        <f>COUNTIF(TVW线测量明细!B:B,A80)</f>
        <v/>
      </c>
      <c r="H80" t="n">
        <v>0.2173913043478261</v>
      </c>
      <c r="I80" t="n">
        <v>691</v>
      </c>
      <c r="J80">
        <f>1024*I80*H80^2/1000000</f>
        <v/>
      </c>
      <c r="K80" t="inlineStr">
        <is>
          <t>同一样品的技术视野；不是独立生物学重复</t>
        </is>
      </c>
      <c r="L80" t="inlineStr">
        <is>
          <t>样品9</t>
        </is>
      </c>
    </row>
    <row r="81">
      <c r="A81" t="inlineStr">
        <is>
          <t>9 (3).tif</t>
        </is>
      </c>
      <c r="B81">
        <f>COUNTIF(导管母表_1781!B:B,A81)</f>
        <v/>
      </c>
      <c r="C81">
        <f>COUNTIFS(候选导管审计!B:B,A81,候选导管审计!G:G,"borderline")</f>
        <v/>
      </c>
      <c r="D81">
        <f>COUNTIFS(候选导管审计!B:B,A81,候选导管审计!G:G,"excluded")</f>
        <v/>
      </c>
      <c r="E81">
        <f>COUNTIFS(候选导管审计!B:B,A81,候选导管审计!G:G,"edge_truncated")</f>
        <v/>
      </c>
      <c r="F81">
        <f>COUNTIF(导管对_CWR_172!B:B,A81)</f>
        <v/>
      </c>
      <c r="G81">
        <f>COUNTIF(TVW线测量明细!B:B,A81)</f>
        <v/>
      </c>
      <c r="H81" t="n">
        <v>0.2173913043478261</v>
      </c>
      <c r="I81" t="n">
        <v>223</v>
      </c>
      <c r="J81">
        <f>1024*I81*H81^2/1000000</f>
        <v/>
      </c>
      <c r="K81" t="inlineStr">
        <is>
          <t>同一样品的技术视野；不是独立生物学重复</t>
        </is>
      </c>
      <c r="L81" t="inlineStr">
        <is>
          <t>样品9</t>
        </is>
      </c>
    </row>
    <row r="82">
      <c r="A82" t="inlineStr">
        <is>
          <t>9 (4).tif</t>
        </is>
      </c>
      <c r="B82">
        <f>COUNTIF(导管母表_1781!B:B,A82)</f>
        <v/>
      </c>
      <c r="C82">
        <f>COUNTIFS(候选导管审计!B:B,A82,候选导管审计!G:G,"borderline")</f>
        <v/>
      </c>
      <c r="D82">
        <f>COUNTIFS(候选导管审计!B:B,A82,候选导管审计!G:G,"excluded")</f>
        <v/>
      </c>
      <c r="E82">
        <f>COUNTIFS(候选导管审计!B:B,A82,候选导管审计!G:G,"edge_truncated")</f>
        <v/>
      </c>
      <c r="F82">
        <f>COUNTIF(导管对_CWR_172!B:B,A82)</f>
        <v/>
      </c>
      <c r="G82">
        <f>COUNTIF(TVW线测量明细!B:B,A82)</f>
        <v/>
      </c>
      <c r="H82" t="n">
        <v>0.2173913043478261</v>
      </c>
      <c r="I82" t="n">
        <v>181</v>
      </c>
      <c r="J82">
        <f>1024*I82*H82^2/1000000</f>
        <v/>
      </c>
      <c r="K82" t="inlineStr">
        <is>
          <t>同一样品的技术视野；不是独立生物学重复</t>
        </is>
      </c>
      <c r="L82" t="inlineStr">
        <is>
          <t>样品9</t>
        </is>
      </c>
    </row>
    <row r="83">
      <c r="A83" t="inlineStr">
        <is>
          <t>9 (5).tif</t>
        </is>
      </c>
      <c r="B83">
        <f>COUNTIF(导管母表_1781!B:B,A83)</f>
        <v/>
      </c>
      <c r="C83">
        <f>COUNTIFS(候选导管审计!B:B,A83,候选导管审计!G:G,"borderline")</f>
        <v/>
      </c>
      <c r="D83">
        <f>COUNTIFS(候选导管审计!B:B,A83,候选导管审计!G:G,"excluded")</f>
        <v/>
      </c>
      <c r="E83">
        <f>COUNTIFS(候选导管审计!B:B,A83,候选导管审计!G:G,"edge_truncated")</f>
        <v/>
      </c>
      <c r="F83">
        <f>COUNTIF(导管对_CWR_172!B:B,A83)</f>
        <v/>
      </c>
      <c r="G83">
        <f>COUNTIF(TVW线测量明细!B:B,A83)</f>
        <v/>
      </c>
      <c r="H83" t="n">
        <v>0.2173913043478261</v>
      </c>
      <c r="I83" t="n">
        <v>252</v>
      </c>
      <c r="J83">
        <f>1024*I83*H83^2/1000000</f>
        <v/>
      </c>
      <c r="K83" t="inlineStr">
        <is>
          <t>同一样品的技术视野；不是独立生物学重复</t>
        </is>
      </c>
      <c r="L83" t="inlineStr">
        <is>
          <t>样品9</t>
        </is>
      </c>
    </row>
    <row r="84">
      <c r="A84" t="inlineStr">
        <is>
          <t>9 (6).tif</t>
        </is>
      </c>
      <c r="B84">
        <f>COUNTIF(导管母表_1781!B:B,A84)</f>
        <v/>
      </c>
      <c r="C84">
        <f>COUNTIFS(候选导管审计!B:B,A84,候选导管审计!G:G,"borderline")</f>
        <v/>
      </c>
      <c r="D84">
        <f>COUNTIFS(候选导管审计!B:B,A84,候选导管审计!G:G,"excluded")</f>
        <v/>
      </c>
      <c r="E84">
        <f>COUNTIFS(候选导管审计!B:B,A84,候选导管审计!G:G,"edge_truncated")</f>
        <v/>
      </c>
      <c r="F84">
        <f>COUNTIF(导管对_CWR_172!B:B,A84)</f>
        <v/>
      </c>
      <c r="G84">
        <f>COUNTIF(TVW线测量明细!B:B,A84)</f>
        <v/>
      </c>
      <c r="H84" t="n">
        <v>0.2173913043478261</v>
      </c>
      <c r="I84" t="n">
        <v>391</v>
      </c>
      <c r="J84">
        <f>1024*I84*H84^2/1000000</f>
        <v/>
      </c>
      <c r="K84" t="inlineStr">
        <is>
          <t>同一样品的技术视野；不是独立生物学重复</t>
        </is>
      </c>
      <c r="L84" t="inlineStr">
        <is>
          <t>样品9</t>
        </is>
      </c>
    </row>
    <row r="85">
      <c r="A85" t="inlineStr">
        <is>
          <t>9 (7).tif</t>
        </is>
      </c>
      <c r="B85">
        <f>COUNTIF(导管母表_1781!B:B,A85)</f>
        <v/>
      </c>
      <c r="C85">
        <f>COUNTIFS(候选导管审计!B:B,A85,候选导管审计!G:G,"borderline")</f>
        <v/>
      </c>
      <c r="D85">
        <f>COUNTIFS(候选导管审计!B:B,A85,候选导管审计!G:G,"excluded")</f>
        <v/>
      </c>
      <c r="E85">
        <f>COUNTIFS(候选导管审计!B:B,A85,候选导管审计!G:G,"edge_truncated")</f>
        <v/>
      </c>
      <c r="F85">
        <f>COUNTIF(导管对_CWR_172!B:B,A85)</f>
        <v/>
      </c>
      <c r="G85">
        <f>COUNTIF(TVW线测量明细!B:B,A85)</f>
        <v/>
      </c>
      <c r="H85" t="n">
        <v>0.2173913043478261</v>
      </c>
      <c r="I85" t="n">
        <v>691</v>
      </c>
      <c r="J85">
        <f>1024*I85*H85^2/1000000</f>
        <v/>
      </c>
      <c r="K85" t="inlineStr">
        <is>
          <t>同一样品的技术视野；不是独立生物学重复</t>
        </is>
      </c>
      <c r="L85" t="inlineStr">
        <is>
          <t>样品9</t>
        </is>
      </c>
    </row>
    <row r="86">
      <c r="A86" t="inlineStr">
        <is>
          <t>9 (8).tif</t>
        </is>
      </c>
      <c r="B86">
        <f>COUNTIF(导管母表_1781!B:B,A86)</f>
        <v/>
      </c>
      <c r="C86">
        <f>COUNTIFS(候选导管审计!B:B,A86,候选导管审计!G:G,"borderline")</f>
        <v/>
      </c>
      <c r="D86">
        <f>COUNTIFS(候选导管审计!B:B,A86,候选导管审计!G:G,"excluded")</f>
        <v/>
      </c>
      <c r="E86">
        <f>COUNTIFS(候选导管审计!B:B,A86,候选导管审计!G:G,"edge_truncated")</f>
        <v/>
      </c>
      <c r="F86">
        <f>COUNTIF(导管对_CWR_172!B:B,A86)</f>
        <v/>
      </c>
      <c r="G86">
        <f>COUNTIF(TVW线测量明细!B:B,A86)</f>
        <v/>
      </c>
      <c r="H86" t="n">
        <v>0.2173913043478261</v>
      </c>
      <c r="I86" t="n">
        <v>691</v>
      </c>
      <c r="J86">
        <f>1024*I86*H86^2/1000000</f>
        <v/>
      </c>
      <c r="K86" t="inlineStr">
        <is>
          <t>同一样品的技术视野；不是独立生物学重复</t>
        </is>
      </c>
      <c r="L86" t="inlineStr">
        <is>
          <t>样品9</t>
        </is>
      </c>
    </row>
    <row r="87">
      <c r="A87" t="inlineStr">
        <is>
          <t>9 (9).tif</t>
        </is>
      </c>
      <c r="B87">
        <f>COUNTIF(导管母表_1781!B:B,A87)</f>
        <v/>
      </c>
      <c r="C87">
        <f>COUNTIFS(候选导管审计!B:B,A87,候选导管审计!G:G,"borderline")</f>
        <v/>
      </c>
      <c r="D87">
        <f>COUNTIFS(候选导管审计!B:B,A87,候选导管审计!G:G,"excluded")</f>
        <v/>
      </c>
      <c r="E87">
        <f>COUNTIFS(候选导管审计!B:B,A87,候选导管审计!G:G,"edge_truncated")</f>
        <v/>
      </c>
      <c r="F87">
        <f>COUNTIF(导管对_CWR_172!B:B,A87)</f>
        <v/>
      </c>
      <c r="G87">
        <f>COUNTIF(TVW线测量明细!B:B,A87)</f>
        <v/>
      </c>
      <c r="H87" t="n">
        <v>0.2173913043478261</v>
      </c>
      <c r="I87" t="n">
        <v>691</v>
      </c>
      <c r="J87">
        <f>1024*I87*H87^2/1000000</f>
        <v/>
      </c>
      <c r="K87" t="inlineStr">
        <is>
          <t>同一样品的技术视野；不是独立生物学重复</t>
        </is>
      </c>
      <c r="L87" t="inlineStr">
        <is>
          <t>样品9</t>
        </is>
      </c>
    </row>
    <row r="88">
      <c r="A88" t="inlineStr">
        <is>
          <t>10 (1).tif</t>
        </is>
      </c>
      <c r="B88">
        <f>COUNTIF(导管母表_1781!B:B,A88)</f>
        <v/>
      </c>
      <c r="C88">
        <f>COUNTIFS(候选导管审计!B:B,A88,候选导管审计!G:G,"borderline")</f>
        <v/>
      </c>
      <c r="D88">
        <f>COUNTIFS(候选导管审计!B:B,A88,候选导管审计!G:G,"excluded")</f>
        <v/>
      </c>
      <c r="E88">
        <f>COUNTIFS(候选导管审计!B:B,A88,候选导管审计!G:G,"edge_truncated")</f>
        <v/>
      </c>
      <c r="F88">
        <f>COUNTIF(导管对_CWR_172!B:B,A88)</f>
        <v/>
      </c>
      <c r="G88">
        <f>COUNTIF(TVW线测量明细!B:B,A88)</f>
        <v/>
      </c>
      <c r="H88" t="n">
        <v>0.2173913043478261</v>
      </c>
      <c r="I88" t="n">
        <v>691</v>
      </c>
      <c r="J88">
        <f>1024*I88*H88^2/1000000</f>
        <v/>
      </c>
      <c r="K88" t="inlineStr">
        <is>
          <t>同一样品的技术视野；不是独立生物学重复</t>
        </is>
      </c>
      <c r="L88" t="inlineStr">
        <is>
          <t>样品10</t>
        </is>
      </c>
    </row>
    <row r="89">
      <c r="A89" t="inlineStr">
        <is>
          <t>10 (2).tif</t>
        </is>
      </c>
      <c r="B89">
        <f>COUNTIF(导管母表_1781!B:B,A89)</f>
        <v/>
      </c>
      <c r="C89">
        <f>COUNTIFS(候选导管审计!B:B,A89,候选导管审计!G:G,"borderline")</f>
        <v/>
      </c>
      <c r="D89">
        <f>COUNTIFS(候选导管审计!B:B,A89,候选导管审计!G:G,"excluded")</f>
        <v/>
      </c>
      <c r="E89">
        <f>COUNTIFS(候选导管审计!B:B,A89,候选导管审计!G:G,"edge_truncated")</f>
        <v/>
      </c>
      <c r="F89">
        <f>COUNTIF(导管对_CWR_172!B:B,A89)</f>
        <v/>
      </c>
      <c r="G89">
        <f>COUNTIF(TVW线测量明细!B:B,A89)</f>
        <v/>
      </c>
      <c r="H89" t="n">
        <v>0.2173913043478261</v>
      </c>
      <c r="I89" t="n">
        <v>691</v>
      </c>
      <c r="J89">
        <f>1024*I89*H89^2/1000000</f>
        <v/>
      </c>
      <c r="K89" t="inlineStr">
        <is>
          <t>同一样品的技术视野；不是独立生物学重复</t>
        </is>
      </c>
      <c r="L89" t="inlineStr">
        <is>
          <t>样品10</t>
        </is>
      </c>
    </row>
    <row r="90">
      <c r="A90" t="inlineStr">
        <is>
          <t>10 (3).tif</t>
        </is>
      </c>
      <c r="B90">
        <f>COUNTIF(导管母表_1781!B:B,A90)</f>
        <v/>
      </c>
      <c r="C90">
        <f>COUNTIFS(候选导管审计!B:B,A90,候选导管审计!G:G,"borderline")</f>
        <v/>
      </c>
      <c r="D90">
        <f>COUNTIFS(候选导管审计!B:B,A90,候选导管审计!G:G,"excluded")</f>
        <v/>
      </c>
      <c r="E90">
        <f>COUNTIFS(候选导管审计!B:B,A90,候选导管审计!G:G,"edge_truncated")</f>
        <v/>
      </c>
      <c r="F90">
        <f>COUNTIF(导管对_CWR_172!B:B,A90)</f>
        <v/>
      </c>
      <c r="G90">
        <f>COUNTIF(TVW线测量明细!B:B,A90)</f>
        <v/>
      </c>
      <c r="H90" t="n">
        <v>0.2173913043478261</v>
      </c>
      <c r="I90" t="n">
        <v>272</v>
      </c>
      <c r="J90">
        <f>1024*I90*H90^2/1000000</f>
        <v/>
      </c>
      <c r="K90" t="inlineStr">
        <is>
          <t>同一样品的技术视野；不是独立生物学重复</t>
        </is>
      </c>
      <c r="L90" t="inlineStr">
        <is>
          <t>样品10</t>
        </is>
      </c>
    </row>
    <row r="91">
      <c r="A91" t="inlineStr">
        <is>
          <t>10 (4).tif</t>
        </is>
      </c>
      <c r="B91">
        <f>COUNTIF(导管母表_1781!B:B,A91)</f>
        <v/>
      </c>
      <c r="C91">
        <f>COUNTIFS(候选导管审计!B:B,A91,候选导管审计!G:G,"borderline")</f>
        <v/>
      </c>
      <c r="D91">
        <f>COUNTIFS(候选导管审计!B:B,A91,候选导管审计!G:G,"excluded")</f>
        <v/>
      </c>
      <c r="E91">
        <f>COUNTIFS(候选导管审计!B:B,A91,候选导管审计!G:G,"edge_truncated")</f>
        <v/>
      </c>
      <c r="F91">
        <f>COUNTIF(导管对_CWR_172!B:B,A91)</f>
        <v/>
      </c>
      <c r="G91">
        <f>COUNTIF(TVW线测量明细!B:B,A91)</f>
        <v/>
      </c>
      <c r="H91" t="n">
        <v>0.2173913043478261</v>
      </c>
      <c r="I91" t="n">
        <v>691</v>
      </c>
      <c r="J91">
        <f>1024*I91*H91^2/1000000</f>
        <v/>
      </c>
      <c r="K91" t="inlineStr">
        <is>
          <t>同一样品的技术视野；不是独立生物学重复</t>
        </is>
      </c>
      <c r="L91" t="inlineStr">
        <is>
          <t>样品10</t>
        </is>
      </c>
    </row>
    <row r="92">
      <c r="A92" t="inlineStr">
        <is>
          <t>10 (5).tif</t>
        </is>
      </c>
      <c r="B92">
        <f>COUNTIF(导管母表_1781!B:B,A92)</f>
        <v/>
      </c>
      <c r="C92">
        <f>COUNTIFS(候选导管审计!B:B,A92,候选导管审计!G:G,"borderline")</f>
        <v/>
      </c>
      <c r="D92">
        <f>COUNTIFS(候选导管审计!B:B,A92,候选导管审计!G:G,"excluded")</f>
        <v/>
      </c>
      <c r="E92">
        <f>COUNTIFS(候选导管审计!B:B,A92,候选导管审计!G:G,"edge_truncated")</f>
        <v/>
      </c>
      <c r="F92">
        <f>COUNTIF(导管对_CWR_172!B:B,A92)</f>
        <v/>
      </c>
      <c r="G92">
        <f>COUNTIF(TVW线测量明细!B:B,A92)</f>
        <v/>
      </c>
      <c r="H92" t="n">
        <v>0.2173913043478261</v>
      </c>
      <c r="I92" t="n">
        <v>691</v>
      </c>
      <c r="J92">
        <f>1024*I92*H92^2/1000000</f>
        <v/>
      </c>
      <c r="K92" t="inlineStr">
        <is>
          <t>同一样品的技术视野；不是独立生物学重复</t>
        </is>
      </c>
      <c r="L92" t="inlineStr">
        <is>
          <t>样品10</t>
        </is>
      </c>
    </row>
    <row r="93">
      <c r="A93" t="inlineStr">
        <is>
          <t>10 (6).tif</t>
        </is>
      </c>
      <c r="B93">
        <f>COUNTIF(导管母表_1781!B:B,A93)</f>
        <v/>
      </c>
      <c r="C93">
        <f>COUNTIFS(候选导管审计!B:B,A93,候选导管审计!G:G,"borderline")</f>
        <v/>
      </c>
      <c r="D93">
        <f>COUNTIFS(候选导管审计!B:B,A93,候选导管审计!G:G,"excluded")</f>
        <v/>
      </c>
      <c r="E93">
        <f>COUNTIFS(候选导管审计!B:B,A93,候选导管审计!G:G,"edge_truncated")</f>
        <v/>
      </c>
      <c r="F93">
        <f>COUNTIF(导管对_CWR_172!B:B,A93)</f>
        <v/>
      </c>
      <c r="G93">
        <f>COUNTIF(TVW线测量明细!B:B,A93)</f>
        <v/>
      </c>
      <c r="H93" t="n">
        <v>0.2173913043478261</v>
      </c>
      <c r="I93" t="n">
        <v>691</v>
      </c>
      <c r="J93">
        <f>1024*I93*H93^2/1000000</f>
        <v/>
      </c>
      <c r="K93" t="inlineStr">
        <is>
          <t>同一样品的技术视野；不是独立生物学重复</t>
        </is>
      </c>
      <c r="L93" t="inlineStr">
        <is>
          <t>样品10</t>
        </is>
      </c>
    </row>
    <row r="94">
      <c r="A94" t="inlineStr">
        <is>
          <t>10 (7).tif</t>
        </is>
      </c>
      <c r="B94">
        <f>COUNTIF(导管母表_1781!B:B,A94)</f>
        <v/>
      </c>
      <c r="C94">
        <f>COUNTIFS(候选导管审计!B:B,A94,候选导管审计!G:G,"borderline")</f>
        <v/>
      </c>
      <c r="D94">
        <f>COUNTIFS(候选导管审计!B:B,A94,候选导管审计!G:G,"excluded")</f>
        <v/>
      </c>
      <c r="E94">
        <f>COUNTIFS(候选导管审计!B:B,A94,候选导管审计!G:G,"edge_truncated")</f>
        <v/>
      </c>
      <c r="F94">
        <f>COUNTIF(导管对_CWR_172!B:B,A94)</f>
        <v/>
      </c>
      <c r="G94">
        <f>COUNTIF(TVW线测量明细!B:B,A94)</f>
        <v/>
      </c>
      <c r="H94" t="n">
        <v>0.2173913043478261</v>
      </c>
      <c r="I94" t="n">
        <v>691</v>
      </c>
      <c r="J94">
        <f>1024*I94*H94^2/1000000</f>
        <v/>
      </c>
      <c r="K94" t="inlineStr">
        <is>
          <t>同一样品的技术视野；不是独立生物学重复</t>
        </is>
      </c>
      <c r="L94" t="inlineStr">
        <is>
          <t>样品10</t>
        </is>
      </c>
    </row>
    <row r="95">
      <c r="A95" t="inlineStr">
        <is>
          <t>11 (1).tif</t>
        </is>
      </c>
      <c r="B95">
        <f>COUNTIF(导管母表_1781!B:B,A95)</f>
        <v/>
      </c>
      <c r="C95">
        <f>COUNTIFS(候选导管审计!B:B,A95,候选导管审计!G:G,"borderline")</f>
        <v/>
      </c>
      <c r="D95">
        <f>COUNTIFS(候选导管审计!B:B,A95,候选导管审计!G:G,"excluded")</f>
        <v/>
      </c>
      <c r="E95">
        <f>COUNTIFS(候选导管审计!B:B,A95,候选导管审计!G:G,"edge_truncated")</f>
        <v/>
      </c>
      <c r="F95">
        <f>COUNTIF(导管对_CWR_172!B:B,A95)</f>
        <v/>
      </c>
      <c r="G95">
        <f>COUNTIF(TVW线测量明细!B:B,A95)</f>
        <v/>
      </c>
      <c r="H95" t="n">
        <v>0.2173913043478261</v>
      </c>
      <c r="I95" t="n">
        <v>691</v>
      </c>
      <c r="J95">
        <f>1024*I95*H95^2/1000000</f>
        <v/>
      </c>
      <c r="K95" t="inlineStr">
        <is>
          <t>同一样品的技术视野；不是独立生物学重复</t>
        </is>
      </c>
      <c r="L95" t="inlineStr">
        <is>
          <t>样品11</t>
        </is>
      </c>
    </row>
    <row r="96">
      <c r="A96" t="inlineStr">
        <is>
          <t>11 (2).tif</t>
        </is>
      </c>
      <c r="B96">
        <f>COUNTIF(导管母表_1781!B:B,A96)</f>
        <v/>
      </c>
      <c r="C96">
        <f>COUNTIFS(候选导管审计!B:B,A96,候选导管审计!G:G,"borderline")</f>
        <v/>
      </c>
      <c r="D96">
        <f>COUNTIFS(候选导管审计!B:B,A96,候选导管审计!G:G,"excluded")</f>
        <v/>
      </c>
      <c r="E96">
        <f>COUNTIFS(候选导管审计!B:B,A96,候选导管审计!G:G,"edge_truncated")</f>
        <v/>
      </c>
      <c r="F96">
        <f>COUNTIF(导管对_CWR_172!B:B,A96)</f>
        <v/>
      </c>
      <c r="G96">
        <f>COUNTIF(TVW线测量明细!B:B,A96)</f>
        <v/>
      </c>
      <c r="H96" t="n">
        <v>0.2173913043478261</v>
      </c>
      <c r="I96" t="n">
        <v>193</v>
      </c>
      <c r="J96">
        <f>1024*I96*H96^2/1000000</f>
        <v/>
      </c>
      <c r="K96" t="inlineStr">
        <is>
          <t>同一样品的技术视野；不是独立生物学重复</t>
        </is>
      </c>
      <c r="L96" t="inlineStr">
        <is>
          <t>样品11</t>
        </is>
      </c>
    </row>
    <row r="97">
      <c r="A97" t="inlineStr">
        <is>
          <t>11 (3).tif</t>
        </is>
      </c>
      <c r="B97">
        <f>COUNTIF(导管母表_1781!B:B,A97)</f>
        <v/>
      </c>
      <c r="C97">
        <f>COUNTIFS(候选导管审计!B:B,A97,候选导管审计!G:G,"borderline")</f>
        <v/>
      </c>
      <c r="D97">
        <f>COUNTIFS(候选导管审计!B:B,A97,候选导管审计!G:G,"excluded")</f>
        <v/>
      </c>
      <c r="E97">
        <f>COUNTIFS(候选导管审计!B:B,A97,候选导管审计!G:G,"edge_truncated")</f>
        <v/>
      </c>
      <c r="F97">
        <f>COUNTIF(导管对_CWR_172!B:B,A97)</f>
        <v/>
      </c>
      <c r="G97">
        <f>COUNTIF(TVW线测量明细!B:B,A97)</f>
        <v/>
      </c>
      <c r="H97" t="n">
        <v>0.2173913043478261</v>
      </c>
      <c r="I97" t="n">
        <v>691</v>
      </c>
      <c r="J97">
        <f>1024*I97*H97^2/1000000</f>
        <v/>
      </c>
      <c r="K97" t="inlineStr">
        <is>
          <t>同一样品的技术视野；不是独立生物学重复</t>
        </is>
      </c>
      <c r="L97" t="inlineStr">
        <is>
          <t>样品11</t>
        </is>
      </c>
    </row>
    <row r="98">
      <c r="A98" t="inlineStr">
        <is>
          <t>11 (4).tif</t>
        </is>
      </c>
      <c r="B98">
        <f>COUNTIF(导管母表_1781!B:B,A98)</f>
        <v/>
      </c>
      <c r="C98">
        <f>COUNTIFS(候选导管审计!B:B,A98,候选导管审计!G:G,"borderline")</f>
        <v/>
      </c>
      <c r="D98">
        <f>COUNTIFS(候选导管审计!B:B,A98,候选导管审计!G:G,"excluded")</f>
        <v/>
      </c>
      <c r="E98">
        <f>COUNTIFS(候选导管审计!B:B,A98,候选导管审计!G:G,"edge_truncated")</f>
        <v/>
      </c>
      <c r="F98">
        <f>COUNTIF(导管对_CWR_172!B:B,A98)</f>
        <v/>
      </c>
      <c r="G98">
        <f>COUNTIF(TVW线测量明细!B:B,A98)</f>
        <v/>
      </c>
      <c r="H98" t="n">
        <v>0.2173913043478261</v>
      </c>
      <c r="I98" t="n">
        <v>691</v>
      </c>
      <c r="J98">
        <f>1024*I98*H98^2/1000000</f>
        <v/>
      </c>
      <c r="K98" t="inlineStr">
        <is>
          <t>同一样品的技术视野；不是独立生物学重复</t>
        </is>
      </c>
      <c r="L98" t="inlineStr">
        <is>
          <t>样品11</t>
        </is>
      </c>
    </row>
    <row r="99">
      <c r="A99" t="inlineStr">
        <is>
          <t>11 (5).tif</t>
        </is>
      </c>
      <c r="B99">
        <f>COUNTIF(导管母表_1781!B:B,A99)</f>
        <v/>
      </c>
      <c r="C99">
        <f>COUNTIFS(候选导管审计!B:B,A99,候选导管审计!G:G,"borderline")</f>
        <v/>
      </c>
      <c r="D99">
        <f>COUNTIFS(候选导管审计!B:B,A99,候选导管审计!G:G,"excluded")</f>
        <v/>
      </c>
      <c r="E99">
        <f>COUNTIFS(候选导管审计!B:B,A99,候选导管审计!G:G,"edge_truncated")</f>
        <v/>
      </c>
      <c r="F99">
        <f>COUNTIF(导管对_CWR_172!B:B,A99)</f>
        <v/>
      </c>
      <c r="G99">
        <f>COUNTIF(TVW线测量明细!B:B,A99)</f>
        <v/>
      </c>
      <c r="H99" t="n">
        <v>0.2173913043478261</v>
      </c>
      <c r="I99" t="n">
        <v>691</v>
      </c>
      <c r="J99">
        <f>1024*I99*H99^2/1000000</f>
        <v/>
      </c>
      <c r="K99" t="inlineStr">
        <is>
          <t>同一样品的技术视野；不是独立生物学重复</t>
        </is>
      </c>
      <c r="L99" t="inlineStr">
        <is>
          <t>样品11</t>
        </is>
      </c>
    </row>
    <row r="100">
      <c r="A100" t="inlineStr">
        <is>
          <t>11 (6).tif</t>
        </is>
      </c>
      <c r="B100">
        <f>COUNTIF(导管母表_1781!B:B,A100)</f>
        <v/>
      </c>
      <c r="C100">
        <f>COUNTIFS(候选导管审计!B:B,A100,候选导管审计!G:G,"borderline")</f>
        <v/>
      </c>
      <c r="D100">
        <f>COUNTIFS(候选导管审计!B:B,A100,候选导管审计!G:G,"excluded")</f>
        <v/>
      </c>
      <c r="E100">
        <f>COUNTIFS(候选导管审计!B:B,A100,候选导管审计!G:G,"edge_truncated")</f>
        <v/>
      </c>
      <c r="F100">
        <f>COUNTIF(导管对_CWR_172!B:B,A100)</f>
        <v/>
      </c>
      <c r="G100">
        <f>COUNTIF(TVW线测量明细!B:B,A100)</f>
        <v/>
      </c>
      <c r="H100" t="n">
        <v>0.2173913043478261</v>
      </c>
      <c r="I100" t="n">
        <v>691</v>
      </c>
      <c r="J100">
        <f>1024*I100*H100^2/1000000</f>
        <v/>
      </c>
      <c r="K100" t="inlineStr">
        <is>
          <t>同一样品的技术视野；不是独立生物学重复</t>
        </is>
      </c>
      <c r="L100" t="inlineStr">
        <is>
          <t>样品11</t>
        </is>
      </c>
    </row>
    <row r="101">
      <c r="A101" t="inlineStr">
        <is>
          <t>11 (7).tif</t>
        </is>
      </c>
      <c r="B101">
        <f>COUNTIF(导管母表_1781!B:B,A101)</f>
        <v/>
      </c>
      <c r="C101">
        <f>COUNTIFS(候选导管审计!B:B,A101,候选导管审计!G:G,"borderline")</f>
        <v/>
      </c>
      <c r="D101">
        <f>COUNTIFS(候选导管审计!B:B,A101,候选导管审计!G:G,"excluded")</f>
        <v/>
      </c>
      <c r="E101">
        <f>COUNTIFS(候选导管审计!B:B,A101,候选导管审计!G:G,"edge_truncated")</f>
        <v/>
      </c>
      <c r="F101">
        <f>COUNTIF(导管对_CWR_172!B:B,A101)</f>
        <v/>
      </c>
      <c r="G101">
        <f>COUNTIF(TVW线测量明细!B:B,A101)</f>
        <v/>
      </c>
      <c r="H101" t="n">
        <v>0.2173913043478261</v>
      </c>
      <c r="I101" t="n">
        <v>256</v>
      </c>
      <c r="J101">
        <f>1024*I101*H101^2/1000000</f>
        <v/>
      </c>
      <c r="K101" t="inlineStr">
        <is>
          <t>同一样品的技术视野；不是独立生物学重复</t>
        </is>
      </c>
      <c r="L101" t="inlineStr">
        <is>
          <t>样品11</t>
        </is>
      </c>
    </row>
    <row r="102">
      <c r="A102" t="inlineStr">
        <is>
          <t>11 (8).tif</t>
        </is>
      </c>
      <c r="B102">
        <f>COUNTIF(导管母表_1781!B:B,A102)</f>
        <v/>
      </c>
      <c r="C102">
        <f>COUNTIFS(候选导管审计!B:B,A102,候选导管审计!G:G,"borderline")</f>
        <v/>
      </c>
      <c r="D102">
        <f>COUNTIFS(候选导管审计!B:B,A102,候选导管审计!G:G,"excluded")</f>
        <v/>
      </c>
      <c r="E102">
        <f>COUNTIFS(候选导管审计!B:B,A102,候选导管审计!G:G,"edge_truncated")</f>
        <v/>
      </c>
      <c r="F102">
        <f>COUNTIF(导管对_CWR_172!B:B,A102)</f>
        <v/>
      </c>
      <c r="G102">
        <f>COUNTIF(TVW线测量明细!B:B,A102)</f>
        <v/>
      </c>
      <c r="H102" t="n">
        <v>0.2173913043478261</v>
      </c>
      <c r="I102" t="n">
        <v>195</v>
      </c>
      <c r="J102">
        <f>1024*I102*H102^2/1000000</f>
        <v/>
      </c>
      <c r="K102" t="inlineStr">
        <is>
          <t>同一样品的技术视野；不是独立生物学重复</t>
        </is>
      </c>
      <c r="L102" t="inlineStr">
        <is>
          <t>样品11</t>
        </is>
      </c>
    </row>
    <row r="103">
      <c r="A103" t="inlineStr">
        <is>
          <t>12 (1).tif</t>
        </is>
      </c>
      <c r="B103">
        <f>COUNTIF(导管母表_1781!B:B,A103)</f>
        <v/>
      </c>
      <c r="C103">
        <f>COUNTIFS(候选导管审计!B:B,A103,候选导管审计!G:G,"borderline")</f>
        <v/>
      </c>
      <c r="D103">
        <f>COUNTIFS(候选导管审计!B:B,A103,候选导管审计!G:G,"excluded")</f>
        <v/>
      </c>
      <c r="E103">
        <f>COUNTIFS(候选导管审计!B:B,A103,候选导管审计!G:G,"edge_truncated")</f>
        <v/>
      </c>
      <c r="F103">
        <f>COUNTIF(导管对_CWR_172!B:B,A103)</f>
        <v/>
      </c>
      <c r="G103">
        <f>COUNTIF(TVW线测量明细!B:B,A103)</f>
        <v/>
      </c>
      <c r="H103" t="n">
        <v>0.2173913043478261</v>
      </c>
      <c r="I103" t="n">
        <v>199</v>
      </c>
      <c r="J103">
        <f>1024*I103*H103^2/1000000</f>
        <v/>
      </c>
      <c r="K103" t="inlineStr">
        <is>
          <t>同一样品的技术视野；不是独立生物学重复</t>
        </is>
      </c>
      <c r="L103" t="inlineStr">
        <is>
          <t>样品12</t>
        </is>
      </c>
    </row>
    <row r="104">
      <c r="A104" t="inlineStr">
        <is>
          <t>12 (2).tif</t>
        </is>
      </c>
      <c r="B104">
        <f>COUNTIF(导管母表_1781!B:B,A104)</f>
        <v/>
      </c>
      <c r="C104">
        <f>COUNTIFS(候选导管审计!B:B,A104,候选导管审计!G:G,"borderline")</f>
        <v/>
      </c>
      <c r="D104">
        <f>COUNTIFS(候选导管审计!B:B,A104,候选导管审计!G:G,"excluded")</f>
        <v/>
      </c>
      <c r="E104">
        <f>COUNTIFS(候选导管审计!B:B,A104,候选导管审计!G:G,"edge_truncated")</f>
        <v/>
      </c>
      <c r="F104">
        <f>COUNTIF(导管对_CWR_172!B:B,A104)</f>
        <v/>
      </c>
      <c r="G104">
        <f>COUNTIF(TVW线测量明细!B:B,A104)</f>
        <v/>
      </c>
      <c r="H104" t="n">
        <v>0.2173913043478261</v>
      </c>
      <c r="I104" t="n">
        <v>691</v>
      </c>
      <c r="J104">
        <f>1024*I104*H104^2/1000000</f>
        <v/>
      </c>
      <c r="K104" t="inlineStr">
        <is>
          <t>同一样品的技术视野；不是独立生物学重复</t>
        </is>
      </c>
      <c r="L104" t="inlineStr">
        <is>
          <t>样品12</t>
        </is>
      </c>
    </row>
    <row r="105">
      <c r="A105" t="inlineStr">
        <is>
          <t>12 (3).tif</t>
        </is>
      </c>
      <c r="B105">
        <f>COUNTIF(导管母表_1781!B:B,A105)</f>
        <v/>
      </c>
      <c r="C105">
        <f>COUNTIFS(候选导管审计!B:B,A105,候选导管审计!G:G,"borderline")</f>
        <v/>
      </c>
      <c r="D105">
        <f>COUNTIFS(候选导管审计!B:B,A105,候选导管审计!G:G,"excluded")</f>
        <v/>
      </c>
      <c r="E105">
        <f>COUNTIFS(候选导管审计!B:B,A105,候选导管审计!G:G,"edge_truncated")</f>
        <v/>
      </c>
      <c r="F105">
        <f>COUNTIF(导管对_CWR_172!B:B,A105)</f>
        <v/>
      </c>
      <c r="G105">
        <f>COUNTIF(TVW线测量明细!B:B,A105)</f>
        <v/>
      </c>
      <c r="H105" t="n">
        <v>0.2173913043478261</v>
      </c>
      <c r="I105" t="n">
        <v>691</v>
      </c>
      <c r="J105">
        <f>1024*I105*H105^2/1000000</f>
        <v/>
      </c>
      <c r="K105" t="inlineStr">
        <is>
          <t>同一样品的技术视野；不是独立生物学重复</t>
        </is>
      </c>
      <c r="L105" t="inlineStr">
        <is>
          <t>样品12</t>
        </is>
      </c>
    </row>
    <row r="106">
      <c r="A106" t="inlineStr">
        <is>
          <t>12 (4).tif</t>
        </is>
      </c>
      <c r="B106">
        <f>COUNTIF(导管母表_1781!B:B,A106)</f>
        <v/>
      </c>
      <c r="C106">
        <f>COUNTIFS(候选导管审计!B:B,A106,候选导管审计!G:G,"borderline")</f>
        <v/>
      </c>
      <c r="D106">
        <f>COUNTIFS(候选导管审计!B:B,A106,候选导管审计!G:G,"excluded")</f>
        <v/>
      </c>
      <c r="E106">
        <f>COUNTIFS(候选导管审计!B:B,A106,候选导管审计!G:G,"edge_truncated")</f>
        <v/>
      </c>
      <c r="F106">
        <f>COUNTIF(导管对_CWR_172!B:B,A106)</f>
        <v/>
      </c>
      <c r="G106">
        <f>COUNTIF(TVW线测量明细!B:B,A106)</f>
        <v/>
      </c>
      <c r="H106" t="n">
        <v>0.2173913043478261</v>
      </c>
      <c r="I106" t="n">
        <v>301</v>
      </c>
      <c r="J106">
        <f>1024*I106*H106^2/1000000</f>
        <v/>
      </c>
      <c r="K106" t="inlineStr">
        <is>
          <t>同一样品的技术视野；不是独立生物学重复</t>
        </is>
      </c>
      <c r="L106" t="inlineStr">
        <is>
          <t>样品12</t>
        </is>
      </c>
    </row>
    <row r="107">
      <c r="A107" t="inlineStr">
        <is>
          <t>12 (5).tif</t>
        </is>
      </c>
      <c r="B107">
        <f>COUNTIF(导管母表_1781!B:B,A107)</f>
        <v/>
      </c>
      <c r="C107">
        <f>COUNTIFS(候选导管审计!B:B,A107,候选导管审计!G:G,"borderline")</f>
        <v/>
      </c>
      <c r="D107">
        <f>COUNTIFS(候选导管审计!B:B,A107,候选导管审计!G:G,"excluded")</f>
        <v/>
      </c>
      <c r="E107">
        <f>COUNTIFS(候选导管审计!B:B,A107,候选导管审计!G:G,"edge_truncated")</f>
        <v/>
      </c>
      <c r="F107">
        <f>COUNTIF(导管对_CWR_172!B:B,A107)</f>
        <v/>
      </c>
      <c r="G107">
        <f>COUNTIF(TVW线测量明细!B:B,A107)</f>
        <v/>
      </c>
      <c r="H107" t="n">
        <v>0.2173913043478261</v>
      </c>
      <c r="I107" t="n">
        <v>691</v>
      </c>
      <c r="J107">
        <f>1024*I107*H107^2/1000000</f>
        <v/>
      </c>
      <c r="K107" t="inlineStr">
        <is>
          <t>同一样品的技术视野；不是独立生物学重复</t>
        </is>
      </c>
      <c r="L107" t="inlineStr">
        <is>
          <t>样品12</t>
        </is>
      </c>
    </row>
    <row r="108">
      <c r="A108" t="inlineStr">
        <is>
          <t>12 (6).tif</t>
        </is>
      </c>
      <c r="B108">
        <f>COUNTIF(导管母表_1781!B:B,A108)</f>
        <v/>
      </c>
      <c r="C108">
        <f>COUNTIFS(候选导管审计!B:B,A108,候选导管审计!G:G,"borderline")</f>
        <v/>
      </c>
      <c r="D108">
        <f>COUNTIFS(候选导管审计!B:B,A108,候选导管审计!G:G,"excluded")</f>
        <v/>
      </c>
      <c r="E108">
        <f>COUNTIFS(候选导管审计!B:B,A108,候选导管审计!G:G,"edge_truncated")</f>
        <v/>
      </c>
      <c r="F108">
        <f>COUNTIF(导管对_CWR_172!B:B,A108)</f>
        <v/>
      </c>
      <c r="G108">
        <f>COUNTIF(TVW线测量明细!B:B,A108)</f>
        <v/>
      </c>
      <c r="H108" t="n">
        <v>0.2173913043478261</v>
      </c>
      <c r="I108" t="n">
        <v>691</v>
      </c>
      <c r="J108">
        <f>1024*I108*H108^2/1000000</f>
        <v/>
      </c>
      <c r="K108" t="inlineStr">
        <is>
          <t>同一样品的技术视野；不是独立生物学重复</t>
        </is>
      </c>
      <c r="L108" t="inlineStr">
        <is>
          <t>样品12</t>
        </is>
      </c>
    </row>
    <row r="109">
      <c r="A109" t="inlineStr">
        <is>
          <t>12 (7).tif</t>
        </is>
      </c>
      <c r="B109">
        <f>COUNTIF(导管母表_1781!B:B,A109)</f>
        <v/>
      </c>
      <c r="C109">
        <f>COUNTIFS(候选导管审计!B:B,A109,候选导管审计!G:G,"borderline")</f>
        <v/>
      </c>
      <c r="D109">
        <f>COUNTIFS(候选导管审计!B:B,A109,候选导管审计!G:G,"excluded")</f>
        <v/>
      </c>
      <c r="E109">
        <f>COUNTIFS(候选导管审计!B:B,A109,候选导管审计!G:G,"edge_truncated")</f>
        <v/>
      </c>
      <c r="F109">
        <f>COUNTIF(导管对_CWR_172!B:B,A109)</f>
        <v/>
      </c>
      <c r="G109">
        <f>COUNTIF(TVW线测量明细!B:B,A109)</f>
        <v/>
      </c>
      <c r="H109" t="n">
        <v>0.2173913043478261</v>
      </c>
      <c r="I109" t="n">
        <v>691</v>
      </c>
      <c r="J109">
        <f>1024*I109*H109^2/1000000</f>
        <v/>
      </c>
      <c r="K109" t="inlineStr">
        <is>
          <t>同一样品的技术视野；不是独立生物学重复</t>
        </is>
      </c>
      <c r="L109" t="inlineStr">
        <is>
          <t>样品12</t>
        </is>
      </c>
    </row>
    <row r="110">
      <c r="A110" t="inlineStr">
        <is>
          <t>13 (1).tif</t>
        </is>
      </c>
      <c r="B110">
        <f>COUNTIF(导管母表_1781!B:B,A110)</f>
        <v/>
      </c>
      <c r="C110">
        <f>COUNTIFS(候选导管审计!B:B,A110,候选导管审计!G:G,"borderline")</f>
        <v/>
      </c>
      <c r="D110">
        <f>COUNTIFS(候选导管审计!B:B,A110,候选导管审计!G:G,"excluded")</f>
        <v/>
      </c>
      <c r="E110">
        <f>COUNTIFS(候选导管审计!B:B,A110,候选导管审计!G:G,"edge_truncated")</f>
        <v/>
      </c>
      <c r="F110">
        <f>COUNTIF(导管对_CWR_172!B:B,A110)</f>
        <v/>
      </c>
      <c r="G110">
        <f>COUNTIF(TVW线测量明细!B:B,A110)</f>
        <v/>
      </c>
      <c r="H110" t="n">
        <v>0.2173913043478261</v>
      </c>
      <c r="I110" t="n">
        <v>691</v>
      </c>
      <c r="J110">
        <f>1024*I110*H110^2/1000000</f>
        <v/>
      </c>
      <c r="K110" t="inlineStr">
        <is>
          <t>同一样品的技术视野；不是独立生物学重复</t>
        </is>
      </c>
      <c r="L110" t="inlineStr">
        <is>
          <t>样品13</t>
        </is>
      </c>
    </row>
    <row r="111">
      <c r="A111" t="inlineStr">
        <is>
          <t>13 (2).tif</t>
        </is>
      </c>
      <c r="B111">
        <f>COUNTIF(导管母表_1781!B:B,A111)</f>
        <v/>
      </c>
      <c r="C111">
        <f>COUNTIFS(候选导管审计!B:B,A111,候选导管审计!G:G,"borderline")</f>
        <v/>
      </c>
      <c r="D111">
        <f>COUNTIFS(候选导管审计!B:B,A111,候选导管审计!G:G,"excluded")</f>
        <v/>
      </c>
      <c r="E111">
        <f>COUNTIFS(候选导管审计!B:B,A111,候选导管审计!G:G,"edge_truncated")</f>
        <v/>
      </c>
      <c r="F111">
        <f>COUNTIF(导管对_CWR_172!B:B,A111)</f>
        <v/>
      </c>
      <c r="G111">
        <f>COUNTIF(TVW线测量明细!B:B,A111)</f>
        <v/>
      </c>
      <c r="H111" t="n">
        <v>0.2173913043478261</v>
      </c>
      <c r="I111" t="n">
        <v>691</v>
      </c>
      <c r="J111">
        <f>1024*I111*H111^2/1000000</f>
        <v/>
      </c>
      <c r="K111" t="inlineStr">
        <is>
          <t>同一样品的技术视野；不是独立生物学重复</t>
        </is>
      </c>
      <c r="L111" t="inlineStr">
        <is>
          <t>样品13</t>
        </is>
      </c>
    </row>
    <row r="112">
      <c r="A112" t="inlineStr">
        <is>
          <t>13 (3).tif</t>
        </is>
      </c>
      <c r="B112">
        <f>COUNTIF(导管母表_1781!B:B,A112)</f>
        <v/>
      </c>
      <c r="C112">
        <f>COUNTIFS(候选导管审计!B:B,A112,候选导管审计!G:G,"borderline")</f>
        <v/>
      </c>
      <c r="D112">
        <f>COUNTIFS(候选导管审计!B:B,A112,候选导管审计!G:G,"excluded")</f>
        <v/>
      </c>
      <c r="E112">
        <f>COUNTIFS(候选导管审计!B:B,A112,候选导管审计!G:G,"edge_truncated")</f>
        <v/>
      </c>
      <c r="F112">
        <f>COUNTIF(导管对_CWR_172!B:B,A112)</f>
        <v/>
      </c>
      <c r="G112">
        <f>COUNTIF(TVW线测量明细!B:B,A112)</f>
        <v/>
      </c>
      <c r="H112" t="n">
        <v>0.2173913043478261</v>
      </c>
      <c r="I112" t="n">
        <v>691</v>
      </c>
      <c r="J112">
        <f>1024*I112*H112^2/1000000</f>
        <v/>
      </c>
      <c r="K112" t="inlineStr">
        <is>
          <t>同一样品的技术视野；不是独立生物学重复</t>
        </is>
      </c>
      <c r="L112" t="inlineStr">
        <is>
          <t>样品13</t>
        </is>
      </c>
    </row>
    <row r="113">
      <c r="A113" t="inlineStr">
        <is>
          <t>13 (4).tif</t>
        </is>
      </c>
      <c r="B113">
        <f>COUNTIF(导管母表_1781!B:B,A113)</f>
        <v/>
      </c>
      <c r="C113">
        <f>COUNTIFS(候选导管审计!B:B,A113,候选导管审计!G:G,"borderline")</f>
        <v/>
      </c>
      <c r="D113">
        <f>COUNTIFS(候选导管审计!B:B,A113,候选导管审计!G:G,"excluded")</f>
        <v/>
      </c>
      <c r="E113">
        <f>COUNTIFS(候选导管审计!B:B,A113,候选导管审计!G:G,"edge_truncated")</f>
        <v/>
      </c>
      <c r="F113">
        <f>COUNTIF(导管对_CWR_172!B:B,A113)</f>
        <v/>
      </c>
      <c r="G113">
        <f>COUNTIF(TVW线测量明细!B:B,A113)</f>
        <v/>
      </c>
      <c r="H113" t="n">
        <v>0.2173913043478261</v>
      </c>
      <c r="I113" t="n">
        <v>691</v>
      </c>
      <c r="J113">
        <f>1024*I113*H113^2/1000000</f>
        <v/>
      </c>
      <c r="K113" t="inlineStr">
        <is>
          <t>同一样品的技术视野；不是独立生物学重复</t>
        </is>
      </c>
      <c r="L113" t="inlineStr">
        <is>
          <t>样品13</t>
        </is>
      </c>
    </row>
    <row r="114">
      <c r="A114" t="inlineStr">
        <is>
          <t>13 (5).tif</t>
        </is>
      </c>
      <c r="B114">
        <f>COUNTIF(导管母表_1781!B:B,A114)</f>
        <v/>
      </c>
      <c r="C114">
        <f>COUNTIFS(候选导管审计!B:B,A114,候选导管审计!G:G,"borderline")</f>
        <v/>
      </c>
      <c r="D114">
        <f>COUNTIFS(候选导管审计!B:B,A114,候选导管审计!G:G,"excluded")</f>
        <v/>
      </c>
      <c r="E114">
        <f>COUNTIFS(候选导管审计!B:B,A114,候选导管审计!G:G,"edge_truncated")</f>
        <v/>
      </c>
      <c r="F114">
        <f>COUNTIF(导管对_CWR_172!B:B,A114)</f>
        <v/>
      </c>
      <c r="G114">
        <f>COUNTIF(TVW线测量明细!B:B,A114)</f>
        <v/>
      </c>
      <c r="H114" t="n">
        <v>0.2173913043478261</v>
      </c>
      <c r="I114" t="n">
        <v>175</v>
      </c>
      <c r="J114">
        <f>1024*I114*H114^2/1000000</f>
        <v/>
      </c>
      <c r="K114" t="inlineStr">
        <is>
          <t>同一样品的技术视野；不是独立生物学重复</t>
        </is>
      </c>
      <c r="L114" t="inlineStr">
        <is>
          <t>样品13</t>
        </is>
      </c>
    </row>
    <row r="115">
      <c r="A115" t="inlineStr">
        <is>
          <t>13 (6).tif</t>
        </is>
      </c>
      <c r="B115">
        <f>COUNTIF(导管母表_1781!B:B,A115)</f>
        <v/>
      </c>
      <c r="C115">
        <f>COUNTIFS(候选导管审计!B:B,A115,候选导管审计!G:G,"borderline")</f>
        <v/>
      </c>
      <c r="D115">
        <f>COUNTIFS(候选导管审计!B:B,A115,候选导管审计!G:G,"excluded")</f>
        <v/>
      </c>
      <c r="E115">
        <f>COUNTIFS(候选导管审计!B:B,A115,候选导管审计!G:G,"edge_truncated")</f>
        <v/>
      </c>
      <c r="F115">
        <f>COUNTIF(导管对_CWR_172!B:B,A115)</f>
        <v/>
      </c>
      <c r="G115">
        <f>COUNTIF(TVW线测量明细!B:B,A115)</f>
        <v/>
      </c>
      <c r="H115" t="n">
        <v>0.2173913043478261</v>
      </c>
      <c r="I115" t="n">
        <v>691</v>
      </c>
      <c r="J115">
        <f>1024*I115*H115^2/1000000</f>
        <v/>
      </c>
      <c r="K115" t="inlineStr">
        <is>
          <t>同一样品的技术视野；不是独立生物学重复</t>
        </is>
      </c>
      <c r="L115" t="inlineStr">
        <is>
          <t>样品13</t>
        </is>
      </c>
    </row>
    <row r="116">
      <c r="A116" t="inlineStr">
        <is>
          <t>13 (7).tif</t>
        </is>
      </c>
      <c r="B116">
        <f>COUNTIF(导管母表_1781!B:B,A116)</f>
        <v/>
      </c>
      <c r="C116">
        <f>COUNTIFS(候选导管审计!B:B,A116,候选导管审计!G:G,"borderline")</f>
        <v/>
      </c>
      <c r="D116">
        <f>COUNTIFS(候选导管审计!B:B,A116,候选导管审计!G:G,"excluded")</f>
        <v/>
      </c>
      <c r="E116">
        <f>COUNTIFS(候选导管审计!B:B,A116,候选导管审计!G:G,"edge_truncated")</f>
        <v/>
      </c>
      <c r="F116">
        <f>COUNTIF(导管对_CWR_172!B:B,A116)</f>
        <v/>
      </c>
      <c r="G116">
        <f>COUNTIF(TVW线测量明细!B:B,A116)</f>
        <v/>
      </c>
      <c r="H116" t="n">
        <v>0.2173913043478261</v>
      </c>
      <c r="I116" t="n">
        <v>165</v>
      </c>
      <c r="J116">
        <f>1024*I116*H116^2/1000000</f>
        <v/>
      </c>
      <c r="K116" t="inlineStr">
        <is>
          <t>同一样品的技术视野；不是独立生物学重复</t>
        </is>
      </c>
      <c r="L116" t="inlineStr">
        <is>
          <t>样品13</t>
        </is>
      </c>
    </row>
    <row r="117">
      <c r="A117" t="inlineStr">
        <is>
          <t>13 (8).tif</t>
        </is>
      </c>
      <c r="B117">
        <f>COUNTIF(导管母表_1781!B:B,A117)</f>
        <v/>
      </c>
      <c r="C117">
        <f>COUNTIFS(候选导管审计!B:B,A117,候选导管审计!G:G,"borderline")</f>
        <v/>
      </c>
      <c r="D117">
        <f>COUNTIFS(候选导管审计!B:B,A117,候选导管审计!G:G,"excluded")</f>
        <v/>
      </c>
      <c r="E117">
        <f>COUNTIFS(候选导管审计!B:B,A117,候选导管审计!G:G,"edge_truncated")</f>
        <v/>
      </c>
      <c r="F117">
        <f>COUNTIF(导管对_CWR_172!B:B,A117)</f>
        <v/>
      </c>
      <c r="G117">
        <f>COUNTIF(TVW线测量明细!B:B,A117)</f>
        <v/>
      </c>
      <c r="H117" t="n">
        <v>0.2173913043478261</v>
      </c>
      <c r="I117" t="n">
        <v>691</v>
      </c>
      <c r="J117">
        <f>1024*I117*H117^2/1000000</f>
        <v/>
      </c>
      <c r="K117" t="inlineStr">
        <is>
          <t>同一样品的技术视野；不是独立生物学重复</t>
        </is>
      </c>
      <c r="L117" t="inlineStr">
        <is>
          <t>样品13</t>
        </is>
      </c>
    </row>
    <row r="118">
      <c r="A118" t="inlineStr">
        <is>
          <t>14 (1).tif</t>
        </is>
      </c>
      <c r="B118">
        <f>COUNTIF(导管母表_1781!B:B,A118)</f>
        <v/>
      </c>
      <c r="C118">
        <f>COUNTIFS(候选导管审计!B:B,A118,候选导管审计!G:G,"borderline")</f>
        <v/>
      </c>
      <c r="D118">
        <f>COUNTIFS(候选导管审计!B:B,A118,候选导管审计!G:G,"excluded")</f>
        <v/>
      </c>
      <c r="E118">
        <f>COUNTIFS(候选导管审计!B:B,A118,候选导管审计!G:G,"edge_truncated")</f>
        <v/>
      </c>
      <c r="F118">
        <f>COUNTIF(导管对_CWR_172!B:B,A118)</f>
        <v/>
      </c>
      <c r="G118">
        <f>COUNTIF(TVW线测量明细!B:B,A118)</f>
        <v/>
      </c>
      <c r="H118" t="n">
        <v>0.2173913043478261</v>
      </c>
      <c r="I118" t="n">
        <v>691</v>
      </c>
      <c r="J118">
        <f>1024*I118*H118^2/1000000</f>
        <v/>
      </c>
      <c r="K118" t="inlineStr">
        <is>
          <t>同一样品的技术视野；不是独立生物学重复</t>
        </is>
      </c>
      <c r="L118" t="inlineStr">
        <is>
          <t>样品14</t>
        </is>
      </c>
    </row>
    <row r="119">
      <c r="A119" t="inlineStr">
        <is>
          <t>14 (2).tif</t>
        </is>
      </c>
      <c r="B119">
        <f>COUNTIF(导管母表_1781!B:B,A119)</f>
        <v/>
      </c>
      <c r="C119">
        <f>COUNTIFS(候选导管审计!B:B,A119,候选导管审计!G:G,"borderline")</f>
        <v/>
      </c>
      <c r="D119">
        <f>COUNTIFS(候选导管审计!B:B,A119,候选导管审计!G:G,"excluded")</f>
        <v/>
      </c>
      <c r="E119">
        <f>COUNTIFS(候选导管审计!B:B,A119,候选导管审计!G:G,"edge_truncated")</f>
        <v/>
      </c>
      <c r="F119">
        <f>COUNTIF(导管对_CWR_172!B:B,A119)</f>
        <v/>
      </c>
      <c r="G119">
        <f>COUNTIF(TVW线测量明细!B:B,A119)</f>
        <v/>
      </c>
      <c r="H119" t="n">
        <v>0.2173913043478261</v>
      </c>
      <c r="I119" t="n">
        <v>691</v>
      </c>
      <c r="J119">
        <f>1024*I119*H119^2/1000000</f>
        <v/>
      </c>
      <c r="K119" t="inlineStr">
        <is>
          <t>同一样品的技术视野；不是独立生物学重复</t>
        </is>
      </c>
      <c r="L119" t="inlineStr">
        <is>
          <t>样品14</t>
        </is>
      </c>
    </row>
    <row r="120">
      <c r="A120" t="inlineStr">
        <is>
          <t>14 (3).tif</t>
        </is>
      </c>
      <c r="B120">
        <f>COUNTIF(导管母表_1781!B:B,A120)</f>
        <v/>
      </c>
      <c r="C120">
        <f>COUNTIFS(候选导管审计!B:B,A120,候选导管审计!G:G,"borderline")</f>
        <v/>
      </c>
      <c r="D120">
        <f>COUNTIFS(候选导管审计!B:B,A120,候选导管审计!G:G,"excluded")</f>
        <v/>
      </c>
      <c r="E120">
        <f>COUNTIFS(候选导管审计!B:B,A120,候选导管审计!G:G,"edge_truncated")</f>
        <v/>
      </c>
      <c r="F120">
        <f>COUNTIF(导管对_CWR_172!B:B,A120)</f>
        <v/>
      </c>
      <c r="G120">
        <f>COUNTIF(TVW线测量明细!B:B,A120)</f>
        <v/>
      </c>
      <c r="H120" t="n">
        <v>0.2173913043478261</v>
      </c>
      <c r="I120" t="n">
        <v>691</v>
      </c>
      <c r="J120">
        <f>1024*I120*H120^2/1000000</f>
        <v/>
      </c>
      <c r="K120" t="inlineStr">
        <is>
          <t>同一样品的技术视野；不是独立生物学重复</t>
        </is>
      </c>
      <c r="L120" t="inlineStr">
        <is>
          <t>样品14</t>
        </is>
      </c>
    </row>
    <row r="121">
      <c r="A121" t="inlineStr">
        <is>
          <t>14 (4).tif</t>
        </is>
      </c>
      <c r="B121">
        <f>COUNTIF(导管母表_1781!B:B,A121)</f>
        <v/>
      </c>
      <c r="C121">
        <f>COUNTIFS(候选导管审计!B:B,A121,候选导管审计!G:G,"borderline")</f>
        <v/>
      </c>
      <c r="D121">
        <f>COUNTIFS(候选导管审计!B:B,A121,候选导管审计!G:G,"excluded")</f>
        <v/>
      </c>
      <c r="E121">
        <f>COUNTIFS(候选导管审计!B:B,A121,候选导管审计!G:G,"edge_truncated")</f>
        <v/>
      </c>
      <c r="F121">
        <f>COUNTIF(导管对_CWR_172!B:B,A121)</f>
        <v/>
      </c>
      <c r="G121">
        <f>COUNTIF(TVW线测量明细!B:B,A121)</f>
        <v/>
      </c>
      <c r="H121" t="n">
        <v>0.2173913043478261</v>
      </c>
      <c r="I121" t="n">
        <v>691</v>
      </c>
      <c r="J121">
        <f>1024*I121*H121^2/1000000</f>
        <v/>
      </c>
      <c r="K121" t="inlineStr">
        <is>
          <t>同一样品的技术视野；不是独立生物学重复</t>
        </is>
      </c>
      <c r="L121" t="inlineStr">
        <is>
          <t>样品14</t>
        </is>
      </c>
    </row>
    <row r="122">
      <c r="A122" t="inlineStr">
        <is>
          <t>14 (5).tif</t>
        </is>
      </c>
      <c r="B122">
        <f>COUNTIF(导管母表_1781!B:B,A122)</f>
        <v/>
      </c>
      <c r="C122">
        <f>COUNTIFS(候选导管审计!B:B,A122,候选导管审计!G:G,"borderline")</f>
        <v/>
      </c>
      <c r="D122">
        <f>COUNTIFS(候选导管审计!B:B,A122,候选导管审计!G:G,"excluded")</f>
        <v/>
      </c>
      <c r="E122">
        <f>COUNTIFS(候选导管审计!B:B,A122,候选导管审计!G:G,"edge_truncated")</f>
        <v/>
      </c>
      <c r="F122">
        <f>COUNTIF(导管对_CWR_172!B:B,A122)</f>
        <v/>
      </c>
      <c r="G122">
        <f>COUNTIF(TVW线测量明细!B:B,A122)</f>
        <v/>
      </c>
      <c r="H122" t="n">
        <v>0.2173913043478261</v>
      </c>
      <c r="I122" t="n">
        <v>691</v>
      </c>
      <c r="J122">
        <f>1024*I122*H122^2/1000000</f>
        <v/>
      </c>
      <c r="K122" t="inlineStr">
        <is>
          <t>同一样品的技术视野；不是独立生物学重复</t>
        </is>
      </c>
      <c r="L122" t="inlineStr">
        <is>
          <t>样品14</t>
        </is>
      </c>
    </row>
    <row r="123">
      <c r="A123" t="inlineStr">
        <is>
          <t>14 (6).tif</t>
        </is>
      </c>
      <c r="B123">
        <f>COUNTIF(导管母表_1781!B:B,A123)</f>
        <v/>
      </c>
      <c r="C123">
        <f>COUNTIFS(候选导管审计!B:B,A123,候选导管审计!G:G,"borderline")</f>
        <v/>
      </c>
      <c r="D123">
        <f>COUNTIFS(候选导管审计!B:B,A123,候选导管审计!G:G,"excluded")</f>
        <v/>
      </c>
      <c r="E123">
        <f>COUNTIFS(候选导管审计!B:B,A123,候选导管审计!G:G,"edge_truncated")</f>
        <v/>
      </c>
      <c r="F123">
        <f>COUNTIF(导管对_CWR_172!B:B,A123)</f>
        <v/>
      </c>
      <c r="G123">
        <f>COUNTIF(TVW线测量明细!B:B,A123)</f>
        <v/>
      </c>
      <c r="H123" t="n">
        <v>0.2173913043478261</v>
      </c>
      <c r="I123" t="n">
        <v>691</v>
      </c>
      <c r="J123">
        <f>1024*I123*H123^2/1000000</f>
        <v/>
      </c>
      <c r="K123" t="inlineStr">
        <is>
          <t>同一样品的技术视野；不是独立生物学重复</t>
        </is>
      </c>
      <c r="L123" t="inlineStr">
        <is>
          <t>样品14</t>
        </is>
      </c>
    </row>
    <row r="124">
      <c r="A124" t="inlineStr">
        <is>
          <t>14 (7).tif</t>
        </is>
      </c>
      <c r="B124">
        <f>COUNTIF(导管母表_1781!B:B,A124)</f>
        <v/>
      </c>
      <c r="C124">
        <f>COUNTIFS(候选导管审计!B:B,A124,候选导管审计!G:G,"borderline")</f>
        <v/>
      </c>
      <c r="D124">
        <f>COUNTIFS(候选导管审计!B:B,A124,候选导管审计!G:G,"excluded")</f>
        <v/>
      </c>
      <c r="E124">
        <f>COUNTIFS(候选导管审计!B:B,A124,候选导管审计!G:G,"edge_truncated")</f>
        <v/>
      </c>
      <c r="F124">
        <f>COUNTIF(导管对_CWR_172!B:B,A124)</f>
        <v/>
      </c>
      <c r="G124">
        <f>COUNTIF(TVW线测量明细!B:B,A124)</f>
        <v/>
      </c>
      <c r="H124" t="n">
        <v>0.2173913043478261</v>
      </c>
      <c r="I124" t="n">
        <v>691</v>
      </c>
      <c r="J124">
        <f>1024*I124*H124^2/1000000</f>
        <v/>
      </c>
      <c r="K124" t="inlineStr">
        <is>
          <t>同一样品的技术视野；不是独立生物学重复</t>
        </is>
      </c>
      <c r="L124" t="inlineStr">
        <is>
          <t>样品14</t>
        </is>
      </c>
    </row>
    <row r="125">
      <c r="A125" t="inlineStr">
        <is>
          <t>14 (8).tif</t>
        </is>
      </c>
      <c r="B125">
        <f>COUNTIF(导管母表_1781!B:B,A125)</f>
        <v/>
      </c>
      <c r="C125">
        <f>COUNTIFS(候选导管审计!B:B,A125,候选导管审计!G:G,"borderline")</f>
        <v/>
      </c>
      <c r="D125">
        <f>COUNTIFS(候选导管审计!B:B,A125,候选导管审计!G:G,"excluded")</f>
        <v/>
      </c>
      <c r="E125">
        <f>COUNTIFS(候选导管审计!B:B,A125,候选导管审计!G:G,"edge_truncated")</f>
        <v/>
      </c>
      <c r="F125">
        <f>COUNTIF(导管对_CWR_172!B:B,A125)</f>
        <v/>
      </c>
      <c r="G125">
        <f>COUNTIF(TVW线测量明细!B:B,A125)</f>
        <v/>
      </c>
      <c r="H125" t="n">
        <v>0.2173913043478261</v>
      </c>
      <c r="I125" t="n">
        <v>144</v>
      </c>
      <c r="J125">
        <f>1024*I125*H125^2/1000000</f>
        <v/>
      </c>
      <c r="K125" t="inlineStr">
        <is>
          <t>同一样品的技术视野；不是独立生物学重复</t>
        </is>
      </c>
      <c r="L125" t="inlineStr">
        <is>
          <t>样品14</t>
        </is>
      </c>
    </row>
    <row r="126">
      <c r="A126" t="inlineStr">
        <is>
          <t>15 (1).tif</t>
        </is>
      </c>
      <c r="B126">
        <f>COUNTIF(导管母表_1781!B:B,A126)</f>
        <v/>
      </c>
      <c r="C126">
        <f>COUNTIFS(候选导管审计!B:B,A126,候选导管审计!G:G,"borderline")</f>
        <v/>
      </c>
      <c r="D126">
        <f>COUNTIFS(候选导管审计!B:B,A126,候选导管审计!G:G,"excluded")</f>
        <v/>
      </c>
      <c r="E126">
        <f>COUNTIFS(候选导管审计!B:B,A126,候选导管审计!G:G,"edge_truncated")</f>
        <v/>
      </c>
      <c r="F126">
        <f>COUNTIF(导管对_CWR_172!B:B,A126)</f>
        <v/>
      </c>
      <c r="G126">
        <f>COUNTIF(TVW线测量明细!B:B,A126)</f>
        <v/>
      </c>
      <c r="H126" t="n">
        <v>0.2173913043478261</v>
      </c>
      <c r="I126" t="n">
        <v>691</v>
      </c>
      <c r="J126">
        <f>1024*I126*H126^2/1000000</f>
        <v/>
      </c>
      <c r="K126" t="inlineStr">
        <is>
          <t>同一样品的技术视野；不是独立生物学重复</t>
        </is>
      </c>
      <c r="L126" t="inlineStr">
        <is>
          <t>样品15</t>
        </is>
      </c>
    </row>
    <row r="127">
      <c r="A127" t="inlineStr">
        <is>
          <t>15 (2).tif</t>
        </is>
      </c>
      <c r="B127">
        <f>COUNTIF(导管母表_1781!B:B,A127)</f>
        <v/>
      </c>
      <c r="C127">
        <f>COUNTIFS(候选导管审计!B:B,A127,候选导管审计!G:G,"borderline")</f>
        <v/>
      </c>
      <c r="D127">
        <f>COUNTIFS(候选导管审计!B:B,A127,候选导管审计!G:G,"excluded")</f>
        <v/>
      </c>
      <c r="E127">
        <f>COUNTIFS(候选导管审计!B:B,A127,候选导管审计!G:G,"edge_truncated")</f>
        <v/>
      </c>
      <c r="F127">
        <f>COUNTIF(导管对_CWR_172!B:B,A127)</f>
        <v/>
      </c>
      <c r="G127">
        <f>COUNTIF(TVW线测量明细!B:B,A127)</f>
        <v/>
      </c>
      <c r="H127" t="n">
        <v>0.2173913043478261</v>
      </c>
      <c r="I127" t="n">
        <v>691</v>
      </c>
      <c r="J127">
        <f>1024*I127*H127^2/1000000</f>
        <v/>
      </c>
      <c r="K127" t="inlineStr">
        <is>
          <t>同一样品的技术视野；不是独立生物学重复</t>
        </is>
      </c>
      <c r="L127" t="inlineStr">
        <is>
          <t>样品15</t>
        </is>
      </c>
    </row>
    <row r="128">
      <c r="A128" t="inlineStr">
        <is>
          <t>15 (3).tif</t>
        </is>
      </c>
      <c r="B128">
        <f>COUNTIF(导管母表_1781!B:B,A128)</f>
        <v/>
      </c>
      <c r="C128">
        <f>COUNTIFS(候选导管审计!B:B,A128,候选导管审计!G:G,"borderline")</f>
        <v/>
      </c>
      <c r="D128">
        <f>COUNTIFS(候选导管审计!B:B,A128,候选导管审计!G:G,"excluded")</f>
        <v/>
      </c>
      <c r="E128">
        <f>COUNTIFS(候选导管审计!B:B,A128,候选导管审计!G:G,"edge_truncated")</f>
        <v/>
      </c>
      <c r="F128">
        <f>COUNTIF(导管对_CWR_172!B:B,A128)</f>
        <v/>
      </c>
      <c r="G128">
        <f>COUNTIF(TVW线测量明细!B:B,A128)</f>
        <v/>
      </c>
      <c r="H128" t="n">
        <v>0.2173913043478261</v>
      </c>
      <c r="I128" t="n">
        <v>691</v>
      </c>
      <c r="J128">
        <f>1024*I128*H128^2/1000000</f>
        <v/>
      </c>
      <c r="K128" t="inlineStr">
        <is>
          <t>同一样品的技术视野；不是独立生物学重复</t>
        </is>
      </c>
      <c r="L128" t="inlineStr">
        <is>
          <t>样品15</t>
        </is>
      </c>
    </row>
    <row r="129">
      <c r="A129" t="inlineStr">
        <is>
          <t>15 (4).tif</t>
        </is>
      </c>
      <c r="B129">
        <f>COUNTIF(导管母表_1781!B:B,A129)</f>
        <v/>
      </c>
      <c r="C129">
        <f>COUNTIFS(候选导管审计!B:B,A129,候选导管审计!G:G,"borderline")</f>
        <v/>
      </c>
      <c r="D129">
        <f>COUNTIFS(候选导管审计!B:B,A129,候选导管审计!G:G,"excluded")</f>
        <v/>
      </c>
      <c r="E129">
        <f>COUNTIFS(候选导管审计!B:B,A129,候选导管审计!G:G,"edge_truncated")</f>
        <v/>
      </c>
      <c r="F129">
        <f>COUNTIF(导管对_CWR_172!B:B,A129)</f>
        <v/>
      </c>
      <c r="G129">
        <f>COUNTIF(TVW线测量明细!B:B,A129)</f>
        <v/>
      </c>
      <c r="H129" t="n">
        <v>0.2173913043478261</v>
      </c>
      <c r="I129" t="n">
        <v>691</v>
      </c>
      <c r="J129">
        <f>1024*I129*H129^2/1000000</f>
        <v/>
      </c>
      <c r="K129" t="inlineStr">
        <is>
          <t>同一样品的技术视野；不是独立生物学重复</t>
        </is>
      </c>
      <c r="L129" t="inlineStr">
        <is>
          <t>样品15</t>
        </is>
      </c>
    </row>
    <row r="130">
      <c r="A130" t="inlineStr">
        <is>
          <t>15 (5).tif</t>
        </is>
      </c>
      <c r="B130">
        <f>COUNTIF(导管母表_1781!B:B,A130)</f>
        <v/>
      </c>
      <c r="C130">
        <f>COUNTIFS(候选导管审计!B:B,A130,候选导管审计!G:G,"borderline")</f>
        <v/>
      </c>
      <c r="D130">
        <f>COUNTIFS(候选导管审计!B:B,A130,候选导管审计!G:G,"excluded")</f>
        <v/>
      </c>
      <c r="E130">
        <f>COUNTIFS(候选导管审计!B:B,A130,候选导管审计!G:G,"edge_truncated")</f>
        <v/>
      </c>
      <c r="F130">
        <f>COUNTIF(导管对_CWR_172!B:B,A130)</f>
        <v/>
      </c>
      <c r="G130">
        <f>COUNTIF(TVW线测量明细!B:B,A130)</f>
        <v/>
      </c>
      <c r="H130" t="n">
        <v>0.2173913043478261</v>
      </c>
      <c r="I130" t="n">
        <v>691</v>
      </c>
      <c r="J130">
        <f>1024*I130*H130^2/1000000</f>
        <v/>
      </c>
      <c r="K130" t="inlineStr">
        <is>
          <t>同一样品的技术视野；不是独立生物学重复</t>
        </is>
      </c>
      <c r="L130" t="inlineStr">
        <is>
          <t>样品15</t>
        </is>
      </c>
    </row>
    <row r="131">
      <c r="A131" t="inlineStr">
        <is>
          <t>15 (6).tif</t>
        </is>
      </c>
      <c r="B131">
        <f>COUNTIF(导管母表_1781!B:B,A131)</f>
        <v/>
      </c>
      <c r="C131">
        <f>COUNTIFS(候选导管审计!B:B,A131,候选导管审计!G:G,"borderline")</f>
        <v/>
      </c>
      <c r="D131">
        <f>COUNTIFS(候选导管审计!B:B,A131,候选导管审计!G:G,"excluded")</f>
        <v/>
      </c>
      <c r="E131">
        <f>COUNTIFS(候选导管审计!B:B,A131,候选导管审计!G:G,"edge_truncated")</f>
        <v/>
      </c>
      <c r="F131">
        <f>COUNTIF(导管对_CWR_172!B:B,A131)</f>
        <v/>
      </c>
      <c r="G131">
        <f>COUNTIF(TVW线测量明细!B:B,A131)</f>
        <v/>
      </c>
      <c r="H131" t="n">
        <v>0.2173913043478261</v>
      </c>
      <c r="I131" t="n">
        <v>691</v>
      </c>
      <c r="J131">
        <f>1024*I131*H131^2/1000000</f>
        <v/>
      </c>
      <c r="K131" t="inlineStr">
        <is>
          <t>同一样品的技术视野；不是独立生物学重复</t>
        </is>
      </c>
      <c r="L131" t="inlineStr">
        <is>
          <t>样品15</t>
        </is>
      </c>
    </row>
    <row r="132">
      <c r="A132" t="inlineStr">
        <is>
          <t>15 (7).tif</t>
        </is>
      </c>
      <c r="B132">
        <f>COUNTIF(导管母表_1781!B:B,A132)</f>
        <v/>
      </c>
      <c r="C132">
        <f>COUNTIFS(候选导管审计!B:B,A132,候选导管审计!G:G,"borderline")</f>
        <v/>
      </c>
      <c r="D132">
        <f>COUNTIFS(候选导管审计!B:B,A132,候选导管审计!G:G,"excluded")</f>
        <v/>
      </c>
      <c r="E132">
        <f>COUNTIFS(候选导管审计!B:B,A132,候选导管审计!G:G,"edge_truncated")</f>
        <v/>
      </c>
      <c r="F132">
        <f>COUNTIF(导管对_CWR_172!B:B,A132)</f>
        <v/>
      </c>
      <c r="G132">
        <f>COUNTIF(TVW线测量明细!B:B,A132)</f>
        <v/>
      </c>
      <c r="H132" t="n">
        <v>0.2173913043478261</v>
      </c>
      <c r="I132" t="n">
        <v>691</v>
      </c>
      <c r="J132">
        <f>1024*I132*H132^2/1000000</f>
        <v/>
      </c>
      <c r="K132" t="inlineStr">
        <is>
          <t>同一样品的技术视野；不是独立生物学重复</t>
        </is>
      </c>
      <c r="L132" t="inlineStr">
        <is>
          <t>样品15</t>
        </is>
      </c>
    </row>
    <row r="133">
      <c r="A133" t="inlineStr">
        <is>
          <t>15 (8).tif</t>
        </is>
      </c>
      <c r="B133">
        <f>COUNTIF(导管母表_1781!B:B,A133)</f>
        <v/>
      </c>
      <c r="C133">
        <f>COUNTIFS(候选导管审计!B:B,A133,候选导管审计!G:G,"borderline")</f>
        <v/>
      </c>
      <c r="D133">
        <f>COUNTIFS(候选导管审计!B:B,A133,候选导管审计!G:G,"excluded")</f>
        <v/>
      </c>
      <c r="E133">
        <f>COUNTIFS(候选导管审计!B:B,A133,候选导管审计!G:G,"edge_truncated")</f>
        <v/>
      </c>
      <c r="F133">
        <f>COUNTIF(导管对_CWR_172!B:B,A133)</f>
        <v/>
      </c>
      <c r="G133">
        <f>COUNTIF(TVW线测量明细!B:B,A133)</f>
        <v/>
      </c>
      <c r="H133" t="n">
        <v>0.2173913043478261</v>
      </c>
      <c r="I133" t="n">
        <v>314</v>
      </c>
      <c r="J133">
        <f>1024*I133*H133^2/1000000</f>
        <v/>
      </c>
      <c r="K133" t="inlineStr">
        <is>
          <t>同一样品的技术视野；不是独立生物学重复</t>
        </is>
      </c>
      <c r="L133" t="inlineStr">
        <is>
          <t>样品15</t>
        </is>
      </c>
    </row>
    <row r="134">
      <c r="A134" t="inlineStr">
        <is>
          <t>16 (1).tif</t>
        </is>
      </c>
      <c r="B134">
        <f>COUNTIF(导管母表_1781!B:B,A134)</f>
        <v/>
      </c>
      <c r="C134">
        <f>COUNTIFS(候选导管审计!B:B,A134,候选导管审计!G:G,"borderline")</f>
        <v/>
      </c>
      <c r="D134">
        <f>COUNTIFS(候选导管审计!B:B,A134,候选导管审计!G:G,"excluded")</f>
        <v/>
      </c>
      <c r="E134">
        <f>COUNTIFS(候选导管审计!B:B,A134,候选导管审计!G:G,"edge_truncated")</f>
        <v/>
      </c>
      <c r="F134">
        <f>COUNTIF(导管对_CWR_172!B:B,A134)</f>
        <v/>
      </c>
      <c r="G134">
        <f>COUNTIF(TVW线测量明细!B:B,A134)</f>
        <v/>
      </c>
      <c r="H134" t="n">
        <v>0.2173913043478261</v>
      </c>
      <c r="I134" t="n">
        <v>691</v>
      </c>
      <c r="J134">
        <f>1024*I134*H134^2/1000000</f>
        <v/>
      </c>
      <c r="K134" t="inlineStr">
        <is>
          <t>同一样品的技术视野；不是独立生物学重复</t>
        </is>
      </c>
      <c r="L134" t="inlineStr">
        <is>
          <t>样品16</t>
        </is>
      </c>
    </row>
    <row r="135">
      <c r="A135" t="inlineStr">
        <is>
          <t>16 (2).tif</t>
        </is>
      </c>
      <c r="B135">
        <f>COUNTIF(导管母表_1781!B:B,A135)</f>
        <v/>
      </c>
      <c r="C135">
        <f>COUNTIFS(候选导管审计!B:B,A135,候选导管审计!G:G,"borderline")</f>
        <v/>
      </c>
      <c r="D135">
        <f>COUNTIFS(候选导管审计!B:B,A135,候选导管审计!G:G,"excluded")</f>
        <v/>
      </c>
      <c r="E135">
        <f>COUNTIFS(候选导管审计!B:B,A135,候选导管审计!G:G,"edge_truncated")</f>
        <v/>
      </c>
      <c r="F135">
        <f>COUNTIF(导管对_CWR_172!B:B,A135)</f>
        <v/>
      </c>
      <c r="G135">
        <f>COUNTIF(TVW线测量明细!B:B,A135)</f>
        <v/>
      </c>
      <c r="H135" t="n">
        <v>0.2173913043478261</v>
      </c>
      <c r="I135" t="n">
        <v>691</v>
      </c>
      <c r="J135">
        <f>1024*I135*H135^2/1000000</f>
        <v/>
      </c>
      <c r="K135" t="inlineStr">
        <is>
          <t>同一样品的技术视野；不是独立生物学重复</t>
        </is>
      </c>
      <c r="L135" t="inlineStr">
        <is>
          <t>样品16</t>
        </is>
      </c>
    </row>
    <row r="136">
      <c r="A136" t="inlineStr">
        <is>
          <t>16 (3).tif</t>
        </is>
      </c>
      <c r="B136">
        <f>COUNTIF(导管母表_1781!B:B,A136)</f>
        <v/>
      </c>
      <c r="C136">
        <f>COUNTIFS(候选导管审计!B:B,A136,候选导管审计!G:G,"borderline")</f>
        <v/>
      </c>
      <c r="D136">
        <f>COUNTIFS(候选导管审计!B:B,A136,候选导管审计!G:G,"excluded")</f>
        <v/>
      </c>
      <c r="E136">
        <f>COUNTIFS(候选导管审计!B:B,A136,候选导管审计!G:G,"edge_truncated")</f>
        <v/>
      </c>
      <c r="F136">
        <f>COUNTIF(导管对_CWR_172!B:B,A136)</f>
        <v/>
      </c>
      <c r="G136">
        <f>COUNTIF(TVW线测量明细!B:B,A136)</f>
        <v/>
      </c>
      <c r="H136" t="n">
        <v>0.2173913043478261</v>
      </c>
      <c r="I136" t="n">
        <v>213</v>
      </c>
      <c r="J136">
        <f>1024*I136*H136^2/1000000</f>
        <v/>
      </c>
      <c r="K136" t="inlineStr">
        <is>
          <t>同一样品的技术视野；不是独立生物学重复</t>
        </is>
      </c>
      <c r="L136" t="inlineStr">
        <is>
          <t>样品16</t>
        </is>
      </c>
    </row>
    <row r="137">
      <c r="A137" t="inlineStr">
        <is>
          <t>16 (4).tif</t>
        </is>
      </c>
      <c r="B137">
        <f>COUNTIF(导管母表_1781!B:B,A137)</f>
        <v/>
      </c>
      <c r="C137">
        <f>COUNTIFS(候选导管审计!B:B,A137,候选导管审计!G:G,"borderline")</f>
        <v/>
      </c>
      <c r="D137">
        <f>COUNTIFS(候选导管审计!B:B,A137,候选导管审计!G:G,"excluded")</f>
        <v/>
      </c>
      <c r="E137">
        <f>COUNTIFS(候选导管审计!B:B,A137,候选导管审计!G:G,"edge_truncated")</f>
        <v/>
      </c>
      <c r="F137">
        <f>COUNTIF(导管对_CWR_172!B:B,A137)</f>
        <v/>
      </c>
      <c r="G137">
        <f>COUNTIF(TVW线测量明细!B:B,A137)</f>
        <v/>
      </c>
      <c r="H137" t="n">
        <v>0.2173913043478261</v>
      </c>
      <c r="I137" t="n">
        <v>281</v>
      </c>
      <c r="J137">
        <f>1024*I137*H137^2/1000000</f>
        <v/>
      </c>
      <c r="K137" t="inlineStr">
        <is>
          <t>同一样品的技术视野；不是独立生物学重复</t>
        </is>
      </c>
      <c r="L137" t="inlineStr">
        <is>
          <t>样品16</t>
        </is>
      </c>
    </row>
    <row r="138">
      <c r="A138" t="inlineStr">
        <is>
          <t>16 (5).tif</t>
        </is>
      </c>
      <c r="B138">
        <f>COUNTIF(导管母表_1781!B:B,A138)</f>
        <v/>
      </c>
      <c r="C138">
        <f>COUNTIFS(候选导管审计!B:B,A138,候选导管审计!G:G,"borderline")</f>
        <v/>
      </c>
      <c r="D138">
        <f>COUNTIFS(候选导管审计!B:B,A138,候选导管审计!G:G,"excluded")</f>
        <v/>
      </c>
      <c r="E138">
        <f>COUNTIFS(候选导管审计!B:B,A138,候选导管审计!G:G,"edge_truncated")</f>
        <v/>
      </c>
      <c r="F138">
        <f>COUNTIF(导管对_CWR_172!B:B,A138)</f>
        <v/>
      </c>
      <c r="G138">
        <f>COUNTIF(TVW线测量明细!B:B,A138)</f>
        <v/>
      </c>
      <c r="H138" t="n">
        <v>0.2173913043478261</v>
      </c>
      <c r="I138" t="n">
        <v>319</v>
      </c>
      <c r="J138">
        <f>1024*I138*H138^2/1000000</f>
        <v/>
      </c>
      <c r="K138" t="inlineStr">
        <is>
          <t>同一样品的技术视野；不是独立生物学重复</t>
        </is>
      </c>
      <c r="L138" t="inlineStr">
        <is>
          <t>样品16</t>
        </is>
      </c>
    </row>
    <row r="139">
      <c r="A139" t="inlineStr">
        <is>
          <t>16 (6).tif</t>
        </is>
      </c>
      <c r="B139">
        <f>COUNTIF(导管母表_1781!B:B,A139)</f>
        <v/>
      </c>
      <c r="C139">
        <f>COUNTIFS(候选导管审计!B:B,A139,候选导管审计!G:G,"borderline")</f>
        <v/>
      </c>
      <c r="D139">
        <f>COUNTIFS(候选导管审计!B:B,A139,候选导管审计!G:G,"excluded")</f>
        <v/>
      </c>
      <c r="E139">
        <f>COUNTIFS(候选导管审计!B:B,A139,候选导管审计!G:G,"edge_truncated")</f>
        <v/>
      </c>
      <c r="F139">
        <f>COUNTIF(导管对_CWR_172!B:B,A139)</f>
        <v/>
      </c>
      <c r="G139">
        <f>COUNTIF(TVW线测量明细!B:B,A139)</f>
        <v/>
      </c>
      <c r="H139" t="n">
        <v>0.2173913043478261</v>
      </c>
      <c r="I139" t="n">
        <v>286</v>
      </c>
      <c r="J139">
        <f>1024*I139*H139^2/1000000</f>
        <v/>
      </c>
      <c r="K139" t="inlineStr">
        <is>
          <t>同一样品的技术视野；不是独立生物学重复</t>
        </is>
      </c>
      <c r="L139" t="inlineStr">
        <is>
          <t>样品16</t>
        </is>
      </c>
    </row>
    <row r="140">
      <c r="A140" t="inlineStr">
        <is>
          <t>17 (1).tif</t>
        </is>
      </c>
      <c r="B140">
        <f>COUNTIF(导管母表_1781!B:B,A140)</f>
        <v/>
      </c>
      <c r="C140">
        <f>COUNTIFS(候选导管审计!B:B,A140,候选导管审计!G:G,"borderline")</f>
        <v/>
      </c>
      <c r="D140">
        <f>COUNTIFS(候选导管审计!B:B,A140,候选导管审计!G:G,"excluded")</f>
        <v/>
      </c>
      <c r="E140">
        <f>COUNTIFS(候选导管审计!B:B,A140,候选导管审计!G:G,"edge_truncated")</f>
        <v/>
      </c>
      <c r="F140">
        <f>COUNTIF(导管对_CWR_172!B:B,A140)</f>
        <v/>
      </c>
      <c r="G140">
        <f>COUNTIF(TVW线测量明细!B:B,A140)</f>
        <v/>
      </c>
      <c r="H140" t="n">
        <v>0.2173913043478261</v>
      </c>
      <c r="I140" t="n">
        <v>691</v>
      </c>
      <c r="J140">
        <f>1024*I140*H140^2/1000000</f>
        <v/>
      </c>
      <c r="K140" t="inlineStr">
        <is>
          <t>同一样品的技术视野；不是独立生物学重复</t>
        </is>
      </c>
      <c r="L140" t="inlineStr">
        <is>
          <t>样品17</t>
        </is>
      </c>
    </row>
    <row r="141">
      <c r="A141" t="inlineStr">
        <is>
          <t>17 (2).tif</t>
        </is>
      </c>
      <c r="B141">
        <f>COUNTIF(导管母表_1781!B:B,A141)</f>
        <v/>
      </c>
      <c r="C141">
        <f>COUNTIFS(候选导管审计!B:B,A141,候选导管审计!G:G,"borderline")</f>
        <v/>
      </c>
      <c r="D141">
        <f>COUNTIFS(候选导管审计!B:B,A141,候选导管审计!G:G,"excluded")</f>
        <v/>
      </c>
      <c r="E141">
        <f>COUNTIFS(候选导管审计!B:B,A141,候选导管审计!G:G,"edge_truncated")</f>
        <v/>
      </c>
      <c r="F141">
        <f>COUNTIF(导管对_CWR_172!B:B,A141)</f>
        <v/>
      </c>
      <c r="G141">
        <f>COUNTIF(TVW线测量明细!B:B,A141)</f>
        <v/>
      </c>
      <c r="H141" t="n">
        <v>0.2173913043478261</v>
      </c>
      <c r="I141" t="n">
        <v>290</v>
      </c>
      <c r="J141">
        <f>1024*I141*H141^2/1000000</f>
        <v/>
      </c>
      <c r="K141" t="inlineStr">
        <is>
          <t>同一样品的技术视野；不是独立生物学重复</t>
        </is>
      </c>
      <c r="L141" t="inlineStr">
        <is>
          <t>样品17</t>
        </is>
      </c>
    </row>
    <row r="142">
      <c r="A142" t="inlineStr">
        <is>
          <t>17 (3).tif</t>
        </is>
      </c>
      <c r="B142">
        <f>COUNTIF(导管母表_1781!B:B,A142)</f>
        <v/>
      </c>
      <c r="C142">
        <f>COUNTIFS(候选导管审计!B:B,A142,候选导管审计!G:G,"borderline")</f>
        <v/>
      </c>
      <c r="D142">
        <f>COUNTIFS(候选导管审计!B:B,A142,候选导管审计!G:G,"excluded")</f>
        <v/>
      </c>
      <c r="E142">
        <f>COUNTIFS(候选导管审计!B:B,A142,候选导管审计!G:G,"edge_truncated")</f>
        <v/>
      </c>
      <c r="F142">
        <f>COUNTIF(导管对_CWR_172!B:B,A142)</f>
        <v/>
      </c>
      <c r="G142">
        <f>COUNTIF(TVW线测量明细!B:B,A142)</f>
        <v/>
      </c>
      <c r="H142" t="n">
        <v>0.2173913043478261</v>
      </c>
      <c r="I142" t="n">
        <v>691</v>
      </c>
      <c r="J142">
        <f>1024*I142*H142^2/1000000</f>
        <v/>
      </c>
      <c r="K142" t="inlineStr">
        <is>
          <t>同一样品的技术视野；不是独立生物学重复</t>
        </is>
      </c>
      <c r="L142" t="inlineStr">
        <is>
          <t>样品17</t>
        </is>
      </c>
    </row>
    <row r="143">
      <c r="A143" t="inlineStr">
        <is>
          <t>17 (4).tif</t>
        </is>
      </c>
      <c r="B143">
        <f>COUNTIF(导管母表_1781!B:B,A143)</f>
        <v/>
      </c>
      <c r="C143">
        <f>COUNTIFS(候选导管审计!B:B,A143,候选导管审计!G:G,"borderline")</f>
        <v/>
      </c>
      <c r="D143">
        <f>COUNTIFS(候选导管审计!B:B,A143,候选导管审计!G:G,"excluded")</f>
        <v/>
      </c>
      <c r="E143">
        <f>COUNTIFS(候选导管审计!B:B,A143,候选导管审计!G:G,"edge_truncated")</f>
        <v/>
      </c>
      <c r="F143">
        <f>COUNTIF(导管对_CWR_172!B:B,A143)</f>
        <v/>
      </c>
      <c r="G143">
        <f>COUNTIF(TVW线测量明细!B:B,A143)</f>
        <v/>
      </c>
      <c r="H143" t="n">
        <v>0.2173913043478261</v>
      </c>
      <c r="I143" t="n">
        <v>691</v>
      </c>
      <c r="J143">
        <f>1024*I143*H143^2/1000000</f>
        <v/>
      </c>
      <c r="K143" t="inlineStr">
        <is>
          <t>同一样品的技术视野；不是独立生物学重复</t>
        </is>
      </c>
      <c r="L143" t="inlineStr">
        <is>
          <t>样品17</t>
        </is>
      </c>
    </row>
    <row r="144">
      <c r="A144" t="inlineStr">
        <is>
          <t>17 (5).tif</t>
        </is>
      </c>
      <c r="B144">
        <f>COUNTIF(导管母表_1781!B:B,A144)</f>
        <v/>
      </c>
      <c r="C144">
        <f>COUNTIFS(候选导管审计!B:B,A144,候选导管审计!G:G,"borderline")</f>
        <v/>
      </c>
      <c r="D144">
        <f>COUNTIFS(候选导管审计!B:B,A144,候选导管审计!G:G,"excluded")</f>
        <v/>
      </c>
      <c r="E144">
        <f>COUNTIFS(候选导管审计!B:B,A144,候选导管审计!G:G,"edge_truncated")</f>
        <v/>
      </c>
      <c r="F144">
        <f>COUNTIF(导管对_CWR_172!B:B,A144)</f>
        <v/>
      </c>
      <c r="G144">
        <f>COUNTIF(TVW线测量明细!B:B,A144)</f>
        <v/>
      </c>
      <c r="H144" t="n">
        <v>0.2173913043478261</v>
      </c>
      <c r="I144" t="n">
        <v>183</v>
      </c>
      <c r="J144">
        <f>1024*I144*H144^2/1000000</f>
        <v/>
      </c>
      <c r="K144" t="inlineStr">
        <is>
          <t>同一样品的技术视野；不是独立生物学重复</t>
        </is>
      </c>
      <c r="L144" t="inlineStr">
        <is>
          <t>样品17</t>
        </is>
      </c>
    </row>
    <row r="145">
      <c r="A145" t="inlineStr">
        <is>
          <t>17 (6).tif</t>
        </is>
      </c>
      <c r="B145">
        <f>COUNTIF(导管母表_1781!B:B,A145)</f>
        <v/>
      </c>
      <c r="C145">
        <f>COUNTIFS(候选导管审计!B:B,A145,候选导管审计!G:G,"borderline")</f>
        <v/>
      </c>
      <c r="D145">
        <f>COUNTIFS(候选导管审计!B:B,A145,候选导管审计!G:G,"excluded")</f>
        <v/>
      </c>
      <c r="E145">
        <f>COUNTIFS(候选导管审计!B:B,A145,候选导管审计!G:G,"edge_truncated")</f>
        <v/>
      </c>
      <c r="F145">
        <f>COUNTIF(导管对_CWR_172!B:B,A145)</f>
        <v/>
      </c>
      <c r="G145">
        <f>COUNTIF(TVW线测量明细!B:B,A145)</f>
        <v/>
      </c>
      <c r="H145" t="n">
        <v>0.2173913043478261</v>
      </c>
      <c r="I145" t="n">
        <v>691</v>
      </c>
      <c r="J145">
        <f>1024*I145*H145^2/1000000</f>
        <v/>
      </c>
      <c r="K145" t="inlineStr">
        <is>
          <t>同一样品的技术视野；不是独立生物学重复</t>
        </is>
      </c>
      <c r="L145" t="inlineStr">
        <is>
          <t>样品17</t>
        </is>
      </c>
    </row>
    <row r="146">
      <c r="A146" t="inlineStr">
        <is>
          <t>17 (7).tif</t>
        </is>
      </c>
      <c r="B146">
        <f>COUNTIF(导管母表_1781!B:B,A146)</f>
        <v/>
      </c>
      <c r="C146">
        <f>COUNTIFS(候选导管审计!B:B,A146,候选导管审计!G:G,"borderline")</f>
        <v/>
      </c>
      <c r="D146">
        <f>COUNTIFS(候选导管审计!B:B,A146,候选导管审计!G:G,"excluded")</f>
        <v/>
      </c>
      <c r="E146">
        <f>COUNTIFS(候选导管审计!B:B,A146,候选导管审计!G:G,"edge_truncated")</f>
        <v/>
      </c>
      <c r="F146">
        <f>COUNTIF(导管对_CWR_172!B:B,A146)</f>
        <v/>
      </c>
      <c r="G146">
        <f>COUNTIF(TVW线测量明细!B:B,A146)</f>
        <v/>
      </c>
      <c r="H146" t="n">
        <v>0.2173913043478261</v>
      </c>
      <c r="I146" t="n">
        <v>199</v>
      </c>
      <c r="J146">
        <f>1024*I146*H146^2/1000000</f>
        <v/>
      </c>
      <c r="K146" t="inlineStr">
        <is>
          <t>同一样品的技术视野；不是独立生物学重复</t>
        </is>
      </c>
      <c r="L146" t="inlineStr">
        <is>
          <t>样品17</t>
        </is>
      </c>
    </row>
    <row r="147">
      <c r="A147" t="inlineStr">
        <is>
          <t>18 (1).tif</t>
        </is>
      </c>
      <c r="B147">
        <f>COUNTIF(导管母表_1781!B:B,A147)</f>
        <v/>
      </c>
      <c r="C147">
        <f>COUNTIFS(候选导管审计!B:B,A147,候选导管审计!G:G,"borderline")</f>
        <v/>
      </c>
      <c r="D147">
        <f>COUNTIFS(候选导管审计!B:B,A147,候选导管审计!G:G,"excluded")</f>
        <v/>
      </c>
      <c r="E147">
        <f>COUNTIFS(候选导管审计!B:B,A147,候选导管审计!G:G,"edge_truncated")</f>
        <v/>
      </c>
      <c r="F147">
        <f>COUNTIF(导管对_CWR_172!B:B,A147)</f>
        <v/>
      </c>
      <c r="G147">
        <f>COUNTIF(TVW线测量明细!B:B,A147)</f>
        <v/>
      </c>
      <c r="H147" t="n">
        <v>0.2173913043478261</v>
      </c>
      <c r="I147" t="n">
        <v>691</v>
      </c>
      <c r="J147">
        <f>1024*I147*H147^2/1000000</f>
        <v/>
      </c>
      <c r="K147" t="inlineStr">
        <is>
          <t>同一样品的技术视野；不是独立生物学重复</t>
        </is>
      </c>
      <c r="L147" t="inlineStr">
        <is>
          <t>样品18</t>
        </is>
      </c>
    </row>
    <row r="148">
      <c r="A148" t="inlineStr">
        <is>
          <t>18 (2).tif</t>
        </is>
      </c>
      <c r="B148">
        <f>COUNTIF(导管母表_1781!B:B,A148)</f>
        <v/>
      </c>
      <c r="C148">
        <f>COUNTIFS(候选导管审计!B:B,A148,候选导管审计!G:G,"borderline")</f>
        <v/>
      </c>
      <c r="D148">
        <f>COUNTIFS(候选导管审计!B:B,A148,候选导管审计!G:G,"excluded")</f>
        <v/>
      </c>
      <c r="E148">
        <f>COUNTIFS(候选导管审计!B:B,A148,候选导管审计!G:G,"edge_truncated")</f>
        <v/>
      </c>
      <c r="F148">
        <f>COUNTIF(导管对_CWR_172!B:B,A148)</f>
        <v/>
      </c>
      <c r="G148">
        <f>COUNTIF(TVW线测量明细!B:B,A148)</f>
        <v/>
      </c>
      <c r="H148" t="n">
        <v>0.2173913043478261</v>
      </c>
      <c r="I148" t="n">
        <v>691</v>
      </c>
      <c r="J148">
        <f>1024*I148*H148^2/1000000</f>
        <v/>
      </c>
      <c r="K148" t="inlineStr">
        <is>
          <t>同一样品的技术视野；不是独立生物学重复</t>
        </is>
      </c>
      <c r="L148" t="inlineStr">
        <is>
          <t>样品18</t>
        </is>
      </c>
    </row>
    <row r="149">
      <c r="A149" t="inlineStr">
        <is>
          <t>18 (3).tif</t>
        </is>
      </c>
      <c r="B149">
        <f>COUNTIF(导管母表_1781!B:B,A149)</f>
        <v/>
      </c>
      <c r="C149">
        <f>COUNTIFS(候选导管审计!B:B,A149,候选导管审计!G:G,"borderline")</f>
        <v/>
      </c>
      <c r="D149">
        <f>COUNTIFS(候选导管审计!B:B,A149,候选导管审计!G:G,"excluded")</f>
        <v/>
      </c>
      <c r="E149">
        <f>COUNTIFS(候选导管审计!B:B,A149,候选导管审计!G:G,"edge_truncated")</f>
        <v/>
      </c>
      <c r="F149">
        <f>COUNTIF(导管对_CWR_172!B:B,A149)</f>
        <v/>
      </c>
      <c r="G149">
        <f>COUNTIF(TVW线测量明细!B:B,A149)</f>
        <v/>
      </c>
      <c r="H149" t="n">
        <v>0.2173913043478261</v>
      </c>
      <c r="I149" t="n">
        <v>146</v>
      </c>
      <c r="J149">
        <f>1024*I149*H149^2/1000000</f>
        <v/>
      </c>
      <c r="K149" t="inlineStr">
        <is>
          <t>同一样品的技术视野；不是独立生物学重复</t>
        </is>
      </c>
      <c r="L149" t="inlineStr">
        <is>
          <t>样品18</t>
        </is>
      </c>
    </row>
    <row r="150">
      <c r="A150" t="inlineStr">
        <is>
          <t>18 (4).tif</t>
        </is>
      </c>
      <c r="B150">
        <f>COUNTIF(导管母表_1781!B:B,A150)</f>
        <v/>
      </c>
      <c r="C150">
        <f>COUNTIFS(候选导管审计!B:B,A150,候选导管审计!G:G,"borderline")</f>
        <v/>
      </c>
      <c r="D150">
        <f>COUNTIFS(候选导管审计!B:B,A150,候选导管审计!G:G,"excluded")</f>
        <v/>
      </c>
      <c r="E150">
        <f>COUNTIFS(候选导管审计!B:B,A150,候选导管审计!G:G,"edge_truncated")</f>
        <v/>
      </c>
      <c r="F150">
        <f>COUNTIF(导管对_CWR_172!B:B,A150)</f>
        <v/>
      </c>
      <c r="G150">
        <f>COUNTIF(TVW线测量明细!B:B,A150)</f>
        <v/>
      </c>
      <c r="H150" t="n">
        <v>0.2173913043478261</v>
      </c>
      <c r="I150" t="n">
        <v>691</v>
      </c>
      <c r="J150">
        <f>1024*I150*H150^2/1000000</f>
        <v/>
      </c>
      <c r="K150" t="inlineStr">
        <is>
          <t>同一样品的技术视野；不是独立生物学重复</t>
        </is>
      </c>
      <c r="L150" t="inlineStr">
        <is>
          <t>样品18</t>
        </is>
      </c>
    </row>
    <row r="151">
      <c r="A151" t="inlineStr">
        <is>
          <t>18 (5).tif</t>
        </is>
      </c>
      <c r="B151">
        <f>COUNTIF(导管母表_1781!B:B,A151)</f>
        <v/>
      </c>
      <c r="C151">
        <f>COUNTIFS(候选导管审计!B:B,A151,候选导管审计!G:G,"borderline")</f>
        <v/>
      </c>
      <c r="D151">
        <f>COUNTIFS(候选导管审计!B:B,A151,候选导管审计!G:G,"excluded")</f>
        <v/>
      </c>
      <c r="E151">
        <f>COUNTIFS(候选导管审计!B:B,A151,候选导管审计!G:G,"edge_truncated")</f>
        <v/>
      </c>
      <c r="F151">
        <f>COUNTIF(导管对_CWR_172!B:B,A151)</f>
        <v/>
      </c>
      <c r="G151">
        <f>COUNTIF(TVW线测量明细!B:B,A151)</f>
        <v/>
      </c>
      <c r="H151" t="n">
        <v>0.2173913043478261</v>
      </c>
      <c r="I151" t="n">
        <v>176</v>
      </c>
      <c r="J151">
        <f>1024*I151*H151^2/1000000</f>
        <v/>
      </c>
      <c r="K151" t="inlineStr">
        <is>
          <t>同一样品的技术视野；不是独立生物学重复</t>
        </is>
      </c>
      <c r="L151" t="inlineStr">
        <is>
          <t>样品18</t>
        </is>
      </c>
    </row>
    <row r="152">
      <c r="A152" t="inlineStr">
        <is>
          <t>18 (6).tif</t>
        </is>
      </c>
      <c r="B152">
        <f>COUNTIF(导管母表_1781!B:B,A152)</f>
        <v/>
      </c>
      <c r="C152">
        <f>COUNTIFS(候选导管审计!B:B,A152,候选导管审计!G:G,"borderline")</f>
        <v/>
      </c>
      <c r="D152">
        <f>COUNTIFS(候选导管审计!B:B,A152,候选导管审计!G:G,"excluded")</f>
        <v/>
      </c>
      <c r="E152">
        <f>COUNTIFS(候选导管审计!B:B,A152,候选导管审计!G:G,"edge_truncated")</f>
        <v/>
      </c>
      <c r="F152">
        <f>COUNTIF(导管对_CWR_172!B:B,A152)</f>
        <v/>
      </c>
      <c r="G152">
        <f>COUNTIF(TVW线测量明细!B:B,A152)</f>
        <v/>
      </c>
      <c r="H152" t="n">
        <v>0.2173913043478261</v>
      </c>
      <c r="I152" t="n">
        <v>248</v>
      </c>
      <c r="J152">
        <f>1024*I152*H152^2/1000000</f>
        <v/>
      </c>
      <c r="K152" t="inlineStr">
        <is>
          <t>同一样品的技术视野；不是独立生物学重复</t>
        </is>
      </c>
      <c r="L152" t="inlineStr">
        <is>
          <t>样品18</t>
        </is>
      </c>
    </row>
    <row r="153">
      <c r="A153" t="inlineStr">
        <is>
          <t>18 (7).tif</t>
        </is>
      </c>
      <c r="B153">
        <f>COUNTIF(导管母表_1781!B:B,A153)</f>
        <v/>
      </c>
      <c r="C153">
        <f>COUNTIFS(候选导管审计!B:B,A153,候选导管审计!G:G,"borderline")</f>
        <v/>
      </c>
      <c r="D153">
        <f>COUNTIFS(候选导管审计!B:B,A153,候选导管审计!G:G,"excluded")</f>
        <v/>
      </c>
      <c r="E153">
        <f>COUNTIFS(候选导管审计!B:B,A153,候选导管审计!G:G,"edge_truncated")</f>
        <v/>
      </c>
      <c r="F153">
        <f>COUNTIF(导管对_CWR_172!B:B,A153)</f>
        <v/>
      </c>
      <c r="G153">
        <f>COUNTIF(TVW线测量明细!B:B,A153)</f>
        <v/>
      </c>
      <c r="H153" t="n">
        <v>0.2173913043478261</v>
      </c>
      <c r="I153" t="n">
        <v>214</v>
      </c>
      <c r="J153">
        <f>1024*I153*H153^2/1000000</f>
        <v/>
      </c>
      <c r="K153" t="inlineStr">
        <is>
          <t>同一样品的技术视野；不是独立生物学重复</t>
        </is>
      </c>
      <c r="L153" t="inlineStr">
        <is>
          <t>样品18</t>
        </is>
      </c>
    </row>
    <row r="154">
      <c r="A154" t="inlineStr">
        <is>
          <t>18 (8).tif</t>
        </is>
      </c>
      <c r="B154">
        <f>COUNTIF(导管母表_1781!B:B,A154)</f>
        <v/>
      </c>
      <c r="C154">
        <f>COUNTIFS(候选导管审计!B:B,A154,候选导管审计!G:G,"borderline")</f>
        <v/>
      </c>
      <c r="D154">
        <f>COUNTIFS(候选导管审计!B:B,A154,候选导管审计!G:G,"excluded")</f>
        <v/>
      </c>
      <c r="E154">
        <f>COUNTIFS(候选导管审计!B:B,A154,候选导管审计!G:G,"edge_truncated")</f>
        <v/>
      </c>
      <c r="F154">
        <f>COUNTIF(导管对_CWR_172!B:B,A154)</f>
        <v/>
      </c>
      <c r="G154">
        <f>COUNTIF(TVW线测量明细!B:B,A154)</f>
        <v/>
      </c>
      <c r="H154" t="n">
        <v>0.2173913043478261</v>
      </c>
      <c r="I154" t="n">
        <v>691</v>
      </c>
      <c r="J154">
        <f>1024*I154*H154^2/1000000</f>
        <v/>
      </c>
      <c r="K154" t="inlineStr">
        <is>
          <t>同一样品的技术视野；不是独立生物学重复</t>
        </is>
      </c>
      <c r="L154" t="inlineStr">
        <is>
          <t>样品18</t>
        </is>
      </c>
    </row>
    <row r="155">
      <c r="A155" t="inlineStr">
        <is>
          <t>18 (9).tif</t>
        </is>
      </c>
      <c r="B155">
        <f>COUNTIF(导管母表_1781!B:B,A155)</f>
        <v/>
      </c>
      <c r="C155">
        <f>COUNTIFS(候选导管审计!B:B,A155,候选导管审计!G:G,"borderline")</f>
        <v/>
      </c>
      <c r="D155">
        <f>COUNTIFS(候选导管审计!B:B,A155,候选导管审计!G:G,"excluded")</f>
        <v/>
      </c>
      <c r="E155">
        <f>COUNTIFS(候选导管审计!B:B,A155,候选导管审计!G:G,"edge_truncated")</f>
        <v/>
      </c>
      <c r="F155">
        <f>COUNTIF(导管对_CWR_172!B:B,A155)</f>
        <v/>
      </c>
      <c r="G155">
        <f>COUNTIF(TVW线测量明细!B:B,A155)</f>
        <v/>
      </c>
      <c r="H155" t="n">
        <v>0.2173913043478261</v>
      </c>
      <c r="I155" t="n">
        <v>180</v>
      </c>
      <c r="J155">
        <f>1024*I155*H155^2/1000000</f>
        <v/>
      </c>
      <c r="K155" t="inlineStr">
        <is>
          <t>同一样品的技术视野；不是独立生物学重复</t>
        </is>
      </c>
      <c r="L155" t="inlineStr">
        <is>
          <t>样品18</t>
        </is>
      </c>
    </row>
    <row r="156">
      <c r="A156" t="inlineStr">
        <is>
          <t>18 (10).tif</t>
        </is>
      </c>
      <c r="B156">
        <f>COUNTIF(导管母表_1781!B:B,A156)</f>
        <v/>
      </c>
      <c r="C156">
        <f>COUNTIFS(候选导管审计!B:B,A156,候选导管审计!G:G,"borderline")</f>
        <v/>
      </c>
      <c r="D156">
        <f>COUNTIFS(候选导管审计!B:B,A156,候选导管审计!G:G,"excluded")</f>
        <v/>
      </c>
      <c r="E156">
        <f>COUNTIFS(候选导管审计!B:B,A156,候选导管审计!G:G,"edge_truncated")</f>
        <v/>
      </c>
      <c r="F156">
        <f>COUNTIF(导管对_CWR_172!B:B,A156)</f>
        <v/>
      </c>
      <c r="G156">
        <f>COUNTIF(TVW线测量明细!B:B,A156)</f>
        <v/>
      </c>
      <c r="H156" t="n">
        <v>0.2173913043478261</v>
      </c>
      <c r="I156" t="n">
        <v>260</v>
      </c>
      <c r="J156">
        <f>1024*I156*H156^2/1000000</f>
        <v/>
      </c>
      <c r="K156" t="inlineStr">
        <is>
          <t>同一样品的技术视野；不是独立生物学重复</t>
        </is>
      </c>
      <c r="L156" t="inlineStr">
        <is>
          <t>样品18</t>
        </is>
      </c>
    </row>
    <row r="157">
      <c r="A157" t="inlineStr">
        <is>
          <t>19 (1).tif</t>
        </is>
      </c>
      <c r="B157">
        <f>COUNTIF(导管母表_1781!B:B,A157)</f>
        <v/>
      </c>
      <c r="C157">
        <f>COUNTIFS(候选导管审计!B:B,A157,候选导管审计!G:G,"borderline")</f>
        <v/>
      </c>
      <c r="D157">
        <f>COUNTIFS(候选导管审计!B:B,A157,候选导管审计!G:G,"excluded")</f>
        <v/>
      </c>
      <c r="E157">
        <f>COUNTIFS(候选导管审计!B:B,A157,候选导管审计!G:G,"edge_truncated")</f>
        <v/>
      </c>
      <c r="F157">
        <f>COUNTIF(导管对_CWR_172!B:B,A157)</f>
        <v/>
      </c>
      <c r="G157">
        <f>COUNTIF(TVW线测量明细!B:B,A157)</f>
        <v/>
      </c>
      <c r="H157" t="n">
        <v>0.2173913043478261</v>
      </c>
      <c r="I157" t="n">
        <v>691</v>
      </c>
      <c r="J157">
        <f>1024*I157*H157^2/1000000</f>
        <v/>
      </c>
      <c r="K157" t="inlineStr">
        <is>
          <t>同一样品的技术视野；不是独立生物学重复</t>
        </is>
      </c>
      <c r="L157" t="inlineStr">
        <is>
          <t>样品19</t>
        </is>
      </c>
    </row>
    <row r="158">
      <c r="A158" t="inlineStr">
        <is>
          <t>19 (2).tif</t>
        </is>
      </c>
      <c r="B158">
        <f>COUNTIF(导管母表_1781!B:B,A158)</f>
        <v/>
      </c>
      <c r="C158">
        <f>COUNTIFS(候选导管审计!B:B,A158,候选导管审计!G:G,"borderline")</f>
        <v/>
      </c>
      <c r="D158">
        <f>COUNTIFS(候选导管审计!B:B,A158,候选导管审计!G:G,"excluded")</f>
        <v/>
      </c>
      <c r="E158">
        <f>COUNTIFS(候选导管审计!B:B,A158,候选导管审计!G:G,"edge_truncated")</f>
        <v/>
      </c>
      <c r="F158">
        <f>COUNTIF(导管对_CWR_172!B:B,A158)</f>
        <v/>
      </c>
      <c r="G158">
        <f>COUNTIF(TVW线测量明细!B:B,A158)</f>
        <v/>
      </c>
      <c r="H158" t="n">
        <v>0.2173913043478261</v>
      </c>
      <c r="I158" t="n">
        <v>691</v>
      </c>
      <c r="J158">
        <f>1024*I158*H158^2/1000000</f>
        <v/>
      </c>
      <c r="K158" t="inlineStr">
        <is>
          <t>同一样品的技术视野；不是独立生物学重复</t>
        </is>
      </c>
      <c r="L158" t="inlineStr">
        <is>
          <t>样品19</t>
        </is>
      </c>
    </row>
    <row r="159">
      <c r="A159" t="inlineStr">
        <is>
          <t>19 (3).tif</t>
        </is>
      </c>
      <c r="B159">
        <f>COUNTIF(导管母表_1781!B:B,A159)</f>
        <v/>
      </c>
      <c r="C159">
        <f>COUNTIFS(候选导管审计!B:B,A159,候选导管审计!G:G,"borderline")</f>
        <v/>
      </c>
      <c r="D159">
        <f>COUNTIFS(候选导管审计!B:B,A159,候选导管审计!G:G,"excluded")</f>
        <v/>
      </c>
      <c r="E159">
        <f>COUNTIFS(候选导管审计!B:B,A159,候选导管审计!G:G,"edge_truncated")</f>
        <v/>
      </c>
      <c r="F159">
        <f>COUNTIF(导管对_CWR_172!B:B,A159)</f>
        <v/>
      </c>
      <c r="G159">
        <f>COUNTIF(TVW线测量明细!B:B,A159)</f>
        <v/>
      </c>
      <c r="H159" t="n">
        <v>0.2173913043478261</v>
      </c>
      <c r="I159" t="n">
        <v>216</v>
      </c>
      <c r="J159">
        <f>1024*I159*H159^2/1000000</f>
        <v/>
      </c>
      <c r="K159" t="inlineStr">
        <is>
          <t>同一样品的技术视野；不是独立生物学重复</t>
        </is>
      </c>
      <c r="L159" t="inlineStr">
        <is>
          <t>样品19</t>
        </is>
      </c>
    </row>
    <row r="160">
      <c r="A160" t="inlineStr">
        <is>
          <t>19 (4).tif</t>
        </is>
      </c>
      <c r="B160">
        <f>COUNTIF(导管母表_1781!B:B,A160)</f>
        <v/>
      </c>
      <c r="C160">
        <f>COUNTIFS(候选导管审计!B:B,A160,候选导管审计!G:G,"borderline")</f>
        <v/>
      </c>
      <c r="D160">
        <f>COUNTIFS(候选导管审计!B:B,A160,候选导管审计!G:G,"excluded")</f>
        <v/>
      </c>
      <c r="E160">
        <f>COUNTIFS(候选导管审计!B:B,A160,候选导管审计!G:G,"edge_truncated")</f>
        <v/>
      </c>
      <c r="F160">
        <f>COUNTIF(导管对_CWR_172!B:B,A160)</f>
        <v/>
      </c>
      <c r="G160">
        <f>COUNTIF(TVW线测量明细!B:B,A160)</f>
        <v/>
      </c>
      <c r="H160" t="n">
        <v>0.2173913043478261</v>
      </c>
      <c r="I160" t="n">
        <v>256</v>
      </c>
      <c r="J160">
        <f>1024*I160*H160^2/1000000</f>
        <v/>
      </c>
      <c r="K160" t="inlineStr">
        <is>
          <t>同一样品的技术视野；不是独立生物学重复</t>
        </is>
      </c>
      <c r="L160" t="inlineStr">
        <is>
          <t>样品19</t>
        </is>
      </c>
    </row>
    <row r="161">
      <c r="A161" t="inlineStr">
        <is>
          <t>19 (5).tif</t>
        </is>
      </c>
      <c r="B161">
        <f>COUNTIF(导管母表_1781!B:B,A161)</f>
        <v/>
      </c>
      <c r="C161">
        <f>COUNTIFS(候选导管审计!B:B,A161,候选导管审计!G:G,"borderline")</f>
        <v/>
      </c>
      <c r="D161">
        <f>COUNTIFS(候选导管审计!B:B,A161,候选导管审计!G:G,"excluded")</f>
        <v/>
      </c>
      <c r="E161">
        <f>COUNTIFS(候选导管审计!B:B,A161,候选导管审计!G:G,"edge_truncated")</f>
        <v/>
      </c>
      <c r="F161">
        <f>COUNTIF(导管对_CWR_172!B:B,A161)</f>
        <v/>
      </c>
      <c r="G161">
        <f>COUNTIF(TVW线测量明细!B:B,A161)</f>
        <v/>
      </c>
      <c r="H161" t="n">
        <v>0.2173913043478261</v>
      </c>
      <c r="I161" t="n">
        <v>278</v>
      </c>
      <c r="J161">
        <f>1024*I161*H161^2/1000000</f>
        <v/>
      </c>
      <c r="K161" t="inlineStr">
        <is>
          <t>同一样品的技术视野；不是独立生物学重复</t>
        </is>
      </c>
      <c r="L161" t="inlineStr">
        <is>
          <t>样品19</t>
        </is>
      </c>
    </row>
    <row r="162">
      <c r="A162" t="inlineStr">
        <is>
          <t>19 (6).tif</t>
        </is>
      </c>
      <c r="B162">
        <f>COUNTIF(导管母表_1781!B:B,A162)</f>
        <v/>
      </c>
      <c r="C162">
        <f>COUNTIFS(候选导管审计!B:B,A162,候选导管审计!G:G,"borderline")</f>
        <v/>
      </c>
      <c r="D162">
        <f>COUNTIFS(候选导管审计!B:B,A162,候选导管审计!G:G,"excluded")</f>
        <v/>
      </c>
      <c r="E162">
        <f>COUNTIFS(候选导管审计!B:B,A162,候选导管审计!G:G,"edge_truncated")</f>
        <v/>
      </c>
      <c r="F162">
        <f>COUNTIF(导管对_CWR_172!B:B,A162)</f>
        <v/>
      </c>
      <c r="G162">
        <f>COUNTIF(TVW线测量明细!B:B,A162)</f>
        <v/>
      </c>
      <c r="H162" t="n">
        <v>0.2173913043478261</v>
      </c>
      <c r="I162" t="n">
        <v>247</v>
      </c>
      <c r="J162">
        <f>1024*I162*H162^2/1000000</f>
        <v/>
      </c>
      <c r="K162" t="inlineStr">
        <is>
          <t>同一样品的技术视野；不是独立生物学重复</t>
        </is>
      </c>
      <c r="L162" t="inlineStr">
        <is>
          <t>样品19</t>
        </is>
      </c>
    </row>
    <row r="163">
      <c r="A163" t="inlineStr">
        <is>
          <t>19 (7).tif</t>
        </is>
      </c>
      <c r="B163">
        <f>COUNTIF(导管母表_1781!B:B,A163)</f>
        <v/>
      </c>
      <c r="C163">
        <f>COUNTIFS(候选导管审计!B:B,A163,候选导管审计!G:G,"borderline")</f>
        <v/>
      </c>
      <c r="D163">
        <f>COUNTIFS(候选导管审计!B:B,A163,候选导管审计!G:G,"excluded")</f>
        <v/>
      </c>
      <c r="E163">
        <f>COUNTIFS(候选导管审计!B:B,A163,候选导管审计!G:G,"edge_truncated")</f>
        <v/>
      </c>
      <c r="F163">
        <f>COUNTIF(导管对_CWR_172!B:B,A163)</f>
        <v/>
      </c>
      <c r="G163">
        <f>COUNTIF(TVW线测量明细!B:B,A163)</f>
        <v/>
      </c>
      <c r="H163" t="n">
        <v>0.2173913043478261</v>
      </c>
      <c r="I163" t="n">
        <v>169</v>
      </c>
      <c r="J163">
        <f>1024*I163*H163^2/1000000</f>
        <v/>
      </c>
      <c r="K163" t="inlineStr">
        <is>
          <t>同一样品的技术视野；不是独立生物学重复</t>
        </is>
      </c>
      <c r="L163" t="inlineStr">
        <is>
          <t>样品19</t>
        </is>
      </c>
    </row>
    <row r="164">
      <c r="A164" t="inlineStr">
        <is>
          <t>19 (8).tif</t>
        </is>
      </c>
      <c r="B164">
        <f>COUNTIF(导管母表_1781!B:B,A164)</f>
        <v/>
      </c>
      <c r="C164">
        <f>COUNTIFS(候选导管审计!B:B,A164,候选导管审计!G:G,"borderline")</f>
        <v/>
      </c>
      <c r="D164">
        <f>COUNTIFS(候选导管审计!B:B,A164,候选导管审计!G:G,"excluded")</f>
        <v/>
      </c>
      <c r="E164">
        <f>COUNTIFS(候选导管审计!B:B,A164,候选导管审计!G:G,"edge_truncated")</f>
        <v/>
      </c>
      <c r="F164">
        <f>COUNTIF(导管对_CWR_172!B:B,A164)</f>
        <v/>
      </c>
      <c r="G164">
        <f>COUNTIF(TVW线测量明细!B:B,A164)</f>
        <v/>
      </c>
      <c r="H164" t="n">
        <v>0.2173913043478261</v>
      </c>
      <c r="I164" t="n">
        <v>691</v>
      </c>
      <c r="J164">
        <f>1024*I164*H164^2/1000000</f>
        <v/>
      </c>
      <c r="K164" t="inlineStr">
        <is>
          <t>同一样品的技术视野；不是独立生物学重复</t>
        </is>
      </c>
      <c r="L164" t="inlineStr">
        <is>
          <t>样品19</t>
        </is>
      </c>
    </row>
    <row r="165">
      <c r="A165" t="inlineStr">
        <is>
          <t>19 (9).tif</t>
        </is>
      </c>
      <c r="B165">
        <f>COUNTIF(导管母表_1781!B:B,A165)</f>
        <v/>
      </c>
      <c r="C165">
        <f>COUNTIFS(候选导管审计!B:B,A165,候选导管审计!G:G,"borderline")</f>
        <v/>
      </c>
      <c r="D165">
        <f>COUNTIFS(候选导管审计!B:B,A165,候选导管审计!G:G,"excluded")</f>
        <v/>
      </c>
      <c r="E165">
        <f>COUNTIFS(候选导管审计!B:B,A165,候选导管审计!G:G,"edge_truncated")</f>
        <v/>
      </c>
      <c r="F165">
        <f>COUNTIF(导管对_CWR_172!B:B,A165)</f>
        <v/>
      </c>
      <c r="G165">
        <f>COUNTIF(TVW线测量明细!B:B,A165)</f>
        <v/>
      </c>
      <c r="H165" t="n">
        <v>0.2173913043478261</v>
      </c>
      <c r="I165" t="n">
        <v>238</v>
      </c>
      <c r="J165">
        <f>1024*I165*H165^2/1000000</f>
        <v/>
      </c>
      <c r="K165" t="inlineStr">
        <is>
          <t>同一样品的技术视野；不是独立生物学重复</t>
        </is>
      </c>
      <c r="L165" t="inlineStr">
        <is>
          <t>样品19</t>
        </is>
      </c>
    </row>
    <row r="166">
      <c r="A166" t="inlineStr">
        <is>
          <t>19 (10).tif</t>
        </is>
      </c>
      <c r="B166">
        <f>COUNTIF(导管母表_1781!B:B,A166)</f>
        <v/>
      </c>
      <c r="C166">
        <f>COUNTIFS(候选导管审计!B:B,A166,候选导管审计!G:G,"borderline")</f>
        <v/>
      </c>
      <c r="D166">
        <f>COUNTIFS(候选导管审计!B:B,A166,候选导管审计!G:G,"excluded")</f>
        <v/>
      </c>
      <c r="E166">
        <f>COUNTIFS(候选导管审计!B:B,A166,候选导管审计!G:G,"edge_truncated")</f>
        <v/>
      </c>
      <c r="F166">
        <f>COUNTIF(导管对_CWR_172!B:B,A166)</f>
        <v/>
      </c>
      <c r="G166">
        <f>COUNTIF(TVW线测量明细!B:B,A166)</f>
        <v/>
      </c>
      <c r="H166" t="n">
        <v>0.2173913043478261</v>
      </c>
      <c r="I166" t="n">
        <v>691</v>
      </c>
      <c r="J166">
        <f>1024*I166*H166^2/1000000</f>
        <v/>
      </c>
      <c r="K166" t="inlineStr">
        <is>
          <t>同一样品的技术视野；不是独立生物学重复</t>
        </is>
      </c>
      <c r="L166" t="inlineStr">
        <is>
          <t>样品19</t>
        </is>
      </c>
    </row>
    <row r="167">
      <c r="A167" t="inlineStr">
        <is>
          <t>19 (11).tif</t>
        </is>
      </c>
      <c r="B167">
        <f>COUNTIF(导管母表_1781!B:B,A167)</f>
        <v/>
      </c>
      <c r="C167">
        <f>COUNTIFS(候选导管审计!B:B,A167,候选导管审计!G:G,"borderline")</f>
        <v/>
      </c>
      <c r="D167">
        <f>COUNTIFS(候选导管审计!B:B,A167,候选导管审计!G:G,"excluded")</f>
        <v/>
      </c>
      <c r="E167">
        <f>COUNTIFS(候选导管审计!B:B,A167,候选导管审计!G:G,"edge_truncated")</f>
        <v/>
      </c>
      <c r="F167">
        <f>COUNTIF(导管对_CWR_172!B:B,A167)</f>
        <v/>
      </c>
      <c r="G167">
        <f>COUNTIF(TVW线测量明细!B:B,A167)</f>
        <v/>
      </c>
      <c r="H167" t="n">
        <v>0.2173913043478261</v>
      </c>
      <c r="I167" t="n">
        <v>227</v>
      </c>
      <c r="J167">
        <f>1024*I167*H167^2/1000000</f>
        <v/>
      </c>
      <c r="K167" t="inlineStr">
        <is>
          <t>同一样品的技术视野；不是独立生物学重复</t>
        </is>
      </c>
      <c r="L167" t="inlineStr">
        <is>
          <t>样品19</t>
        </is>
      </c>
    </row>
    <row r="168">
      <c r="A168" t="inlineStr">
        <is>
          <t>19 (12).tif</t>
        </is>
      </c>
      <c r="B168">
        <f>COUNTIF(导管母表_1781!B:B,A168)</f>
        <v/>
      </c>
      <c r="C168">
        <f>COUNTIFS(候选导管审计!B:B,A168,候选导管审计!G:G,"borderline")</f>
        <v/>
      </c>
      <c r="D168">
        <f>COUNTIFS(候选导管审计!B:B,A168,候选导管审计!G:G,"excluded")</f>
        <v/>
      </c>
      <c r="E168">
        <f>COUNTIFS(候选导管审计!B:B,A168,候选导管审计!G:G,"edge_truncated")</f>
        <v/>
      </c>
      <c r="F168">
        <f>COUNTIF(导管对_CWR_172!B:B,A168)</f>
        <v/>
      </c>
      <c r="G168">
        <f>COUNTIF(TVW线测量明细!B:B,A168)</f>
        <v/>
      </c>
      <c r="H168" t="n">
        <v>0.2173913043478261</v>
      </c>
      <c r="I168" t="n">
        <v>691</v>
      </c>
      <c r="J168">
        <f>1024*I168*H168^2/1000000</f>
        <v/>
      </c>
      <c r="K168" t="inlineStr">
        <is>
          <t>同一样品的技术视野；不是独立生物学重复</t>
        </is>
      </c>
      <c r="L168" t="inlineStr">
        <is>
          <t>样品19</t>
        </is>
      </c>
    </row>
    <row r="169">
      <c r="A169" t="inlineStr">
        <is>
          <t>19 (13).tif</t>
        </is>
      </c>
      <c r="B169">
        <f>COUNTIF(导管母表_1781!B:B,A169)</f>
        <v/>
      </c>
      <c r="C169">
        <f>COUNTIFS(候选导管审计!B:B,A169,候选导管审计!G:G,"borderline")</f>
        <v/>
      </c>
      <c r="D169">
        <f>COUNTIFS(候选导管审计!B:B,A169,候选导管审计!G:G,"excluded")</f>
        <v/>
      </c>
      <c r="E169">
        <f>COUNTIFS(候选导管审计!B:B,A169,候选导管审计!G:G,"edge_truncated")</f>
        <v/>
      </c>
      <c r="F169">
        <f>COUNTIF(导管对_CWR_172!B:B,A169)</f>
        <v/>
      </c>
      <c r="G169">
        <f>COUNTIF(TVW线测量明细!B:B,A169)</f>
        <v/>
      </c>
      <c r="H169" t="n">
        <v>0.2173913043478261</v>
      </c>
      <c r="I169" t="n">
        <v>691</v>
      </c>
      <c r="J169">
        <f>1024*I169*H169^2/1000000</f>
        <v/>
      </c>
      <c r="K169" t="inlineStr">
        <is>
          <t>同一样品的技术视野；不是独立生物学重复</t>
        </is>
      </c>
      <c r="L169" t="inlineStr">
        <is>
          <t>样品19</t>
        </is>
      </c>
    </row>
    <row r="170">
      <c r="A170" t="inlineStr">
        <is>
          <t>19 (14).tif</t>
        </is>
      </c>
      <c r="B170">
        <f>COUNTIF(导管母表_1781!B:B,A170)</f>
        <v/>
      </c>
      <c r="C170">
        <f>COUNTIFS(候选导管审计!B:B,A170,候选导管审计!G:G,"borderline")</f>
        <v/>
      </c>
      <c r="D170">
        <f>COUNTIFS(候选导管审计!B:B,A170,候选导管审计!G:G,"excluded")</f>
        <v/>
      </c>
      <c r="E170">
        <f>COUNTIFS(候选导管审计!B:B,A170,候选导管审计!G:G,"edge_truncated")</f>
        <v/>
      </c>
      <c r="F170">
        <f>COUNTIF(导管对_CWR_172!B:B,A170)</f>
        <v/>
      </c>
      <c r="G170">
        <f>COUNTIF(TVW线测量明细!B:B,A170)</f>
        <v/>
      </c>
      <c r="H170" t="n">
        <v>0.2173913043478261</v>
      </c>
      <c r="I170" t="n">
        <v>270</v>
      </c>
      <c r="J170">
        <f>1024*I170*H170^2/1000000</f>
        <v/>
      </c>
      <c r="K170" t="inlineStr">
        <is>
          <t>同一样品的技术视野；不是独立生物学重复</t>
        </is>
      </c>
      <c r="L170" t="inlineStr">
        <is>
          <t>样品19</t>
        </is>
      </c>
    </row>
    <row r="171">
      <c r="A171" t="inlineStr">
        <is>
          <t>19 (15).tif</t>
        </is>
      </c>
      <c r="B171">
        <f>COUNTIF(导管母表_1781!B:B,A171)</f>
        <v/>
      </c>
      <c r="C171">
        <f>COUNTIFS(候选导管审计!B:B,A171,候选导管审计!G:G,"borderline")</f>
        <v/>
      </c>
      <c r="D171">
        <f>COUNTIFS(候选导管审计!B:B,A171,候选导管审计!G:G,"excluded")</f>
        <v/>
      </c>
      <c r="E171">
        <f>COUNTIFS(候选导管审计!B:B,A171,候选导管审计!G:G,"edge_truncated")</f>
        <v/>
      </c>
      <c r="F171">
        <f>COUNTIF(导管对_CWR_172!B:B,A171)</f>
        <v/>
      </c>
      <c r="G171">
        <f>COUNTIF(TVW线测量明细!B:B,A171)</f>
        <v/>
      </c>
      <c r="H171" t="n">
        <v>0.2173913043478261</v>
      </c>
      <c r="I171" t="n">
        <v>691</v>
      </c>
      <c r="J171">
        <f>1024*I171*H171^2/1000000</f>
        <v/>
      </c>
      <c r="K171" t="inlineStr">
        <is>
          <t>同一样品的技术视野；不是独立生物学重复</t>
        </is>
      </c>
      <c r="L171" t="inlineStr">
        <is>
          <t>样品19</t>
        </is>
      </c>
    </row>
    <row r="172">
      <c r="A172" t="inlineStr">
        <is>
          <t>19 (16).tif</t>
        </is>
      </c>
      <c r="B172">
        <f>COUNTIF(导管母表_1781!B:B,A172)</f>
        <v/>
      </c>
      <c r="C172">
        <f>COUNTIFS(候选导管审计!B:B,A172,候选导管审计!G:G,"borderline")</f>
        <v/>
      </c>
      <c r="D172">
        <f>COUNTIFS(候选导管审计!B:B,A172,候选导管审计!G:G,"excluded")</f>
        <v/>
      </c>
      <c r="E172">
        <f>COUNTIFS(候选导管审计!B:B,A172,候选导管审计!G:G,"edge_truncated")</f>
        <v/>
      </c>
      <c r="F172">
        <f>COUNTIF(导管对_CWR_172!B:B,A172)</f>
        <v/>
      </c>
      <c r="G172">
        <f>COUNTIF(TVW线测量明细!B:B,A172)</f>
        <v/>
      </c>
      <c r="H172" t="n">
        <v>0.2173913043478261</v>
      </c>
      <c r="I172" t="n">
        <v>341</v>
      </c>
      <c r="J172">
        <f>1024*I172*H172^2/1000000</f>
        <v/>
      </c>
      <c r="K172" t="inlineStr">
        <is>
          <t>同一样品的技术视野；不是独立生物学重复</t>
        </is>
      </c>
      <c r="L172" t="inlineStr">
        <is>
          <t>样品19</t>
        </is>
      </c>
    </row>
    <row r="173">
      <c r="A173" t="inlineStr">
        <is>
          <t>19 (17).tif</t>
        </is>
      </c>
      <c r="B173">
        <f>COUNTIF(导管母表_1781!B:B,A173)</f>
        <v/>
      </c>
      <c r="C173">
        <f>COUNTIFS(候选导管审计!B:B,A173,候选导管审计!G:G,"borderline")</f>
        <v/>
      </c>
      <c r="D173">
        <f>COUNTIFS(候选导管审计!B:B,A173,候选导管审计!G:G,"excluded")</f>
        <v/>
      </c>
      <c r="E173">
        <f>COUNTIFS(候选导管审计!B:B,A173,候选导管审计!G:G,"edge_truncated")</f>
        <v/>
      </c>
      <c r="F173">
        <f>COUNTIF(导管对_CWR_172!B:B,A173)</f>
        <v/>
      </c>
      <c r="G173">
        <f>COUNTIF(TVW线测量明细!B:B,A173)</f>
        <v/>
      </c>
      <c r="H173" t="n">
        <v>0.2173913043478261</v>
      </c>
      <c r="I173" t="n">
        <v>321</v>
      </c>
      <c r="J173">
        <f>1024*I173*H173^2/1000000</f>
        <v/>
      </c>
      <c r="K173" t="inlineStr">
        <is>
          <t>同一样品的技术视野；不是独立生物学重复</t>
        </is>
      </c>
      <c r="L173" t="inlineStr">
        <is>
          <t>样品19</t>
        </is>
      </c>
    </row>
    <row r="174">
      <c r="A174" t="inlineStr">
        <is>
          <t>20 (1).tif</t>
        </is>
      </c>
      <c r="B174">
        <f>COUNTIF(导管母表_1781!B:B,A174)</f>
        <v/>
      </c>
      <c r="C174">
        <f>COUNTIFS(候选导管审计!B:B,A174,候选导管审计!G:G,"borderline")</f>
        <v/>
      </c>
      <c r="D174">
        <f>COUNTIFS(候选导管审计!B:B,A174,候选导管审计!G:G,"excluded")</f>
        <v/>
      </c>
      <c r="E174">
        <f>COUNTIFS(候选导管审计!B:B,A174,候选导管审计!G:G,"edge_truncated")</f>
        <v/>
      </c>
      <c r="F174">
        <f>COUNTIF(导管对_CWR_172!B:B,A174)</f>
        <v/>
      </c>
      <c r="G174">
        <f>COUNTIF(TVW线测量明细!B:B,A174)</f>
        <v/>
      </c>
      <c r="H174" t="n">
        <v>0.2173913043478261</v>
      </c>
      <c r="I174" t="n">
        <v>691</v>
      </c>
      <c r="J174">
        <f>1024*I174*H174^2/1000000</f>
        <v/>
      </c>
      <c r="K174" t="inlineStr">
        <is>
          <t>同一样品的技术视野；不是独立生物学重复</t>
        </is>
      </c>
      <c r="L174" t="inlineStr">
        <is>
          <t>样品20</t>
        </is>
      </c>
    </row>
    <row r="175">
      <c r="A175" t="inlineStr">
        <is>
          <t>20 (2).tif</t>
        </is>
      </c>
      <c r="B175">
        <f>COUNTIF(导管母表_1781!B:B,A175)</f>
        <v/>
      </c>
      <c r="C175">
        <f>COUNTIFS(候选导管审计!B:B,A175,候选导管审计!G:G,"borderline")</f>
        <v/>
      </c>
      <c r="D175">
        <f>COUNTIFS(候选导管审计!B:B,A175,候选导管审计!G:G,"excluded")</f>
        <v/>
      </c>
      <c r="E175">
        <f>COUNTIFS(候选导管审计!B:B,A175,候选导管审计!G:G,"edge_truncated")</f>
        <v/>
      </c>
      <c r="F175">
        <f>COUNTIF(导管对_CWR_172!B:B,A175)</f>
        <v/>
      </c>
      <c r="G175">
        <f>COUNTIF(TVW线测量明细!B:B,A175)</f>
        <v/>
      </c>
      <c r="H175" t="n">
        <v>0.2173913043478261</v>
      </c>
      <c r="I175" t="n">
        <v>691</v>
      </c>
      <c r="J175">
        <f>1024*I175*H175^2/1000000</f>
        <v/>
      </c>
      <c r="K175" t="inlineStr">
        <is>
          <t>同一样品的技术视野；不是独立生物学重复</t>
        </is>
      </c>
      <c r="L175" t="inlineStr">
        <is>
          <t>样品20</t>
        </is>
      </c>
    </row>
    <row r="176">
      <c r="A176" t="inlineStr">
        <is>
          <t>20 (3).tif</t>
        </is>
      </c>
      <c r="B176">
        <f>COUNTIF(导管母表_1781!B:B,A176)</f>
        <v/>
      </c>
      <c r="C176">
        <f>COUNTIFS(候选导管审计!B:B,A176,候选导管审计!G:G,"borderline")</f>
        <v/>
      </c>
      <c r="D176">
        <f>COUNTIFS(候选导管审计!B:B,A176,候选导管审计!G:G,"excluded")</f>
        <v/>
      </c>
      <c r="E176">
        <f>COUNTIFS(候选导管审计!B:B,A176,候选导管审计!G:G,"edge_truncated")</f>
        <v/>
      </c>
      <c r="F176">
        <f>COUNTIF(导管对_CWR_172!B:B,A176)</f>
        <v/>
      </c>
      <c r="G176">
        <f>COUNTIF(TVW线测量明细!B:B,A176)</f>
        <v/>
      </c>
      <c r="H176" t="n">
        <v>0.2173913043478261</v>
      </c>
      <c r="I176" t="n">
        <v>691</v>
      </c>
      <c r="J176">
        <f>1024*I176*H176^2/1000000</f>
        <v/>
      </c>
      <c r="K176" t="inlineStr">
        <is>
          <t>同一样品的技术视野；不是独立生物学重复</t>
        </is>
      </c>
      <c r="L176" t="inlineStr">
        <is>
          <t>样品20</t>
        </is>
      </c>
    </row>
    <row r="177">
      <c r="A177" t="inlineStr">
        <is>
          <t>20 (4).tif</t>
        </is>
      </c>
      <c r="B177">
        <f>COUNTIF(导管母表_1781!B:B,A177)</f>
        <v/>
      </c>
      <c r="C177">
        <f>COUNTIFS(候选导管审计!B:B,A177,候选导管审计!G:G,"borderline")</f>
        <v/>
      </c>
      <c r="D177">
        <f>COUNTIFS(候选导管审计!B:B,A177,候选导管审计!G:G,"excluded")</f>
        <v/>
      </c>
      <c r="E177">
        <f>COUNTIFS(候选导管审计!B:B,A177,候选导管审计!G:G,"edge_truncated")</f>
        <v/>
      </c>
      <c r="F177">
        <f>COUNTIF(导管对_CWR_172!B:B,A177)</f>
        <v/>
      </c>
      <c r="G177">
        <f>COUNTIF(TVW线测量明细!B:B,A177)</f>
        <v/>
      </c>
      <c r="H177" t="n">
        <v>0.2173913043478261</v>
      </c>
      <c r="I177" t="n">
        <v>256</v>
      </c>
      <c r="J177">
        <f>1024*I177*H177^2/1000000</f>
        <v/>
      </c>
      <c r="K177" t="inlineStr">
        <is>
          <t>同一样品的技术视野；不是独立生物学重复</t>
        </is>
      </c>
      <c r="L177" t="inlineStr">
        <is>
          <t>样品20</t>
        </is>
      </c>
    </row>
    <row r="178">
      <c r="A178" t="inlineStr">
        <is>
          <t>20 (5).tif</t>
        </is>
      </c>
      <c r="B178">
        <f>COUNTIF(导管母表_1781!B:B,A178)</f>
        <v/>
      </c>
      <c r="C178">
        <f>COUNTIFS(候选导管审计!B:B,A178,候选导管审计!G:G,"borderline")</f>
        <v/>
      </c>
      <c r="D178">
        <f>COUNTIFS(候选导管审计!B:B,A178,候选导管审计!G:G,"excluded")</f>
        <v/>
      </c>
      <c r="E178">
        <f>COUNTIFS(候选导管审计!B:B,A178,候选导管审计!G:G,"edge_truncated")</f>
        <v/>
      </c>
      <c r="F178">
        <f>COUNTIF(导管对_CWR_172!B:B,A178)</f>
        <v/>
      </c>
      <c r="G178">
        <f>COUNTIF(TVW线测量明细!B:B,A178)</f>
        <v/>
      </c>
      <c r="H178" t="n">
        <v>0.2173913043478261</v>
      </c>
      <c r="I178" t="n">
        <v>691</v>
      </c>
      <c r="J178">
        <f>1024*I178*H178^2/1000000</f>
        <v/>
      </c>
      <c r="K178" t="inlineStr">
        <is>
          <t>同一样品的技术视野；不是独立生物学重复</t>
        </is>
      </c>
      <c r="L178" t="inlineStr">
        <is>
          <t>样品20</t>
        </is>
      </c>
    </row>
    <row r="179">
      <c r="A179" t="inlineStr">
        <is>
          <t>20 (6).tif</t>
        </is>
      </c>
      <c r="B179">
        <f>COUNTIF(导管母表_1781!B:B,A179)</f>
        <v/>
      </c>
      <c r="C179">
        <f>COUNTIFS(候选导管审计!B:B,A179,候选导管审计!G:G,"borderline")</f>
        <v/>
      </c>
      <c r="D179">
        <f>COUNTIFS(候选导管审计!B:B,A179,候选导管审计!G:G,"excluded")</f>
        <v/>
      </c>
      <c r="E179">
        <f>COUNTIFS(候选导管审计!B:B,A179,候选导管审计!G:G,"edge_truncated")</f>
        <v/>
      </c>
      <c r="F179">
        <f>COUNTIF(导管对_CWR_172!B:B,A179)</f>
        <v/>
      </c>
      <c r="G179">
        <f>COUNTIF(TVW线测量明细!B:B,A179)</f>
        <v/>
      </c>
      <c r="H179" t="n">
        <v>0.2173913043478261</v>
      </c>
      <c r="I179" t="n">
        <v>691</v>
      </c>
      <c r="J179">
        <f>1024*I179*H179^2/1000000</f>
        <v/>
      </c>
      <c r="K179" t="inlineStr">
        <is>
          <t>同一样品的技术视野；不是独立生物学重复</t>
        </is>
      </c>
      <c r="L179" t="inlineStr">
        <is>
          <t>样品20</t>
        </is>
      </c>
    </row>
    <row r="180">
      <c r="A180" t="inlineStr">
        <is>
          <t>20 (7).tif</t>
        </is>
      </c>
      <c r="B180">
        <f>COUNTIF(导管母表_1781!B:B,A180)</f>
        <v/>
      </c>
      <c r="C180">
        <f>COUNTIFS(候选导管审计!B:B,A180,候选导管审计!G:G,"borderline")</f>
        <v/>
      </c>
      <c r="D180">
        <f>COUNTIFS(候选导管审计!B:B,A180,候选导管审计!G:G,"excluded")</f>
        <v/>
      </c>
      <c r="E180">
        <f>COUNTIFS(候选导管审计!B:B,A180,候选导管审计!G:G,"edge_truncated")</f>
        <v/>
      </c>
      <c r="F180">
        <f>COUNTIF(导管对_CWR_172!B:B,A180)</f>
        <v/>
      </c>
      <c r="G180">
        <f>COUNTIF(TVW线测量明细!B:B,A180)</f>
        <v/>
      </c>
      <c r="H180" t="n">
        <v>0.2173913043478261</v>
      </c>
      <c r="I180" t="n">
        <v>184</v>
      </c>
      <c r="J180">
        <f>1024*I180*H180^2/1000000</f>
        <v/>
      </c>
      <c r="K180" t="inlineStr">
        <is>
          <t>同一样品的技术视野；不是独立生物学重复</t>
        </is>
      </c>
      <c r="L180" t="inlineStr">
        <is>
          <t>样品20</t>
        </is>
      </c>
    </row>
    <row r="181">
      <c r="A181" t="inlineStr">
        <is>
          <t>20 (8).tif</t>
        </is>
      </c>
      <c r="B181">
        <f>COUNTIF(导管母表_1781!B:B,A181)</f>
        <v/>
      </c>
      <c r="C181">
        <f>COUNTIFS(候选导管审计!B:B,A181,候选导管审计!G:G,"borderline")</f>
        <v/>
      </c>
      <c r="D181">
        <f>COUNTIFS(候选导管审计!B:B,A181,候选导管审计!G:G,"excluded")</f>
        <v/>
      </c>
      <c r="E181">
        <f>COUNTIFS(候选导管审计!B:B,A181,候选导管审计!G:G,"edge_truncated")</f>
        <v/>
      </c>
      <c r="F181">
        <f>COUNTIF(导管对_CWR_172!B:B,A181)</f>
        <v/>
      </c>
      <c r="G181">
        <f>COUNTIF(TVW线测量明细!B:B,A181)</f>
        <v/>
      </c>
      <c r="H181" t="n">
        <v>0.2173913043478261</v>
      </c>
      <c r="I181" t="n">
        <v>691</v>
      </c>
      <c r="J181">
        <f>1024*I181*H181^2/1000000</f>
        <v/>
      </c>
      <c r="K181" t="inlineStr">
        <is>
          <t>同一样品的技术视野；不是独立生物学重复</t>
        </is>
      </c>
      <c r="L181" t="inlineStr">
        <is>
          <t>样品20</t>
        </is>
      </c>
    </row>
    <row r="182">
      <c r="A182" t="inlineStr">
        <is>
          <t>21 (1).tif</t>
        </is>
      </c>
      <c r="B182">
        <f>COUNTIF(导管母表_1781!B:B,A182)</f>
        <v/>
      </c>
      <c r="C182">
        <f>COUNTIFS(候选导管审计!B:B,A182,候选导管审计!G:G,"borderline")</f>
        <v/>
      </c>
      <c r="D182">
        <f>COUNTIFS(候选导管审计!B:B,A182,候选导管审计!G:G,"excluded")</f>
        <v/>
      </c>
      <c r="E182">
        <f>COUNTIFS(候选导管审计!B:B,A182,候选导管审计!G:G,"edge_truncated")</f>
        <v/>
      </c>
      <c r="F182">
        <f>COUNTIF(导管对_CWR_172!B:B,A182)</f>
        <v/>
      </c>
      <c r="G182">
        <f>COUNTIF(TVW线测量明细!B:B,A182)</f>
        <v/>
      </c>
      <c r="H182" t="n">
        <v>0.2173913043478261</v>
      </c>
      <c r="I182" t="n">
        <v>201</v>
      </c>
      <c r="J182">
        <f>1024*I182*H182^2/1000000</f>
        <v/>
      </c>
      <c r="K182" t="inlineStr">
        <is>
          <t>同一样品的技术视野；不是独立生物学重复</t>
        </is>
      </c>
      <c r="L182" t="inlineStr">
        <is>
          <t>样品21</t>
        </is>
      </c>
    </row>
    <row r="183">
      <c r="A183" t="inlineStr">
        <is>
          <t>21 (2).tif</t>
        </is>
      </c>
      <c r="B183">
        <f>COUNTIF(导管母表_1781!B:B,A183)</f>
        <v/>
      </c>
      <c r="C183">
        <f>COUNTIFS(候选导管审计!B:B,A183,候选导管审计!G:G,"borderline")</f>
        <v/>
      </c>
      <c r="D183">
        <f>COUNTIFS(候选导管审计!B:B,A183,候选导管审计!G:G,"excluded")</f>
        <v/>
      </c>
      <c r="E183">
        <f>COUNTIFS(候选导管审计!B:B,A183,候选导管审计!G:G,"edge_truncated")</f>
        <v/>
      </c>
      <c r="F183">
        <f>COUNTIF(导管对_CWR_172!B:B,A183)</f>
        <v/>
      </c>
      <c r="G183">
        <f>COUNTIF(TVW线测量明细!B:B,A183)</f>
        <v/>
      </c>
      <c r="H183" t="n">
        <v>0.2173913043478261</v>
      </c>
      <c r="I183" t="n">
        <v>183</v>
      </c>
      <c r="J183">
        <f>1024*I183*H183^2/1000000</f>
        <v/>
      </c>
      <c r="K183" t="inlineStr">
        <is>
          <t>同一样品的技术视野；不是独立生物学重复</t>
        </is>
      </c>
      <c r="L183" t="inlineStr">
        <is>
          <t>样品21</t>
        </is>
      </c>
    </row>
    <row r="184">
      <c r="A184" t="inlineStr">
        <is>
          <t>21 (3).tif</t>
        </is>
      </c>
      <c r="B184">
        <f>COUNTIF(导管母表_1781!B:B,A184)</f>
        <v/>
      </c>
      <c r="C184">
        <f>COUNTIFS(候选导管审计!B:B,A184,候选导管审计!G:G,"borderline")</f>
        <v/>
      </c>
      <c r="D184">
        <f>COUNTIFS(候选导管审计!B:B,A184,候选导管审计!G:G,"excluded")</f>
        <v/>
      </c>
      <c r="E184">
        <f>COUNTIFS(候选导管审计!B:B,A184,候选导管审计!G:G,"edge_truncated")</f>
        <v/>
      </c>
      <c r="F184">
        <f>COUNTIF(导管对_CWR_172!B:B,A184)</f>
        <v/>
      </c>
      <c r="G184">
        <f>COUNTIF(TVW线测量明细!B:B,A184)</f>
        <v/>
      </c>
      <c r="H184" t="n">
        <v>0.2173913043478261</v>
      </c>
      <c r="I184" t="n">
        <v>249</v>
      </c>
      <c r="J184">
        <f>1024*I184*H184^2/1000000</f>
        <v/>
      </c>
      <c r="K184" t="inlineStr">
        <is>
          <t>同一样品的技术视野；不是独立生物学重复</t>
        </is>
      </c>
      <c r="L184" t="inlineStr">
        <is>
          <t>样品21</t>
        </is>
      </c>
    </row>
    <row r="185">
      <c r="A185" t="inlineStr">
        <is>
          <t>21 (4).tif</t>
        </is>
      </c>
      <c r="B185">
        <f>COUNTIF(导管母表_1781!B:B,A185)</f>
        <v/>
      </c>
      <c r="C185">
        <f>COUNTIFS(候选导管审计!B:B,A185,候选导管审计!G:G,"borderline")</f>
        <v/>
      </c>
      <c r="D185">
        <f>COUNTIFS(候选导管审计!B:B,A185,候选导管审计!G:G,"excluded")</f>
        <v/>
      </c>
      <c r="E185">
        <f>COUNTIFS(候选导管审计!B:B,A185,候选导管审计!G:G,"edge_truncated")</f>
        <v/>
      </c>
      <c r="F185">
        <f>COUNTIF(导管对_CWR_172!B:B,A185)</f>
        <v/>
      </c>
      <c r="G185">
        <f>COUNTIF(TVW线测量明细!B:B,A185)</f>
        <v/>
      </c>
      <c r="H185" t="n">
        <v>0.2173913043478261</v>
      </c>
      <c r="I185" t="n">
        <v>691</v>
      </c>
      <c r="J185">
        <f>1024*I185*H185^2/1000000</f>
        <v/>
      </c>
      <c r="K185" t="inlineStr">
        <is>
          <t>同一样品的技术视野；不是独立生物学重复</t>
        </is>
      </c>
      <c r="L185" t="inlineStr">
        <is>
          <t>样品21</t>
        </is>
      </c>
    </row>
    <row r="186">
      <c r="A186" t="inlineStr">
        <is>
          <t>21 (5).tif</t>
        </is>
      </c>
      <c r="B186">
        <f>COUNTIF(导管母表_1781!B:B,A186)</f>
        <v/>
      </c>
      <c r="C186">
        <f>COUNTIFS(候选导管审计!B:B,A186,候选导管审计!G:G,"borderline")</f>
        <v/>
      </c>
      <c r="D186">
        <f>COUNTIFS(候选导管审计!B:B,A186,候选导管审计!G:G,"excluded")</f>
        <v/>
      </c>
      <c r="E186">
        <f>COUNTIFS(候选导管审计!B:B,A186,候选导管审计!G:G,"edge_truncated")</f>
        <v/>
      </c>
      <c r="F186">
        <f>COUNTIF(导管对_CWR_172!B:B,A186)</f>
        <v/>
      </c>
      <c r="G186">
        <f>COUNTIF(TVW线测量明细!B:B,A186)</f>
        <v/>
      </c>
      <c r="H186" t="n">
        <v>0.2173913043478261</v>
      </c>
      <c r="I186" t="n">
        <v>691</v>
      </c>
      <c r="J186">
        <f>1024*I186*H186^2/1000000</f>
        <v/>
      </c>
      <c r="K186" t="inlineStr">
        <is>
          <t>同一样品的技术视野；不是独立生物学重复</t>
        </is>
      </c>
      <c r="L186" t="inlineStr">
        <is>
          <t>样品21</t>
        </is>
      </c>
    </row>
    <row r="187">
      <c r="A187" t="inlineStr">
        <is>
          <t>21 (6).tif</t>
        </is>
      </c>
      <c r="B187">
        <f>COUNTIF(导管母表_1781!B:B,A187)</f>
        <v/>
      </c>
      <c r="C187">
        <f>COUNTIFS(候选导管审计!B:B,A187,候选导管审计!G:G,"borderline")</f>
        <v/>
      </c>
      <c r="D187">
        <f>COUNTIFS(候选导管审计!B:B,A187,候选导管审计!G:G,"excluded")</f>
        <v/>
      </c>
      <c r="E187">
        <f>COUNTIFS(候选导管审计!B:B,A187,候选导管审计!G:G,"edge_truncated")</f>
        <v/>
      </c>
      <c r="F187">
        <f>COUNTIF(导管对_CWR_172!B:B,A187)</f>
        <v/>
      </c>
      <c r="G187">
        <f>COUNTIF(TVW线测量明细!B:B,A187)</f>
        <v/>
      </c>
      <c r="H187" t="n">
        <v>0.2173913043478261</v>
      </c>
      <c r="I187" t="n">
        <v>691</v>
      </c>
      <c r="J187">
        <f>1024*I187*H187^2/1000000</f>
        <v/>
      </c>
      <c r="K187" t="inlineStr">
        <is>
          <t>同一样品的技术视野；不是独立生物学重复</t>
        </is>
      </c>
      <c r="L187" t="inlineStr">
        <is>
          <t>样品21</t>
        </is>
      </c>
    </row>
    <row r="188">
      <c r="A188" t="inlineStr">
        <is>
          <t>21 (7).tif</t>
        </is>
      </c>
      <c r="B188">
        <f>COUNTIF(导管母表_1781!B:B,A188)</f>
        <v/>
      </c>
      <c r="C188">
        <f>COUNTIFS(候选导管审计!B:B,A188,候选导管审计!G:G,"borderline")</f>
        <v/>
      </c>
      <c r="D188">
        <f>COUNTIFS(候选导管审计!B:B,A188,候选导管审计!G:G,"excluded")</f>
        <v/>
      </c>
      <c r="E188">
        <f>COUNTIFS(候选导管审计!B:B,A188,候选导管审计!G:G,"edge_truncated")</f>
        <v/>
      </c>
      <c r="F188">
        <f>COUNTIF(导管对_CWR_172!B:B,A188)</f>
        <v/>
      </c>
      <c r="G188">
        <f>COUNTIF(TVW线测量明细!B:B,A188)</f>
        <v/>
      </c>
      <c r="H188" t="n">
        <v>0.2173913043478261</v>
      </c>
      <c r="I188" t="n">
        <v>198</v>
      </c>
      <c r="J188">
        <f>1024*I188*H188^2/1000000</f>
        <v/>
      </c>
      <c r="K188" t="inlineStr">
        <is>
          <t>同一样品的技术视野；不是独立生物学重复</t>
        </is>
      </c>
      <c r="L188" t="inlineStr">
        <is>
          <t>样品21</t>
        </is>
      </c>
    </row>
    <row r="189">
      <c r="A189" t="inlineStr">
        <is>
          <t>21 (8).tif</t>
        </is>
      </c>
      <c r="B189">
        <f>COUNTIF(导管母表_1781!B:B,A189)</f>
        <v/>
      </c>
      <c r="C189">
        <f>COUNTIFS(候选导管审计!B:B,A189,候选导管审计!G:G,"borderline")</f>
        <v/>
      </c>
      <c r="D189">
        <f>COUNTIFS(候选导管审计!B:B,A189,候选导管审计!G:G,"excluded")</f>
        <v/>
      </c>
      <c r="E189">
        <f>COUNTIFS(候选导管审计!B:B,A189,候选导管审计!G:G,"edge_truncated")</f>
        <v/>
      </c>
      <c r="F189">
        <f>COUNTIF(导管对_CWR_172!B:B,A189)</f>
        <v/>
      </c>
      <c r="G189">
        <f>COUNTIF(TVW线测量明细!B:B,A189)</f>
        <v/>
      </c>
      <c r="H189" t="n">
        <v>0.2173913043478261</v>
      </c>
      <c r="I189" t="n">
        <v>691</v>
      </c>
      <c r="J189">
        <f>1024*I189*H189^2/1000000</f>
        <v/>
      </c>
      <c r="K189" t="inlineStr">
        <is>
          <t>同一样品的技术视野；不是独立生物学重复</t>
        </is>
      </c>
      <c r="L189" t="inlineStr">
        <is>
          <t>样品21</t>
        </is>
      </c>
    </row>
    <row r="190">
      <c r="A190" t="inlineStr">
        <is>
          <t>22 (1).tif</t>
        </is>
      </c>
      <c r="B190">
        <f>COUNTIF(导管母表_1781!B:B,A190)</f>
        <v/>
      </c>
      <c r="C190">
        <f>COUNTIFS(候选导管审计!B:B,A190,候选导管审计!G:G,"borderline")</f>
        <v/>
      </c>
      <c r="D190">
        <f>COUNTIFS(候选导管审计!B:B,A190,候选导管审计!G:G,"excluded")</f>
        <v/>
      </c>
      <c r="E190">
        <f>COUNTIFS(候选导管审计!B:B,A190,候选导管审计!G:G,"edge_truncated")</f>
        <v/>
      </c>
      <c r="F190">
        <f>COUNTIF(导管对_CWR_172!B:B,A190)</f>
        <v/>
      </c>
      <c r="G190">
        <f>COUNTIF(TVW线测量明细!B:B,A190)</f>
        <v/>
      </c>
      <c r="H190" t="n">
        <v>0.2173913043478261</v>
      </c>
      <c r="I190" t="n">
        <v>691</v>
      </c>
      <c r="J190">
        <f>1024*I190*H190^2/1000000</f>
        <v/>
      </c>
      <c r="K190" t="inlineStr">
        <is>
          <t>同一样品的技术视野；不是独立生物学重复</t>
        </is>
      </c>
      <c r="L190" t="inlineStr">
        <is>
          <t>样品22</t>
        </is>
      </c>
    </row>
    <row r="191">
      <c r="A191" t="inlineStr">
        <is>
          <t>22 (2).tif</t>
        </is>
      </c>
      <c r="B191">
        <f>COUNTIF(导管母表_1781!B:B,A191)</f>
        <v/>
      </c>
      <c r="C191">
        <f>COUNTIFS(候选导管审计!B:B,A191,候选导管审计!G:G,"borderline")</f>
        <v/>
      </c>
      <c r="D191">
        <f>COUNTIFS(候选导管审计!B:B,A191,候选导管审计!G:G,"excluded")</f>
        <v/>
      </c>
      <c r="E191">
        <f>COUNTIFS(候选导管审计!B:B,A191,候选导管审计!G:G,"edge_truncated")</f>
        <v/>
      </c>
      <c r="F191">
        <f>COUNTIF(导管对_CWR_172!B:B,A191)</f>
        <v/>
      </c>
      <c r="G191">
        <f>COUNTIF(TVW线测量明细!B:B,A191)</f>
        <v/>
      </c>
      <c r="H191" t="n">
        <v>0.2173913043478261</v>
      </c>
      <c r="I191" t="n">
        <v>691</v>
      </c>
      <c r="J191">
        <f>1024*I191*H191^2/1000000</f>
        <v/>
      </c>
      <c r="K191" t="inlineStr">
        <is>
          <t>同一样品的技术视野；不是独立生物学重复</t>
        </is>
      </c>
      <c r="L191" t="inlineStr">
        <is>
          <t>样品22</t>
        </is>
      </c>
    </row>
    <row r="192">
      <c r="A192" t="inlineStr">
        <is>
          <t>22 (3).tif</t>
        </is>
      </c>
      <c r="B192">
        <f>COUNTIF(导管母表_1781!B:B,A192)</f>
        <v/>
      </c>
      <c r="C192">
        <f>COUNTIFS(候选导管审计!B:B,A192,候选导管审计!G:G,"borderline")</f>
        <v/>
      </c>
      <c r="D192">
        <f>COUNTIFS(候选导管审计!B:B,A192,候选导管审计!G:G,"excluded")</f>
        <v/>
      </c>
      <c r="E192">
        <f>COUNTIFS(候选导管审计!B:B,A192,候选导管审计!G:G,"edge_truncated")</f>
        <v/>
      </c>
      <c r="F192">
        <f>COUNTIF(导管对_CWR_172!B:B,A192)</f>
        <v/>
      </c>
      <c r="G192">
        <f>COUNTIF(TVW线测量明细!B:B,A192)</f>
        <v/>
      </c>
      <c r="H192" t="n">
        <v>0.2173913043478261</v>
      </c>
      <c r="I192" t="n">
        <v>691</v>
      </c>
      <c r="J192">
        <f>1024*I192*H192^2/1000000</f>
        <v/>
      </c>
      <c r="K192" t="inlineStr">
        <is>
          <t>同一样品的技术视野；不是独立生物学重复</t>
        </is>
      </c>
      <c r="L192" t="inlineStr">
        <is>
          <t>样品22</t>
        </is>
      </c>
    </row>
    <row r="193">
      <c r="A193" t="inlineStr">
        <is>
          <t>22 (4).tif</t>
        </is>
      </c>
      <c r="B193">
        <f>COUNTIF(导管母表_1781!B:B,A193)</f>
        <v/>
      </c>
      <c r="C193">
        <f>COUNTIFS(候选导管审计!B:B,A193,候选导管审计!G:G,"borderline")</f>
        <v/>
      </c>
      <c r="D193">
        <f>COUNTIFS(候选导管审计!B:B,A193,候选导管审计!G:G,"excluded")</f>
        <v/>
      </c>
      <c r="E193">
        <f>COUNTIFS(候选导管审计!B:B,A193,候选导管审计!G:G,"edge_truncated")</f>
        <v/>
      </c>
      <c r="F193">
        <f>COUNTIF(导管对_CWR_172!B:B,A193)</f>
        <v/>
      </c>
      <c r="G193">
        <f>COUNTIF(TVW线测量明细!B:B,A193)</f>
        <v/>
      </c>
      <c r="H193" t="n">
        <v>0.2173913043478261</v>
      </c>
      <c r="I193" t="n">
        <v>691</v>
      </c>
      <c r="J193">
        <f>1024*I193*H193^2/1000000</f>
        <v/>
      </c>
      <c r="K193" t="inlineStr">
        <is>
          <t>同一样品的技术视野；不是独立生物学重复</t>
        </is>
      </c>
      <c r="L193" t="inlineStr">
        <is>
          <t>样品22</t>
        </is>
      </c>
    </row>
    <row r="194">
      <c r="A194" t="inlineStr">
        <is>
          <t>22 (5).tif</t>
        </is>
      </c>
      <c r="B194">
        <f>COUNTIF(导管母表_1781!B:B,A194)</f>
        <v/>
      </c>
      <c r="C194">
        <f>COUNTIFS(候选导管审计!B:B,A194,候选导管审计!G:G,"borderline")</f>
        <v/>
      </c>
      <c r="D194">
        <f>COUNTIFS(候选导管审计!B:B,A194,候选导管审计!G:G,"excluded")</f>
        <v/>
      </c>
      <c r="E194">
        <f>COUNTIFS(候选导管审计!B:B,A194,候选导管审计!G:G,"edge_truncated")</f>
        <v/>
      </c>
      <c r="F194">
        <f>COUNTIF(导管对_CWR_172!B:B,A194)</f>
        <v/>
      </c>
      <c r="G194">
        <f>COUNTIF(TVW线测量明细!B:B,A194)</f>
        <v/>
      </c>
      <c r="H194" t="n">
        <v>0.2173913043478261</v>
      </c>
      <c r="I194" t="n">
        <v>269</v>
      </c>
      <c r="J194">
        <f>1024*I194*H194^2/1000000</f>
        <v/>
      </c>
      <c r="K194" t="inlineStr">
        <is>
          <t>同一样品的技术视野；不是独立生物学重复</t>
        </is>
      </c>
      <c r="L194" t="inlineStr">
        <is>
          <t>样品22</t>
        </is>
      </c>
    </row>
    <row r="195">
      <c r="A195" t="inlineStr">
        <is>
          <t>22 (6).tif</t>
        </is>
      </c>
      <c r="B195">
        <f>COUNTIF(导管母表_1781!B:B,A195)</f>
        <v/>
      </c>
      <c r="C195">
        <f>COUNTIFS(候选导管审计!B:B,A195,候选导管审计!G:G,"borderline")</f>
        <v/>
      </c>
      <c r="D195">
        <f>COUNTIFS(候选导管审计!B:B,A195,候选导管审计!G:G,"excluded")</f>
        <v/>
      </c>
      <c r="E195">
        <f>COUNTIFS(候选导管审计!B:B,A195,候选导管审计!G:G,"edge_truncated")</f>
        <v/>
      </c>
      <c r="F195">
        <f>COUNTIF(导管对_CWR_172!B:B,A195)</f>
        <v/>
      </c>
      <c r="G195">
        <f>COUNTIF(TVW线测量明细!B:B,A195)</f>
        <v/>
      </c>
      <c r="H195" t="n">
        <v>0.2173913043478261</v>
      </c>
      <c r="I195" t="n">
        <v>691</v>
      </c>
      <c r="J195">
        <f>1024*I195*H195^2/1000000</f>
        <v/>
      </c>
      <c r="K195" t="inlineStr">
        <is>
          <t>同一样品的技术视野；不是独立生物学重复</t>
        </is>
      </c>
      <c r="L195" t="inlineStr">
        <is>
          <t>样品22</t>
        </is>
      </c>
    </row>
    <row r="196">
      <c r="A196" t="inlineStr">
        <is>
          <t>22 (7).tif</t>
        </is>
      </c>
      <c r="B196">
        <f>COUNTIF(导管母表_1781!B:B,A196)</f>
        <v/>
      </c>
      <c r="C196">
        <f>COUNTIFS(候选导管审计!B:B,A196,候选导管审计!G:G,"borderline")</f>
        <v/>
      </c>
      <c r="D196">
        <f>COUNTIFS(候选导管审计!B:B,A196,候选导管审计!G:G,"excluded")</f>
        <v/>
      </c>
      <c r="E196">
        <f>COUNTIFS(候选导管审计!B:B,A196,候选导管审计!G:G,"edge_truncated")</f>
        <v/>
      </c>
      <c r="F196">
        <f>COUNTIF(导管对_CWR_172!B:B,A196)</f>
        <v/>
      </c>
      <c r="G196">
        <f>COUNTIF(TVW线测量明细!B:B,A196)</f>
        <v/>
      </c>
      <c r="H196" t="n">
        <v>0.2173913043478261</v>
      </c>
      <c r="I196" t="n">
        <v>220</v>
      </c>
      <c r="J196">
        <f>1024*I196*H196^2/1000000</f>
        <v/>
      </c>
      <c r="K196" t="inlineStr">
        <is>
          <t>同一样品的技术视野；不是独立生物学重复</t>
        </is>
      </c>
      <c r="L196" t="inlineStr">
        <is>
          <t>样品22</t>
        </is>
      </c>
    </row>
    <row r="197">
      <c r="A197" t="inlineStr">
        <is>
          <t>22 (8).tif</t>
        </is>
      </c>
      <c r="B197">
        <f>COUNTIF(导管母表_1781!B:B,A197)</f>
        <v/>
      </c>
      <c r="C197">
        <f>COUNTIFS(候选导管审计!B:B,A197,候选导管审计!G:G,"borderline")</f>
        <v/>
      </c>
      <c r="D197">
        <f>COUNTIFS(候选导管审计!B:B,A197,候选导管审计!G:G,"excluded")</f>
        <v/>
      </c>
      <c r="E197">
        <f>COUNTIFS(候选导管审计!B:B,A197,候选导管审计!G:G,"edge_truncated")</f>
        <v/>
      </c>
      <c r="F197">
        <f>COUNTIF(导管对_CWR_172!B:B,A197)</f>
        <v/>
      </c>
      <c r="G197">
        <f>COUNTIF(TVW线测量明细!B:B,A197)</f>
        <v/>
      </c>
      <c r="H197" t="n">
        <v>0.2173913043478261</v>
      </c>
      <c r="I197" t="n">
        <v>240</v>
      </c>
      <c r="J197">
        <f>1024*I197*H197^2/1000000</f>
        <v/>
      </c>
      <c r="K197" t="inlineStr">
        <is>
          <t>同一样品的技术视野；不是独立生物学重复</t>
        </is>
      </c>
      <c r="L197" t="inlineStr">
        <is>
          <t>样品22</t>
        </is>
      </c>
    </row>
    <row r="198">
      <c r="A198" t="inlineStr">
        <is>
          <t>23 (1).tif</t>
        </is>
      </c>
      <c r="B198">
        <f>COUNTIF(导管母表_1781!B:B,A198)</f>
        <v/>
      </c>
      <c r="C198">
        <f>COUNTIFS(候选导管审计!B:B,A198,候选导管审计!G:G,"borderline")</f>
        <v/>
      </c>
      <c r="D198">
        <f>COUNTIFS(候选导管审计!B:B,A198,候选导管审计!G:G,"excluded")</f>
        <v/>
      </c>
      <c r="E198">
        <f>COUNTIFS(候选导管审计!B:B,A198,候选导管审计!G:G,"edge_truncated")</f>
        <v/>
      </c>
      <c r="F198">
        <f>COUNTIF(导管对_CWR_172!B:B,A198)</f>
        <v/>
      </c>
      <c r="G198">
        <f>COUNTIF(TVW线测量明细!B:B,A198)</f>
        <v/>
      </c>
      <c r="H198" t="n">
        <v>0.2173913043478261</v>
      </c>
      <c r="I198" t="n">
        <v>691</v>
      </c>
      <c r="J198">
        <f>1024*I198*H198^2/1000000</f>
        <v/>
      </c>
      <c r="K198" t="inlineStr">
        <is>
          <t>同一样品的技术视野；不是独立生物学重复</t>
        </is>
      </c>
      <c r="L198" t="inlineStr">
        <is>
          <t>样品23</t>
        </is>
      </c>
    </row>
    <row r="199">
      <c r="A199" t="inlineStr">
        <is>
          <t>23 (2).tif</t>
        </is>
      </c>
      <c r="B199">
        <f>COUNTIF(导管母表_1781!B:B,A199)</f>
        <v/>
      </c>
      <c r="C199">
        <f>COUNTIFS(候选导管审计!B:B,A199,候选导管审计!G:G,"borderline")</f>
        <v/>
      </c>
      <c r="D199">
        <f>COUNTIFS(候选导管审计!B:B,A199,候选导管审计!G:G,"excluded")</f>
        <v/>
      </c>
      <c r="E199">
        <f>COUNTIFS(候选导管审计!B:B,A199,候选导管审计!G:G,"edge_truncated")</f>
        <v/>
      </c>
      <c r="F199">
        <f>COUNTIF(导管对_CWR_172!B:B,A199)</f>
        <v/>
      </c>
      <c r="G199">
        <f>COUNTIF(TVW线测量明细!B:B,A199)</f>
        <v/>
      </c>
      <c r="H199" t="n">
        <v>0.2173913043478261</v>
      </c>
      <c r="I199" t="n">
        <v>691</v>
      </c>
      <c r="J199">
        <f>1024*I199*H199^2/1000000</f>
        <v/>
      </c>
      <c r="K199" t="inlineStr">
        <is>
          <t>同一样品的技术视野；不是独立生物学重复</t>
        </is>
      </c>
      <c r="L199" t="inlineStr">
        <is>
          <t>样品23</t>
        </is>
      </c>
    </row>
    <row r="200">
      <c r="A200" t="inlineStr">
        <is>
          <t>23 (3).tif</t>
        </is>
      </c>
      <c r="B200">
        <f>COUNTIF(导管母表_1781!B:B,A200)</f>
        <v/>
      </c>
      <c r="C200">
        <f>COUNTIFS(候选导管审计!B:B,A200,候选导管审计!G:G,"borderline")</f>
        <v/>
      </c>
      <c r="D200">
        <f>COUNTIFS(候选导管审计!B:B,A200,候选导管审计!G:G,"excluded")</f>
        <v/>
      </c>
      <c r="E200">
        <f>COUNTIFS(候选导管审计!B:B,A200,候选导管审计!G:G,"edge_truncated")</f>
        <v/>
      </c>
      <c r="F200">
        <f>COUNTIF(导管对_CWR_172!B:B,A200)</f>
        <v/>
      </c>
      <c r="G200">
        <f>COUNTIF(TVW线测量明细!B:B,A200)</f>
        <v/>
      </c>
      <c r="H200" t="n">
        <v>0.2173913043478261</v>
      </c>
      <c r="I200" t="n">
        <v>220</v>
      </c>
      <c r="J200">
        <f>1024*I200*H200^2/1000000</f>
        <v/>
      </c>
      <c r="K200" t="inlineStr">
        <is>
          <t>同一样品的技术视野；不是独立生物学重复</t>
        </is>
      </c>
      <c r="L200" t="inlineStr">
        <is>
          <t>样品23</t>
        </is>
      </c>
    </row>
    <row r="201">
      <c r="A201" t="inlineStr">
        <is>
          <t>23 (4).tif</t>
        </is>
      </c>
      <c r="B201">
        <f>COUNTIF(导管母表_1781!B:B,A201)</f>
        <v/>
      </c>
      <c r="C201">
        <f>COUNTIFS(候选导管审计!B:B,A201,候选导管审计!G:G,"borderline")</f>
        <v/>
      </c>
      <c r="D201">
        <f>COUNTIFS(候选导管审计!B:B,A201,候选导管审计!G:G,"excluded")</f>
        <v/>
      </c>
      <c r="E201">
        <f>COUNTIFS(候选导管审计!B:B,A201,候选导管审计!G:G,"edge_truncated")</f>
        <v/>
      </c>
      <c r="F201">
        <f>COUNTIF(导管对_CWR_172!B:B,A201)</f>
        <v/>
      </c>
      <c r="G201">
        <f>COUNTIF(TVW线测量明细!B:B,A201)</f>
        <v/>
      </c>
      <c r="H201" t="n">
        <v>0.2173913043478261</v>
      </c>
      <c r="I201" t="n">
        <v>691</v>
      </c>
      <c r="J201">
        <f>1024*I201*H201^2/1000000</f>
        <v/>
      </c>
      <c r="K201" t="inlineStr">
        <is>
          <t>同一样品的技术视野；不是独立生物学重复</t>
        </is>
      </c>
      <c r="L201" t="inlineStr">
        <is>
          <t>样品23</t>
        </is>
      </c>
    </row>
    <row r="202">
      <c r="A202" t="inlineStr">
        <is>
          <t>23 (5).tif</t>
        </is>
      </c>
      <c r="B202">
        <f>COUNTIF(导管母表_1781!B:B,A202)</f>
        <v/>
      </c>
      <c r="C202">
        <f>COUNTIFS(候选导管审计!B:B,A202,候选导管审计!G:G,"borderline")</f>
        <v/>
      </c>
      <c r="D202">
        <f>COUNTIFS(候选导管审计!B:B,A202,候选导管审计!G:G,"excluded")</f>
        <v/>
      </c>
      <c r="E202">
        <f>COUNTIFS(候选导管审计!B:B,A202,候选导管审计!G:G,"edge_truncated")</f>
        <v/>
      </c>
      <c r="F202">
        <f>COUNTIF(导管对_CWR_172!B:B,A202)</f>
        <v/>
      </c>
      <c r="G202">
        <f>COUNTIF(TVW线测量明细!B:B,A202)</f>
        <v/>
      </c>
      <c r="H202" t="n">
        <v>0.2173913043478261</v>
      </c>
      <c r="I202" t="n">
        <v>341</v>
      </c>
      <c r="J202">
        <f>1024*I202*H202^2/1000000</f>
        <v/>
      </c>
      <c r="K202" t="inlineStr">
        <is>
          <t>同一样品的技术视野；不是独立生物学重复</t>
        </is>
      </c>
      <c r="L202" t="inlineStr">
        <is>
          <t>样品23</t>
        </is>
      </c>
    </row>
    <row r="203">
      <c r="A203" t="inlineStr">
        <is>
          <t>23 (6).tif</t>
        </is>
      </c>
      <c r="B203">
        <f>COUNTIF(导管母表_1781!B:B,A203)</f>
        <v/>
      </c>
      <c r="C203">
        <f>COUNTIFS(候选导管审计!B:B,A203,候选导管审计!G:G,"borderline")</f>
        <v/>
      </c>
      <c r="D203">
        <f>COUNTIFS(候选导管审计!B:B,A203,候选导管审计!G:G,"excluded")</f>
        <v/>
      </c>
      <c r="E203">
        <f>COUNTIFS(候选导管审计!B:B,A203,候选导管审计!G:G,"edge_truncated")</f>
        <v/>
      </c>
      <c r="F203">
        <f>COUNTIF(导管对_CWR_172!B:B,A203)</f>
        <v/>
      </c>
      <c r="G203">
        <f>COUNTIF(TVW线测量明细!B:B,A203)</f>
        <v/>
      </c>
      <c r="H203" t="n">
        <v>0.2173913043478261</v>
      </c>
      <c r="I203" t="n">
        <v>691</v>
      </c>
      <c r="J203">
        <f>1024*I203*H203^2/1000000</f>
        <v/>
      </c>
      <c r="K203" t="inlineStr">
        <is>
          <t>同一样品的技术视野；不是独立生物学重复</t>
        </is>
      </c>
      <c r="L203" t="inlineStr">
        <is>
          <t>样品23</t>
        </is>
      </c>
    </row>
    <row r="204">
      <c r="A204" t="inlineStr">
        <is>
          <t>23 (7).tif</t>
        </is>
      </c>
      <c r="B204">
        <f>COUNTIF(导管母表_1781!B:B,A204)</f>
        <v/>
      </c>
      <c r="C204">
        <f>COUNTIFS(候选导管审计!B:B,A204,候选导管审计!G:G,"borderline")</f>
        <v/>
      </c>
      <c r="D204">
        <f>COUNTIFS(候选导管审计!B:B,A204,候选导管审计!G:G,"excluded")</f>
        <v/>
      </c>
      <c r="E204">
        <f>COUNTIFS(候选导管审计!B:B,A204,候选导管审计!G:G,"edge_truncated")</f>
        <v/>
      </c>
      <c r="F204">
        <f>COUNTIF(导管对_CWR_172!B:B,A204)</f>
        <v/>
      </c>
      <c r="G204">
        <f>COUNTIF(TVW线测量明细!B:B,A204)</f>
        <v/>
      </c>
      <c r="H204" t="n">
        <v>0.2173913043478261</v>
      </c>
      <c r="I204" t="n">
        <v>282</v>
      </c>
      <c r="J204">
        <f>1024*I204*H204^2/1000000</f>
        <v/>
      </c>
      <c r="K204" t="inlineStr">
        <is>
          <t>同一样品的技术视野；不是独立生物学重复</t>
        </is>
      </c>
      <c r="L204" t="inlineStr">
        <is>
          <t>样品23</t>
        </is>
      </c>
    </row>
    <row r="205">
      <c r="A205" t="inlineStr">
        <is>
          <t>23 (8).tif</t>
        </is>
      </c>
      <c r="B205">
        <f>COUNTIF(导管母表_1781!B:B,A205)</f>
        <v/>
      </c>
      <c r="C205">
        <f>COUNTIFS(候选导管审计!B:B,A205,候选导管审计!G:G,"borderline")</f>
        <v/>
      </c>
      <c r="D205">
        <f>COUNTIFS(候选导管审计!B:B,A205,候选导管审计!G:G,"excluded")</f>
        <v/>
      </c>
      <c r="E205">
        <f>COUNTIFS(候选导管审计!B:B,A205,候选导管审计!G:G,"edge_truncated")</f>
        <v/>
      </c>
      <c r="F205">
        <f>COUNTIF(导管对_CWR_172!B:B,A205)</f>
        <v/>
      </c>
      <c r="G205">
        <f>COUNTIF(TVW线测量明细!B:B,A205)</f>
        <v/>
      </c>
      <c r="H205" t="n">
        <v>0.2173913043478261</v>
      </c>
      <c r="I205" t="n">
        <v>238</v>
      </c>
      <c r="J205">
        <f>1024*I205*H205^2/1000000</f>
        <v/>
      </c>
      <c r="K205" t="inlineStr">
        <is>
          <t>同一样品的技术视野；不是独立生物学重复</t>
        </is>
      </c>
      <c r="L205" t="inlineStr">
        <is>
          <t>样品23</t>
        </is>
      </c>
    </row>
    <row r="206">
      <c r="A206" t="inlineStr">
        <is>
          <t>24 (1).tif</t>
        </is>
      </c>
      <c r="B206">
        <f>COUNTIF(导管母表_1781!B:B,A206)</f>
        <v/>
      </c>
      <c r="C206">
        <f>COUNTIFS(候选导管审计!B:B,A206,候选导管审计!G:G,"borderline")</f>
        <v/>
      </c>
      <c r="D206">
        <f>COUNTIFS(候选导管审计!B:B,A206,候选导管审计!G:G,"excluded")</f>
        <v/>
      </c>
      <c r="E206">
        <f>COUNTIFS(候选导管审计!B:B,A206,候选导管审计!G:G,"edge_truncated")</f>
        <v/>
      </c>
      <c r="F206">
        <f>COUNTIF(导管对_CWR_172!B:B,A206)</f>
        <v/>
      </c>
      <c r="G206">
        <f>COUNTIF(TVW线测量明细!B:B,A206)</f>
        <v/>
      </c>
      <c r="H206" t="n">
        <v>0.2173913043478261</v>
      </c>
      <c r="I206" t="n">
        <v>316</v>
      </c>
      <c r="J206">
        <f>1024*I206*H206^2/1000000</f>
        <v/>
      </c>
      <c r="K206" t="inlineStr">
        <is>
          <t>同一样品的技术视野；不是独立生物学重复</t>
        </is>
      </c>
      <c r="L206" t="inlineStr">
        <is>
          <t>样品24</t>
        </is>
      </c>
    </row>
    <row r="207">
      <c r="A207" t="inlineStr">
        <is>
          <t>24 (2).tif</t>
        </is>
      </c>
      <c r="B207">
        <f>COUNTIF(导管母表_1781!B:B,A207)</f>
        <v/>
      </c>
      <c r="C207">
        <f>COUNTIFS(候选导管审计!B:B,A207,候选导管审计!G:G,"borderline")</f>
        <v/>
      </c>
      <c r="D207">
        <f>COUNTIFS(候选导管审计!B:B,A207,候选导管审计!G:G,"excluded")</f>
        <v/>
      </c>
      <c r="E207">
        <f>COUNTIFS(候选导管审计!B:B,A207,候选导管审计!G:G,"edge_truncated")</f>
        <v/>
      </c>
      <c r="F207">
        <f>COUNTIF(导管对_CWR_172!B:B,A207)</f>
        <v/>
      </c>
      <c r="G207">
        <f>COUNTIF(TVW线测量明细!B:B,A207)</f>
        <v/>
      </c>
      <c r="H207" t="n">
        <v>0.2173913043478261</v>
      </c>
      <c r="I207" t="n">
        <v>255</v>
      </c>
      <c r="J207">
        <f>1024*I207*H207^2/1000000</f>
        <v/>
      </c>
      <c r="K207" t="inlineStr">
        <is>
          <t>同一样品的技术视野；不是独立生物学重复</t>
        </is>
      </c>
      <c r="L207" t="inlineStr">
        <is>
          <t>样品24</t>
        </is>
      </c>
    </row>
    <row r="208">
      <c r="A208" t="inlineStr">
        <is>
          <t>24 (3).tif</t>
        </is>
      </c>
      <c r="B208">
        <f>COUNTIF(导管母表_1781!B:B,A208)</f>
        <v/>
      </c>
      <c r="C208">
        <f>COUNTIFS(候选导管审计!B:B,A208,候选导管审计!G:G,"borderline")</f>
        <v/>
      </c>
      <c r="D208">
        <f>COUNTIFS(候选导管审计!B:B,A208,候选导管审计!G:G,"excluded")</f>
        <v/>
      </c>
      <c r="E208">
        <f>COUNTIFS(候选导管审计!B:B,A208,候选导管审计!G:G,"edge_truncated")</f>
        <v/>
      </c>
      <c r="F208">
        <f>COUNTIF(导管对_CWR_172!B:B,A208)</f>
        <v/>
      </c>
      <c r="G208">
        <f>COUNTIF(TVW线测量明细!B:B,A208)</f>
        <v/>
      </c>
      <c r="H208" t="n">
        <v>0.2173913043478261</v>
      </c>
      <c r="I208" t="n">
        <v>192</v>
      </c>
      <c r="J208">
        <f>1024*I208*H208^2/1000000</f>
        <v/>
      </c>
      <c r="K208" t="inlineStr">
        <is>
          <t>同一样品的技术视野；不是独立生物学重复</t>
        </is>
      </c>
      <c r="L208" t="inlineStr">
        <is>
          <t>样品24</t>
        </is>
      </c>
    </row>
    <row r="209">
      <c r="A209" t="inlineStr">
        <is>
          <t>24 (4).tif</t>
        </is>
      </c>
      <c r="B209">
        <f>COUNTIF(导管母表_1781!B:B,A209)</f>
        <v/>
      </c>
      <c r="C209">
        <f>COUNTIFS(候选导管审计!B:B,A209,候选导管审计!G:G,"borderline")</f>
        <v/>
      </c>
      <c r="D209">
        <f>COUNTIFS(候选导管审计!B:B,A209,候选导管审计!G:G,"excluded")</f>
        <v/>
      </c>
      <c r="E209">
        <f>COUNTIFS(候选导管审计!B:B,A209,候选导管审计!G:G,"edge_truncated")</f>
        <v/>
      </c>
      <c r="F209">
        <f>COUNTIF(导管对_CWR_172!B:B,A209)</f>
        <v/>
      </c>
      <c r="G209">
        <f>COUNTIF(TVW线测量明细!B:B,A209)</f>
        <v/>
      </c>
      <c r="H209" t="n">
        <v>0.2173913043478261</v>
      </c>
      <c r="I209" t="n">
        <v>211</v>
      </c>
      <c r="J209">
        <f>1024*I209*H209^2/1000000</f>
        <v/>
      </c>
      <c r="K209" t="inlineStr">
        <is>
          <t>同一样品的技术视野；不是独立生物学重复</t>
        </is>
      </c>
      <c r="L209" t="inlineStr">
        <is>
          <t>样品24</t>
        </is>
      </c>
    </row>
    <row r="210">
      <c r="A210" t="inlineStr">
        <is>
          <t>24 (5).tif</t>
        </is>
      </c>
      <c r="B210">
        <f>COUNTIF(导管母表_1781!B:B,A210)</f>
        <v/>
      </c>
      <c r="C210">
        <f>COUNTIFS(候选导管审计!B:B,A210,候选导管审计!G:G,"borderline")</f>
        <v/>
      </c>
      <c r="D210">
        <f>COUNTIFS(候选导管审计!B:B,A210,候选导管审计!G:G,"excluded")</f>
        <v/>
      </c>
      <c r="E210">
        <f>COUNTIFS(候选导管审计!B:B,A210,候选导管审计!G:G,"edge_truncated")</f>
        <v/>
      </c>
      <c r="F210">
        <f>COUNTIF(导管对_CWR_172!B:B,A210)</f>
        <v/>
      </c>
      <c r="G210">
        <f>COUNTIF(TVW线测量明细!B:B,A210)</f>
        <v/>
      </c>
      <c r="H210" t="n">
        <v>0.2173913043478261</v>
      </c>
      <c r="I210" t="n">
        <v>264</v>
      </c>
      <c r="J210">
        <f>1024*I210*H210^2/1000000</f>
        <v/>
      </c>
      <c r="K210" t="inlineStr">
        <is>
          <t>同一样品的技术视野；不是独立生物学重复</t>
        </is>
      </c>
      <c r="L210" t="inlineStr">
        <is>
          <t>样品24</t>
        </is>
      </c>
    </row>
    <row r="211">
      <c r="A211" t="inlineStr">
        <is>
          <t>24 (6).tif</t>
        </is>
      </c>
      <c r="B211">
        <f>COUNTIF(导管母表_1781!B:B,A211)</f>
        <v/>
      </c>
      <c r="C211">
        <f>COUNTIFS(候选导管审计!B:B,A211,候选导管审计!G:G,"borderline")</f>
        <v/>
      </c>
      <c r="D211">
        <f>COUNTIFS(候选导管审计!B:B,A211,候选导管审计!G:G,"excluded")</f>
        <v/>
      </c>
      <c r="E211">
        <f>COUNTIFS(候选导管审计!B:B,A211,候选导管审计!G:G,"edge_truncated")</f>
        <v/>
      </c>
      <c r="F211">
        <f>COUNTIF(导管对_CWR_172!B:B,A211)</f>
        <v/>
      </c>
      <c r="G211">
        <f>COUNTIF(TVW线测量明细!B:B,A211)</f>
        <v/>
      </c>
      <c r="H211" t="n">
        <v>0.2173913043478261</v>
      </c>
      <c r="I211" t="n">
        <v>691</v>
      </c>
      <c r="J211">
        <f>1024*I211*H211^2/1000000</f>
        <v/>
      </c>
      <c r="K211" t="inlineStr">
        <is>
          <t>同一样品的技术视野；不是独立生物学重复</t>
        </is>
      </c>
      <c r="L211" t="inlineStr">
        <is>
          <t>样品24</t>
        </is>
      </c>
    </row>
    <row r="212">
      <c r="A212" t="inlineStr">
        <is>
          <t>24 (7).tif</t>
        </is>
      </c>
      <c r="B212">
        <f>COUNTIF(导管母表_1781!B:B,A212)</f>
        <v/>
      </c>
      <c r="C212">
        <f>COUNTIFS(候选导管审计!B:B,A212,候选导管审计!G:G,"borderline")</f>
        <v/>
      </c>
      <c r="D212">
        <f>COUNTIFS(候选导管审计!B:B,A212,候选导管审计!G:G,"excluded")</f>
        <v/>
      </c>
      <c r="E212">
        <f>COUNTIFS(候选导管审计!B:B,A212,候选导管审计!G:G,"edge_truncated")</f>
        <v/>
      </c>
      <c r="F212">
        <f>COUNTIF(导管对_CWR_172!B:B,A212)</f>
        <v/>
      </c>
      <c r="G212">
        <f>COUNTIF(TVW线测量明细!B:B,A212)</f>
        <v/>
      </c>
      <c r="H212" t="n">
        <v>0.2173913043478261</v>
      </c>
      <c r="I212" t="n">
        <v>167</v>
      </c>
      <c r="J212">
        <f>1024*I212*H212^2/1000000</f>
        <v/>
      </c>
      <c r="K212" t="inlineStr">
        <is>
          <t>同一样品的技术视野；不是独立生物学重复</t>
        </is>
      </c>
      <c r="L212" t="inlineStr">
        <is>
          <t>样品24</t>
        </is>
      </c>
    </row>
    <row r="213">
      <c r="A213" t="inlineStr">
        <is>
          <t>24 (8).tif</t>
        </is>
      </c>
      <c r="B213">
        <f>COUNTIF(导管母表_1781!B:B,A213)</f>
        <v/>
      </c>
      <c r="C213">
        <f>COUNTIFS(候选导管审计!B:B,A213,候选导管审计!G:G,"borderline")</f>
        <v/>
      </c>
      <c r="D213">
        <f>COUNTIFS(候选导管审计!B:B,A213,候选导管审计!G:G,"excluded")</f>
        <v/>
      </c>
      <c r="E213">
        <f>COUNTIFS(候选导管审计!B:B,A213,候选导管审计!G:G,"edge_truncated")</f>
        <v/>
      </c>
      <c r="F213">
        <f>COUNTIF(导管对_CWR_172!B:B,A213)</f>
        <v/>
      </c>
      <c r="G213">
        <f>COUNTIF(TVW线测量明细!B:B,A213)</f>
        <v/>
      </c>
      <c r="H213" t="n">
        <v>0.2173913043478261</v>
      </c>
      <c r="I213" t="n">
        <v>301</v>
      </c>
      <c r="J213">
        <f>1024*I213*H213^2/1000000</f>
        <v/>
      </c>
      <c r="K213" t="inlineStr">
        <is>
          <t>同一样品的技术视野；不是独立生物学重复</t>
        </is>
      </c>
      <c r="L213" t="inlineStr">
        <is>
          <t>样品24</t>
        </is>
      </c>
    </row>
    <row r="214">
      <c r="A214" t="inlineStr">
        <is>
          <t>25 (1).tif</t>
        </is>
      </c>
      <c r="B214">
        <f>COUNTIF(导管母表_1781!B:B,A214)</f>
        <v/>
      </c>
      <c r="C214">
        <f>COUNTIFS(候选导管审计!B:B,A214,候选导管审计!G:G,"borderline")</f>
        <v/>
      </c>
      <c r="D214">
        <f>COUNTIFS(候选导管审计!B:B,A214,候选导管审计!G:G,"excluded")</f>
        <v/>
      </c>
      <c r="E214">
        <f>COUNTIFS(候选导管审计!B:B,A214,候选导管审计!G:G,"edge_truncated")</f>
        <v/>
      </c>
      <c r="F214">
        <f>COUNTIF(导管对_CWR_172!B:B,A214)</f>
        <v/>
      </c>
      <c r="G214">
        <f>COUNTIF(TVW线测量明细!B:B,A214)</f>
        <v/>
      </c>
      <c r="H214" t="n">
        <v>0.2173913043478261</v>
      </c>
      <c r="I214" t="n">
        <v>175</v>
      </c>
      <c r="J214">
        <f>1024*I214*H214^2/1000000</f>
        <v/>
      </c>
      <c r="K214" t="inlineStr">
        <is>
          <t>同一样品的技术视野；不是独立生物学重复</t>
        </is>
      </c>
      <c r="L214" t="inlineStr">
        <is>
          <t>样品25</t>
        </is>
      </c>
    </row>
    <row r="215">
      <c r="A215" t="inlineStr">
        <is>
          <t>25 (2).tif</t>
        </is>
      </c>
      <c r="B215">
        <f>COUNTIF(导管母表_1781!B:B,A215)</f>
        <v/>
      </c>
      <c r="C215">
        <f>COUNTIFS(候选导管审计!B:B,A215,候选导管审计!G:G,"borderline")</f>
        <v/>
      </c>
      <c r="D215">
        <f>COUNTIFS(候选导管审计!B:B,A215,候选导管审计!G:G,"excluded")</f>
        <v/>
      </c>
      <c r="E215">
        <f>COUNTIFS(候选导管审计!B:B,A215,候选导管审计!G:G,"edge_truncated")</f>
        <v/>
      </c>
      <c r="F215">
        <f>COUNTIF(导管对_CWR_172!B:B,A215)</f>
        <v/>
      </c>
      <c r="G215">
        <f>COUNTIF(TVW线测量明细!B:B,A215)</f>
        <v/>
      </c>
      <c r="H215" t="n">
        <v>0.2173913043478261</v>
      </c>
      <c r="I215" t="n">
        <v>691</v>
      </c>
      <c r="J215">
        <f>1024*I215*H215^2/1000000</f>
        <v/>
      </c>
      <c r="K215" t="inlineStr">
        <is>
          <t>同一样品的技术视野；不是独立生物学重复</t>
        </is>
      </c>
      <c r="L215" t="inlineStr">
        <is>
          <t>样品25</t>
        </is>
      </c>
    </row>
    <row r="216">
      <c r="A216" t="inlineStr">
        <is>
          <t>25 (3).tif</t>
        </is>
      </c>
      <c r="B216">
        <f>COUNTIF(导管母表_1781!B:B,A216)</f>
        <v/>
      </c>
      <c r="C216">
        <f>COUNTIFS(候选导管审计!B:B,A216,候选导管审计!G:G,"borderline")</f>
        <v/>
      </c>
      <c r="D216">
        <f>COUNTIFS(候选导管审计!B:B,A216,候选导管审计!G:G,"excluded")</f>
        <v/>
      </c>
      <c r="E216">
        <f>COUNTIFS(候选导管审计!B:B,A216,候选导管审计!G:G,"edge_truncated")</f>
        <v/>
      </c>
      <c r="F216">
        <f>COUNTIF(导管对_CWR_172!B:B,A216)</f>
        <v/>
      </c>
      <c r="G216">
        <f>COUNTIF(TVW线测量明细!B:B,A216)</f>
        <v/>
      </c>
      <c r="H216" t="n">
        <v>0.2173913043478261</v>
      </c>
      <c r="I216" t="n">
        <v>691</v>
      </c>
      <c r="J216">
        <f>1024*I216*H216^2/1000000</f>
        <v/>
      </c>
      <c r="K216" t="inlineStr">
        <is>
          <t>同一样品的技术视野；不是独立生物学重复</t>
        </is>
      </c>
      <c r="L216" t="inlineStr">
        <is>
          <t>样品25</t>
        </is>
      </c>
    </row>
    <row r="217">
      <c r="A217" t="inlineStr">
        <is>
          <t>25 (4).tif</t>
        </is>
      </c>
      <c r="B217">
        <f>COUNTIF(导管母表_1781!B:B,A217)</f>
        <v/>
      </c>
      <c r="C217">
        <f>COUNTIFS(候选导管审计!B:B,A217,候选导管审计!G:G,"borderline")</f>
        <v/>
      </c>
      <c r="D217">
        <f>COUNTIFS(候选导管审计!B:B,A217,候选导管审计!G:G,"excluded")</f>
        <v/>
      </c>
      <c r="E217">
        <f>COUNTIFS(候选导管审计!B:B,A217,候选导管审计!G:G,"edge_truncated")</f>
        <v/>
      </c>
      <c r="F217">
        <f>COUNTIF(导管对_CWR_172!B:B,A217)</f>
        <v/>
      </c>
      <c r="G217">
        <f>COUNTIF(TVW线测量明细!B:B,A217)</f>
        <v/>
      </c>
      <c r="H217" t="n">
        <v>0.2173913043478261</v>
      </c>
      <c r="I217" t="n">
        <v>148</v>
      </c>
      <c r="J217">
        <f>1024*I217*H217^2/1000000</f>
        <v/>
      </c>
      <c r="K217" t="inlineStr">
        <is>
          <t>同一样品的技术视野；不是独立生物学重复</t>
        </is>
      </c>
      <c r="L217" t="inlineStr">
        <is>
          <t>样品25</t>
        </is>
      </c>
    </row>
    <row r="218">
      <c r="A218" t="inlineStr">
        <is>
          <t>25 (5).tif</t>
        </is>
      </c>
      <c r="B218">
        <f>COUNTIF(导管母表_1781!B:B,A218)</f>
        <v/>
      </c>
      <c r="C218">
        <f>COUNTIFS(候选导管审计!B:B,A218,候选导管审计!G:G,"borderline")</f>
        <v/>
      </c>
      <c r="D218">
        <f>COUNTIFS(候选导管审计!B:B,A218,候选导管审计!G:G,"excluded")</f>
        <v/>
      </c>
      <c r="E218">
        <f>COUNTIFS(候选导管审计!B:B,A218,候选导管审计!G:G,"edge_truncated")</f>
        <v/>
      </c>
      <c r="F218">
        <f>COUNTIF(导管对_CWR_172!B:B,A218)</f>
        <v/>
      </c>
      <c r="G218">
        <f>COUNTIF(TVW线测量明细!B:B,A218)</f>
        <v/>
      </c>
      <c r="H218" t="n">
        <v>0.2173913043478261</v>
      </c>
      <c r="I218" t="n">
        <v>691</v>
      </c>
      <c r="J218">
        <f>1024*I218*H218^2/1000000</f>
        <v/>
      </c>
      <c r="K218" t="inlineStr">
        <is>
          <t>同一样品的技术视野；不是独立生物学重复</t>
        </is>
      </c>
      <c r="L218" t="inlineStr">
        <is>
          <t>样品25</t>
        </is>
      </c>
    </row>
    <row r="219">
      <c r="A219" t="inlineStr">
        <is>
          <t>25 (6).tif</t>
        </is>
      </c>
      <c r="B219">
        <f>COUNTIF(导管母表_1781!B:B,A219)</f>
        <v/>
      </c>
      <c r="C219">
        <f>COUNTIFS(候选导管审计!B:B,A219,候选导管审计!G:G,"borderline")</f>
        <v/>
      </c>
      <c r="D219">
        <f>COUNTIFS(候选导管审计!B:B,A219,候选导管审计!G:G,"excluded")</f>
        <v/>
      </c>
      <c r="E219">
        <f>COUNTIFS(候选导管审计!B:B,A219,候选导管审计!G:G,"edge_truncated")</f>
        <v/>
      </c>
      <c r="F219">
        <f>COUNTIF(导管对_CWR_172!B:B,A219)</f>
        <v/>
      </c>
      <c r="G219">
        <f>COUNTIF(TVW线测量明细!B:B,A219)</f>
        <v/>
      </c>
      <c r="H219" t="n">
        <v>0.2173913043478261</v>
      </c>
      <c r="I219" t="n">
        <v>261</v>
      </c>
      <c r="J219">
        <f>1024*I219*H219^2/1000000</f>
        <v/>
      </c>
      <c r="K219" t="inlineStr">
        <is>
          <t>同一样品的技术视野；不是独立生物学重复</t>
        </is>
      </c>
      <c r="L219" t="inlineStr">
        <is>
          <t>样品25</t>
        </is>
      </c>
    </row>
    <row r="220">
      <c r="A220" t="inlineStr">
        <is>
          <t>25 (7).tif</t>
        </is>
      </c>
      <c r="B220">
        <f>COUNTIF(导管母表_1781!B:B,A220)</f>
        <v/>
      </c>
      <c r="C220">
        <f>COUNTIFS(候选导管审计!B:B,A220,候选导管审计!G:G,"borderline")</f>
        <v/>
      </c>
      <c r="D220">
        <f>COUNTIFS(候选导管审计!B:B,A220,候选导管审计!G:G,"excluded")</f>
        <v/>
      </c>
      <c r="E220">
        <f>COUNTIFS(候选导管审计!B:B,A220,候选导管审计!G:G,"edge_truncated")</f>
        <v/>
      </c>
      <c r="F220">
        <f>COUNTIF(导管对_CWR_172!B:B,A220)</f>
        <v/>
      </c>
      <c r="G220">
        <f>COUNTIF(TVW线测量明细!B:B,A220)</f>
        <v/>
      </c>
      <c r="H220" t="n">
        <v>0.2173913043478261</v>
      </c>
      <c r="I220" t="n">
        <v>219</v>
      </c>
      <c r="J220">
        <f>1024*I220*H220^2/1000000</f>
        <v/>
      </c>
      <c r="K220" t="inlineStr">
        <is>
          <t>同一样品的技术视野；不是独立生物学重复</t>
        </is>
      </c>
      <c r="L220" t="inlineStr">
        <is>
          <t>样品25</t>
        </is>
      </c>
    </row>
    <row r="221">
      <c r="A221" t="inlineStr">
        <is>
          <t>25 (8).tif</t>
        </is>
      </c>
      <c r="B221">
        <f>COUNTIF(导管母表_1781!B:B,A221)</f>
        <v/>
      </c>
      <c r="C221">
        <f>COUNTIFS(候选导管审计!B:B,A221,候选导管审计!G:G,"borderline")</f>
        <v/>
      </c>
      <c r="D221">
        <f>COUNTIFS(候选导管审计!B:B,A221,候选导管审计!G:G,"excluded")</f>
        <v/>
      </c>
      <c r="E221">
        <f>COUNTIFS(候选导管审计!B:B,A221,候选导管审计!G:G,"edge_truncated")</f>
        <v/>
      </c>
      <c r="F221">
        <f>COUNTIF(导管对_CWR_172!B:B,A221)</f>
        <v/>
      </c>
      <c r="G221">
        <f>COUNTIF(TVW线测量明细!B:B,A221)</f>
        <v/>
      </c>
      <c r="H221" t="n">
        <v>0.2173913043478261</v>
      </c>
      <c r="I221" t="n">
        <v>691</v>
      </c>
      <c r="J221">
        <f>1024*I221*H221^2/1000000</f>
        <v/>
      </c>
      <c r="K221" t="inlineStr">
        <is>
          <t>同一样品的技术视野；不是独立生物学重复</t>
        </is>
      </c>
      <c r="L221" t="inlineStr">
        <is>
          <t>样品25</t>
        </is>
      </c>
    </row>
    <row r="222">
      <c r="A222" t="inlineStr">
        <is>
          <t>26 (1).tif</t>
        </is>
      </c>
      <c r="B222">
        <f>COUNTIF(导管母表_1781!B:B,A222)</f>
        <v/>
      </c>
      <c r="C222">
        <f>COUNTIFS(候选导管审计!B:B,A222,候选导管审计!G:G,"borderline")</f>
        <v/>
      </c>
      <c r="D222">
        <f>COUNTIFS(候选导管审计!B:B,A222,候选导管审计!G:G,"excluded")</f>
        <v/>
      </c>
      <c r="E222">
        <f>COUNTIFS(候选导管审计!B:B,A222,候选导管审计!G:G,"edge_truncated")</f>
        <v/>
      </c>
      <c r="F222">
        <f>COUNTIF(导管对_CWR_172!B:B,A222)</f>
        <v/>
      </c>
      <c r="G222">
        <f>COUNTIF(TVW线测量明细!B:B,A222)</f>
        <v/>
      </c>
      <c r="H222" t="n">
        <v>0.2173913043478261</v>
      </c>
      <c r="I222" t="n">
        <v>691</v>
      </c>
      <c r="J222">
        <f>1024*I222*H222^2/1000000</f>
        <v/>
      </c>
      <c r="K222" t="inlineStr">
        <is>
          <t>同一样品的技术视野；不是独立生物学重复</t>
        </is>
      </c>
      <c r="L222" t="inlineStr">
        <is>
          <t>样品26</t>
        </is>
      </c>
    </row>
    <row r="223">
      <c r="A223" t="inlineStr">
        <is>
          <t>26 (2).tif</t>
        </is>
      </c>
      <c r="B223">
        <f>COUNTIF(导管母表_1781!B:B,A223)</f>
        <v/>
      </c>
      <c r="C223">
        <f>COUNTIFS(候选导管审计!B:B,A223,候选导管审计!G:G,"borderline")</f>
        <v/>
      </c>
      <c r="D223">
        <f>COUNTIFS(候选导管审计!B:B,A223,候选导管审计!G:G,"excluded")</f>
        <v/>
      </c>
      <c r="E223">
        <f>COUNTIFS(候选导管审计!B:B,A223,候选导管审计!G:G,"edge_truncated")</f>
        <v/>
      </c>
      <c r="F223">
        <f>COUNTIF(导管对_CWR_172!B:B,A223)</f>
        <v/>
      </c>
      <c r="G223">
        <f>COUNTIF(TVW线测量明细!B:B,A223)</f>
        <v/>
      </c>
      <c r="H223" t="n">
        <v>0.2173913043478261</v>
      </c>
      <c r="I223" t="n">
        <v>158</v>
      </c>
      <c r="J223">
        <f>1024*I223*H223^2/1000000</f>
        <v/>
      </c>
      <c r="K223" t="inlineStr">
        <is>
          <t>同一样品的技术视野；不是独立生物学重复</t>
        </is>
      </c>
      <c r="L223" t="inlineStr">
        <is>
          <t>样品26</t>
        </is>
      </c>
    </row>
    <row r="224">
      <c r="A224" t="inlineStr">
        <is>
          <t>26 (3).tif</t>
        </is>
      </c>
      <c r="B224">
        <f>COUNTIF(导管母表_1781!B:B,A224)</f>
        <v/>
      </c>
      <c r="C224">
        <f>COUNTIFS(候选导管审计!B:B,A224,候选导管审计!G:G,"borderline")</f>
        <v/>
      </c>
      <c r="D224">
        <f>COUNTIFS(候选导管审计!B:B,A224,候选导管审计!G:G,"excluded")</f>
        <v/>
      </c>
      <c r="E224">
        <f>COUNTIFS(候选导管审计!B:B,A224,候选导管审计!G:G,"edge_truncated")</f>
        <v/>
      </c>
      <c r="F224">
        <f>COUNTIF(导管对_CWR_172!B:B,A224)</f>
        <v/>
      </c>
      <c r="G224">
        <f>COUNTIF(TVW线测量明细!B:B,A224)</f>
        <v/>
      </c>
      <c r="H224" t="n">
        <v>0.2173913043478261</v>
      </c>
      <c r="I224" t="n">
        <v>691</v>
      </c>
      <c r="J224">
        <f>1024*I224*H224^2/1000000</f>
        <v/>
      </c>
      <c r="K224" t="inlineStr">
        <is>
          <t>同一样品的技术视野；不是独立生物学重复</t>
        </is>
      </c>
      <c r="L224" t="inlineStr">
        <is>
          <t>样品26</t>
        </is>
      </c>
    </row>
    <row r="225">
      <c r="A225" t="inlineStr">
        <is>
          <t>26 (4).tif</t>
        </is>
      </c>
      <c r="B225">
        <f>COUNTIF(导管母表_1781!B:B,A225)</f>
        <v/>
      </c>
      <c r="C225">
        <f>COUNTIFS(候选导管审计!B:B,A225,候选导管审计!G:G,"borderline")</f>
        <v/>
      </c>
      <c r="D225">
        <f>COUNTIFS(候选导管审计!B:B,A225,候选导管审计!G:G,"excluded")</f>
        <v/>
      </c>
      <c r="E225">
        <f>COUNTIFS(候选导管审计!B:B,A225,候选导管审计!G:G,"edge_truncated")</f>
        <v/>
      </c>
      <c r="F225">
        <f>COUNTIF(导管对_CWR_172!B:B,A225)</f>
        <v/>
      </c>
      <c r="G225">
        <f>COUNTIF(TVW线测量明细!B:B,A225)</f>
        <v/>
      </c>
      <c r="H225" t="n">
        <v>0.2173913043478261</v>
      </c>
      <c r="I225" t="n">
        <v>267</v>
      </c>
      <c r="J225">
        <f>1024*I225*H225^2/1000000</f>
        <v/>
      </c>
      <c r="K225" t="inlineStr">
        <is>
          <t>同一样品的技术视野；不是独立生物学重复</t>
        </is>
      </c>
      <c r="L225" t="inlineStr">
        <is>
          <t>样品26</t>
        </is>
      </c>
    </row>
    <row r="226">
      <c r="A226" t="inlineStr">
        <is>
          <t>26 (5).tif</t>
        </is>
      </c>
      <c r="B226">
        <f>COUNTIF(导管母表_1781!B:B,A226)</f>
        <v/>
      </c>
      <c r="C226">
        <f>COUNTIFS(候选导管审计!B:B,A226,候选导管审计!G:G,"borderline")</f>
        <v/>
      </c>
      <c r="D226">
        <f>COUNTIFS(候选导管审计!B:B,A226,候选导管审计!G:G,"excluded")</f>
        <v/>
      </c>
      <c r="E226">
        <f>COUNTIFS(候选导管审计!B:B,A226,候选导管审计!G:G,"edge_truncated")</f>
        <v/>
      </c>
      <c r="F226">
        <f>COUNTIF(导管对_CWR_172!B:B,A226)</f>
        <v/>
      </c>
      <c r="G226">
        <f>COUNTIF(TVW线测量明细!B:B,A226)</f>
        <v/>
      </c>
      <c r="H226" t="n">
        <v>0.2173913043478261</v>
      </c>
      <c r="I226" t="n">
        <v>273</v>
      </c>
      <c r="J226">
        <f>1024*I226*H226^2/1000000</f>
        <v/>
      </c>
      <c r="K226" t="inlineStr">
        <is>
          <t>同一样品的技术视野；不是独立生物学重复</t>
        </is>
      </c>
      <c r="L226" t="inlineStr">
        <is>
          <t>样品26</t>
        </is>
      </c>
    </row>
    <row r="227">
      <c r="A227" t="inlineStr">
        <is>
          <t>26 (6).tif</t>
        </is>
      </c>
      <c r="B227">
        <f>COUNTIF(导管母表_1781!B:B,A227)</f>
        <v/>
      </c>
      <c r="C227">
        <f>COUNTIFS(候选导管审计!B:B,A227,候选导管审计!G:G,"borderline")</f>
        <v/>
      </c>
      <c r="D227">
        <f>COUNTIFS(候选导管审计!B:B,A227,候选导管审计!G:G,"excluded")</f>
        <v/>
      </c>
      <c r="E227">
        <f>COUNTIFS(候选导管审计!B:B,A227,候选导管审计!G:G,"edge_truncated")</f>
        <v/>
      </c>
      <c r="F227">
        <f>COUNTIF(导管对_CWR_172!B:B,A227)</f>
        <v/>
      </c>
      <c r="G227">
        <f>COUNTIF(TVW线测量明细!B:B,A227)</f>
        <v/>
      </c>
      <c r="H227" t="n">
        <v>0.2173913043478261</v>
      </c>
      <c r="I227" t="n">
        <v>136</v>
      </c>
      <c r="J227">
        <f>1024*I227*H227^2/1000000</f>
        <v/>
      </c>
      <c r="K227" t="inlineStr">
        <is>
          <t>同一样品的技术视野；不是独立生物学重复</t>
        </is>
      </c>
      <c r="L227" t="inlineStr">
        <is>
          <t>样品26</t>
        </is>
      </c>
    </row>
    <row r="228">
      <c r="A228" t="inlineStr">
        <is>
          <t>26 (7).tif</t>
        </is>
      </c>
      <c r="B228">
        <f>COUNTIF(导管母表_1781!B:B,A228)</f>
        <v/>
      </c>
      <c r="C228">
        <f>COUNTIFS(候选导管审计!B:B,A228,候选导管审计!G:G,"borderline")</f>
        <v/>
      </c>
      <c r="D228">
        <f>COUNTIFS(候选导管审计!B:B,A228,候选导管审计!G:G,"excluded")</f>
        <v/>
      </c>
      <c r="E228">
        <f>COUNTIFS(候选导管审计!B:B,A228,候选导管审计!G:G,"edge_truncated")</f>
        <v/>
      </c>
      <c r="F228">
        <f>COUNTIF(导管对_CWR_172!B:B,A228)</f>
        <v/>
      </c>
      <c r="G228">
        <f>COUNTIF(TVW线测量明细!B:B,A228)</f>
        <v/>
      </c>
      <c r="H228" t="n">
        <v>0.2173913043478261</v>
      </c>
      <c r="I228" t="n">
        <v>691</v>
      </c>
      <c r="J228">
        <f>1024*I228*H228^2/1000000</f>
        <v/>
      </c>
      <c r="K228" t="inlineStr">
        <is>
          <t>同一样品的技术视野；不是独立生物学重复</t>
        </is>
      </c>
      <c r="L228" t="inlineStr">
        <is>
          <t>样品26</t>
        </is>
      </c>
    </row>
    <row r="229">
      <c r="A229" t="inlineStr">
        <is>
          <t>26 (8).tif</t>
        </is>
      </c>
      <c r="B229">
        <f>COUNTIF(导管母表_1781!B:B,A229)</f>
        <v/>
      </c>
      <c r="C229">
        <f>COUNTIFS(候选导管审计!B:B,A229,候选导管审计!G:G,"borderline")</f>
        <v/>
      </c>
      <c r="D229">
        <f>COUNTIFS(候选导管审计!B:B,A229,候选导管审计!G:G,"excluded")</f>
        <v/>
      </c>
      <c r="E229">
        <f>COUNTIFS(候选导管审计!B:B,A229,候选导管审计!G:G,"edge_truncated")</f>
        <v/>
      </c>
      <c r="F229">
        <f>COUNTIF(导管对_CWR_172!B:B,A229)</f>
        <v/>
      </c>
      <c r="G229">
        <f>COUNTIF(TVW线测量明细!B:B,A229)</f>
        <v/>
      </c>
      <c r="H229" t="n">
        <v>0.2173913043478261</v>
      </c>
      <c r="I229" t="n">
        <v>691</v>
      </c>
      <c r="J229">
        <f>1024*I229*H229^2/1000000</f>
        <v/>
      </c>
      <c r="K229" t="inlineStr">
        <is>
          <t>同一样品的技术视野；不是独立生物学重复</t>
        </is>
      </c>
      <c r="L229" t="inlineStr">
        <is>
          <t>样品26</t>
        </is>
      </c>
    </row>
    <row r="230">
      <c r="A230" t="inlineStr">
        <is>
          <t>27 (1).tif</t>
        </is>
      </c>
      <c r="B230">
        <f>COUNTIF(导管母表_1781!B:B,A230)</f>
        <v/>
      </c>
      <c r="C230">
        <f>COUNTIFS(候选导管审计!B:B,A230,候选导管审计!G:G,"borderline")</f>
        <v/>
      </c>
      <c r="D230">
        <f>COUNTIFS(候选导管审计!B:B,A230,候选导管审计!G:G,"excluded")</f>
        <v/>
      </c>
      <c r="E230">
        <f>COUNTIFS(候选导管审计!B:B,A230,候选导管审计!G:G,"edge_truncated")</f>
        <v/>
      </c>
      <c r="F230">
        <f>COUNTIF(导管对_CWR_172!B:B,A230)</f>
        <v/>
      </c>
      <c r="G230">
        <f>COUNTIF(TVW线测量明细!B:B,A230)</f>
        <v/>
      </c>
      <c r="H230" t="n">
        <v>0.2173913043478261</v>
      </c>
      <c r="I230" t="n">
        <v>691</v>
      </c>
      <c r="J230">
        <f>1024*I230*H230^2/1000000</f>
        <v/>
      </c>
      <c r="K230" t="inlineStr">
        <is>
          <t>同一样品的技术视野；不是独立生物学重复</t>
        </is>
      </c>
      <c r="L230" t="inlineStr">
        <is>
          <t>样品27</t>
        </is>
      </c>
    </row>
    <row r="231">
      <c r="A231" t="inlineStr">
        <is>
          <t>27 (2).tif</t>
        </is>
      </c>
      <c r="B231">
        <f>COUNTIF(导管母表_1781!B:B,A231)</f>
        <v/>
      </c>
      <c r="C231">
        <f>COUNTIFS(候选导管审计!B:B,A231,候选导管审计!G:G,"borderline")</f>
        <v/>
      </c>
      <c r="D231">
        <f>COUNTIFS(候选导管审计!B:B,A231,候选导管审计!G:G,"excluded")</f>
        <v/>
      </c>
      <c r="E231">
        <f>COUNTIFS(候选导管审计!B:B,A231,候选导管审计!G:G,"edge_truncated")</f>
        <v/>
      </c>
      <c r="F231">
        <f>COUNTIF(导管对_CWR_172!B:B,A231)</f>
        <v/>
      </c>
      <c r="G231">
        <f>COUNTIF(TVW线测量明细!B:B,A231)</f>
        <v/>
      </c>
      <c r="H231" t="n">
        <v>0.2173913043478261</v>
      </c>
      <c r="I231" t="n">
        <v>691</v>
      </c>
      <c r="J231">
        <f>1024*I231*H231^2/1000000</f>
        <v/>
      </c>
      <c r="K231" t="inlineStr">
        <is>
          <t>同一样品的技术视野；不是独立生物学重复</t>
        </is>
      </c>
      <c r="L231" t="inlineStr">
        <is>
          <t>样品27</t>
        </is>
      </c>
    </row>
    <row r="232">
      <c r="A232" t="inlineStr">
        <is>
          <t>27 (3).tif</t>
        </is>
      </c>
      <c r="B232">
        <f>COUNTIF(导管母表_1781!B:B,A232)</f>
        <v/>
      </c>
      <c r="C232">
        <f>COUNTIFS(候选导管审计!B:B,A232,候选导管审计!G:G,"borderline")</f>
        <v/>
      </c>
      <c r="D232">
        <f>COUNTIFS(候选导管审计!B:B,A232,候选导管审计!G:G,"excluded")</f>
        <v/>
      </c>
      <c r="E232">
        <f>COUNTIFS(候选导管审计!B:B,A232,候选导管审计!G:G,"edge_truncated")</f>
        <v/>
      </c>
      <c r="F232">
        <f>COUNTIF(导管对_CWR_172!B:B,A232)</f>
        <v/>
      </c>
      <c r="G232">
        <f>COUNTIF(TVW线测量明细!B:B,A232)</f>
        <v/>
      </c>
      <c r="H232" t="n">
        <v>0.2173913043478261</v>
      </c>
      <c r="I232" t="n">
        <v>691</v>
      </c>
      <c r="J232">
        <f>1024*I232*H232^2/1000000</f>
        <v/>
      </c>
      <c r="K232" t="inlineStr">
        <is>
          <t>同一样品的技术视野；不是独立生物学重复</t>
        </is>
      </c>
      <c r="L232" t="inlineStr">
        <is>
          <t>样品27</t>
        </is>
      </c>
    </row>
    <row r="233">
      <c r="A233" t="inlineStr">
        <is>
          <t>27 (4).tif</t>
        </is>
      </c>
      <c r="B233">
        <f>COUNTIF(导管母表_1781!B:B,A233)</f>
        <v/>
      </c>
      <c r="C233">
        <f>COUNTIFS(候选导管审计!B:B,A233,候选导管审计!G:G,"borderline")</f>
        <v/>
      </c>
      <c r="D233">
        <f>COUNTIFS(候选导管审计!B:B,A233,候选导管审计!G:G,"excluded")</f>
        <v/>
      </c>
      <c r="E233">
        <f>COUNTIFS(候选导管审计!B:B,A233,候选导管审计!G:G,"edge_truncated")</f>
        <v/>
      </c>
      <c r="F233">
        <f>COUNTIF(导管对_CWR_172!B:B,A233)</f>
        <v/>
      </c>
      <c r="G233">
        <f>COUNTIF(TVW线测量明细!B:B,A233)</f>
        <v/>
      </c>
      <c r="H233" t="n">
        <v>0.2173913043478261</v>
      </c>
      <c r="I233" t="n">
        <v>691</v>
      </c>
      <c r="J233">
        <f>1024*I233*H233^2/1000000</f>
        <v/>
      </c>
      <c r="K233" t="inlineStr">
        <is>
          <t>同一样品的技术视野；不是独立生物学重复</t>
        </is>
      </c>
      <c r="L233" t="inlineStr">
        <is>
          <t>样品27</t>
        </is>
      </c>
    </row>
    <row r="234">
      <c r="A234" t="inlineStr">
        <is>
          <t>27 (5).tif</t>
        </is>
      </c>
      <c r="B234">
        <f>COUNTIF(导管母表_1781!B:B,A234)</f>
        <v/>
      </c>
      <c r="C234">
        <f>COUNTIFS(候选导管审计!B:B,A234,候选导管审计!G:G,"borderline")</f>
        <v/>
      </c>
      <c r="D234">
        <f>COUNTIFS(候选导管审计!B:B,A234,候选导管审计!G:G,"excluded")</f>
        <v/>
      </c>
      <c r="E234">
        <f>COUNTIFS(候选导管审计!B:B,A234,候选导管审计!G:G,"edge_truncated")</f>
        <v/>
      </c>
      <c r="F234">
        <f>COUNTIF(导管对_CWR_172!B:B,A234)</f>
        <v/>
      </c>
      <c r="G234">
        <f>COUNTIF(TVW线测量明细!B:B,A234)</f>
        <v/>
      </c>
      <c r="H234" t="n">
        <v>0.2173913043478261</v>
      </c>
      <c r="I234" t="n">
        <v>691</v>
      </c>
      <c r="J234">
        <f>1024*I234*H234^2/1000000</f>
        <v/>
      </c>
      <c r="K234" t="inlineStr">
        <is>
          <t>同一样品的技术视野；不是独立生物学重复</t>
        </is>
      </c>
      <c r="L234" t="inlineStr">
        <is>
          <t>样品27</t>
        </is>
      </c>
    </row>
    <row r="235">
      <c r="A235" t="inlineStr">
        <is>
          <t>27 (6).tif</t>
        </is>
      </c>
      <c r="B235">
        <f>COUNTIF(导管母表_1781!B:B,A235)</f>
        <v/>
      </c>
      <c r="C235">
        <f>COUNTIFS(候选导管审计!B:B,A235,候选导管审计!G:G,"borderline")</f>
        <v/>
      </c>
      <c r="D235">
        <f>COUNTIFS(候选导管审计!B:B,A235,候选导管审计!G:G,"excluded")</f>
        <v/>
      </c>
      <c r="E235">
        <f>COUNTIFS(候选导管审计!B:B,A235,候选导管审计!G:G,"edge_truncated")</f>
        <v/>
      </c>
      <c r="F235">
        <f>COUNTIF(导管对_CWR_172!B:B,A235)</f>
        <v/>
      </c>
      <c r="G235">
        <f>COUNTIF(TVW线测量明细!B:B,A235)</f>
        <v/>
      </c>
      <c r="H235" t="n">
        <v>0.2173913043478261</v>
      </c>
      <c r="I235" t="n">
        <v>238</v>
      </c>
      <c r="J235">
        <f>1024*I235*H235^2/1000000</f>
        <v/>
      </c>
      <c r="K235" t="inlineStr">
        <is>
          <t>同一样品的技术视野；不是独立生物学重复</t>
        </is>
      </c>
      <c r="L235" t="inlineStr">
        <is>
          <t>样品27</t>
        </is>
      </c>
    </row>
    <row r="236">
      <c r="A236" t="inlineStr">
        <is>
          <t>27 (7).tif</t>
        </is>
      </c>
      <c r="B236">
        <f>COUNTIF(导管母表_1781!B:B,A236)</f>
        <v/>
      </c>
      <c r="C236">
        <f>COUNTIFS(候选导管审计!B:B,A236,候选导管审计!G:G,"borderline")</f>
        <v/>
      </c>
      <c r="D236">
        <f>COUNTIFS(候选导管审计!B:B,A236,候选导管审计!G:G,"excluded")</f>
        <v/>
      </c>
      <c r="E236">
        <f>COUNTIFS(候选导管审计!B:B,A236,候选导管审计!G:G,"edge_truncated")</f>
        <v/>
      </c>
      <c r="F236">
        <f>COUNTIF(导管对_CWR_172!B:B,A236)</f>
        <v/>
      </c>
      <c r="G236">
        <f>COUNTIF(TVW线测量明细!B:B,A236)</f>
        <v/>
      </c>
      <c r="H236" t="n">
        <v>0.2173913043478261</v>
      </c>
      <c r="I236" t="n">
        <v>691</v>
      </c>
      <c r="J236">
        <f>1024*I236*H236^2/1000000</f>
        <v/>
      </c>
      <c r="K236" t="inlineStr">
        <is>
          <t>同一样品的技术视野；不是独立生物学重复</t>
        </is>
      </c>
      <c r="L236" t="inlineStr">
        <is>
          <t>样品27</t>
        </is>
      </c>
    </row>
    <row r="237">
      <c r="A237" t="inlineStr">
        <is>
          <t>28 (1).tif</t>
        </is>
      </c>
      <c r="B237">
        <f>COUNTIF(导管母表_1781!B:B,A237)</f>
        <v/>
      </c>
      <c r="C237">
        <f>COUNTIFS(候选导管审计!B:B,A237,候选导管审计!G:G,"borderline")</f>
        <v/>
      </c>
      <c r="D237">
        <f>COUNTIFS(候选导管审计!B:B,A237,候选导管审计!G:G,"excluded")</f>
        <v/>
      </c>
      <c r="E237">
        <f>COUNTIFS(候选导管审计!B:B,A237,候选导管审计!G:G,"edge_truncated")</f>
        <v/>
      </c>
      <c r="F237">
        <f>COUNTIF(导管对_CWR_172!B:B,A237)</f>
        <v/>
      </c>
      <c r="G237">
        <f>COUNTIF(TVW线测量明细!B:B,A237)</f>
        <v/>
      </c>
      <c r="H237" t="n">
        <v>0.2173913043478261</v>
      </c>
      <c r="I237" t="n">
        <v>691</v>
      </c>
      <c r="J237">
        <f>1024*I237*H237^2/1000000</f>
        <v/>
      </c>
      <c r="K237" t="inlineStr">
        <is>
          <t>同一样品的技术视野；不是独立生物学重复</t>
        </is>
      </c>
      <c r="L237" t="inlineStr">
        <is>
          <t>样品28</t>
        </is>
      </c>
    </row>
    <row r="238">
      <c r="A238" t="inlineStr">
        <is>
          <t>28 (2).tif</t>
        </is>
      </c>
      <c r="B238">
        <f>COUNTIF(导管母表_1781!B:B,A238)</f>
        <v/>
      </c>
      <c r="C238">
        <f>COUNTIFS(候选导管审计!B:B,A238,候选导管审计!G:G,"borderline")</f>
        <v/>
      </c>
      <c r="D238">
        <f>COUNTIFS(候选导管审计!B:B,A238,候选导管审计!G:G,"excluded")</f>
        <v/>
      </c>
      <c r="E238">
        <f>COUNTIFS(候选导管审计!B:B,A238,候选导管审计!G:G,"edge_truncated")</f>
        <v/>
      </c>
      <c r="F238">
        <f>COUNTIF(导管对_CWR_172!B:B,A238)</f>
        <v/>
      </c>
      <c r="G238">
        <f>COUNTIF(TVW线测量明细!B:B,A238)</f>
        <v/>
      </c>
      <c r="H238" t="n">
        <v>0.2173913043478261</v>
      </c>
      <c r="I238" t="n">
        <v>307</v>
      </c>
      <c r="J238">
        <f>1024*I238*H238^2/1000000</f>
        <v/>
      </c>
      <c r="K238" t="inlineStr">
        <is>
          <t>同一样品的技术视野；不是独立生物学重复</t>
        </is>
      </c>
      <c r="L238" t="inlineStr">
        <is>
          <t>样品28</t>
        </is>
      </c>
    </row>
    <row r="239">
      <c r="A239" t="inlineStr">
        <is>
          <t>28 (3).tif</t>
        </is>
      </c>
      <c r="B239">
        <f>COUNTIF(导管母表_1781!B:B,A239)</f>
        <v/>
      </c>
      <c r="C239">
        <f>COUNTIFS(候选导管审计!B:B,A239,候选导管审计!G:G,"borderline")</f>
        <v/>
      </c>
      <c r="D239">
        <f>COUNTIFS(候选导管审计!B:B,A239,候选导管审计!G:G,"excluded")</f>
        <v/>
      </c>
      <c r="E239">
        <f>COUNTIFS(候选导管审计!B:B,A239,候选导管审计!G:G,"edge_truncated")</f>
        <v/>
      </c>
      <c r="F239">
        <f>COUNTIF(导管对_CWR_172!B:B,A239)</f>
        <v/>
      </c>
      <c r="G239">
        <f>COUNTIF(TVW线测量明细!B:B,A239)</f>
        <v/>
      </c>
      <c r="H239" t="n">
        <v>0.2173913043478261</v>
      </c>
      <c r="I239" t="n">
        <v>326</v>
      </c>
      <c r="J239">
        <f>1024*I239*H239^2/1000000</f>
        <v/>
      </c>
      <c r="K239" t="inlineStr">
        <is>
          <t>同一样品的技术视野；不是独立生物学重复</t>
        </is>
      </c>
      <c r="L239" t="inlineStr">
        <is>
          <t>样品28</t>
        </is>
      </c>
    </row>
    <row r="240">
      <c r="A240" t="inlineStr">
        <is>
          <t>28 (4).tif</t>
        </is>
      </c>
      <c r="B240">
        <f>COUNTIF(导管母表_1781!B:B,A240)</f>
        <v/>
      </c>
      <c r="C240">
        <f>COUNTIFS(候选导管审计!B:B,A240,候选导管审计!G:G,"borderline")</f>
        <v/>
      </c>
      <c r="D240">
        <f>COUNTIFS(候选导管审计!B:B,A240,候选导管审计!G:G,"excluded")</f>
        <v/>
      </c>
      <c r="E240">
        <f>COUNTIFS(候选导管审计!B:B,A240,候选导管审计!G:G,"edge_truncated")</f>
        <v/>
      </c>
      <c r="F240">
        <f>COUNTIF(导管对_CWR_172!B:B,A240)</f>
        <v/>
      </c>
      <c r="G240">
        <f>COUNTIF(TVW线测量明细!B:B,A240)</f>
        <v/>
      </c>
      <c r="H240" t="n">
        <v>0.2173913043478261</v>
      </c>
      <c r="I240" t="n">
        <v>691</v>
      </c>
      <c r="J240">
        <f>1024*I240*H240^2/1000000</f>
        <v/>
      </c>
      <c r="K240" t="inlineStr">
        <is>
          <t>同一样品的技术视野；不是独立生物学重复</t>
        </is>
      </c>
      <c r="L240" t="inlineStr">
        <is>
          <t>样品28</t>
        </is>
      </c>
    </row>
    <row r="241">
      <c r="A241" t="inlineStr">
        <is>
          <t>28 (5).tif</t>
        </is>
      </c>
      <c r="B241">
        <f>COUNTIF(导管母表_1781!B:B,A241)</f>
        <v/>
      </c>
      <c r="C241">
        <f>COUNTIFS(候选导管审计!B:B,A241,候选导管审计!G:G,"borderline")</f>
        <v/>
      </c>
      <c r="D241">
        <f>COUNTIFS(候选导管审计!B:B,A241,候选导管审计!G:G,"excluded")</f>
        <v/>
      </c>
      <c r="E241">
        <f>COUNTIFS(候选导管审计!B:B,A241,候选导管审计!G:G,"edge_truncated")</f>
        <v/>
      </c>
      <c r="F241">
        <f>COUNTIF(导管对_CWR_172!B:B,A241)</f>
        <v/>
      </c>
      <c r="G241">
        <f>COUNTIF(TVW线测量明细!B:B,A241)</f>
        <v/>
      </c>
      <c r="H241" t="n">
        <v>0.2173913043478261</v>
      </c>
      <c r="I241" t="n">
        <v>691</v>
      </c>
      <c r="J241">
        <f>1024*I241*H241^2/1000000</f>
        <v/>
      </c>
      <c r="K241" t="inlineStr">
        <is>
          <t>同一样品的技术视野；不是独立生物学重复</t>
        </is>
      </c>
      <c r="L241" t="inlineStr">
        <is>
          <t>样品28</t>
        </is>
      </c>
    </row>
    <row r="242">
      <c r="A242" t="inlineStr">
        <is>
          <t>28 (6).tif</t>
        </is>
      </c>
      <c r="B242">
        <f>COUNTIF(导管母表_1781!B:B,A242)</f>
        <v/>
      </c>
      <c r="C242">
        <f>COUNTIFS(候选导管审计!B:B,A242,候选导管审计!G:G,"borderline")</f>
        <v/>
      </c>
      <c r="D242">
        <f>COUNTIFS(候选导管审计!B:B,A242,候选导管审计!G:G,"excluded")</f>
        <v/>
      </c>
      <c r="E242">
        <f>COUNTIFS(候选导管审计!B:B,A242,候选导管审计!G:G,"edge_truncated")</f>
        <v/>
      </c>
      <c r="F242">
        <f>COUNTIF(导管对_CWR_172!B:B,A242)</f>
        <v/>
      </c>
      <c r="G242">
        <f>COUNTIF(TVW线测量明细!B:B,A242)</f>
        <v/>
      </c>
      <c r="H242" t="n">
        <v>0.2173913043478261</v>
      </c>
      <c r="I242" t="n">
        <v>691</v>
      </c>
      <c r="J242">
        <f>1024*I242*H242^2/1000000</f>
        <v/>
      </c>
      <c r="K242" t="inlineStr">
        <is>
          <t>同一样品的技术视野；不是独立生物学重复</t>
        </is>
      </c>
      <c r="L242" t="inlineStr">
        <is>
          <t>样品28</t>
        </is>
      </c>
    </row>
    <row r="243">
      <c r="A243" t="inlineStr">
        <is>
          <t>28 (7).tif</t>
        </is>
      </c>
      <c r="B243">
        <f>COUNTIF(导管母表_1781!B:B,A243)</f>
        <v/>
      </c>
      <c r="C243">
        <f>COUNTIFS(候选导管审计!B:B,A243,候选导管审计!G:G,"borderline")</f>
        <v/>
      </c>
      <c r="D243">
        <f>COUNTIFS(候选导管审计!B:B,A243,候选导管审计!G:G,"excluded")</f>
        <v/>
      </c>
      <c r="E243">
        <f>COUNTIFS(候选导管审计!B:B,A243,候选导管审计!G:G,"edge_truncated")</f>
        <v/>
      </c>
      <c r="F243">
        <f>COUNTIF(导管对_CWR_172!B:B,A243)</f>
        <v/>
      </c>
      <c r="G243">
        <f>COUNTIF(TVW线测量明细!B:B,A243)</f>
        <v/>
      </c>
      <c r="H243" t="n">
        <v>0.2173913043478261</v>
      </c>
      <c r="I243" t="n">
        <v>691</v>
      </c>
      <c r="J243">
        <f>1024*I243*H243^2/1000000</f>
        <v/>
      </c>
      <c r="K243" t="inlineStr">
        <is>
          <t>同一样品的技术视野；不是独立生物学重复</t>
        </is>
      </c>
      <c r="L243" t="inlineStr">
        <is>
          <t>样品28</t>
        </is>
      </c>
    </row>
    <row r="244">
      <c r="A244" t="inlineStr">
        <is>
          <t>28 (8).tif</t>
        </is>
      </c>
      <c r="B244">
        <f>COUNTIF(导管母表_1781!B:B,A244)</f>
        <v/>
      </c>
      <c r="C244">
        <f>COUNTIFS(候选导管审计!B:B,A244,候选导管审计!G:G,"borderline")</f>
        <v/>
      </c>
      <c r="D244">
        <f>COUNTIFS(候选导管审计!B:B,A244,候选导管审计!G:G,"excluded")</f>
        <v/>
      </c>
      <c r="E244">
        <f>COUNTIFS(候选导管审计!B:B,A244,候选导管审计!G:G,"edge_truncated")</f>
        <v/>
      </c>
      <c r="F244">
        <f>COUNTIF(导管对_CWR_172!B:B,A244)</f>
        <v/>
      </c>
      <c r="G244">
        <f>COUNTIF(TVW线测量明细!B:B,A244)</f>
        <v/>
      </c>
      <c r="H244" t="n">
        <v>0.2173913043478261</v>
      </c>
      <c r="I244" t="n">
        <v>244</v>
      </c>
      <c r="J244">
        <f>1024*I244*H244^2/1000000</f>
        <v/>
      </c>
      <c r="K244" t="inlineStr">
        <is>
          <t>同一样品的技术视野；不是独立生物学重复</t>
        </is>
      </c>
      <c r="L244" t="inlineStr">
        <is>
          <t>样品28</t>
        </is>
      </c>
    </row>
    <row r="245">
      <c r="A245" t="inlineStr">
        <is>
          <t>29 (1).tif</t>
        </is>
      </c>
      <c r="B245">
        <f>COUNTIF(导管母表_1781!B:B,A245)</f>
        <v/>
      </c>
      <c r="C245">
        <f>COUNTIFS(候选导管审计!B:B,A245,候选导管审计!G:G,"borderline")</f>
        <v/>
      </c>
      <c r="D245">
        <f>COUNTIFS(候选导管审计!B:B,A245,候选导管审计!G:G,"excluded")</f>
        <v/>
      </c>
      <c r="E245">
        <f>COUNTIFS(候选导管审计!B:B,A245,候选导管审计!G:G,"edge_truncated")</f>
        <v/>
      </c>
      <c r="F245">
        <f>COUNTIF(导管对_CWR_172!B:B,A245)</f>
        <v/>
      </c>
      <c r="G245">
        <f>COUNTIF(TVW线测量明细!B:B,A245)</f>
        <v/>
      </c>
      <c r="H245" t="n">
        <v>0.2173913043478261</v>
      </c>
      <c r="I245" t="n">
        <v>224</v>
      </c>
      <c r="J245">
        <f>1024*I245*H245^2/1000000</f>
        <v/>
      </c>
      <c r="K245" t="inlineStr">
        <is>
          <t>同一样品的技术视野；不是独立生物学重复</t>
        </is>
      </c>
      <c r="L245" t="inlineStr">
        <is>
          <t>样品29</t>
        </is>
      </c>
    </row>
    <row r="246">
      <c r="A246" t="inlineStr">
        <is>
          <t>29 (2).tif</t>
        </is>
      </c>
      <c r="B246">
        <f>COUNTIF(导管母表_1781!B:B,A246)</f>
        <v/>
      </c>
      <c r="C246">
        <f>COUNTIFS(候选导管审计!B:B,A246,候选导管审计!G:G,"borderline")</f>
        <v/>
      </c>
      <c r="D246">
        <f>COUNTIFS(候选导管审计!B:B,A246,候选导管审计!G:G,"excluded")</f>
        <v/>
      </c>
      <c r="E246">
        <f>COUNTIFS(候选导管审计!B:B,A246,候选导管审计!G:G,"edge_truncated")</f>
        <v/>
      </c>
      <c r="F246">
        <f>COUNTIF(导管对_CWR_172!B:B,A246)</f>
        <v/>
      </c>
      <c r="G246">
        <f>COUNTIF(TVW线测量明细!B:B,A246)</f>
        <v/>
      </c>
      <c r="H246" t="n">
        <v>0.2173913043478261</v>
      </c>
      <c r="I246" t="n">
        <v>239</v>
      </c>
      <c r="J246">
        <f>1024*I246*H246^2/1000000</f>
        <v/>
      </c>
      <c r="K246" t="inlineStr">
        <is>
          <t>同一样品的技术视野；不是独立生物学重复</t>
        </is>
      </c>
      <c r="L246" t="inlineStr">
        <is>
          <t>样品29</t>
        </is>
      </c>
    </row>
    <row r="247">
      <c r="A247" t="inlineStr">
        <is>
          <t>29 (3).tif</t>
        </is>
      </c>
      <c r="B247">
        <f>COUNTIF(导管母表_1781!B:B,A247)</f>
        <v/>
      </c>
      <c r="C247">
        <f>COUNTIFS(候选导管审计!B:B,A247,候选导管审计!G:G,"borderline")</f>
        <v/>
      </c>
      <c r="D247">
        <f>COUNTIFS(候选导管审计!B:B,A247,候选导管审计!G:G,"excluded")</f>
        <v/>
      </c>
      <c r="E247">
        <f>COUNTIFS(候选导管审计!B:B,A247,候选导管审计!G:G,"edge_truncated")</f>
        <v/>
      </c>
      <c r="F247">
        <f>COUNTIF(导管对_CWR_172!B:B,A247)</f>
        <v/>
      </c>
      <c r="G247">
        <f>COUNTIF(TVW线测量明细!B:B,A247)</f>
        <v/>
      </c>
      <c r="H247" t="n">
        <v>0.2173913043478261</v>
      </c>
      <c r="I247" t="n">
        <v>691</v>
      </c>
      <c r="J247">
        <f>1024*I247*H247^2/1000000</f>
        <v/>
      </c>
      <c r="K247" t="inlineStr">
        <is>
          <t>同一样品的技术视野；不是独立生物学重复</t>
        </is>
      </c>
      <c r="L247" t="inlineStr">
        <is>
          <t>样品29</t>
        </is>
      </c>
    </row>
    <row r="248">
      <c r="A248" t="inlineStr">
        <is>
          <t>29 (4).tif</t>
        </is>
      </c>
      <c r="B248">
        <f>COUNTIF(导管母表_1781!B:B,A248)</f>
        <v/>
      </c>
      <c r="C248">
        <f>COUNTIFS(候选导管审计!B:B,A248,候选导管审计!G:G,"borderline")</f>
        <v/>
      </c>
      <c r="D248">
        <f>COUNTIFS(候选导管审计!B:B,A248,候选导管审计!G:G,"excluded")</f>
        <v/>
      </c>
      <c r="E248">
        <f>COUNTIFS(候选导管审计!B:B,A248,候选导管审计!G:G,"edge_truncated")</f>
        <v/>
      </c>
      <c r="F248">
        <f>COUNTIF(导管对_CWR_172!B:B,A248)</f>
        <v/>
      </c>
      <c r="G248">
        <f>COUNTIF(TVW线测量明细!B:B,A248)</f>
        <v/>
      </c>
      <c r="H248" t="n">
        <v>0.2173913043478261</v>
      </c>
      <c r="I248" t="n">
        <v>691</v>
      </c>
      <c r="J248">
        <f>1024*I248*H248^2/1000000</f>
        <v/>
      </c>
      <c r="K248" t="inlineStr">
        <is>
          <t>同一样品的技术视野；不是独立生物学重复</t>
        </is>
      </c>
      <c r="L248" t="inlineStr">
        <is>
          <t>样品29</t>
        </is>
      </c>
    </row>
    <row r="249">
      <c r="A249" t="inlineStr">
        <is>
          <t>29 (5).tif</t>
        </is>
      </c>
      <c r="B249">
        <f>COUNTIF(导管母表_1781!B:B,A249)</f>
        <v/>
      </c>
      <c r="C249">
        <f>COUNTIFS(候选导管审计!B:B,A249,候选导管审计!G:G,"borderline")</f>
        <v/>
      </c>
      <c r="D249">
        <f>COUNTIFS(候选导管审计!B:B,A249,候选导管审计!G:G,"excluded")</f>
        <v/>
      </c>
      <c r="E249">
        <f>COUNTIFS(候选导管审计!B:B,A249,候选导管审计!G:G,"edge_truncated")</f>
        <v/>
      </c>
      <c r="F249">
        <f>COUNTIF(导管对_CWR_172!B:B,A249)</f>
        <v/>
      </c>
      <c r="G249">
        <f>COUNTIF(TVW线测量明细!B:B,A249)</f>
        <v/>
      </c>
      <c r="H249" t="n">
        <v>0.2173913043478261</v>
      </c>
      <c r="I249" t="n">
        <v>163</v>
      </c>
      <c r="J249">
        <f>1024*I249*H249^2/1000000</f>
        <v/>
      </c>
      <c r="K249" t="inlineStr">
        <is>
          <t>同一样品的技术视野；不是独立生物学重复</t>
        </is>
      </c>
      <c r="L249" t="inlineStr">
        <is>
          <t>样品29</t>
        </is>
      </c>
    </row>
    <row r="250">
      <c r="A250" t="inlineStr">
        <is>
          <t>29 (6).tif</t>
        </is>
      </c>
      <c r="B250">
        <f>COUNTIF(导管母表_1781!B:B,A250)</f>
        <v/>
      </c>
      <c r="C250">
        <f>COUNTIFS(候选导管审计!B:B,A250,候选导管审计!G:G,"borderline")</f>
        <v/>
      </c>
      <c r="D250">
        <f>COUNTIFS(候选导管审计!B:B,A250,候选导管审计!G:G,"excluded")</f>
        <v/>
      </c>
      <c r="E250">
        <f>COUNTIFS(候选导管审计!B:B,A250,候选导管审计!G:G,"edge_truncated")</f>
        <v/>
      </c>
      <c r="F250">
        <f>COUNTIF(导管对_CWR_172!B:B,A250)</f>
        <v/>
      </c>
      <c r="G250">
        <f>COUNTIF(TVW线测量明细!B:B,A250)</f>
        <v/>
      </c>
      <c r="H250" t="n">
        <v>0.2173913043478261</v>
      </c>
      <c r="I250" t="n">
        <v>691</v>
      </c>
      <c r="J250">
        <f>1024*I250*H250^2/1000000</f>
        <v/>
      </c>
      <c r="K250" t="inlineStr">
        <is>
          <t>同一样品的技术视野；不是独立生物学重复</t>
        </is>
      </c>
      <c r="L250" t="inlineStr">
        <is>
          <t>样品29</t>
        </is>
      </c>
    </row>
    <row r="251">
      <c r="A251" t="inlineStr">
        <is>
          <t>29 (7).tif</t>
        </is>
      </c>
      <c r="B251">
        <f>COUNTIF(导管母表_1781!B:B,A251)</f>
        <v/>
      </c>
      <c r="C251">
        <f>COUNTIFS(候选导管审计!B:B,A251,候选导管审计!G:G,"borderline")</f>
        <v/>
      </c>
      <c r="D251">
        <f>COUNTIFS(候选导管审计!B:B,A251,候选导管审计!G:G,"excluded")</f>
        <v/>
      </c>
      <c r="E251">
        <f>COUNTIFS(候选导管审计!B:B,A251,候选导管审计!G:G,"edge_truncated")</f>
        <v/>
      </c>
      <c r="F251">
        <f>COUNTIF(导管对_CWR_172!B:B,A251)</f>
        <v/>
      </c>
      <c r="G251">
        <f>COUNTIF(TVW线测量明细!B:B,A251)</f>
        <v/>
      </c>
      <c r="H251" t="n">
        <v>0.2173913043478261</v>
      </c>
      <c r="I251" t="n">
        <v>691</v>
      </c>
      <c r="J251">
        <f>1024*I251*H251^2/1000000</f>
        <v/>
      </c>
      <c r="K251" t="inlineStr">
        <is>
          <t>同一样品的技术视野；不是独立生物学重复</t>
        </is>
      </c>
      <c r="L251" t="inlineStr">
        <is>
          <t>样品29</t>
        </is>
      </c>
    </row>
    <row r="252">
      <c r="A252" t="inlineStr">
        <is>
          <t>29 (8).tif</t>
        </is>
      </c>
      <c r="B252">
        <f>COUNTIF(导管母表_1781!B:B,A252)</f>
        <v/>
      </c>
      <c r="C252">
        <f>COUNTIFS(候选导管审计!B:B,A252,候选导管审计!G:G,"borderline")</f>
        <v/>
      </c>
      <c r="D252">
        <f>COUNTIFS(候选导管审计!B:B,A252,候选导管审计!G:G,"excluded")</f>
        <v/>
      </c>
      <c r="E252">
        <f>COUNTIFS(候选导管审计!B:B,A252,候选导管审计!G:G,"edge_truncated")</f>
        <v/>
      </c>
      <c r="F252">
        <f>COUNTIF(导管对_CWR_172!B:B,A252)</f>
        <v/>
      </c>
      <c r="G252">
        <f>COUNTIF(TVW线测量明细!B:B,A252)</f>
        <v/>
      </c>
      <c r="H252" t="n">
        <v>0.2173913043478261</v>
      </c>
      <c r="I252" t="n">
        <v>691</v>
      </c>
      <c r="J252">
        <f>1024*I252*H252^2/1000000</f>
        <v/>
      </c>
      <c r="K252" t="inlineStr">
        <is>
          <t>同一样品的技术视野；不是独立生物学重复</t>
        </is>
      </c>
      <c r="L252" t="inlineStr">
        <is>
          <t>样品29</t>
        </is>
      </c>
    </row>
    <row r="253">
      <c r="A253" t="inlineStr">
        <is>
          <t>29 (9).tif</t>
        </is>
      </c>
      <c r="B253">
        <f>COUNTIF(导管母表_1781!B:B,A253)</f>
        <v/>
      </c>
      <c r="C253">
        <f>COUNTIFS(候选导管审计!B:B,A253,候选导管审计!G:G,"borderline")</f>
        <v/>
      </c>
      <c r="D253">
        <f>COUNTIFS(候选导管审计!B:B,A253,候选导管审计!G:G,"excluded")</f>
        <v/>
      </c>
      <c r="E253">
        <f>COUNTIFS(候选导管审计!B:B,A253,候选导管审计!G:G,"edge_truncated")</f>
        <v/>
      </c>
      <c r="F253">
        <f>COUNTIF(导管对_CWR_172!B:B,A253)</f>
        <v/>
      </c>
      <c r="G253">
        <f>COUNTIF(TVW线测量明细!B:B,A253)</f>
        <v/>
      </c>
      <c r="H253" t="n">
        <v>0.2173913043478261</v>
      </c>
      <c r="I253" t="n">
        <v>250</v>
      </c>
      <c r="J253">
        <f>1024*I253*H253^2/1000000</f>
        <v/>
      </c>
      <c r="K253" t="inlineStr">
        <is>
          <t>同一样品的技术视野；不是独立生物学重复</t>
        </is>
      </c>
      <c r="L253" t="inlineStr">
        <is>
          <t>样品29</t>
        </is>
      </c>
    </row>
    <row r="254">
      <c r="A254" t="inlineStr">
        <is>
          <t>30 (1).tif</t>
        </is>
      </c>
      <c r="B254">
        <f>COUNTIF(导管母表_1781!B:B,A254)</f>
        <v/>
      </c>
      <c r="C254">
        <f>COUNTIFS(候选导管审计!B:B,A254,候选导管审计!G:G,"borderline")</f>
        <v/>
      </c>
      <c r="D254">
        <f>COUNTIFS(候选导管审计!B:B,A254,候选导管审计!G:G,"excluded")</f>
        <v/>
      </c>
      <c r="E254">
        <f>COUNTIFS(候选导管审计!B:B,A254,候选导管审计!G:G,"edge_truncated")</f>
        <v/>
      </c>
      <c r="F254">
        <f>COUNTIF(导管对_CWR_172!B:B,A254)</f>
        <v/>
      </c>
      <c r="G254">
        <f>COUNTIF(TVW线测量明细!B:B,A254)</f>
        <v/>
      </c>
      <c r="H254" t="n">
        <v>0.2173913043478261</v>
      </c>
      <c r="I254" t="n">
        <v>238</v>
      </c>
      <c r="J254">
        <f>1024*I254*H254^2/1000000</f>
        <v/>
      </c>
      <c r="K254" t="inlineStr">
        <is>
          <t>同一样品的技术视野；不是独立生物学重复</t>
        </is>
      </c>
      <c r="L254" t="inlineStr">
        <is>
          <t>样品30</t>
        </is>
      </c>
    </row>
    <row r="255">
      <c r="A255" t="inlineStr">
        <is>
          <t>30 (2).tif</t>
        </is>
      </c>
      <c r="B255">
        <f>COUNTIF(导管母表_1781!B:B,A255)</f>
        <v/>
      </c>
      <c r="C255">
        <f>COUNTIFS(候选导管审计!B:B,A255,候选导管审计!G:G,"borderline")</f>
        <v/>
      </c>
      <c r="D255">
        <f>COUNTIFS(候选导管审计!B:B,A255,候选导管审计!G:G,"excluded")</f>
        <v/>
      </c>
      <c r="E255">
        <f>COUNTIFS(候选导管审计!B:B,A255,候选导管审计!G:G,"edge_truncated")</f>
        <v/>
      </c>
      <c r="F255">
        <f>COUNTIF(导管对_CWR_172!B:B,A255)</f>
        <v/>
      </c>
      <c r="G255">
        <f>COUNTIF(TVW线测量明细!B:B,A255)</f>
        <v/>
      </c>
      <c r="H255" t="n">
        <v>0.2173913043478261</v>
      </c>
      <c r="I255" t="n">
        <v>276</v>
      </c>
      <c r="J255">
        <f>1024*I255*H255^2/1000000</f>
        <v/>
      </c>
      <c r="K255" t="inlineStr">
        <is>
          <t>同一样品的技术视野；不是独立生物学重复</t>
        </is>
      </c>
      <c r="L255" t="inlineStr">
        <is>
          <t>样品30</t>
        </is>
      </c>
    </row>
    <row r="256">
      <c r="A256" t="inlineStr">
        <is>
          <t>30 (3).tif</t>
        </is>
      </c>
      <c r="B256">
        <f>COUNTIF(导管母表_1781!B:B,A256)</f>
        <v/>
      </c>
      <c r="C256">
        <f>COUNTIFS(候选导管审计!B:B,A256,候选导管审计!G:G,"borderline")</f>
        <v/>
      </c>
      <c r="D256">
        <f>COUNTIFS(候选导管审计!B:B,A256,候选导管审计!G:G,"excluded")</f>
        <v/>
      </c>
      <c r="E256">
        <f>COUNTIFS(候选导管审计!B:B,A256,候选导管审计!G:G,"edge_truncated")</f>
        <v/>
      </c>
      <c r="F256">
        <f>COUNTIF(导管对_CWR_172!B:B,A256)</f>
        <v/>
      </c>
      <c r="G256">
        <f>COUNTIF(TVW线测量明细!B:B,A256)</f>
        <v/>
      </c>
      <c r="H256" t="n">
        <v>0.2173913043478261</v>
      </c>
      <c r="I256" t="n">
        <v>691</v>
      </c>
      <c r="J256">
        <f>1024*I256*H256^2/1000000</f>
        <v/>
      </c>
      <c r="K256" t="inlineStr">
        <is>
          <t>同一样品的技术视野；不是独立生物学重复</t>
        </is>
      </c>
      <c r="L256" t="inlineStr">
        <is>
          <t>样品30</t>
        </is>
      </c>
    </row>
    <row r="257">
      <c r="A257" t="inlineStr">
        <is>
          <t>30 (4).tif</t>
        </is>
      </c>
      <c r="B257">
        <f>COUNTIF(导管母表_1781!B:B,A257)</f>
        <v/>
      </c>
      <c r="C257">
        <f>COUNTIFS(候选导管审计!B:B,A257,候选导管审计!G:G,"borderline")</f>
        <v/>
      </c>
      <c r="D257">
        <f>COUNTIFS(候选导管审计!B:B,A257,候选导管审计!G:G,"excluded")</f>
        <v/>
      </c>
      <c r="E257">
        <f>COUNTIFS(候选导管审计!B:B,A257,候选导管审计!G:G,"edge_truncated")</f>
        <v/>
      </c>
      <c r="F257">
        <f>COUNTIF(导管对_CWR_172!B:B,A257)</f>
        <v/>
      </c>
      <c r="G257">
        <f>COUNTIF(TVW线测量明细!B:B,A257)</f>
        <v/>
      </c>
      <c r="H257" t="n">
        <v>0.2173913043478261</v>
      </c>
      <c r="I257" t="n">
        <v>273</v>
      </c>
      <c r="J257">
        <f>1024*I257*H257^2/1000000</f>
        <v/>
      </c>
      <c r="K257" t="inlineStr">
        <is>
          <t>同一样品的技术视野；不是独立生物学重复</t>
        </is>
      </c>
      <c r="L257" t="inlineStr">
        <is>
          <t>样品30</t>
        </is>
      </c>
    </row>
    <row r="258">
      <c r="A258" t="inlineStr">
        <is>
          <t>30 (5).tif</t>
        </is>
      </c>
      <c r="B258">
        <f>COUNTIF(导管母表_1781!B:B,A258)</f>
        <v/>
      </c>
      <c r="C258">
        <f>COUNTIFS(候选导管审计!B:B,A258,候选导管审计!G:G,"borderline")</f>
        <v/>
      </c>
      <c r="D258">
        <f>COUNTIFS(候选导管审计!B:B,A258,候选导管审计!G:G,"excluded")</f>
        <v/>
      </c>
      <c r="E258">
        <f>COUNTIFS(候选导管审计!B:B,A258,候选导管审计!G:G,"edge_truncated")</f>
        <v/>
      </c>
      <c r="F258">
        <f>COUNTIF(导管对_CWR_172!B:B,A258)</f>
        <v/>
      </c>
      <c r="G258">
        <f>COUNTIF(TVW线测量明细!B:B,A258)</f>
        <v/>
      </c>
      <c r="H258" t="n">
        <v>0.2173913043478261</v>
      </c>
      <c r="I258" t="n">
        <v>691</v>
      </c>
      <c r="J258">
        <f>1024*I258*H258^2/1000000</f>
        <v/>
      </c>
      <c r="K258" t="inlineStr">
        <is>
          <t>同一样品的技术视野；不是独立生物学重复</t>
        </is>
      </c>
      <c r="L258" t="inlineStr">
        <is>
          <t>样品30</t>
        </is>
      </c>
    </row>
    <row r="259">
      <c r="A259" t="inlineStr">
        <is>
          <t>30 (6).tif</t>
        </is>
      </c>
      <c r="B259">
        <f>COUNTIF(导管母表_1781!B:B,A259)</f>
        <v/>
      </c>
      <c r="C259">
        <f>COUNTIFS(候选导管审计!B:B,A259,候选导管审计!G:G,"borderline")</f>
        <v/>
      </c>
      <c r="D259">
        <f>COUNTIFS(候选导管审计!B:B,A259,候选导管审计!G:G,"excluded")</f>
        <v/>
      </c>
      <c r="E259">
        <f>COUNTIFS(候选导管审计!B:B,A259,候选导管审计!G:G,"edge_truncated")</f>
        <v/>
      </c>
      <c r="F259">
        <f>COUNTIF(导管对_CWR_172!B:B,A259)</f>
        <v/>
      </c>
      <c r="G259">
        <f>COUNTIF(TVW线测量明细!B:B,A259)</f>
        <v/>
      </c>
      <c r="H259" t="n">
        <v>0.2173913043478261</v>
      </c>
      <c r="I259" t="n">
        <v>177</v>
      </c>
      <c r="J259">
        <f>1024*I259*H259^2/1000000</f>
        <v/>
      </c>
      <c r="K259" t="inlineStr">
        <is>
          <t>同一样品的技术视野；不是独立生物学重复</t>
        </is>
      </c>
      <c r="L259" t="inlineStr">
        <is>
          <t>样品30</t>
        </is>
      </c>
    </row>
    <row r="260">
      <c r="A260" t="inlineStr">
        <is>
          <t>30 (7).tif</t>
        </is>
      </c>
      <c r="B260">
        <f>COUNTIF(导管母表_1781!B:B,A260)</f>
        <v/>
      </c>
      <c r="C260">
        <f>COUNTIFS(候选导管审计!B:B,A260,候选导管审计!G:G,"borderline")</f>
        <v/>
      </c>
      <c r="D260">
        <f>COUNTIFS(候选导管审计!B:B,A260,候选导管审计!G:G,"excluded")</f>
        <v/>
      </c>
      <c r="E260">
        <f>COUNTIFS(候选导管审计!B:B,A260,候选导管审计!G:G,"edge_truncated")</f>
        <v/>
      </c>
      <c r="F260">
        <f>COUNTIF(导管对_CWR_172!B:B,A260)</f>
        <v/>
      </c>
      <c r="G260">
        <f>COUNTIF(TVW线测量明细!B:B,A260)</f>
        <v/>
      </c>
      <c r="H260" t="n">
        <v>0.2173913043478261</v>
      </c>
      <c r="I260" t="n">
        <v>172</v>
      </c>
      <c r="J260">
        <f>1024*I260*H260^2/1000000</f>
        <v/>
      </c>
      <c r="K260" t="inlineStr">
        <is>
          <t>同一样品的技术视野；不是独立生物学重复</t>
        </is>
      </c>
      <c r="L260" t="inlineStr">
        <is>
          <t>样品30</t>
        </is>
      </c>
    </row>
    <row r="261">
      <c r="A261" t="inlineStr">
        <is>
          <t>30 (8).tif</t>
        </is>
      </c>
      <c r="B261">
        <f>COUNTIF(导管母表_1781!B:B,A261)</f>
        <v/>
      </c>
      <c r="C261">
        <f>COUNTIFS(候选导管审计!B:B,A261,候选导管审计!G:G,"borderline")</f>
        <v/>
      </c>
      <c r="D261">
        <f>COUNTIFS(候选导管审计!B:B,A261,候选导管审计!G:G,"excluded")</f>
        <v/>
      </c>
      <c r="E261">
        <f>COUNTIFS(候选导管审计!B:B,A261,候选导管审计!G:G,"edge_truncated")</f>
        <v/>
      </c>
      <c r="F261">
        <f>COUNTIF(导管对_CWR_172!B:B,A261)</f>
        <v/>
      </c>
      <c r="G261">
        <f>COUNTIF(TVW线测量明细!B:B,A261)</f>
        <v/>
      </c>
      <c r="H261" t="n">
        <v>0.2173913043478261</v>
      </c>
      <c r="I261" t="n">
        <v>164</v>
      </c>
      <c r="J261">
        <f>1024*I261*H261^2/1000000</f>
        <v/>
      </c>
      <c r="K261" t="inlineStr">
        <is>
          <t>同一样品的技术视野；不是独立生物学重复</t>
        </is>
      </c>
      <c r="L261" t="inlineStr">
        <is>
          <t>样品30</t>
        </is>
      </c>
    </row>
    <row r="262">
      <c r="A262" t="inlineStr">
        <is>
          <t>30 (9).tif</t>
        </is>
      </c>
      <c r="B262">
        <f>COUNTIF(导管母表_1781!B:B,A262)</f>
        <v/>
      </c>
      <c r="C262">
        <f>COUNTIFS(候选导管审计!B:B,A262,候选导管审计!G:G,"borderline")</f>
        <v/>
      </c>
      <c r="D262">
        <f>COUNTIFS(候选导管审计!B:B,A262,候选导管审计!G:G,"excluded")</f>
        <v/>
      </c>
      <c r="E262">
        <f>COUNTIFS(候选导管审计!B:B,A262,候选导管审计!G:G,"edge_truncated")</f>
        <v/>
      </c>
      <c r="F262">
        <f>COUNTIF(导管对_CWR_172!B:B,A262)</f>
        <v/>
      </c>
      <c r="G262">
        <f>COUNTIF(TVW线测量明细!B:B,A262)</f>
        <v/>
      </c>
      <c r="H262" t="n">
        <v>0.2173913043478261</v>
      </c>
      <c r="I262" t="n">
        <v>143</v>
      </c>
      <c r="J262">
        <f>1024*I262*H262^2/1000000</f>
        <v/>
      </c>
      <c r="K262" t="inlineStr">
        <is>
          <t>同一样品的技术视野；不是独立生物学重复</t>
        </is>
      </c>
      <c r="L262" t="inlineStr">
        <is>
          <t>样品30</t>
        </is>
      </c>
    </row>
    <row r="263">
      <c r="A263" t="inlineStr">
        <is>
          <t>31 (1).tif</t>
        </is>
      </c>
      <c r="B263">
        <f>COUNTIF(导管母表_1781!B:B,A263)</f>
        <v/>
      </c>
      <c r="C263">
        <f>COUNTIFS(候选导管审计!B:B,A263,候选导管审计!G:G,"borderline")</f>
        <v/>
      </c>
      <c r="D263">
        <f>COUNTIFS(候选导管审计!B:B,A263,候选导管审计!G:G,"excluded")</f>
        <v/>
      </c>
      <c r="E263">
        <f>COUNTIFS(候选导管审计!B:B,A263,候选导管审计!G:G,"edge_truncated")</f>
        <v/>
      </c>
      <c r="F263">
        <f>COUNTIF(导管对_CWR_172!B:B,A263)</f>
        <v/>
      </c>
      <c r="G263">
        <f>COUNTIF(TVW线测量明细!B:B,A263)</f>
        <v/>
      </c>
      <c r="H263" t="n">
        <v>0.2173913043478261</v>
      </c>
      <c r="I263" t="n">
        <v>256</v>
      </c>
      <c r="J263">
        <f>1024*I263*H263^2/1000000</f>
        <v/>
      </c>
      <c r="K263" t="inlineStr">
        <is>
          <t>同一样品的技术视野；不是独立生物学重复</t>
        </is>
      </c>
      <c r="L263" t="inlineStr">
        <is>
          <t>样品31</t>
        </is>
      </c>
    </row>
    <row r="264">
      <c r="A264" t="inlineStr">
        <is>
          <t>31 (2).tif</t>
        </is>
      </c>
      <c r="B264">
        <f>COUNTIF(导管母表_1781!B:B,A264)</f>
        <v/>
      </c>
      <c r="C264">
        <f>COUNTIFS(候选导管审计!B:B,A264,候选导管审计!G:G,"borderline")</f>
        <v/>
      </c>
      <c r="D264">
        <f>COUNTIFS(候选导管审计!B:B,A264,候选导管审计!G:G,"excluded")</f>
        <v/>
      </c>
      <c r="E264">
        <f>COUNTIFS(候选导管审计!B:B,A264,候选导管审计!G:G,"edge_truncated")</f>
        <v/>
      </c>
      <c r="F264">
        <f>COUNTIF(导管对_CWR_172!B:B,A264)</f>
        <v/>
      </c>
      <c r="G264">
        <f>COUNTIF(TVW线测量明细!B:B,A264)</f>
        <v/>
      </c>
      <c r="H264" t="n">
        <v>0.2173913043478261</v>
      </c>
      <c r="I264" t="n">
        <v>691</v>
      </c>
      <c r="J264">
        <f>1024*I264*H264^2/1000000</f>
        <v/>
      </c>
      <c r="K264" t="inlineStr">
        <is>
          <t>同一样品的技术视野；不是独立生物学重复</t>
        </is>
      </c>
      <c r="L264" t="inlineStr">
        <is>
          <t>样品31</t>
        </is>
      </c>
    </row>
    <row r="265">
      <c r="A265" t="inlineStr">
        <is>
          <t>31 (3).tif</t>
        </is>
      </c>
      <c r="B265">
        <f>COUNTIF(导管母表_1781!B:B,A265)</f>
        <v/>
      </c>
      <c r="C265">
        <f>COUNTIFS(候选导管审计!B:B,A265,候选导管审计!G:G,"borderline")</f>
        <v/>
      </c>
      <c r="D265">
        <f>COUNTIFS(候选导管审计!B:B,A265,候选导管审计!G:G,"excluded")</f>
        <v/>
      </c>
      <c r="E265">
        <f>COUNTIFS(候选导管审计!B:B,A265,候选导管审计!G:G,"edge_truncated")</f>
        <v/>
      </c>
      <c r="F265">
        <f>COUNTIF(导管对_CWR_172!B:B,A265)</f>
        <v/>
      </c>
      <c r="G265">
        <f>COUNTIF(TVW线测量明细!B:B,A265)</f>
        <v/>
      </c>
      <c r="H265" t="n">
        <v>0.2173913043478261</v>
      </c>
      <c r="I265" t="n">
        <v>172</v>
      </c>
      <c r="J265">
        <f>1024*I265*H265^2/1000000</f>
        <v/>
      </c>
      <c r="K265" t="inlineStr">
        <is>
          <t>同一样品的技术视野；不是独立生物学重复</t>
        </is>
      </c>
      <c r="L265" t="inlineStr">
        <is>
          <t>样品31</t>
        </is>
      </c>
    </row>
    <row r="266">
      <c r="A266" t="inlineStr">
        <is>
          <t>31 (4).tif</t>
        </is>
      </c>
      <c r="B266">
        <f>COUNTIF(导管母表_1781!B:B,A266)</f>
        <v/>
      </c>
      <c r="C266">
        <f>COUNTIFS(候选导管审计!B:B,A266,候选导管审计!G:G,"borderline")</f>
        <v/>
      </c>
      <c r="D266">
        <f>COUNTIFS(候选导管审计!B:B,A266,候选导管审计!G:G,"excluded")</f>
        <v/>
      </c>
      <c r="E266">
        <f>COUNTIFS(候选导管审计!B:B,A266,候选导管审计!G:G,"edge_truncated")</f>
        <v/>
      </c>
      <c r="F266">
        <f>COUNTIF(导管对_CWR_172!B:B,A266)</f>
        <v/>
      </c>
      <c r="G266">
        <f>COUNTIF(TVW线测量明细!B:B,A266)</f>
        <v/>
      </c>
      <c r="H266" t="n">
        <v>0.2173913043478261</v>
      </c>
      <c r="I266" t="n">
        <v>691</v>
      </c>
      <c r="J266">
        <f>1024*I266*H266^2/1000000</f>
        <v/>
      </c>
      <c r="K266" t="inlineStr">
        <is>
          <t>同一样品的技术视野；不是独立生物学重复</t>
        </is>
      </c>
      <c r="L266" t="inlineStr">
        <is>
          <t>样品31</t>
        </is>
      </c>
    </row>
    <row r="267">
      <c r="A267" t="inlineStr">
        <is>
          <t>31 (5).tif</t>
        </is>
      </c>
      <c r="B267">
        <f>COUNTIF(导管母表_1781!B:B,A267)</f>
        <v/>
      </c>
      <c r="C267">
        <f>COUNTIFS(候选导管审计!B:B,A267,候选导管审计!G:G,"borderline")</f>
        <v/>
      </c>
      <c r="D267">
        <f>COUNTIFS(候选导管审计!B:B,A267,候选导管审计!G:G,"excluded")</f>
        <v/>
      </c>
      <c r="E267">
        <f>COUNTIFS(候选导管审计!B:B,A267,候选导管审计!G:G,"edge_truncated")</f>
        <v/>
      </c>
      <c r="F267">
        <f>COUNTIF(导管对_CWR_172!B:B,A267)</f>
        <v/>
      </c>
      <c r="G267">
        <f>COUNTIF(TVW线测量明细!B:B,A267)</f>
        <v/>
      </c>
      <c r="H267" t="n">
        <v>0.2173913043478261</v>
      </c>
      <c r="I267" t="n">
        <v>292</v>
      </c>
      <c r="J267">
        <f>1024*I267*H267^2/1000000</f>
        <v/>
      </c>
      <c r="K267" t="inlineStr">
        <is>
          <t>同一样品的技术视野；不是独立生物学重复</t>
        </is>
      </c>
      <c r="L267" t="inlineStr">
        <is>
          <t>样品31</t>
        </is>
      </c>
    </row>
    <row r="268">
      <c r="A268" t="inlineStr">
        <is>
          <t>31 (6).tif</t>
        </is>
      </c>
      <c r="B268">
        <f>COUNTIF(导管母表_1781!B:B,A268)</f>
        <v/>
      </c>
      <c r="C268">
        <f>COUNTIFS(候选导管审计!B:B,A268,候选导管审计!G:G,"borderline")</f>
        <v/>
      </c>
      <c r="D268">
        <f>COUNTIFS(候选导管审计!B:B,A268,候选导管审计!G:G,"excluded")</f>
        <v/>
      </c>
      <c r="E268">
        <f>COUNTIFS(候选导管审计!B:B,A268,候选导管审计!G:G,"edge_truncated")</f>
        <v/>
      </c>
      <c r="F268">
        <f>COUNTIF(导管对_CWR_172!B:B,A268)</f>
        <v/>
      </c>
      <c r="G268">
        <f>COUNTIF(TVW线测量明细!B:B,A268)</f>
        <v/>
      </c>
      <c r="H268" t="n">
        <v>0.2173913043478261</v>
      </c>
      <c r="I268" t="n">
        <v>221</v>
      </c>
      <c r="J268">
        <f>1024*I268*H268^2/1000000</f>
        <v/>
      </c>
      <c r="K268" t="inlineStr">
        <is>
          <t>同一样品的技术视野；不是独立生物学重复</t>
        </is>
      </c>
      <c r="L268" t="inlineStr">
        <is>
          <t>样品31</t>
        </is>
      </c>
    </row>
    <row r="269">
      <c r="A269" t="inlineStr">
        <is>
          <t>31 (7).tif</t>
        </is>
      </c>
      <c r="B269">
        <f>COUNTIF(导管母表_1781!B:B,A269)</f>
        <v/>
      </c>
      <c r="C269">
        <f>COUNTIFS(候选导管审计!B:B,A269,候选导管审计!G:G,"borderline")</f>
        <v/>
      </c>
      <c r="D269">
        <f>COUNTIFS(候选导管审计!B:B,A269,候选导管审计!G:G,"excluded")</f>
        <v/>
      </c>
      <c r="E269">
        <f>COUNTIFS(候选导管审计!B:B,A269,候选导管审计!G:G,"edge_truncated")</f>
        <v/>
      </c>
      <c r="F269">
        <f>COUNTIF(导管对_CWR_172!B:B,A269)</f>
        <v/>
      </c>
      <c r="G269">
        <f>COUNTIF(TVW线测量明细!B:B,A269)</f>
        <v/>
      </c>
      <c r="H269" t="n">
        <v>0.2173913043478261</v>
      </c>
      <c r="I269" t="n">
        <v>308</v>
      </c>
      <c r="J269">
        <f>1024*I269*H269^2/1000000</f>
        <v/>
      </c>
      <c r="K269" t="inlineStr">
        <is>
          <t>同一样品的技术视野；不是独立生物学重复</t>
        </is>
      </c>
      <c r="L269" t="inlineStr">
        <is>
          <t>样品31</t>
        </is>
      </c>
    </row>
    <row r="270">
      <c r="A270" t="inlineStr">
        <is>
          <t>31 (8).tif</t>
        </is>
      </c>
      <c r="B270">
        <f>COUNTIF(导管母表_1781!B:B,A270)</f>
        <v/>
      </c>
      <c r="C270">
        <f>COUNTIFS(候选导管审计!B:B,A270,候选导管审计!G:G,"borderline")</f>
        <v/>
      </c>
      <c r="D270">
        <f>COUNTIFS(候选导管审计!B:B,A270,候选导管审计!G:G,"excluded")</f>
        <v/>
      </c>
      <c r="E270">
        <f>COUNTIFS(候选导管审计!B:B,A270,候选导管审计!G:G,"edge_truncated")</f>
        <v/>
      </c>
      <c r="F270">
        <f>COUNTIF(导管对_CWR_172!B:B,A270)</f>
        <v/>
      </c>
      <c r="G270">
        <f>COUNTIF(TVW线测量明细!B:B,A270)</f>
        <v/>
      </c>
      <c r="H270" t="n">
        <v>0.2173913043478261</v>
      </c>
      <c r="I270" t="n">
        <v>261</v>
      </c>
      <c r="J270">
        <f>1024*I270*H270^2/1000000</f>
        <v/>
      </c>
      <c r="K270" t="inlineStr">
        <is>
          <t>同一样品的技术视野；不是独立生物学重复</t>
        </is>
      </c>
      <c r="L270" t="inlineStr">
        <is>
          <t>样品31</t>
        </is>
      </c>
    </row>
    <row r="271">
      <c r="A271" t="inlineStr">
        <is>
          <t>32 (1).tif</t>
        </is>
      </c>
      <c r="B271">
        <f>COUNTIF(导管母表_1781!B:B,A271)</f>
        <v/>
      </c>
      <c r="C271">
        <f>COUNTIFS(候选导管审计!B:B,A271,候选导管审计!G:G,"borderline")</f>
        <v/>
      </c>
      <c r="D271">
        <f>COUNTIFS(候选导管审计!B:B,A271,候选导管审计!G:G,"excluded")</f>
        <v/>
      </c>
      <c r="E271">
        <f>COUNTIFS(候选导管审计!B:B,A271,候选导管审计!G:G,"edge_truncated")</f>
        <v/>
      </c>
      <c r="F271">
        <f>COUNTIF(导管对_CWR_172!B:B,A271)</f>
        <v/>
      </c>
      <c r="G271">
        <f>COUNTIF(TVW线测量明细!B:B,A271)</f>
        <v/>
      </c>
      <c r="H271" t="n">
        <v>0.2173913043478261</v>
      </c>
      <c r="I271" t="n">
        <v>164</v>
      </c>
      <c r="J271">
        <f>1024*I271*H271^2/1000000</f>
        <v/>
      </c>
      <c r="K271" t="inlineStr">
        <is>
          <t>同一样品的技术视野；不是独立生物学重复</t>
        </is>
      </c>
      <c r="L271" t="inlineStr">
        <is>
          <t>样品32</t>
        </is>
      </c>
    </row>
    <row r="272">
      <c r="A272" t="inlineStr">
        <is>
          <t>32 (2).tif</t>
        </is>
      </c>
      <c r="B272">
        <f>COUNTIF(导管母表_1781!B:B,A272)</f>
        <v/>
      </c>
      <c r="C272">
        <f>COUNTIFS(候选导管审计!B:B,A272,候选导管审计!G:G,"borderline")</f>
        <v/>
      </c>
      <c r="D272">
        <f>COUNTIFS(候选导管审计!B:B,A272,候选导管审计!G:G,"excluded")</f>
        <v/>
      </c>
      <c r="E272">
        <f>COUNTIFS(候选导管审计!B:B,A272,候选导管审计!G:G,"edge_truncated")</f>
        <v/>
      </c>
      <c r="F272">
        <f>COUNTIF(导管对_CWR_172!B:B,A272)</f>
        <v/>
      </c>
      <c r="G272">
        <f>COUNTIF(TVW线测量明细!B:B,A272)</f>
        <v/>
      </c>
      <c r="H272" t="n">
        <v>0.2173913043478261</v>
      </c>
      <c r="I272" t="n">
        <v>224</v>
      </c>
      <c r="J272">
        <f>1024*I272*H272^2/1000000</f>
        <v/>
      </c>
      <c r="K272" t="inlineStr">
        <is>
          <t>同一样品的技术视野；不是独立生物学重复</t>
        </is>
      </c>
      <c r="L272" t="inlineStr">
        <is>
          <t>样品32</t>
        </is>
      </c>
    </row>
    <row r="273">
      <c r="A273" t="inlineStr">
        <is>
          <t>32 (3).tif</t>
        </is>
      </c>
      <c r="B273">
        <f>COUNTIF(导管母表_1781!B:B,A273)</f>
        <v/>
      </c>
      <c r="C273">
        <f>COUNTIFS(候选导管审计!B:B,A273,候选导管审计!G:G,"borderline")</f>
        <v/>
      </c>
      <c r="D273">
        <f>COUNTIFS(候选导管审计!B:B,A273,候选导管审计!G:G,"excluded")</f>
        <v/>
      </c>
      <c r="E273">
        <f>COUNTIFS(候选导管审计!B:B,A273,候选导管审计!G:G,"edge_truncated")</f>
        <v/>
      </c>
      <c r="F273">
        <f>COUNTIF(导管对_CWR_172!B:B,A273)</f>
        <v/>
      </c>
      <c r="G273">
        <f>COUNTIF(TVW线测量明细!B:B,A273)</f>
        <v/>
      </c>
      <c r="H273" t="n">
        <v>0.2173913043478261</v>
      </c>
      <c r="I273" t="n">
        <v>230</v>
      </c>
      <c r="J273">
        <f>1024*I273*H273^2/1000000</f>
        <v/>
      </c>
      <c r="K273" t="inlineStr">
        <is>
          <t>同一样品的技术视野；不是独立生物学重复</t>
        </is>
      </c>
      <c r="L273" t="inlineStr">
        <is>
          <t>样品32</t>
        </is>
      </c>
    </row>
    <row r="274">
      <c r="A274" t="inlineStr">
        <is>
          <t>32 (4).tif</t>
        </is>
      </c>
      <c r="B274">
        <f>COUNTIF(导管母表_1781!B:B,A274)</f>
        <v/>
      </c>
      <c r="C274">
        <f>COUNTIFS(候选导管审计!B:B,A274,候选导管审计!G:G,"borderline")</f>
        <v/>
      </c>
      <c r="D274">
        <f>COUNTIFS(候选导管审计!B:B,A274,候选导管审计!G:G,"excluded")</f>
        <v/>
      </c>
      <c r="E274">
        <f>COUNTIFS(候选导管审计!B:B,A274,候选导管审计!G:G,"edge_truncated")</f>
        <v/>
      </c>
      <c r="F274">
        <f>COUNTIF(导管对_CWR_172!B:B,A274)</f>
        <v/>
      </c>
      <c r="G274">
        <f>COUNTIF(TVW线测量明细!B:B,A274)</f>
        <v/>
      </c>
      <c r="H274" t="n">
        <v>0.2173913043478261</v>
      </c>
      <c r="I274" t="n">
        <v>691</v>
      </c>
      <c r="J274">
        <f>1024*I274*H274^2/1000000</f>
        <v/>
      </c>
      <c r="K274" t="inlineStr">
        <is>
          <t>同一样品的技术视野；不是独立生物学重复</t>
        </is>
      </c>
      <c r="L274" t="inlineStr">
        <is>
          <t>样品32</t>
        </is>
      </c>
    </row>
    <row r="275">
      <c r="A275" t="inlineStr">
        <is>
          <t>32 (5).tif</t>
        </is>
      </c>
      <c r="B275">
        <f>COUNTIF(导管母表_1781!B:B,A275)</f>
        <v/>
      </c>
      <c r="C275">
        <f>COUNTIFS(候选导管审计!B:B,A275,候选导管审计!G:G,"borderline")</f>
        <v/>
      </c>
      <c r="D275">
        <f>COUNTIFS(候选导管审计!B:B,A275,候选导管审计!G:G,"excluded")</f>
        <v/>
      </c>
      <c r="E275">
        <f>COUNTIFS(候选导管审计!B:B,A275,候选导管审计!G:G,"edge_truncated")</f>
        <v/>
      </c>
      <c r="F275">
        <f>COUNTIF(导管对_CWR_172!B:B,A275)</f>
        <v/>
      </c>
      <c r="G275">
        <f>COUNTIF(TVW线测量明细!B:B,A275)</f>
        <v/>
      </c>
      <c r="H275" t="n">
        <v>0.2173913043478261</v>
      </c>
      <c r="I275" t="n">
        <v>248</v>
      </c>
      <c r="J275">
        <f>1024*I275*H275^2/1000000</f>
        <v/>
      </c>
      <c r="K275" t="inlineStr">
        <is>
          <t>同一样品的技术视野；不是独立生物学重复</t>
        </is>
      </c>
      <c r="L275" t="inlineStr">
        <is>
          <t>样品32</t>
        </is>
      </c>
    </row>
    <row r="276">
      <c r="A276" t="inlineStr">
        <is>
          <t>32 (6).tif</t>
        </is>
      </c>
      <c r="B276">
        <f>COUNTIF(导管母表_1781!B:B,A276)</f>
        <v/>
      </c>
      <c r="C276">
        <f>COUNTIFS(候选导管审计!B:B,A276,候选导管审计!G:G,"borderline")</f>
        <v/>
      </c>
      <c r="D276">
        <f>COUNTIFS(候选导管审计!B:B,A276,候选导管审计!G:G,"excluded")</f>
        <v/>
      </c>
      <c r="E276">
        <f>COUNTIFS(候选导管审计!B:B,A276,候选导管审计!G:G,"edge_truncated")</f>
        <v/>
      </c>
      <c r="F276">
        <f>COUNTIF(导管对_CWR_172!B:B,A276)</f>
        <v/>
      </c>
      <c r="G276">
        <f>COUNTIF(TVW线测量明细!B:B,A276)</f>
        <v/>
      </c>
      <c r="H276" t="n">
        <v>0.2173913043478261</v>
      </c>
      <c r="I276" t="n">
        <v>271</v>
      </c>
      <c r="J276">
        <f>1024*I276*H276^2/1000000</f>
        <v/>
      </c>
      <c r="K276" t="inlineStr">
        <is>
          <t>同一样品的技术视野；不是独立生物学重复</t>
        </is>
      </c>
      <c r="L276" t="inlineStr">
        <is>
          <t>样品32</t>
        </is>
      </c>
    </row>
    <row r="277">
      <c r="A277" t="inlineStr">
        <is>
          <t>32 (7).tif</t>
        </is>
      </c>
      <c r="B277">
        <f>COUNTIF(导管母表_1781!B:B,A277)</f>
        <v/>
      </c>
      <c r="C277">
        <f>COUNTIFS(候选导管审计!B:B,A277,候选导管审计!G:G,"borderline")</f>
        <v/>
      </c>
      <c r="D277">
        <f>COUNTIFS(候选导管审计!B:B,A277,候选导管审计!G:G,"excluded")</f>
        <v/>
      </c>
      <c r="E277">
        <f>COUNTIFS(候选导管审计!B:B,A277,候选导管审计!G:G,"edge_truncated")</f>
        <v/>
      </c>
      <c r="F277">
        <f>COUNTIF(导管对_CWR_172!B:B,A277)</f>
        <v/>
      </c>
      <c r="G277">
        <f>COUNTIF(TVW线测量明细!B:B,A277)</f>
        <v/>
      </c>
      <c r="H277" t="n">
        <v>0.2173913043478261</v>
      </c>
      <c r="I277" t="n">
        <v>691</v>
      </c>
      <c r="J277">
        <f>1024*I277*H277^2/1000000</f>
        <v/>
      </c>
      <c r="K277" t="inlineStr">
        <is>
          <t>同一样品的技术视野；不是独立生物学重复</t>
        </is>
      </c>
      <c r="L277" t="inlineStr">
        <is>
          <t>样品32</t>
        </is>
      </c>
    </row>
    <row r="278">
      <c r="A278" t="inlineStr">
        <is>
          <t>32 (8).tif</t>
        </is>
      </c>
      <c r="B278">
        <f>COUNTIF(导管母表_1781!B:B,A278)</f>
        <v/>
      </c>
      <c r="C278">
        <f>COUNTIFS(候选导管审计!B:B,A278,候选导管审计!G:G,"borderline")</f>
        <v/>
      </c>
      <c r="D278">
        <f>COUNTIFS(候选导管审计!B:B,A278,候选导管审计!G:G,"excluded")</f>
        <v/>
      </c>
      <c r="E278">
        <f>COUNTIFS(候选导管审计!B:B,A278,候选导管审计!G:G,"edge_truncated")</f>
        <v/>
      </c>
      <c r="F278">
        <f>COUNTIF(导管对_CWR_172!B:B,A278)</f>
        <v/>
      </c>
      <c r="G278">
        <f>COUNTIF(TVW线测量明细!B:B,A278)</f>
        <v/>
      </c>
      <c r="H278" t="n">
        <v>0.2173913043478261</v>
      </c>
      <c r="I278" t="n">
        <v>213</v>
      </c>
      <c r="J278">
        <f>1024*I278*H278^2/1000000</f>
        <v/>
      </c>
      <c r="K278" t="inlineStr">
        <is>
          <t>同一样品的技术视野；不是独立生物学重复</t>
        </is>
      </c>
      <c r="L278" t="inlineStr">
        <is>
          <t>样品32</t>
        </is>
      </c>
    </row>
    <row r="279">
      <c r="A279" t="inlineStr">
        <is>
          <t>33 (1).tif</t>
        </is>
      </c>
      <c r="B279">
        <f>COUNTIF(导管母表_1781!B:B,A279)</f>
        <v/>
      </c>
      <c r="C279">
        <f>COUNTIFS(候选导管审计!B:B,A279,候选导管审计!G:G,"borderline")</f>
        <v/>
      </c>
      <c r="D279">
        <f>COUNTIFS(候选导管审计!B:B,A279,候选导管审计!G:G,"excluded")</f>
        <v/>
      </c>
      <c r="E279">
        <f>COUNTIFS(候选导管审计!B:B,A279,候选导管审计!G:G,"edge_truncated")</f>
        <v/>
      </c>
      <c r="F279">
        <f>COUNTIF(导管对_CWR_172!B:B,A279)</f>
        <v/>
      </c>
      <c r="G279">
        <f>COUNTIF(TVW线测量明细!B:B,A279)</f>
        <v/>
      </c>
      <c r="H279" t="n">
        <v>0.2173913043478261</v>
      </c>
      <c r="I279" t="n">
        <v>241</v>
      </c>
      <c r="J279">
        <f>1024*I279*H279^2/1000000</f>
        <v/>
      </c>
      <c r="K279" t="inlineStr">
        <is>
          <t>同一样品的技术视野；不是独立生物学重复</t>
        </is>
      </c>
      <c r="L279" t="inlineStr">
        <is>
          <t>样品33</t>
        </is>
      </c>
    </row>
    <row r="280">
      <c r="A280" t="inlineStr">
        <is>
          <t>33 (2).tif</t>
        </is>
      </c>
      <c r="B280">
        <f>COUNTIF(导管母表_1781!B:B,A280)</f>
        <v/>
      </c>
      <c r="C280">
        <f>COUNTIFS(候选导管审计!B:B,A280,候选导管审计!G:G,"borderline")</f>
        <v/>
      </c>
      <c r="D280">
        <f>COUNTIFS(候选导管审计!B:B,A280,候选导管审计!G:G,"excluded")</f>
        <v/>
      </c>
      <c r="E280">
        <f>COUNTIFS(候选导管审计!B:B,A280,候选导管审计!G:G,"edge_truncated")</f>
        <v/>
      </c>
      <c r="F280">
        <f>COUNTIF(导管对_CWR_172!B:B,A280)</f>
        <v/>
      </c>
      <c r="G280">
        <f>COUNTIF(TVW线测量明细!B:B,A280)</f>
        <v/>
      </c>
      <c r="H280" t="n">
        <v>0.2173913043478261</v>
      </c>
      <c r="I280" t="n">
        <v>691</v>
      </c>
      <c r="J280">
        <f>1024*I280*H280^2/1000000</f>
        <v/>
      </c>
      <c r="K280" t="inlineStr">
        <is>
          <t>同一样品的技术视野；不是独立生物学重复</t>
        </is>
      </c>
      <c r="L280" t="inlineStr">
        <is>
          <t>样品33</t>
        </is>
      </c>
    </row>
    <row r="281">
      <c r="A281" t="inlineStr">
        <is>
          <t>33 (3).tif</t>
        </is>
      </c>
      <c r="B281">
        <f>COUNTIF(导管母表_1781!B:B,A281)</f>
        <v/>
      </c>
      <c r="C281">
        <f>COUNTIFS(候选导管审计!B:B,A281,候选导管审计!G:G,"borderline")</f>
        <v/>
      </c>
      <c r="D281">
        <f>COUNTIFS(候选导管审计!B:B,A281,候选导管审计!G:G,"excluded")</f>
        <v/>
      </c>
      <c r="E281">
        <f>COUNTIFS(候选导管审计!B:B,A281,候选导管审计!G:G,"edge_truncated")</f>
        <v/>
      </c>
      <c r="F281">
        <f>COUNTIF(导管对_CWR_172!B:B,A281)</f>
        <v/>
      </c>
      <c r="G281">
        <f>COUNTIF(TVW线测量明细!B:B,A281)</f>
        <v/>
      </c>
      <c r="H281" t="n">
        <v>0.2173913043478261</v>
      </c>
      <c r="I281" t="n">
        <v>691</v>
      </c>
      <c r="J281">
        <f>1024*I281*H281^2/1000000</f>
        <v/>
      </c>
      <c r="K281" t="inlineStr">
        <is>
          <t>同一样品的技术视野；不是独立生物学重复</t>
        </is>
      </c>
      <c r="L281" t="inlineStr">
        <is>
          <t>样品33</t>
        </is>
      </c>
    </row>
    <row r="282">
      <c r="A282" t="inlineStr">
        <is>
          <t>33 (4).tif</t>
        </is>
      </c>
      <c r="B282">
        <f>COUNTIF(导管母表_1781!B:B,A282)</f>
        <v/>
      </c>
      <c r="C282">
        <f>COUNTIFS(候选导管审计!B:B,A282,候选导管审计!G:G,"borderline")</f>
        <v/>
      </c>
      <c r="D282">
        <f>COUNTIFS(候选导管审计!B:B,A282,候选导管审计!G:G,"excluded")</f>
        <v/>
      </c>
      <c r="E282">
        <f>COUNTIFS(候选导管审计!B:B,A282,候选导管审计!G:G,"edge_truncated")</f>
        <v/>
      </c>
      <c r="F282">
        <f>COUNTIF(导管对_CWR_172!B:B,A282)</f>
        <v/>
      </c>
      <c r="G282">
        <f>COUNTIF(TVW线测量明细!B:B,A282)</f>
        <v/>
      </c>
      <c r="H282" t="n">
        <v>0.2173913043478261</v>
      </c>
      <c r="I282" t="n">
        <v>691</v>
      </c>
      <c r="J282">
        <f>1024*I282*H282^2/1000000</f>
        <v/>
      </c>
      <c r="K282" t="inlineStr">
        <is>
          <t>同一样品的技术视野；不是独立生物学重复</t>
        </is>
      </c>
      <c r="L282" t="inlineStr">
        <is>
          <t>样品33</t>
        </is>
      </c>
    </row>
    <row r="283">
      <c r="A283" t="inlineStr">
        <is>
          <t>33 (5).tif</t>
        </is>
      </c>
      <c r="B283">
        <f>COUNTIF(导管母表_1781!B:B,A283)</f>
        <v/>
      </c>
      <c r="C283">
        <f>COUNTIFS(候选导管审计!B:B,A283,候选导管审计!G:G,"borderline")</f>
        <v/>
      </c>
      <c r="D283">
        <f>COUNTIFS(候选导管审计!B:B,A283,候选导管审计!G:G,"excluded")</f>
        <v/>
      </c>
      <c r="E283">
        <f>COUNTIFS(候选导管审计!B:B,A283,候选导管审计!G:G,"edge_truncated")</f>
        <v/>
      </c>
      <c r="F283">
        <f>COUNTIF(导管对_CWR_172!B:B,A283)</f>
        <v/>
      </c>
      <c r="G283">
        <f>COUNTIF(TVW线测量明细!B:B,A283)</f>
        <v/>
      </c>
      <c r="H283" t="n">
        <v>0.2173913043478261</v>
      </c>
      <c r="I283" t="n">
        <v>691</v>
      </c>
      <c r="J283">
        <f>1024*I283*H283^2/1000000</f>
        <v/>
      </c>
      <c r="K283" t="inlineStr">
        <is>
          <t>同一样品的技术视野；不是独立生物学重复</t>
        </is>
      </c>
      <c r="L283" t="inlineStr">
        <is>
          <t>样品33</t>
        </is>
      </c>
    </row>
    <row r="284">
      <c r="A284" t="inlineStr">
        <is>
          <t>33 (6).tif</t>
        </is>
      </c>
      <c r="B284">
        <f>COUNTIF(导管母表_1781!B:B,A284)</f>
        <v/>
      </c>
      <c r="C284">
        <f>COUNTIFS(候选导管审计!B:B,A284,候选导管审计!G:G,"borderline")</f>
        <v/>
      </c>
      <c r="D284">
        <f>COUNTIFS(候选导管审计!B:B,A284,候选导管审计!G:G,"excluded")</f>
        <v/>
      </c>
      <c r="E284">
        <f>COUNTIFS(候选导管审计!B:B,A284,候选导管审计!G:G,"edge_truncated")</f>
        <v/>
      </c>
      <c r="F284">
        <f>COUNTIF(导管对_CWR_172!B:B,A284)</f>
        <v/>
      </c>
      <c r="G284">
        <f>COUNTIF(TVW线测量明细!B:B,A284)</f>
        <v/>
      </c>
      <c r="H284" t="n">
        <v>0.2173913043478261</v>
      </c>
      <c r="I284" t="n">
        <v>206</v>
      </c>
      <c r="J284">
        <f>1024*I284*H284^2/1000000</f>
        <v/>
      </c>
      <c r="K284" t="inlineStr">
        <is>
          <t>同一样品的技术视野；不是独立生物学重复</t>
        </is>
      </c>
      <c r="L284" t="inlineStr">
        <is>
          <t>样品33</t>
        </is>
      </c>
    </row>
    <row r="285">
      <c r="A285" t="inlineStr">
        <is>
          <t>33 (7).tif</t>
        </is>
      </c>
      <c r="B285">
        <f>COUNTIF(导管母表_1781!B:B,A285)</f>
        <v/>
      </c>
      <c r="C285">
        <f>COUNTIFS(候选导管审计!B:B,A285,候选导管审计!G:G,"borderline")</f>
        <v/>
      </c>
      <c r="D285">
        <f>COUNTIFS(候选导管审计!B:B,A285,候选导管审计!G:G,"excluded")</f>
        <v/>
      </c>
      <c r="E285">
        <f>COUNTIFS(候选导管审计!B:B,A285,候选导管审计!G:G,"edge_truncated")</f>
        <v/>
      </c>
      <c r="F285">
        <f>COUNTIF(导管对_CWR_172!B:B,A285)</f>
        <v/>
      </c>
      <c r="G285">
        <f>COUNTIF(TVW线测量明细!B:B,A285)</f>
        <v/>
      </c>
      <c r="H285" t="n">
        <v>0.2173913043478261</v>
      </c>
      <c r="I285" t="n">
        <v>338</v>
      </c>
      <c r="J285">
        <f>1024*I285*H285^2/1000000</f>
        <v/>
      </c>
      <c r="K285" t="inlineStr">
        <is>
          <t>同一样品的技术视野；不是独立生物学重复</t>
        </is>
      </c>
      <c r="L285" t="inlineStr">
        <is>
          <t>样品33</t>
        </is>
      </c>
    </row>
    <row r="286">
      <c r="A286" t="inlineStr">
        <is>
          <t>33 (8).tif</t>
        </is>
      </c>
      <c r="B286">
        <f>COUNTIF(导管母表_1781!B:B,A286)</f>
        <v/>
      </c>
      <c r="C286">
        <f>COUNTIFS(候选导管审计!B:B,A286,候选导管审计!G:G,"borderline")</f>
        <v/>
      </c>
      <c r="D286">
        <f>COUNTIFS(候选导管审计!B:B,A286,候选导管审计!G:G,"excluded")</f>
        <v/>
      </c>
      <c r="E286">
        <f>COUNTIFS(候选导管审计!B:B,A286,候选导管审计!G:G,"edge_truncated")</f>
        <v/>
      </c>
      <c r="F286">
        <f>COUNTIF(导管对_CWR_172!B:B,A286)</f>
        <v/>
      </c>
      <c r="G286">
        <f>COUNTIF(TVW线测量明细!B:B,A286)</f>
        <v/>
      </c>
      <c r="H286" t="n">
        <v>0.2173913043478261</v>
      </c>
      <c r="I286" t="n">
        <v>691</v>
      </c>
      <c r="J286">
        <f>1024*I286*H286^2/1000000</f>
        <v/>
      </c>
      <c r="K286" t="inlineStr">
        <is>
          <t>同一样品的技术视野；不是独立生物学重复</t>
        </is>
      </c>
      <c r="L286" t="inlineStr">
        <is>
          <t>样品33</t>
        </is>
      </c>
    </row>
    <row r="287">
      <c r="A287" t="inlineStr">
        <is>
          <t>34 (1).tif</t>
        </is>
      </c>
      <c r="B287">
        <f>COUNTIF(导管母表_1781!B:B,A287)</f>
        <v/>
      </c>
      <c r="C287">
        <f>COUNTIFS(候选导管审计!B:B,A287,候选导管审计!G:G,"borderline")</f>
        <v/>
      </c>
      <c r="D287">
        <f>COUNTIFS(候选导管审计!B:B,A287,候选导管审计!G:G,"excluded")</f>
        <v/>
      </c>
      <c r="E287">
        <f>COUNTIFS(候选导管审计!B:B,A287,候选导管审计!G:G,"edge_truncated")</f>
        <v/>
      </c>
      <c r="F287">
        <f>COUNTIF(导管对_CWR_172!B:B,A287)</f>
        <v/>
      </c>
      <c r="G287">
        <f>COUNTIF(TVW线测量明细!B:B,A287)</f>
        <v/>
      </c>
      <c r="H287" t="n">
        <v>0.2173913043478261</v>
      </c>
      <c r="I287" t="n">
        <v>691</v>
      </c>
      <c r="J287">
        <f>1024*I287*H287^2/1000000</f>
        <v/>
      </c>
      <c r="K287" t="inlineStr">
        <is>
          <t>同一样品的技术视野；不是独立生物学重复</t>
        </is>
      </c>
      <c r="L287" t="inlineStr">
        <is>
          <t>样品34</t>
        </is>
      </c>
    </row>
    <row r="288">
      <c r="A288" t="inlineStr">
        <is>
          <t>34 (2).tif</t>
        </is>
      </c>
      <c r="B288">
        <f>COUNTIF(导管母表_1781!B:B,A288)</f>
        <v/>
      </c>
      <c r="C288">
        <f>COUNTIFS(候选导管审计!B:B,A288,候选导管审计!G:G,"borderline")</f>
        <v/>
      </c>
      <c r="D288">
        <f>COUNTIFS(候选导管审计!B:B,A288,候选导管审计!G:G,"excluded")</f>
        <v/>
      </c>
      <c r="E288">
        <f>COUNTIFS(候选导管审计!B:B,A288,候选导管审计!G:G,"edge_truncated")</f>
        <v/>
      </c>
      <c r="F288">
        <f>COUNTIF(导管对_CWR_172!B:B,A288)</f>
        <v/>
      </c>
      <c r="G288">
        <f>COUNTIF(TVW线测量明细!B:B,A288)</f>
        <v/>
      </c>
      <c r="H288" t="n">
        <v>0.2173913043478261</v>
      </c>
      <c r="I288" t="n">
        <v>336</v>
      </c>
      <c r="J288">
        <f>1024*I288*H288^2/1000000</f>
        <v/>
      </c>
      <c r="K288" t="inlineStr">
        <is>
          <t>同一样品的技术视野；不是独立生物学重复</t>
        </is>
      </c>
      <c r="L288" t="inlineStr">
        <is>
          <t>样品34</t>
        </is>
      </c>
    </row>
    <row r="289">
      <c r="A289" t="inlineStr">
        <is>
          <t>34 (3).tif</t>
        </is>
      </c>
      <c r="B289">
        <f>COUNTIF(导管母表_1781!B:B,A289)</f>
        <v/>
      </c>
      <c r="C289">
        <f>COUNTIFS(候选导管审计!B:B,A289,候选导管审计!G:G,"borderline")</f>
        <v/>
      </c>
      <c r="D289">
        <f>COUNTIFS(候选导管审计!B:B,A289,候选导管审计!G:G,"excluded")</f>
        <v/>
      </c>
      <c r="E289">
        <f>COUNTIFS(候选导管审计!B:B,A289,候选导管审计!G:G,"edge_truncated")</f>
        <v/>
      </c>
      <c r="F289">
        <f>COUNTIF(导管对_CWR_172!B:B,A289)</f>
        <v/>
      </c>
      <c r="G289">
        <f>COUNTIF(TVW线测量明细!B:B,A289)</f>
        <v/>
      </c>
      <c r="H289" t="n">
        <v>0.2173913043478261</v>
      </c>
      <c r="I289" t="n">
        <v>691</v>
      </c>
      <c r="J289">
        <f>1024*I289*H289^2/1000000</f>
        <v/>
      </c>
      <c r="K289" t="inlineStr">
        <is>
          <t>同一样品的技术视野；不是独立生物学重复</t>
        </is>
      </c>
      <c r="L289" t="inlineStr">
        <is>
          <t>样品34</t>
        </is>
      </c>
    </row>
    <row r="290">
      <c r="A290" t="inlineStr">
        <is>
          <t>34 (4).tif</t>
        </is>
      </c>
      <c r="B290">
        <f>COUNTIF(导管母表_1781!B:B,A290)</f>
        <v/>
      </c>
      <c r="C290">
        <f>COUNTIFS(候选导管审计!B:B,A290,候选导管审计!G:G,"borderline")</f>
        <v/>
      </c>
      <c r="D290">
        <f>COUNTIFS(候选导管审计!B:B,A290,候选导管审计!G:G,"excluded")</f>
        <v/>
      </c>
      <c r="E290">
        <f>COUNTIFS(候选导管审计!B:B,A290,候选导管审计!G:G,"edge_truncated")</f>
        <v/>
      </c>
      <c r="F290">
        <f>COUNTIF(导管对_CWR_172!B:B,A290)</f>
        <v/>
      </c>
      <c r="G290">
        <f>COUNTIF(TVW线测量明细!B:B,A290)</f>
        <v/>
      </c>
      <c r="H290" t="n">
        <v>0.2173913043478261</v>
      </c>
      <c r="I290" t="n">
        <v>691</v>
      </c>
      <c r="J290">
        <f>1024*I290*H290^2/1000000</f>
        <v/>
      </c>
      <c r="K290" t="inlineStr">
        <is>
          <t>同一样品的技术视野；不是独立生物学重复</t>
        </is>
      </c>
      <c r="L290" t="inlineStr">
        <is>
          <t>样品34</t>
        </is>
      </c>
    </row>
    <row r="291">
      <c r="A291" t="inlineStr">
        <is>
          <t>34 (5).tif</t>
        </is>
      </c>
      <c r="B291">
        <f>COUNTIF(导管母表_1781!B:B,A291)</f>
        <v/>
      </c>
      <c r="C291">
        <f>COUNTIFS(候选导管审计!B:B,A291,候选导管审计!G:G,"borderline")</f>
        <v/>
      </c>
      <c r="D291">
        <f>COUNTIFS(候选导管审计!B:B,A291,候选导管审计!G:G,"excluded")</f>
        <v/>
      </c>
      <c r="E291">
        <f>COUNTIFS(候选导管审计!B:B,A291,候选导管审计!G:G,"edge_truncated")</f>
        <v/>
      </c>
      <c r="F291">
        <f>COUNTIF(导管对_CWR_172!B:B,A291)</f>
        <v/>
      </c>
      <c r="G291">
        <f>COUNTIF(TVW线测量明细!B:B,A291)</f>
        <v/>
      </c>
      <c r="H291" t="n">
        <v>0.2173913043478261</v>
      </c>
      <c r="I291" t="n">
        <v>234</v>
      </c>
      <c r="J291">
        <f>1024*I291*H291^2/1000000</f>
        <v/>
      </c>
      <c r="K291" t="inlineStr">
        <is>
          <t>同一样品的技术视野；不是独立生物学重复</t>
        </is>
      </c>
      <c r="L291" t="inlineStr">
        <is>
          <t>样品34</t>
        </is>
      </c>
    </row>
    <row r="292">
      <c r="A292" t="inlineStr">
        <is>
          <t>34 (6).tif</t>
        </is>
      </c>
      <c r="B292">
        <f>COUNTIF(导管母表_1781!B:B,A292)</f>
        <v/>
      </c>
      <c r="C292">
        <f>COUNTIFS(候选导管审计!B:B,A292,候选导管审计!G:G,"borderline")</f>
        <v/>
      </c>
      <c r="D292">
        <f>COUNTIFS(候选导管审计!B:B,A292,候选导管审计!G:G,"excluded")</f>
        <v/>
      </c>
      <c r="E292">
        <f>COUNTIFS(候选导管审计!B:B,A292,候选导管审计!G:G,"edge_truncated")</f>
        <v/>
      </c>
      <c r="F292">
        <f>COUNTIF(导管对_CWR_172!B:B,A292)</f>
        <v/>
      </c>
      <c r="G292">
        <f>COUNTIF(TVW线测量明细!B:B,A292)</f>
        <v/>
      </c>
      <c r="H292" t="n">
        <v>0.2173913043478261</v>
      </c>
      <c r="I292" t="n">
        <v>278</v>
      </c>
      <c r="J292">
        <f>1024*I292*H292^2/1000000</f>
        <v/>
      </c>
      <c r="K292" t="inlineStr">
        <is>
          <t>同一样品的技术视野；不是独立生物学重复</t>
        </is>
      </c>
      <c r="L292" t="inlineStr">
        <is>
          <t>样品34</t>
        </is>
      </c>
    </row>
    <row r="293">
      <c r="A293" t="inlineStr">
        <is>
          <t>34 (7).tif</t>
        </is>
      </c>
      <c r="B293">
        <f>COUNTIF(导管母表_1781!B:B,A293)</f>
        <v/>
      </c>
      <c r="C293">
        <f>COUNTIFS(候选导管审计!B:B,A293,候选导管审计!G:G,"borderline")</f>
        <v/>
      </c>
      <c r="D293">
        <f>COUNTIFS(候选导管审计!B:B,A293,候选导管审计!G:G,"excluded")</f>
        <v/>
      </c>
      <c r="E293">
        <f>COUNTIFS(候选导管审计!B:B,A293,候选导管审计!G:G,"edge_truncated")</f>
        <v/>
      </c>
      <c r="F293">
        <f>COUNTIF(导管对_CWR_172!B:B,A293)</f>
        <v/>
      </c>
      <c r="G293">
        <f>COUNTIF(TVW线测量明细!B:B,A293)</f>
        <v/>
      </c>
      <c r="H293" t="n">
        <v>0.2173913043478261</v>
      </c>
      <c r="I293" t="n">
        <v>211</v>
      </c>
      <c r="J293">
        <f>1024*I293*H293^2/1000000</f>
        <v/>
      </c>
      <c r="K293" t="inlineStr">
        <is>
          <t>同一样品的技术视野；不是独立生物学重复</t>
        </is>
      </c>
      <c r="L293" t="inlineStr">
        <is>
          <t>样品34</t>
        </is>
      </c>
    </row>
    <row r="294">
      <c r="A294" t="inlineStr">
        <is>
          <t>34 (8).tif</t>
        </is>
      </c>
      <c r="B294">
        <f>COUNTIF(导管母表_1781!B:B,A294)</f>
        <v/>
      </c>
      <c r="C294">
        <f>COUNTIFS(候选导管审计!B:B,A294,候选导管审计!G:G,"borderline")</f>
        <v/>
      </c>
      <c r="D294">
        <f>COUNTIFS(候选导管审计!B:B,A294,候选导管审计!G:G,"excluded")</f>
        <v/>
      </c>
      <c r="E294">
        <f>COUNTIFS(候选导管审计!B:B,A294,候选导管审计!G:G,"edge_truncated")</f>
        <v/>
      </c>
      <c r="F294">
        <f>COUNTIF(导管对_CWR_172!B:B,A294)</f>
        <v/>
      </c>
      <c r="G294">
        <f>COUNTIF(TVW线测量明细!B:B,A294)</f>
        <v/>
      </c>
      <c r="H294" t="n">
        <v>0.2173913043478261</v>
      </c>
      <c r="I294" t="n">
        <v>288</v>
      </c>
      <c r="J294">
        <f>1024*I294*H294^2/1000000</f>
        <v/>
      </c>
      <c r="K294" t="inlineStr">
        <is>
          <t>同一样品的技术视野；不是独立生物学重复</t>
        </is>
      </c>
      <c r="L294" t="inlineStr">
        <is>
          <t>样品34</t>
        </is>
      </c>
    </row>
    <row r="295">
      <c r="A295" t="inlineStr">
        <is>
          <t>35 (1).tif</t>
        </is>
      </c>
      <c r="B295">
        <f>COUNTIF(导管母表_1781!B:B,A295)</f>
        <v/>
      </c>
      <c r="C295">
        <f>COUNTIFS(候选导管审计!B:B,A295,候选导管审计!G:G,"borderline")</f>
        <v/>
      </c>
      <c r="D295">
        <f>COUNTIFS(候选导管审计!B:B,A295,候选导管审计!G:G,"excluded")</f>
        <v/>
      </c>
      <c r="E295">
        <f>COUNTIFS(候选导管审计!B:B,A295,候选导管审计!G:G,"edge_truncated")</f>
        <v/>
      </c>
      <c r="F295">
        <f>COUNTIF(导管对_CWR_172!B:B,A295)</f>
        <v/>
      </c>
      <c r="G295">
        <f>COUNTIF(TVW线测量明细!B:B,A295)</f>
        <v/>
      </c>
      <c r="H295" t="n">
        <v>0.2173913043478261</v>
      </c>
      <c r="I295" t="n">
        <v>691</v>
      </c>
      <c r="J295">
        <f>1024*I295*H295^2/1000000</f>
        <v/>
      </c>
      <c r="K295" t="inlineStr">
        <is>
          <t>同一样品的技术视野；不是独立生物学重复</t>
        </is>
      </c>
      <c r="L295" t="inlineStr">
        <is>
          <t>样品35</t>
        </is>
      </c>
    </row>
    <row r="296">
      <c r="A296" t="inlineStr">
        <is>
          <t>35 (2).tif</t>
        </is>
      </c>
      <c r="B296">
        <f>COUNTIF(导管母表_1781!B:B,A296)</f>
        <v/>
      </c>
      <c r="C296">
        <f>COUNTIFS(候选导管审计!B:B,A296,候选导管审计!G:G,"borderline")</f>
        <v/>
      </c>
      <c r="D296">
        <f>COUNTIFS(候选导管审计!B:B,A296,候选导管审计!G:G,"excluded")</f>
        <v/>
      </c>
      <c r="E296">
        <f>COUNTIFS(候选导管审计!B:B,A296,候选导管审计!G:G,"edge_truncated")</f>
        <v/>
      </c>
      <c r="F296">
        <f>COUNTIF(导管对_CWR_172!B:B,A296)</f>
        <v/>
      </c>
      <c r="G296">
        <f>COUNTIF(TVW线测量明细!B:B,A296)</f>
        <v/>
      </c>
      <c r="H296" t="n">
        <v>0.2173913043478261</v>
      </c>
      <c r="I296" t="n">
        <v>239</v>
      </c>
      <c r="J296">
        <f>1024*I296*H296^2/1000000</f>
        <v/>
      </c>
      <c r="K296" t="inlineStr">
        <is>
          <t>同一样品的技术视野；不是独立生物学重复</t>
        </is>
      </c>
      <c r="L296" t="inlineStr">
        <is>
          <t>样品35</t>
        </is>
      </c>
    </row>
    <row r="297">
      <c r="A297" t="inlineStr">
        <is>
          <t>35 (3).tif</t>
        </is>
      </c>
      <c r="B297">
        <f>COUNTIF(导管母表_1781!B:B,A297)</f>
        <v/>
      </c>
      <c r="C297">
        <f>COUNTIFS(候选导管审计!B:B,A297,候选导管审计!G:G,"borderline")</f>
        <v/>
      </c>
      <c r="D297">
        <f>COUNTIFS(候选导管审计!B:B,A297,候选导管审计!G:G,"excluded")</f>
        <v/>
      </c>
      <c r="E297">
        <f>COUNTIFS(候选导管审计!B:B,A297,候选导管审计!G:G,"edge_truncated")</f>
        <v/>
      </c>
      <c r="F297">
        <f>COUNTIF(导管对_CWR_172!B:B,A297)</f>
        <v/>
      </c>
      <c r="G297">
        <f>COUNTIF(TVW线测量明细!B:B,A297)</f>
        <v/>
      </c>
      <c r="H297" t="n">
        <v>0.2173913043478261</v>
      </c>
      <c r="I297" t="n">
        <v>198</v>
      </c>
      <c r="J297">
        <f>1024*I297*H297^2/1000000</f>
        <v/>
      </c>
      <c r="K297" t="inlineStr">
        <is>
          <t>同一样品的技术视野；不是独立生物学重复</t>
        </is>
      </c>
      <c r="L297" t="inlineStr">
        <is>
          <t>样品35</t>
        </is>
      </c>
    </row>
    <row r="298">
      <c r="A298" t="inlineStr">
        <is>
          <t>35 (4).tif</t>
        </is>
      </c>
      <c r="B298">
        <f>COUNTIF(导管母表_1781!B:B,A298)</f>
        <v/>
      </c>
      <c r="C298">
        <f>COUNTIFS(候选导管审计!B:B,A298,候选导管审计!G:G,"borderline")</f>
        <v/>
      </c>
      <c r="D298">
        <f>COUNTIFS(候选导管审计!B:B,A298,候选导管审计!G:G,"excluded")</f>
        <v/>
      </c>
      <c r="E298">
        <f>COUNTIFS(候选导管审计!B:B,A298,候选导管审计!G:G,"edge_truncated")</f>
        <v/>
      </c>
      <c r="F298">
        <f>COUNTIF(导管对_CWR_172!B:B,A298)</f>
        <v/>
      </c>
      <c r="G298">
        <f>COUNTIF(TVW线测量明细!B:B,A298)</f>
        <v/>
      </c>
      <c r="H298" t="n">
        <v>0.2173913043478261</v>
      </c>
      <c r="I298" t="n">
        <v>225</v>
      </c>
      <c r="J298">
        <f>1024*I298*H298^2/1000000</f>
        <v/>
      </c>
      <c r="K298" t="inlineStr">
        <is>
          <t>同一样品的技术视野；不是独立生物学重复</t>
        </is>
      </c>
      <c r="L298" t="inlineStr">
        <is>
          <t>样品35</t>
        </is>
      </c>
    </row>
    <row r="299">
      <c r="A299" t="inlineStr">
        <is>
          <t>35 (5).tif</t>
        </is>
      </c>
      <c r="B299">
        <f>COUNTIF(导管母表_1781!B:B,A299)</f>
        <v/>
      </c>
      <c r="C299">
        <f>COUNTIFS(候选导管审计!B:B,A299,候选导管审计!G:G,"borderline")</f>
        <v/>
      </c>
      <c r="D299">
        <f>COUNTIFS(候选导管审计!B:B,A299,候选导管审计!G:G,"excluded")</f>
        <v/>
      </c>
      <c r="E299">
        <f>COUNTIFS(候选导管审计!B:B,A299,候选导管审计!G:G,"edge_truncated")</f>
        <v/>
      </c>
      <c r="F299">
        <f>COUNTIF(导管对_CWR_172!B:B,A299)</f>
        <v/>
      </c>
      <c r="G299">
        <f>COUNTIF(TVW线测量明细!B:B,A299)</f>
        <v/>
      </c>
      <c r="H299" t="n">
        <v>0.2173913043478261</v>
      </c>
      <c r="I299" t="n">
        <v>691</v>
      </c>
      <c r="J299">
        <f>1024*I299*H299^2/1000000</f>
        <v/>
      </c>
      <c r="K299" t="inlineStr">
        <is>
          <t>同一样品的技术视野；不是独立生物学重复</t>
        </is>
      </c>
      <c r="L299" t="inlineStr">
        <is>
          <t>样品35</t>
        </is>
      </c>
    </row>
    <row r="300">
      <c r="A300" t="inlineStr">
        <is>
          <t>35 (6).tif</t>
        </is>
      </c>
      <c r="B300">
        <f>COUNTIF(导管母表_1781!B:B,A300)</f>
        <v/>
      </c>
      <c r="C300">
        <f>COUNTIFS(候选导管审计!B:B,A300,候选导管审计!G:G,"borderline")</f>
        <v/>
      </c>
      <c r="D300">
        <f>COUNTIFS(候选导管审计!B:B,A300,候选导管审计!G:G,"excluded")</f>
        <v/>
      </c>
      <c r="E300">
        <f>COUNTIFS(候选导管审计!B:B,A300,候选导管审计!G:G,"edge_truncated")</f>
        <v/>
      </c>
      <c r="F300">
        <f>COUNTIF(导管对_CWR_172!B:B,A300)</f>
        <v/>
      </c>
      <c r="G300">
        <f>COUNTIF(TVW线测量明细!B:B,A300)</f>
        <v/>
      </c>
      <c r="H300" t="n">
        <v>0.2173913043478261</v>
      </c>
      <c r="I300" t="n">
        <v>323</v>
      </c>
      <c r="J300">
        <f>1024*I300*H300^2/1000000</f>
        <v/>
      </c>
      <c r="K300" t="inlineStr">
        <is>
          <t>同一样品的技术视野；不是独立生物学重复</t>
        </is>
      </c>
      <c r="L300" t="inlineStr">
        <is>
          <t>样品35</t>
        </is>
      </c>
    </row>
    <row r="301">
      <c r="A301" t="inlineStr">
        <is>
          <t>35 (7).tif</t>
        </is>
      </c>
      <c r="B301">
        <f>COUNTIF(导管母表_1781!B:B,A301)</f>
        <v/>
      </c>
      <c r="C301">
        <f>COUNTIFS(候选导管审计!B:B,A301,候选导管审计!G:G,"borderline")</f>
        <v/>
      </c>
      <c r="D301">
        <f>COUNTIFS(候选导管审计!B:B,A301,候选导管审计!G:G,"excluded")</f>
        <v/>
      </c>
      <c r="E301">
        <f>COUNTIFS(候选导管审计!B:B,A301,候选导管审计!G:G,"edge_truncated")</f>
        <v/>
      </c>
      <c r="F301">
        <f>COUNTIF(导管对_CWR_172!B:B,A301)</f>
        <v/>
      </c>
      <c r="G301">
        <f>COUNTIF(TVW线测量明细!B:B,A301)</f>
        <v/>
      </c>
      <c r="H301" t="n">
        <v>0.2173913043478261</v>
      </c>
      <c r="I301" t="n">
        <v>287</v>
      </c>
      <c r="J301">
        <f>1024*I301*H301^2/1000000</f>
        <v/>
      </c>
      <c r="K301" t="inlineStr">
        <is>
          <t>同一样品的技术视野；不是独立生物学重复</t>
        </is>
      </c>
      <c r="L301" t="inlineStr">
        <is>
          <t>样品35</t>
        </is>
      </c>
    </row>
    <row r="302">
      <c r="A302" t="inlineStr">
        <is>
          <t>35 (8).tif</t>
        </is>
      </c>
      <c r="B302">
        <f>COUNTIF(导管母表_1781!B:B,A302)</f>
        <v/>
      </c>
      <c r="C302">
        <f>COUNTIFS(候选导管审计!B:B,A302,候选导管审计!G:G,"borderline")</f>
        <v/>
      </c>
      <c r="D302">
        <f>COUNTIFS(候选导管审计!B:B,A302,候选导管审计!G:G,"excluded")</f>
        <v/>
      </c>
      <c r="E302">
        <f>COUNTIFS(候选导管审计!B:B,A302,候选导管审计!G:G,"edge_truncated")</f>
        <v/>
      </c>
      <c r="F302">
        <f>COUNTIF(导管对_CWR_172!B:B,A302)</f>
        <v/>
      </c>
      <c r="G302">
        <f>COUNTIF(TVW线测量明细!B:B,A302)</f>
        <v/>
      </c>
      <c r="H302" t="n">
        <v>0.2173913043478261</v>
      </c>
      <c r="I302" t="n">
        <v>339</v>
      </c>
      <c r="J302">
        <f>1024*I302*H302^2/1000000</f>
        <v/>
      </c>
      <c r="K302" t="inlineStr">
        <is>
          <t>同一样品的技术视野；不是独立生物学重复</t>
        </is>
      </c>
      <c r="L302" t="inlineStr">
        <is>
          <t>样品35</t>
        </is>
      </c>
    </row>
    <row r="303">
      <c r="A303" t="inlineStr">
        <is>
          <t>36 (1).tif</t>
        </is>
      </c>
      <c r="B303">
        <f>COUNTIF(导管母表_1781!B:B,A303)</f>
        <v/>
      </c>
      <c r="C303">
        <f>COUNTIFS(候选导管审计!B:B,A303,候选导管审计!G:G,"borderline")</f>
        <v/>
      </c>
      <c r="D303">
        <f>COUNTIFS(候选导管审计!B:B,A303,候选导管审计!G:G,"excluded")</f>
        <v/>
      </c>
      <c r="E303">
        <f>COUNTIFS(候选导管审计!B:B,A303,候选导管审计!G:G,"edge_truncated")</f>
        <v/>
      </c>
      <c r="F303">
        <f>COUNTIF(导管对_CWR_172!B:B,A303)</f>
        <v/>
      </c>
      <c r="G303">
        <f>COUNTIF(TVW线测量明细!B:B,A303)</f>
        <v/>
      </c>
      <c r="H303" t="n">
        <v>0.2173913043478261</v>
      </c>
      <c r="I303" t="n">
        <v>269</v>
      </c>
      <c r="J303">
        <f>1024*I303*H303^2/1000000</f>
        <v/>
      </c>
      <c r="K303" t="inlineStr">
        <is>
          <t>同一样品的技术视野；不是独立生物学重复</t>
        </is>
      </c>
      <c r="L303" t="inlineStr">
        <is>
          <t>样品36</t>
        </is>
      </c>
    </row>
    <row r="304">
      <c r="A304" t="inlineStr">
        <is>
          <t>36 (2).tif</t>
        </is>
      </c>
      <c r="B304">
        <f>COUNTIF(导管母表_1781!B:B,A304)</f>
        <v/>
      </c>
      <c r="C304">
        <f>COUNTIFS(候选导管审计!B:B,A304,候选导管审计!G:G,"borderline")</f>
        <v/>
      </c>
      <c r="D304">
        <f>COUNTIFS(候选导管审计!B:B,A304,候选导管审计!G:G,"excluded")</f>
        <v/>
      </c>
      <c r="E304">
        <f>COUNTIFS(候选导管审计!B:B,A304,候选导管审计!G:G,"edge_truncated")</f>
        <v/>
      </c>
      <c r="F304">
        <f>COUNTIF(导管对_CWR_172!B:B,A304)</f>
        <v/>
      </c>
      <c r="G304">
        <f>COUNTIF(TVW线测量明细!B:B,A304)</f>
        <v/>
      </c>
      <c r="H304" t="n">
        <v>0.2173913043478261</v>
      </c>
      <c r="I304" t="n">
        <v>202</v>
      </c>
      <c r="J304">
        <f>1024*I304*H304^2/1000000</f>
        <v/>
      </c>
      <c r="K304" t="inlineStr">
        <is>
          <t>同一样品的技术视野；不是独立生物学重复</t>
        </is>
      </c>
      <c r="L304" t="inlineStr">
        <is>
          <t>样品36</t>
        </is>
      </c>
    </row>
    <row r="305">
      <c r="A305" t="inlineStr">
        <is>
          <t>36 (3).tif</t>
        </is>
      </c>
      <c r="B305">
        <f>COUNTIF(导管母表_1781!B:B,A305)</f>
        <v/>
      </c>
      <c r="C305">
        <f>COUNTIFS(候选导管审计!B:B,A305,候选导管审计!G:G,"borderline")</f>
        <v/>
      </c>
      <c r="D305">
        <f>COUNTIFS(候选导管审计!B:B,A305,候选导管审计!G:G,"excluded")</f>
        <v/>
      </c>
      <c r="E305">
        <f>COUNTIFS(候选导管审计!B:B,A305,候选导管审计!G:G,"edge_truncated")</f>
        <v/>
      </c>
      <c r="F305">
        <f>COUNTIF(导管对_CWR_172!B:B,A305)</f>
        <v/>
      </c>
      <c r="G305">
        <f>COUNTIF(TVW线测量明细!B:B,A305)</f>
        <v/>
      </c>
      <c r="H305" t="n">
        <v>0.2173913043478261</v>
      </c>
      <c r="I305" t="n">
        <v>170</v>
      </c>
      <c r="J305">
        <f>1024*I305*H305^2/1000000</f>
        <v/>
      </c>
      <c r="K305" t="inlineStr">
        <is>
          <t>同一样品的技术视野；不是独立生物学重复</t>
        </is>
      </c>
      <c r="L305" t="inlineStr">
        <is>
          <t>样品36</t>
        </is>
      </c>
    </row>
    <row r="306">
      <c r="A306" t="inlineStr">
        <is>
          <t>36 (4).tif</t>
        </is>
      </c>
      <c r="B306">
        <f>COUNTIF(导管母表_1781!B:B,A306)</f>
        <v/>
      </c>
      <c r="C306">
        <f>COUNTIFS(候选导管审计!B:B,A306,候选导管审计!G:G,"borderline")</f>
        <v/>
      </c>
      <c r="D306">
        <f>COUNTIFS(候选导管审计!B:B,A306,候选导管审计!G:G,"excluded")</f>
        <v/>
      </c>
      <c r="E306">
        <f>COUNTIFS(候选导管审计!B:B,A306,候选导管审计!G:G,"edge_truncated")</f>
        <v/>
      </c>
      <c r="F306">
        <f>COUNTIF(导管对_CWR_172!B:B,A306)</f>
        <v/>
      </c>
      <c r="G306">
        <f>COUNTIF(TVW线测量明细!B:B,A306)</f>
        <v/>
      </c>
      <c r="H306" t="n">
        <v>0.2173913043478261</v>
      </c>
      <c r="I306" t="n">
        <v>691</v>
      </c>
      <c r="J306">
        <f>1024*I306*H306^2/1000000</f>
        <v/>
      </c>
      <c r="K306" t="inlineStr">
        <is>
          <t>同一样品的技术视野；不是独立生物学重复</t>
        </is>
      </c>
      <c r="L306" t="inlineStr">
        <is>
          <t>样品36</t>
        </is>
      </c>
    </row>
    <row r="307">
      <c r="A307" t="inlineStr">
        <is>
          <t>36 (5).tif</t>
        </is>
      </c>
      <c r="B307">
        <f>COUNTIF(导管母表_1781!B:B,A307)</f>
        <v/>
      </c>
      <c r="C307">
        <f>COUNTIFS(候选导管审计!B:B,A307,候选导管审计!G:G,"borderline")</f>
        <v/>
      </c>
      <c r="D307">
        <f>COUNTIFS(候选导管审计!B:B,A307,候选导管审计!G:G,"excluded")</f>
        <v/>
      </c>
      <c r="E307">
        <f>COUNTIFS(候选导管审计!B:B,A307,候选导管审计!G:G,"edge_truncated")</f>
        <v/>
      </c>
      <c r="F307">
        <f>COUNTIF(导管对_CWR_172!B:B,A307)</f>
        <v/>
      </c>
      <c r="G307">
        <f>COUNTIF(TVW线测量明细!B:B,A307)</f>
        <v/>
      </c>
      <c r="H307" t="n">
        <v>0.2173913043478261</v>
      </c>
      <c r="I307" t="n">
        <v>272</v>
      </c>
      <c r="J307">
        <f>1024*I307*H307^2/1000000</f>
        <v/>
      </c>
      <c r="K307" t="inlineStr">
        <is>
          <t>同一样品的技术视野；不是独立生物学重复</t>
        </is>
      </c>
      <c r="L307" t="inlineStr">
        <is>
          <t>样品36</t>
        </is>
      </c>
    </row>
    <row r="308">
      <c r="A308" t="inlineStr">
        <is>
          <t>36 (6).tif</t>
        </is>
      </c>
      <c r="B308">
        <f>COUNTIF(导管母表_1781!B:B,A308)</f>
        <v/>
      </c>
      <c r="C308">
        <f>COUNTIFS(候选导管审计!B:B,A308,候选导管审计!G:G,"borderline")</f>
        <v/>
      </c>
      <c r="D308">
        <f>COUNTIFS(候选导管审计!B:B,A308,候选导管审计!G:G,"excluded")</f>
        <v/>
      </c>
      <c r="E308">
        <f>COUNTIFS(候选导管审计!B:B,A308,候选导管审计!G:G,"edge_truncated")</f>
        <v/>
      </c>
      <c r="F308">
        <f>COUNTIF(导管对_CWR_172!B:B,A308)</f>
        <v/>
      </c>
      <c r="G308">
        <f>COUNTIF(TVW线测量明细!B:B,A308)</f>
        <v/>
      </c>
      <c r="H308" t="n">
        <v>0.2173913043478261</v>
      </c>
      <c r="I308" t="n">
        <v>691</v>
      </c>
      <c r="J308">
        <f>1024*I308*H308^2/1000000</f>
        <v/>
      </c>
      <c r="K308" t="inlineStr">
        <is>
          <t>同一样品的技术视野；不是独立生物学重复</t>
        </is>
      </c>
      <c r="L308" t="inlineStr">
        <is>
          <t>样品36</t>
        </is>
      </c>
    </row>
    <row r="309">
      <c r="A309" t="inlineStr">
        <is>
          <t>36 (7).tif</t>
        </is>
      </c>
      <c r="B309">
        <f>COUNTIF(导管母表_1781!B:B,A309)</f>
        <v/>
      </c>
      <c r="C309">
        <f>COUNTIFS(候选导管审计!B:B,A309,候选导管审计!G:G,"borderline")</f>
        <v/>
      </c>
      <c r="D309">
        <f>COUNTIFS(候选导管审计!B:B,A309,候选导管审计!G:G,"excluded")</f>
        <v/>
      </c>
      <c r="E309">
        <f>COUNTIFS(候选导管审计!B:B,A309,候选导管审计!G:G,"edge_truncated")</f>
        <v/>
      </c>
      <c r="F309">
        <f>COUNTIF(导管对_CWR_172!B:B,A309)</f>
        <v/>
      </c>
      <c r="G309">
        <f>COUNTIF(TVW线测量明细!B:B,A309)</f>
        <v/>
      </c>
      <c r="H309" t="n">
        <v>0.2173913043478261</v>
      </c>
      <c r="I309" t="n">
        <v>691</v>
      </c>
      <c r="J309">
        <f>1024*I309*H309^2/1000000</f>
        <v/>
      </c>
      <c r="K309" t="inlineStr">
        <is>
          <t>同一样品的技术视野；不是独立生物学重复</t>
        </is>
      </c>
      <c r="L309" t="inlineStr">
        <is>
          <t>样品36</t>
        </is>
      </c>
    </row>
    <row r="310">
      <c r="A310" t="inlineStr">
        <is>
          <t>36 (8).tif</t>
        </is>
      </c>
      <c r="B310">
        <f>COUNTIF(导管母表_1781!B:B,A310)</f>
        <v/>
      </c>
      <c r="C310">
        <f>COUNTIFS(候选导管审计!B:B,A310,候选导管审计!G:G,"borderline")</f>
        <v/>
      </c>
      <c r="D310">
        <f>COUNTIFS(候选导管审计!B:B,A310,候选导管审计!G:G,"excluded")</f>
        <v/>
      </c>
      <c r="E310">
        <f>COUNTIFS(候选导管审计!B:B,A310,候选导管审计!G:G,"edge_truncated")</f>
        <v/>
      </c>
      <c r="F310">
        <f>COUNTIF(导管对_CWR_172!B:B,A310)</f>
        <v/>
      </c>
      <c r="G310">
        <f>COUNTIF(TVW线测量明细!B:B,A310)</f>
        <v/>
      </c>
      <c r="H310" t="n">
        <v>0.2173913043478261</v>
      </c>
      <c r="I310" t="n">
        <v>329</v>
      </c>
      <c r="J310">
        <f>1024*I310*H310^2/1000000</f>
        <v/>
      </c>
      <c r="K310" t="inlineStr">
        <is>
          <t>同一样品的技术视野；不是独立生物学重复</t>
        </is>
      </c>
      <c r="L310" t="inlineStr">
        <is>
          <t>样品36</t>
        </is>
      </c>
    </row>
    <row r="311">
      <c r="A311" t="inlineStr">
        <is>
          <t>37 (1).tif</t>
        </is>
      </c>
      <c r="B311">
        <f>COUNTIF(导管母表_1781!B:B,A311)</f>
        <v/>
      </c>
      <c r="C311">
        <f>COUNTIFS(候选导管审计!B:B,A311,候选导管审计!G:G,"borderline")</f>
        <v/>
      </c>
      <c r="D311">
        <f>COUNTIFS(候选导管审计!B:B,A311,候选导管审计!G:G,"excluded")</f>
        <v/>
      </c>
      <c r="E311">
        <f>COUNTIFS(候选导管审计!B:B,A311,候选导管审计!G:G,"edge_truncated")</f>
        <v/>
      </c>
      <c r="F311">
        <f>COUNTIF(导管对_CWR_172!B:B,A311)</f>
        <v/>
      </c>
      <c r="G311">
        <f>COUNTIF(TVW线测量明细!B:B,A311)</f>
        <v/>
      </c>
      <c r="H311" t="n">
        <v>0.2173913043478261</v>
      </c>
      <c r="I311" t="n">
        <v>691</v>
      </c>
      <c r="J311">
        <f>1024*I311*H311^2/1000000</f>
        <v/>
      </c>
      <c r="K311" t="inlineStr">
        <is>
          <t>同一样品的技术视野；不是独立生物学重复</t>
        </is>
      </c>
      <c r="L311" t="inlineStr">
        <is>
          <t>样品37</t>
        </is>
      </c>
    </row>
    <row r="312">
      <c r="A312" t="inlineStr">
        <is>
          <t>37 (2).tif</t>
        </is>
      </c>
      <c r="B312">
        <f>COUNTIF(导管母表_1781!B:B,A312)</f>
        <v/>
      </c>
      <c r="C312">
        <f>COUNTIFS(候选导管审计!B:B,A312,候选导管审计!G:G,"borderline")</f>
        <v/>
      </c>
      <c r="D312">
        <f>COUNTIFS(候选导管审计!B:B,A312,候选导管审计!G:G,"excluded")</f>
        <v/>
      </c>
      <c r="E312">
        <f>COUNTIFS(候选导管审计!B:B,A312,候选导管审计!G:G,"edge_truncated")</f>
        <v/>
      </c>
      <c r="F312">
        <f>COUNTIF(导管对_CWR_172!B:B,A312)</f>
        <v/>
      </c>
      <c r="G312">
        <f>COUNTIF(TVW线测量明细!B:B,A312)</f>
        <v/>
      </c>
      <c r="H312" t="n">
        <v>0.2173913043478261</v>
      </c>
      <c r="I312" t="n">
        <v>691</v>
      </c>
      <c r="J312">
        <f>1024*I312*H312^2/1000000</f>
        <v/>
      </c>
      <c r="K312" t="inlineStr">
        <is>
          <t>同一样品的技术视野；不是独立生物学重复</t>
        </is>
      </c>
      <c r="L312" t="inlineStr">
        <is>
          <t>样品37</t>
        </is>
      </c>
    </row>
    <row r="313">
      <c r="A313" t="inlineStr">
        <is>
          <t>37 (3).tif</t>
        </is>
      </c>
      <c r="B313">
        <f>COUNTIF(导管母表_1781!B:B,A313)</f>
        <v/>
      </c>
      <c r="C313">
        <f>COUNTIFS(候选导管审计!B:B,A313,候选导管审计!G:G,"borderline")</f>
        <v/>
      </c>
      <c r="D313">
        <f>COUNTIFS(候选导管审计!B:B,A313,候选导管审计!G:G,"excluded")</f>
        <v/>
      </c>
      <c r="E313">
        <f>COUNTIFS(候选导管审计!B:B,A313,候选导管审计!G:G,"edge_truncated")</f>
        <v/>
      </c>
      <c r="F313">
        <f>COUNTIF(导管对_CWR_172!B:B,A313)</f>
        <v/>
      </c>
      <c r="G313">
        <f>COUNTIF(TVW线测量明细!B:B,A313)</f>
        <v/>
      </c>
      <c r="H313" t="n">
        <v>0.2173913043478261</v>
      </c>
      <c r="I313" t="n">
        <v>691</v>
      </c>
      <c r="J313">
        <f>1024*I313*H313^2/1000000</f>
        <v/>
      </c>
      <c r="K313" t="inlineStr">
        <is>
          <t>同一样品的技术视野；不是独立生物学重复</t>
        </is>
      </c>
      <c r="L313" t="inlineStr">
        <is>
          <t>样品37</t>
        </is>
      </c>
    </row>
    <row r="314">
      <c r="A314" t="inlineStr">
        <is>
          <t>37 (4).tif</t>
        </is>
      </c>
      <c r="B314">
        <f>COUNTIF(导管母表_1781!B:B,A314)</f>
        <v/>
      </c>
      <c r="C314">
        <f>COUNTIFS(候选导管审计!B:B,A314,候选导管审计!G:G,"borderline")</f>
        <v/>
      </c>
      <c r="D314">
        <f>COUNTIFS(候选导管审计!B:B,A314,候选导管审计!G:G,"excluded")</f>
        <v/>
      </c>
      <c r="E314">
        <f>COUNTIFS(候选导管审计!B:B,A314,候选导管审计!G:G,"edge_truncated")</f>
        <v/>
      </c>
      <c r="F314">
        <f>COUNTIF(导管对_CWR_172!B:B,A314)</f>
        <v/>
      </c>
      <c r="G314">
        <f>COUNTIF(TVW线测量明细!B:B,A314)</f>
        <v/>
      </c>
      <c r="H314" t="n">
        <v>0.2173913043478261</v>
      </c>
      <c r="I314" t="n">
        <v>282</v>
      </c>
      <c r="J314">
        <f>1024*I314*H314^2/1000000</f>
        <v/>
      </c>
      <c r="K314" t="inlineStr">
        <is>
          <t>同一样品的技术视野；不是独立生物学重复</t>
        </is>
      </c>
      <c r="L314" t="inlineStr">
        <is>
          <t>样品37</t>
        </is>
      </c>
    </row>
    <row r="315">
      <c r="A315" t="inlineStr">
        <is>
          <t>37 (5).tif</t>
        </is>
      </c>
      <c r="B315">
        <f>COUNTIF(导管母表_1781!B:B,A315)</f>
        <v/>
      </c>
      <c r="C315">
        <f>COUNTIFS(候选导管审计!B:B,A315,候选导管审计!G:G,"borderline")</f>
        <v/>
      </c>
      <c r="D315">
        <f>COUNTIFS(候选导管审计!B:B,A315,候选导管审计!G:G,"excluded")</f>
        <v/>
      </c>
      <c r="E315">
        <f>COUNTIFS(候选导管审计!B:B,A315,候选导管审计!G:G,"edge_truncated")</f>
        <v/>
      </c>
      <c r="F315">
        <f>COUNTIF(导管对_CWR_172!B:B,A315)</f>
        <v/>
      </c>
      <c r="G315">
        <f>COUNTIF(TVW线测量明细!B:B,A315)</f>
        <v/>
      </c>
      <c r="H315" t="n">
        <v>0.2173913043478261</v>
      </c>
      <c r="I315" t="n">
        <v>691</v>
      </c>
      <c r="J315">
        <f>1024*I315*H315^2/1000000</f>
        <v/>
      </c>
      <c r="K315" t="inlineStr">
        <is>
          <t>同一样品的技术视野；不是独立生物学重复</t>
        </is>
      </c>
      <c r="L315" t="inlineStr">
        <is>
          <t>样品37</t>
        </is>
      </c>
    </row>
    <row r="316">
      <c r="A316" t="inlineStr">
        <is>
          <t>37 (6).tif</t>
        </is>
      </c>
      <c r="B316">
        <f>COUNTIF(导管母表_1781!B:B,A316)</f>
        <v/>
      </c>
      <c r="C316">
        <f>COUNTIFS(候选导管审计!B:B,A316,候选导管审计!G:G,"borderline")</f>
        <v/>
      </c>
      <c r="D316">
        <f>COUNTIFS(候选导管审计!B:B,A316,候选导管审计!G:G,"excluded")</f>
        <v/>
      </c>
      <c r="E316">
        <f>COUNTIFS(候选导管审计!B:B,A316,候选导管审计!G:G,"edge_truncated")</f>
        <v/>
      </c>
      <c r="F316">
        <f>COUNTIF(导管对_CWR_172!B:B,A316)</f>
        <v/>
      </c>
      <c r="G316">
        <f>COUNTIF(TVW线测量明细!B:B,A316)</f>
        <v/>
      </c>
      <c r="H316" t="n">
        <v>0.2173913043478261</v>
      </c>
      <c r="I316" t="n">
        <v>170</v>
      </c>
      <c r="J316">
        <f>1024*I316*H316^2/1000000</f>
        <v/>
      </c>
      <c r="K316" t="inlineStr">
        <is>
          <t>同一样品的技术视野；不是独立生物学重复</t>
        </is>
      </c>
      <c r="L316" t="inlineStr">
        <is>
          <t>样品37</t>
        </is>
      </c>
    </row>
    <row r="317">
      <c r="A317" t="inlineStr">
        <is>
          <t>37 (7).tif</t>
        </is>
      </c>
      <c r="B317">
        <f>COUNTIF(导管母表_1781!B:B,A317)</f>
        <v/>
      </c>
      <c r="C317">
        <f>COUNTIFS(候选导管审计!B:B,A317,候选导管审计!G:G,"borderline")</f>
        <v/>
      </c>
      <c r="D317">
        <f>COUNTIFS(候选导管审计!B:B,A317,候选导管审计!G:G,"excluded")</f>
        <v/>
      </c>
      <c r="E317">
        <f>COUNTIFS(候选导管审计!B:B,A317,候选导管审计!G:G,"edge_truncated")</f>
        <v/>
      </c>
      <c r="F317">
        <f>COUNTIF(导管对_CWR_172!B:B,A317)</f>
        <v/>
      </c>
      <c r="G317">
        <f>COUNTIF(TVW线测量明细!B:B,A317)</f>
        <v/>
      </c>
      <c r="H317" t="n">
        <v>0.2173913043478261</v>
      </c>
      <c r="I317" t="n">
        <v>293</v>
      </c>
      <c r="J317">
        <f>1024*I317*H317^2/1000000</f>
        <v/>
      </c>
      <c r="K317" t="inlineStr">
        <is>
          <t>同一样品的技术视野；不是独立生物学重复</t>
        </is>
      </c>
      <c r="L317" t="inlineStr">
        <is>
          <t>样品37</t>
        </is>
      </c>
    </row>
    <row r="318">
      <c r="A318" t="inlineStr">
        <is>
          <t>37 (8).tif</t>
        </is>
      </c>
      <c r="B318">
        <f>COUNTIF(导管母表_1781!B:B,A318)</f>
        <v/>
      </c>
      <c r="C318">
        <f>COUNTIFS(候选导管审计!B:B,A318,候选导管审计!G:G,"borderline")</f>
        <v/>
      </c>
      <c r="D318">
        <f>COUNTIFS(候选导管审计!B:B,A318,候选导管审计!G:G,"excluded")</f>
        <v/>
      </c>
      <c r="E318">
        <f>COUNTIFS(候选导管审计!B:B,A318,候选导管审计!G:G,"edge_truncated")</f>
        <v/>
      </c>
      <c r="F318">
        <f>COUNTIF(导管对_CWR_172!B:B,A318)</f>
        <v/>
      </c>
      <c r="G318">
        <f>COUNTIF(TVW线测量明细!B:B,A318)</f>
        <v/>
      </c>
      <c r="H318" t="n">
        <v>0.2173913043478261</v>
      </c>
      <c r="I318" t="n">
        <v>357</v>
      </c>
      <c r="J318">
        <f>1024*I318*H318^2/1000000</f>
        <v/>
      </c>
      <c r="K318" t="inlineStr">
        <is>
          <t>同一样品的技术视野；不是独立生物学重复</t>
        </is>
      </c>
      <c r="L318" t="inlineStr">
        <is>
          <t>样品37</t>
        </is>
      </c>
    </row>
    <row r="319">
      <c r="A319" t="inlineStr">
        <is>
          <t>38 (1).tif</t>
        </is>
      </c>
      <c r="B319">
        <f>COUNTIF(导管母表_1781!B:B,A319)</f>
        <v/>
      </c>
      <c r="C319">
        <f>COUNTIFS(候选导管审计!B:B,A319,候选导管审计!G:G,"borderline")</f>
        <v/>
      </c>
      <c r="D319">
        <f>COUNTIFS(候选导管审计!B:B,A319,候选导管审计!G:G,"excluded")</f>
        <v/>
      </c>
      <c r="E319">
        <f>COUNTIFS(候选导管审计!B:B,A319,候选导管审计!G:G,"edge_truncated")</f>
        <v/>
      </c>
      <c r="F319">
        <f>COUNTIF(导管对_CWR_172!B:B,A319)</f>
        <v/>
      </c>
      <c r="G319">
        <f>COUNTIF(TVW线测量明细!B:B,A319)</f>
        <v/>
      </c>
      <c r="H319" t="n">
        <v>0.2173913043478261</v>
      </c>
      <c r="I319" t="n">
        <v>256</v>
      </c>
      <c r="J319">
        <f>1024*I319*H319^2/1000000</f>
        <v/>
      </c>
      <c r="K319" t="inlineStr">
        <is>
          <t>同一样品的技术视野；不是独立生物学重复</t>
        </is>
      </c>
      <c r="L319" t="inlineStr">
        <is>
          <t>样品38</t>
        </is>
      </c>
    </row>
    <row r="320">
      <c r="A320" t="inlineStr">
        <is>
          <t>38 (2).tif</t>
        </is>
      </c>
      <c r="B320">
        <f>COUNTIF(导管母表_1781!B:B,A320)</f>
        <v/>
      </c>
      <c r="C320">
        <f>COUNTIFS(候选导管审计!B:B,A320,候选导管审计!G:G,"borderline")</f>
        <v/>
      </c>
      <c r="D320">
        <f>COUNTIFS(候选导管审计!B:B,A320,候选导管审计!G:G,"excluded")</f>
        <v/>
      </c>
      <c r="E320">
        <f>COUNTIFS(候选导管审计!B:B,A320,候选导管审计!G:G,"edge_truncated")</f>
        <v/>
      </c>
      <c r="F320">
        <f>COUNTIF(导管对_CWR_172!B:B,A320)</f>
        <v/>
      </c>
      <c r="G320">
        <f>COUNTIF(TVW线测量明细!B:B,A320)</f>
        <v/>
      </c>
      <c r="H320" t="n">
        <v>0.2173913043478261</v>
      </c>
      <c r="I320" t="n">
        <v>691</v>
      </c>
      <c r="J320">
        <f>1024*I320*H320^2/1000000</f>
        <v/>
      </c>
      <c r="K320" t="inlineStr">
        <is>
          <t>同一样品的技术视野；不是独立生物学重复</t>
        </is>
      </c>
      <c r="L320" t="inlineStr">
        <is>
          <t>样品38</t>
        </is>
      </c>
    </row>
    <row r="321">
      <c r="A321" t="inlineStr">
        <is>
          <t>38 (3).tif</t>
        </is>
      </c>
      <c r="B321">
        <f>COUNTIF(导管母表_1781!B:B,A321)</f>
        <v/>
      </c>
      <c r="C321">
        <f>COUNTIFS(候选导管审计!B:B,A321,候选导管审计!G:G,"borderline")</f>
        <v/>
      </c>
      <c r="D321">
        <f>COUNTIFS(候选导管审计!B:B,A321,候选导管审计!G:G,"excluded")</f>
        <v/>
      </c>
      <c r="E321">
        <f>COUNTIFS(候选导管审计!B:B,A321,候选导管审计!G:G,"edge_truncated")</f>
        <v/>
      </c>
      <c r="F321">
        <f>COUNTIF(导管对_CWR_172!B:B,A321)</f>
        <v/>
      </c>
      <c r="G321">
        <f>COUNTIF(TVW线测量明细!B:B,A321)</f>
        <v/>
      </c>
      <c r="H321" t="n">
        <v>0.2173913043478261</v>
      </c>
      <c r="I321" t="n">
        <v>337</v>
      </c>
      <c r="J321">
        <f>1024*I321*H321^2/1000000</f>
        <v/>
      </c>
      <c r="K321" t="inlineStr">
        <is>
          <t>同一样品的技术视野；不是独立生物学重复</t>
        </is>
      </c>
      <c r="L321" t="inlineStr">
        <is>
          <t>样品38</t>
        </is>
      </c>
    </row>
    <row r="322">
      <c r="A322" t="inlineStr">
        <is>
          <t>38 (4).tif</t>
        </is>
      </c>
      <c r="B322">
        <f>COUNTIF(导管母表_1781!B:B,A322)</f>
        <v/>
      </c>
      <c r="C322">
        <f>COUNTIFS(候选导管审计!B:B,A322,候选导管审计!G:G,"borderline")</f>
        <v/>
      </c>
      <c r="D322">
        <f>COUNTIFS(候选导管审计!B:B,A322,候选导管审计!G:G,"excluded")</f>
        <v/>
      </c>
      <c r="E322">
        <f>COUNTIFS(候选导管审计!B:B,A322,候选导管审计!G:G,"edge_truncated")</f>
        <v/>
      </c>
      <c r="F322">
        <f>COUNTIF(导管对_CWR_172!B:B,A322)</f>
        <v/>
      </c>
      <c r="G322">
        <f>COUNTIF(TVW线测量明细!B:B,A322)</f>
        <v/>
      </c>
      <c r="H322" t="n">
        <v>0.2173913043478261</v>
      </c>
      <c r="I322" t="n">
        <v>691</v>
      </c>
      <c r="J322">
        <f>1024*I322*H322^2/1000000</f>
        <v/>
      </c>
      <c r="K322" t="inlineStr">
        <is>
          <t>同一样品的技术视野；不是独立生物学重复</t>
        </is>
      </c>
      <c r="L322" t="inlineStr">
        <is>
          <t>样品38</t>
        </is>
      </c>
    </row>
    <row r="323">
      <c r="A323" t="inlineStr">
        <is>
          <t>38 (5).tif</t>
        </is>
      </c>
      <c r="B323">
        <f>COUNTIF(导管母表_1781!B:B,A323)</f>
        <v/>
      </c>
      <c r="C323">
        <f>COUNTIFS(候选导管审计!B:B,A323,候选导管审计!G:G,"borderline")</f>
        <v/>
      </c>
      <c r="D323">
        <f>COUNTIFS(候选导管审计!B:B,A323,候选导管审计!G:G,"excluded")</f>
        <v/>
      </c>
      <c r="E323">
        <f>COUNTIFS(候选导管审计!B:B,A323,候选导管审计!G:G,"edge_truncated")</f>
        <v/>
      </c>
      <c r="F323">
        <f>COUNTIF(导管对_CWR_172!B:B,A323)</f>
        <v/>
      </c>
      <c r="G323">
        <f>COUNTIF(TVW线测量明细!B:B,A323)</f>
        <v/>
      </c>
      <c r="H323" t="n">
        <v>0.2173913043478261</v>
      </c>
      <c r="I323" t="n">
        <v>691</v>
      </c>
      <c r="J323">
        <f>1024*I323*H323^2/1000000</f>
        <v/>
      </c>
      <c r="K323" t="inlineStr">
        <is>
          <t>同一样品的技术视野；不是独立生物学重复</t>
        </is>
      </c>
      <c r="L323" t="inlineStr">
        <is>
          <t>样品38</t>
        </is>
      </c>
    </row>
    <row r="324">
      <c r="A324" t="inlineStr">
        <is>
          <t>38 (6).tif</t>
        </is>
      </c>
      <c r="B324">
        <f>COUNTIF(导管母表_1781!B:B,A324)</f>
        <v/>
      </c>
      <c r="C324">
        <f>COUNTIFS(候选导管审计!B:B,A324,候选导管审计!G:G,"borderline")</f>
        <v/>
      </c>
      <c r="D324">
        <f>COUNTIFS(候选导管审计!B:B,A324,候选导管审计!G:G,"excluded")</f>
        <v/>
      </c>
      <c r="E324">
        <f>COUNTIFS(候选导管审计!B:B,A324,候选导管审计!G:G,"edge_truncated")</f>
        <v/>
      </c>
      <c r="F324">
        <f>COUNTIF(导管对_CWR_172!B:B,A324)</f>
        <v/>
      </c>
      <c r="G324">
        <f>COUNTIF(TVW线测量明细!B:B,A324)</f>
        <v/>
      </c>
      <c r="H324" t="n">
        <v>0.2173913043478261</v>
      </c>
      <c r="I324" t="n">
        <v>166</v>
      </c>
      <c r="J324">
        <f>1024*I324*H324^2/1000000</f>
        <v/>
      </c>
      <c r="K324" t="inlineStr">
        <is>
          <t>同一样品的技术视野；不是独立生物学重复</t>
        </is>
      </c>
      <c r="L324" t="inlineStr">
        <is>
          <t>样品38</t>
        </is>
      </c>
    </row>
    <row r="325">
      <c r="A325" t="inlineStr">
        <is>
          <t>38 (7).tif</t>
        </is>
      </c>
      <c r="B325">
        <f>COUNTIF(导管母表_1781!B:B,A325)</f>
        <v/>
      </c>
      <c r="C325">
        <f>COUNTIFS(候选导管审计!B:B,A325,候选导管审计!G:G,"borderline")</f>
        <v/>
      </c>
      <c r="D325">
        <f>COUNTIFS(候选导管审计!B:B,A325,候选导管审计!G:G,"excluded")</f>
        <v/>
      </c>
      <c r="E325">
        <f>COUNTIFS(候选导管审计!B:B,A325,候选导管审计!G:G,"edge_truncated")</f>
        <v/>
      </c>
      <c r="F325">
        <f>COUNTIF(导管对_CWR_172!B:B,A325)</f>
        <v/>
      </c>
      <c r="G325">
        <f>COUNTIF(TVW线测量明细!B:B,A325)</f>
        <v/>
      </c>
      <c r="H325" t="n">
        <v>0.2173913043478261</v>
      </c>
      <c r="I325" t="n">
        <v>691</v>
      </c>
      <c r="J325">
        <f>1024*I325*H325^2/1000000</f>
        <v/>
      </c>
      <c r="K325" t="inlineStr">
        <is>
          <t>同一样品的技术视野；不是独立生物学重复</t>
        </is>
      </c>
      <c r="L325" t="inlineStr">
        <is>
          <t>样品38</t>
        </is>
      </c>
    </row>
    <row r="326">
      <c r="A326" t="inlineStr">
        <is>
          <t>38 (8).tif</t>
        </is>
      </c>
      <c r="B326">
        <f>COUNTIF(导管母表_1781!B:B,A326)</f>
        <v/>
      </c>
      <c r="C326">
        <f>COUNTIFS(候选导管审计!B:B,A326,候选导管审计!G:G,"borderline")</f>
        <v/>
      </c>
      <c r="D326">
        <f>COUNTIFS(候选导管审计!B:B,A326,候选导管审计!G:G,"excluded")</f>
        <v/>
      </c>
      <c r="E326">
        <f>COUNTIFS(候选导管审计!B:B,A326,候选导管审计!G:G,"edge_truncated")</f>
        <v/>
      </c>
      <c r="F326">
        <f>COUNTIF(导管对_CWR_172!B:B,A326)</f>
        <v/>
      </c>
      <c r="G326">
        <f>COUNTIF(TVW线测量明细!B:B,A326)</f>
        <v/>
      </c>
      <c r="H326" t="n">
        <v>0.2173913043478261</v>
      </c>
      <c r="I326" t="n">
        <v>691</v>
      </c>
      <c r="J326">
        <f>1024*I326*H326^2/1000000</f>
        <v/>
      </c>
      <c r="K326" t="inlineStr">
        <is>
          <t>同一样品的技术视野；不是独立生物学重复</t>
        </is>
      </c>
      <c r="L326" t="inlineStr">
        <is>
          <t>样品38</t>
        </is>
      </c>
    </row>
    <row r="327">
      <c r="A327" t="inlineStr">
        <is>
          <t>39 (1).tif</t>
        </is>
      </c>
      <c r="B327">
        <f>COUNTIF(导管母表_1781!B:B,A327)</f>
        <v/>
      </c>
      <c r="C327">
        <f>COUNTIFS(候选导管审计!B:B,A327,候选导管审计!G:G,"borderline")</f>
        <v/>
      </c>
      <c r="D327">
        <f>COUNTIFS(候选导管审计!B:B,A327,候选导管审计!G:G,"excluded")</f>
        <v/>
      </c>
      <c r="E327">
        <f>COUNTIFS(候选导管审计!B:B,A327,候选导管审计!G:G,"edge_truncated")</f>
        <v/>
      </c>
      <c r="F327">
        <f>COUNTIF(导管对_CWR_172!B:B,A327)</f>
        <v/>
      </c>
      <c r="G327">
        <f>COUNTIF(TVW线测量明细!B:B,A327)</f>
        <v/>
      </c>
      <c r="H327" t="n">
        <v>0.2173913043478261</v>
      </c>
      <c r="I327" t="n">
        <v>691</v>
      </c>
      <c r="J327">
        <f>1024*I327*H327^2/1000000</f>
        <v/>
      </c>
      <c r="K327" t="inlineStr">
        <is>
          <t>同一样品的技术视野；不是独立生物学重复</t>
        </is>
      </c>
      <c r="L327" t="inlineStr">
        <is>
          <t>样品39</t>
        </is>
      </c>
    </row>
    <row r="328">
      <c r="A328" t="inlineStr">
        <is>
          <t>39 (2).tif</t>
        </is>
      </c>
      <c r="B328">
        <f>COUNTIF(导管母表_1781!B:B,A328)</f>
        <v/>
      </c>
      <c r="C328">
        <f>COUNTIFS(候选导管审计!B:B,A328,候选导管审计!G:G,"borderline")</f>
        <v/>
      </c>
      <c r="D328">
        <f>COUNTIFS(候选导管审计!B:B,A328,候选导管审计!G:G,"excluded")</f>
        <v/>
      </c>
      <c r="E328">
        <f>COUNTIFS(候选导管审计!B:B,A328,候选导管审计!G:G,"edge_truncated")</f>
        <v/>
      </c>
      <c r="F328">
        <f>COUNTIF(导管对_CWR_172!B:B,A328)</f>
        <v/>
      </c>
      <c r="G328">
        <f>COUNTIF(TVW线测量明细!B:B,A328)</f>
        <v/>
      </c>
      <c r="H328" t="n">
        <v>0.2173913043478261</v>
      </c>
      <c r="I328" t="n">
        <v>285</v>
      </c>
      <c r="J328">
        <f>1024*I328*H328^2/1000000</f>
        <v/>
      </c>
      <c r="K328" t="inlineStr">
        <is>
          <t>同一样品的技术视野；不是独立生物学重复</t>
        </is>
      </c>
      <c r="L328" t="inlineStr">
        <is>
          <t>样品39</t>
        </is>
      </c>
    </row>
    <row r="329">
      <c r="A329" t="inlineStr">
        <is>
          <t>39 (3).tif</t>
        </is>
      </c>
      <c r="B329">
        <f>COUNTIF(导管母表_1781!B:B,A329)</f>
        <v/>
      </c>
      <c r="C329">
        <f>COUNTIFS(候选导管审计!B:B,A329,候选导管审计!G:G,"borderline")</f>
        <v/>
      </c>
      <c r="D329">
        <f>COUNTIFS(候选导管审计!B:B,A329,候选导管审计!G:G,"excluded")</f>
        <v/>
      </c>
      <c r="E329">
        <f>COUNTIFS(候选导管审计!B:B,A329,候选导管审计!G:G,"edge_truncated")</f>
        <v/>
      </c>
      <c r="F329">
        <f>COUNTIF(导管对_CWR_172!B:B,A329)</f>
        <v/>
      </c>
      <c r="G329">
        <f>COUNTIF(TVW线测量明细!B:B,A329)</f>
        <v/>
      </c>
      <c r="H329" t="n">
        <v>0.2173913043478261</v>
      </c>
      <c r="I329" t="n">
        <v>691</v>
      </c>
      <c r="J329">
        <f>1024*I329*H329^2/1000000</f>
        <v/>
      </c>
      <c r="K329" t="inlineStr">
        <is>
          <t>同一样品的技术视野；不是独立生物学重复</t>
        </is>
      </c>
      <c r="L329" t="inlineStr">
        <is>
          <t>样品39</t>
        </is>
      </c>
    </row>
    <row r="330">
      <c r="A330" t="inlineStr">
        <is>
          <t>39 (4).tif</t>
        </is>
      </c>
      <c r="B330">
        <f>COUNTIF(导管母表_1781!B:B,A330)</f>
        <v/>
      </c>
      <c r="C330">
        <f>COUNTIFS(候选导管审计!B:B,A330,候选导管审计!G:G,"borderline")</f>
        <v/>
      </c>
      <c r="D330">
        <f>COUNTIFS(候选导管审计!B:B,A330,候选导管审计!G:G,"excluded")</f>
        <v/>
      </c>
      <c r="E330">
        <f>COUNTIFS(候选导管审计!B:B,A330,候选导管审计!G:G,"edge_truncated")</f>
        <v/>
      </c>
      <c r="F330">
        <f>COUNTIF(导管对_CWR_172!B:B,A330)</f>
        <v/>
      </c>
      <c r="G330">
        <f>COUNTIF(TVW线测量明细!B:B,A330)</f>
        <v/>
      </c>
      <c r="H330" t="n">
        <v>0.2173913043478261</v>
      </c>
      <c r="I330" t="n">
        <v>233</v>
      </c>
      <c r="J330">
        <f>1024*I330*H330^2/1000000</f>
        <v/>
      </c>
      <c r="K330" t="inlineStr">
        <is>
          <t>同一样品的技术视野；不是独立生物学重复</t>
        </is>
      </c>
      <c r="L330" t="inlineStr">
        <is>
          <t>样品39</t>
        </is>
      </c>
    </row>
    <row r="331">
      <c r="A331" t="inlineStr">
        <is>
          <t>39 (5).tif</t>
        </is>
      </c>
      <c r="B331">
        <f>COUNTIF(导管母表_1781!B:B,A331)</f>
        <v/>
      </c>
      <c r="C331">
        <f>COUNTIFS(候选导管审计!B:B,A331,候选导管审计!G:G,"borderline")</f>
        <v/>
      </c>
      <c r="D331">
        <f>COUNTIFS(候选导管审计!B:B,A331,候选导管审计!G:G,"excluded")</f>
        <v/>
      </c>
      <c r="E331">
        <f>COUNTIFS(候选导管审计!B:B,A331,候选导管审计!G:G,"edge_truncated")</f>
        <v/>
      </c>
      <c r="F331">
        <f>COUNTIF(导管对_CWR_172!B:B,A331)</f>
        <v/>
      </c>
      <c r="G331">
        <f>COUNTIF(TVW线测量明细!B:B,A331)</f>
        <v/>
      </c>
      <c r="H331" t="n">
        <v>0.2173913043478261</v>
      </c>
      <c r="I331" t="n">
        <v>691</v>
      </c>
      <c r="J331">
        <f>1024*I331*H331^2/1000000</f>
        <v/>
      </c>
      <c r="K331" t="inlineStr">
        <is>
          <t>同一样品的技术视野；不是独立生物学重复</t>
        </is>
      </c>
      <c r="L331" t="inlineStr">
        <is>
          <t>样品39</t>
        </is>
      </c>
    </row>
    <row r="332">
      <c r="A332" t="inlineStr">
        <is>
          <t>39 (6).tif</t>
        </is>
      </c>
      <c r="B332">
        <f>COUNTIF(导管母表_1781!B:B,A332)</f>
        <v/>
      </c>
      <c r="C332">
        <f>COUNTIFS(候选导管审计!B:B,A332,候选导管审计!G:G,"borderline")</f>
        <v/>
      </c>
      <c r="D332">
        <f>COUNTIFS(候选导管审计!B:B,A332,候选导管审计!G:G,"excluded")</f>
        <v/>
      </c>
      <c r="E332">
        <f>COUNTIFS(候选导管审计!B:B,A332,候选导管审计!G:G,"edge_truncated")</f>
        <v/>
      </c>
      <c r="F332">
        <f>COUNTIF(导管对_CWR_172!B:B,A332)</f>
        <v/>
      </c>
      <c r="G332">
        <f>COUNTIF(TVW线测量明细!B:B,A332)</f>
        <v/>
      </c>
      <c r="H332" t="n">
        <v>0.2173913043478261</v>
      </c>
      <c r="I332" t="n">
        <v>691</v>
      </c>
      <c r="J332">
        <f>1024*I332*H332^2/1000000</f>
        <v/>
      </c>
      <c r="K332" t="inlineStr">
        <is>
          <t>同一样品的技术视野；不是独立生物学重复</t>
        </is>
      </c>
      <c r="L332" t="inlineStr">
        <is>
          <t>样品39</t>
        </is>
      </c>
    </row>
    <row r="333">
      <c r="A333" t="inlineStr">
        <is>
          <t>39 (7).tif</t>
        </is>
      </c>
      <c r="B333">
        <f>COUNTIF(导管母表_1781!B:B,A333)</f>
        <v/>
      </c>
      <c r="C333">
        <f>COUNTIFS(候选导管审计!B:B,A333,候选导管审计!G:G,"borderline")</f>
        <v/>
      </c>
      <c r="D333">
        <f>COUNTIFS(候选导管审计!B:B,A333,候选导管审计!G:G,"excluded")</f>
        <v/>
      </c>
      <c r="E333">
        <f>COUNTIFS(候选导管审计!B:B,A333,候选导管审计!G:G,"edge_truncated")</f>
        <v/>
      </c>
      <c r="F333">
        <f>COUNTIF(导管对_CWR_172!B:B,A333)</f>
        <v/>
      </c>
      <c r="G333">
        <f>COUNTIF(TVW线测量明细!B:B,A333)</f>
        <v/>
      </c>
      <c r="H333" t="n">
        <v>0.2173913043478261</v>
      </c>
      <c r="I333" t="n">
        <v>221</v>
      </c>
      <c r="J333">
        <f>1024*I333*H333^2/1000000</f>
        <v/>
      </c>
      <c r="K333" t="inlineStr">
        <is>
          <t>同一样品的技术视野；不是独立生物学重复</t>
        </is>
      </c>
      <c r="L333" t="inlineStr">
        <is>
          <t>样品39</t>
        </is>
      </c>
    </row>
    <row r="334">
      <c r="A334" t="inlineStr">
        <is>
          <t>39 (8).tif</t>
        </is>
      </c>
      <c r="B334">
        <f>COUNTIF(导管母表_1781!B:B,A334)</f>
        <v/>
      </c>
      <c r="C334">
        <f>COUNTIFS(候选导管审计!B:B,A334,候选导管审计!G:G,"borderline")</f>
        <v/>
      </c>
      <c r="D334">
        <f>COUNTIFS(候选导管审计!B:B,A334,候选导管审计!G:G,"excluded")</f>
        <v/>
      </c>
      <c r="E334">
        <f>COUNTIFS(候选导管审计!B:B,A334,候选导管审计!G:G,"edge_truncated")</f>
        <v/>
      </c>
      <c r="F334">
        <f>COUNTIF(导管对_CWR_172!B:B,A334)</f>
        <v/>
      </c>
      <c r="G334">
        <f>COUNTIF(TVW线测量明细!B:B,A334)</f>
        <v/>
      </c>
      <c r="H334" t="n">
        <v>0.2173913043478261</v>
      </c>
      <c r="I334" t="n">
        <v>691</v>
      </c>
      <c r="J334">
        <f>1024*I334*H334^2/1000000</f>
        <v/>
      </c>
      <c r="K334" t="inlineStr">
        <is>
          <t>同一样品的技术视野；不是独立生物学重复</t>
        </is>
      </c>
      <c r="L334" t="inlineStr">
        <is>
          <t>样品39</t>
        </is>
      </c>
    </row>
    <row r="335">
      <c r="A335" t="inlineStr">
        <is>
          <t>40 (1).tif</t>
        </is>
      </c>
      <c r="B335">
        <f>COUNTIF(导管母表_1781!B:B,A335)</f>
        <v/>
      </c>
      <c r="C335">
        <f>COUNTIFS(候选导管审计!B:B,A335,候选导管审计!G:G,"borderline")</f>
        <v/>
      </c>
      <c r="D335">
        <f>COUNTIFS(候选导管审计!B:B,A335,候选导管审计!G:G,"excluded")</f>
        <v/>
      </c>
      <c r="E335">
        <f>COUNTIFS(候选导管审计!B:B,A335,候选导管审计!G:G,"edge_truncated")</f>
        <v/>
      </c>
      <c r="F335">
        <f>COUNTIF(导管对_CWR_172!B:B,A335)</f>
        <v/>
      </c>
      <c r="G335">
        <f>COUNTIF(TVW线测量明细!B:B,A335)</f>
        <v/>
      </c>
      <c r="H335" t="n">
        <v>0.2173913043478261</v>
      </c>
      <c r="I335" t="n">
        <v>290</v>
      </c>
      <c r="J335">
        <f>1024*I335*H335^2/1000000</f>
        <v/>
      </c>
      <c r="K335" t="inlineStr">
        <is>
          <t>同一样品的技术视野；不是独立生物学重复</t>
        </is>
      </c>
      <c r="L335" t="inlineStr">
        <is>
          <t>样品40</t>
        </is>
      </c>
    </row>
    <row r="336">
      <c r="A336" t="inlineStr">
        <is>
          <t>40 (2).tif</t>
        </is>
      </c>
      <c r="B336">
        <f>COUNTIF(导管母表_1781!B:B,A336)</f>
        <v/>
      </c>
      <c r="C336">
        <f>COUNTIFS(候选导管审计!B:B,A336,候选导管审计!G:G,"borderline")</f>
        <v/>
      </c>
      <c r="D336">
        <f>COUNTIFS(候选导管审计!B:B,A336,候选导管审计!G:G,"excluded")</f>
        <v/>
      </c>
      <c r="E336">
        <f>COUNTIFS(候选导管审计!B:B,A336,候选导管审计!G:G,"edge_truncated")</f>
        <v/>
      </c>
      <c r="F336">
        <f>COUNTIF(导管对_CWR_172!B:B,A336)</f>
        <v/>
      </c>
      <c r="G336">
        <f>COUNTIF(TVW线测量明细!B:B,A336)</f>
        <v/>
      </c>
      <c r="H336" t="n">
        <v>0.2173913043478261</v>
      </c>
      <c r="I336" t="n">
        <v>691</v>
      </c>
      <c r="J336">
        <f>1024*I336*H336^2/1000000</f>
        <v/>
      </c>
      <c r="K336" t="inlineStr">
        <is>
          <t>同一样品的技术视野；不是独立生物学重复</t>
        </is>
      </c>
      <c r="L336" t="inlineStr">
        <is>
          <t>样品40</t>
        </is>
      </c>
    </row>
    <row r="337">
      <c r="A337" t="inlineStr">
        <is>
          <t>40 (3).tif</t>
        </is>
      </c>
      <c r="B337">
        <f>COUNTIF(导管母表_1781!B:B,A337)</f>
        <v/>
      </c>
      <c r="C337">
        <f>COUNTIFS(候选导管审计!B:B,A337,候选导管审计!G:G,"borderline")</f>
        <v/>
      </c>
      <c r="D337">
        <f>COUNTIFS(候选导管审计!B:B,A337,候选导管审计!G:G,"excluded")</f>
        <v/>
      </c>
      <c r="E337">
        <f>COUNTIFS(候选导管审计!B:B,A337,候选导管审计!G:G,"edge_truncated")</f>
        <v/>
      </c>
      <c r="F337">
        <f>COUNTIF(导管对_CWR_172!B:B,A337)</f>
        <v/>
      </c>
      <c r="G337">
        <f>COUNTIF(TVW线测量明细!B:B,A337)</f>
        <v/>
      </c>
      <c r="H337" t="n">
        <v>0.2173913043478261</v>
      </c>
      <c r="I337" t="n">
        <v>314</v>
      </c>
      <c r="J337">
        <f>1024*I337*H337^2/1000000</f>
        <v/>
      </c>
      <c r="K337" t="inlineStr">
        <is>
          <t>同一样品的技术视野；不是独立生物学重复</t>
        </is>
      </c>
      <c r="L337" t="inlineStr">
        <is>
          <t>样品40</t>
        </is>
      </c>
    </row>
    <row r="338">
      <c r="A338" t="inlineStr">
        <is>
          <t>40 (4).tif</t>
        </is>
      </c>
      <c r="B338">
        <f>COUNTIF(导管母表_1781!B:B,A338)</f>
        <v/>
      </c>
      <c r="C338">
        <f>COUNTIFS(候选导管审计!B:B,A338,候选导管审计!G:G,"borderline")</f>
        <v/>
      </c>
      <c r="D338">
        <f>COUNTIFS(候选导管审计!B:B,A338,候选导管审计!G:G,"excluded")</f>
        <v/>
      </c>
      <c r="E338">
        <f>COUNTIFS(候选导管审计!B:B,A338,候选导管审计!G:G,"edge_truncated")</f>
        <v/>
      </c>
      <c r="F338">
        <f>COUNTIF(导管对_CWR_172!B:B,A338)</f>
        <v/>
      </c>
      <c r="G338">
        <f>COUNTIF(TVW线测量明细!B:B,A338)</f>
        <v/>
      </c>
      <c r="H338" t="n">
        <v>0.2173913043478261</v>
      </c>
      <c r="I338" t="n">
        <v>283</v>
      </c>
      <c r="J338">
        <f>1024*I338*H338^2/1000000</f>
        <v/>
      </c>
      <c r="K338" t="inlineStr">
        <is>
          <t>同一样品的技术视野；不是独立生物学重复</t>
        </is>
      </c>
      <c r="L338" t="inlineStr">
        <is>
          <t>样品40</t>
        </is>
      </c>
    </row>
    <row r="339">
      <c r="A339" t="inlineStr">
        <is>
          <t>40 (5).tif</t>
        </is>
      </c>
      <c r="B339">
        <f>COUNTIF(导管母表_1781!B:B,A339)</f>
        <v/>
      </c>
      <c r="C339">
        <f>COUNTIFS(候选导管审计!B:B,A339,候选导管审计!G:G,"borderline")</f>
        <v/>
      </c>
      <c r="D339">
        <f>COUNTIFS(候选导管审计!B:B,A339,候选导管审计!G:G,"excluded")</f>
        <v/>
      </c>
      <c r="E339">
        <f>COUNTIFS(候选导管审计!B:B,A339,候选导管审计!G:G,"edge_truncated")</f>
        <v/>
      </c>
      <c r="F339">
        <f>COUNTIF(导管对_CWR_172!B:B,A339)</f>
        <v/>
      </c>
      <c r="G339">
        <f>COUNTIF(TVW线测量明细!B:B,A339)</f>
        <v/>
      </c>
      <c r="H339" t="n">
        <v>0.2173913043478261</v>
      </c>
      <c r="I339" t="n">
        <v>284</v>
      </c>
      <c r="J339">
        <f>1024*I339*H339^2/1000000</f>
        <v/>
      </c>
      <c r="K339" t="inlineStr">
        <is>
          <t>同一样品的技术视野；不是独立生物学重复</t>
        </is>
      </c>
      <c r="L339" t="inlineStr">
        <is>
          <t>样品40</t>
        </is>
      </c>
    </row>
    <row r="340">
      <c r="A340" t="inlineStr">
        <is>
          <t>40 (6).tif</t>
        </is>
      </c>
      <c r="B340">
        <f>COUNTIF(导管母表_1781!B:B,A340)</f>
        <v/>
      </c>
      <c r="C340">
        <f>COUNTIFS(候选导管审计!B:B,A340,候选导管审计!G:G,"borderline")</f>
        <v/>
      </c>
      <c r="D340">
        <f>COUNTIFS(候选导管审计!B:B,A340,候选导管审计!G:G,"excluded")</f>
        <v/>
      </c>
      <c r="E340">
        <f>COUNTIFS(候选导管审计!B:B,A340,候选导管审计!G:G,"edge_truncated")</f>
        <v/>
      </c>
      <c r="F340">
        <f>COUNTIF(导管对_CWR_172!B:B,A340)</f>
        <v/>
      </c>
      <c r="G340">
        <f>COUNTIF(TVW线测量明细!B:B,A340)</f>
        <v/>
      </c>
      <c r="H340" t="n">
        <v>0.2173913043478261</v>
      </c>
      <c r="I340" t="n">
        <v>197</v>
      </c>
      <c r="J340">
        <f>1024*I340*H340^2/1000000</f>
        <v/>
      </c>
      <c r="K340" t="inlineStr">
        <is>
          <t>同一样品的技术视野；不是独立生物学重复</t>
        </is>
      </c>
      <c r="L340" t="inlineStr">
        <is>
          <t>样品40</t>
        </is>
      </c>
    </row>
    <row r="341">
      <c r="A341" t="inlineStr">
        <is>
          <t>40 (7).tif</t>
        </is>
      </c>
      <c r="B341">
        <f>COUNTIF(导管母表_1781!B:B,A341)</f>
        <v/>
      </c>
      <c r="C341">
        <f>COUNTIFS(候选导管审计!B:B,A341,候选导管审计!G:G,"borderline")</f>
        <v/>
      </c>
      <c r="D341">
        <f>COUNTIFS(候选导管审计!B:B,A341,候选导管审计!G:G,"excluded")</f>
        <v/>
      </c>
      <c r="E341">
        <f>COUNTIFS(候选导管审计!B:B,A341,候选导管审计!G:G,"edge_truncated")</f>
        <v/>
      </c>
      <c r="F341">
        <f>COUNTIF(导管对_CWR_172!B:B,A341)</f>
        <v/>
      </c>
      <c r="G341">
        <f>COUNTIF(TVW线测量明细!B:B,A341)</f>
        <v/>
      </c>
      <c r="H341" t="n">
        <v>0.2173913043478261</v>
      </c>
      <c r="I341" t="n">
        <v>346</v>
      </c>
      <c r="J341">
        <f>1024*I341*H341^2/1000000</f>
        <v/>
      </c>
      <c r="K341" t="inlineStr">
        <is>
          <t>同一样品的技术视野；不是独立生物学重复</t>
        </is>
      </c>
      <c r="L341" t="inlineStr">
        <is>
          <t>样品40</t>
        </is>
      </c>
    </row>
    <row r="342">
      <c r="A342" t="inlineStr">
        <is>
          <t>40 (8).tif</t>
        </is>
      </c>
      <c r="B342">
        <f>COUNTIF(导管母表_1781!B:B,A342)</f>
        <v/>
      </c>
      <c r="C342">
        <f>COUNTIFS(候选导管审计!B:B,A342,候选导管审计!G:G,"borderline")</f>
        <v/>
      </c>
      <c r="D342">
        <f>COUNTIFS(候选导管审计!B:B,A342,候选导管审计!G:G,"excluded")</f>
        <v/>
      </c>
      <c r="E342">
        <f>COUNTIFS(候选导管审计!B:B,A342,候选导管审计!G:G,"edge_truncated")</f>
        <v/>
      </c>
      <c r="F342">
        <f>COUNTIF(导管对_CWR_172!B:B,A342)</f>
        <v/>
      </c>
      <c r="G342">
        <f>COUNTIF(TVW线测量明细!B:B,A342)</f>
        <v/>
      </c>
      <c r="H342" t="n">
        <v>0.2173913043478261</v>
      </c>
      <c r="I342" t="n">
        <v>384</v>
      </c>
      <c r="J342">
        <f>1024*I342*H342^2/1000000</f>
        <v/>
      </c>
      <c r="K342" t="inlineStr">
        <is>
          <t>同一样品的技术视野；不是独立生物学重复</t>
        </is>
      </c>
      <c r="L342" t="inlineStr">
        <is>
          <t>样品40</t>
        </is>
      </c>
    </row>
    <row r="343">
      <c r="A343" t="inlineStr">
        <is>
          <t>40 (9).tif</t>
        </is>
      </c>
      <c r="B343">
        <f>COUNTIF(导管母表_1781!B:B,A343)</f>
        <v/>
      </c>
      <c r="C343">
        <f>COUNTIFS(候选导管审计!B:B,A343,候选导管审计!G:G,"borderline")</f>
        <v/>
      </c>
      <c r="D343">
        <f>COUNTIFS(候选导管审计!B:B,A343,候选导管审计!G:G,"excluded")</f>
        <v/>
      </c>
      <c r="E343">
        <f>COUNTIFS(候选导管审计!B:B,A343,候选导管审计!G:G,"edge_truncated")</f>
        <v/>
      </c>
      <c r="F343">
        <f>COUNTIF(导管对_CWR_172!B:B,A343)</f>
        <v/>
      </c>
      <c r="G343">
        <f>COUNTIF(TVW线测量明细!B:B,A343)</f>
        <v/>
      </c>
      <c r="H343" t="n">
        <v>0.2173913043478261</v>
      </c>
      <c r="I343" t="n">
        <v>300</v>
      </c>
      <c r="J343">
        <f>1024*I343*H343^2/1000000</f>
        <v/>
      </c>
      <c r="K343" t="inlineStr">
        <is>
          <t>同一样品的技术视野；不是独立生物学重复</t>
        </is>
      </c>
      <c r="L343" t="inlineStr">
        <is>
          <t>样品40</t>
        </is>
      </c>
    </row>
    <row r="344">
      <c r="A344" t="inlineStr">
        <is>
          <t>合计</t>
        </is>
      </c>
      <c r="B344">
        <f>SUM(B2:B343)</f>
        <v/>
      </c>
      <c r="C344">
        <f>SUM(C2:C343)</f>
        <v/>
      </c>
      <c r="D344">
        <f>SUM(D2:D343)</f>
        <v/>
      </c>
      <c r="E344">
        <f>SUM(E2:E343)</f>
        <v/>
      </c>
      <c r="F344">
        <f>SUM(F2:F343)</f>
        <v/>
      </c>
      <c r="G344">
        <f>SUM(G2:G343)</f>
        <v/>
      </c>
      <c r="J344">
        <f>SUM(J2:J343)</f>
        <v/>
      </c>
      <c r="K344" t="inlineStr">
        <is>
          <t>342个视野在样品层面按样品合并后写入Sheet1</t>
        </is>
      </c>
      <c r="L3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图像文件</t>
        </is>
      </c>
      <c r="C1" t="inlineStr">
        <is>
          <t>导管1 ROI</t>
        </is>
      </c>
      <c r="D1" t="inlineStr">
        <is>
          <t>Ai1 (μm²)</t>
        </is>
      </c>
      <c r="E1" t="inlineStr">
        <is>
          <t>Di1 (μm)</t>
        </is>
      </c>
      <c r="F1" t="inlineStr">
        <is>
          <t>导管2 ROI</t>
        </is>
      </c>
      <c r="G1" t="inlineStr">
        <is>
          <t>Ai2 (μm²)</t>
        </is>
      </c>
      <c r="H1" t="inlineStr">
        <is>
          <t>Di2 (μm)</t>
        </is>
      </c>
      <c r="I1" t="inlineStr">
        <is>
          <t>TVW线表范围</t>
        </is>
      </c>
      <c r="J1" t="inlineStr">
        <is>
          <t>n_line</t>
        </is>
      </c>
      <c r="K1" t="inlineStr">
        <is>
          <t>TVW均值 (μm，主值)</t>
        </is>
      </c>
      <c r="L1" t="inlineStr">
        <is>
          <t>TVW中位数 (μm)</t>
        </is>
      </c>
      <c r="M1" t="inlineStr">
        <is>
          <t>TVW线内SD (μm)</t>
        </is>
      </c>
      <c r="N1" t="inlineStr">
        <is>
          <t>TVW线内CV (%)</t>
        </is>
      </c>
      <c r="O1" t="inlineStr">
        <is>
          <t>旧单线TVW (μm)</t>
        </is>
      </c>
      <c r="P1" t="inlineStr">
        <is>
          <t>TVW变化 (%)</t>
        </is>
      </c>
      <c r="Q1" t="inlineStr">
        <is>
          <t>CWR1=(TVW/Di1)²</t>
        </is>
      </c>
      <c r="R1" t="inlineStr">
        <is>
          <t>CWR2=(TVW/Di2)²</t>
        </is>
      </c>
      <c r="S1" t="inlineStr">
        <is>
          <t>CWR_pair（主值）</t>
        </is>
      </c>
      <c r="T1" t="inlineStr">
        <is>
          <t>旧单线CWR_pair</t>
        </is>
      </c>
      <c r="U1" t="inlineStr">
        <is>
          <t>CWR变化 (%)</t>
        </is>
      </c>
      <c r="V1" t="inlineStr">
        <is>
          <t>线中位数法CWR_pair（敏感性）</t>
        </is>
      </c>
      <c r="W1" t="inlineStr">
        <is>
          <t>Dtarget（仅敏感性）</t>
        </is>
      </c>
      <c r="X1" t="inlineStr">
        <is>
          <t>Dtarget法CWR（仅敏感性）</t>
        </is>
      </c>
      <c r="Y1" t="inlineStr">
        <is>
          <t>壁级QC</t>
        </is>
      </c>
      <c r="Z1" t="inlineStr">
        <is>
          <t>对应关系质控</t>
        </is>
      </c>
      <c r="AA1" t="inlineStr">
        <is>
          <t>样品</t>
        </is>
      </c>
    </row>
    <row r="2">
      <c r="A2" t="inlineStr">
        <is>
          <t>1(1)-P01</t>
        </is>
      </c>
      <c r="B2" t="inlineStr">
        <is>
          <t>1 (1).tif</t>
        </is>
      </c>
      <c r="C2" t="inlineStr">
        <is>
          <t>1(1)-V02</t>
        </is>
      </c>
      <c r="D2">
        <f>导管母表_1781!F3</f>
        <v/>
      </c>
      <c r="E2">
        <f>导管母表_1781!G3</f>
        <v/>
      </c>
      <c r="F2" t="inlineStr">
        <is>
          <t>1(1)-V03</t>
        </is>
      </c>
      <c r="G2">
        <f>导管母表_1781!F4</f>
        <v/>
      </c>
      <c r="H2">
        <f>导管母表_1781!G4</f>
        <v/>
      </c>
      <c r="I2" t="inlineStr">
        <is>
          <t>J2:J2</t>
        </is>
      </c>
      <c r="J2">
        <f>COUNT(TVW线测量明细!J2:J2)</f>
        <v/>
      </c>
      <c r="K2">
        <f>AVERAGE(TVW线测量明细!J2:J2)</f>
        <v/>
      </c>
      <c r="L2">
        <f>MEDIAN(TVW线测量明细!J2:J2)</f>
        <v/>
      </c>
      <c r="M2">
        <f>IF(J2&gt;1,STDEV(TVW线测量明细!J2:J2),0)</f>
        <v/>
      </c>
      <c r="N2">
        <f>IF(K2=0,"",M2/K2*100)</f>
        <v/>
      </c>
      <c r="O2" t="n">
        <v>7.121017110503999</v>
      </c>
      <c r="P2">
        <f>IF(O2=0,"",(K2/O2-1)*100)</f>
        <v/>
      </c>
      <c r="Q2">
        <f>(K2/E2)^2</f>
        <v/>
      </c>
      <c r="R2">
        <f>(K2/H2)^2</f>
        <v/>
      </c>
      <c r="S2">
        <f>AVERAGE(Q2,R2)</f>
        <v/>
      </c>
      <c r="T2">
        <f>AVERAGE((O2/E2)^2,(O2/H2)^2)</f>
        <v/>
      </c>
      <c r="U2">
        <f>IF(T2=0,"",(S2/T2-1)*100)</f>
        <v/>
      </c>
      <c r="V2">
        <f>AVERAGE((L2/E2)^2,(L2/H2)^2)</f>
        <v/>
      </c>
      <c r="W2">
        <f>IF(ABS(E2-汇总!B25)&lt;=ABS(H2-汇总!B25),E2,H2)</f>
        <v/>
      </c>
      <c r="X2">
        <f>(K2/W2)^2</f>
        <v/>
      </c>
      <c r="Y2">
        <f>IF(N2&gt;10,"HIGH_TVW_CV",IF(J2&lt;3,"SHORT_INTERFACE","PASS"))</f>
        <v/>
      </c>
      <c r="Z2" t="inlineStr">
        <is>
          <t>Di1、TVW均值、Di2均来自本Pair_ID；TVW=3–5法线平均</t>
        </is>
      </c>
      <c r="AA2" t="inlineStr">
        <is>
          <t>样品1</t>
        </is>
      </c>
    </row>
    <row r="3">
      <c r="A3" t="inlineStr">
        <is>
          <t>1(2)-P01</t>
        </is>
      </c>
      <c r="B3" t="inlineStr">
        <is>
          <t>1 (2).tif</t>
        </is>
      </c>
      <c r="C3" t="inlineStr">
        <is>
          <t>1(2)-V02</t>
        </is>
      </c>
      <c r="D3">
        <f>导管母表_1781!F11</f>
        <v/>
      </c>
      <c r="E3">
        <f>导管母表_1781!G11</f>
        <v/>
      </c>
      <c r="F3" t="inlineStr">
        <is>
          <t>1(2)-V04</t>
        </is>
      </c>
      <c r="G3">
        <f>导管母表_1781!F13</f>
        <v/>
      </c>
      <c r="H3">
        <f>导管母表_1781!G13</f>
        <v/>
      </c>
      <c r="I3" t="inlineStr">
        <is>
          <t>J3:J4</t>
        </is>
      </c>
      <c r="J3">
        <f>COUNT(TVW线测量明细!J3:J4)</f>
        <v/>
      </c>
      <c r="K3">
        <f>AVERAGE(TVW线测量明细!J3:J4)</f>
        <v/>
      </c>
      <c r="L3">
        <f>MEDIAN(TVW线测量明细!J3:J4)</f>
        <v/>
      </c>
      <c r="M3">
        <f>IF(J3&gt;1,STDEV(TVW线测量明细!J3:J4),0)</f>
        <v/>
      </c>
      <c r="N3">
        <f>IF(K3=0,"",M3/K3*100)</f>
        <v/>
      </c>
      <c r="O3" t="n">
        <v>4.181605230798118</v>
      </c>
      <c r="P3">
        <f>IF(O3=0,"",(K3/O3-1)*100)</f>
        <v/>
      </c>
      <c r="Q3">
        <f>(K3/E3)^2</f>
        <v/>
      </c>
      <c r="R3">
        <f>(K3/H3)^2</f>
        <v/>
      </c>
      <c r="S3">
        <f>AVERAGE(Q3,R3)</f>
        <v/>
      </c>
      <c r="T3">
        <f>AVERAGE((O3/E3)^2,(O3/H3)^2)</f>
        <v/>
      </c>
      <c r="U3">
        <f>IF(T3=0,"",(S3/T3-1)*100)</f>
        <v/>
      </c>
      <c r="V3">
        <f>AVERAGE((L3/E3)^2,(L3/H3)^2)</f>
        <v/>
      </c>
      <c r="W3">
        <f>IF(ABS(E3-汇总!B25)&lt;=ABS(H3-汇总!B25),E3,H3)</f>
        <v/>
      </c>
      <c r="X3">
        <f>(K3/W3)^2</f>
        <v/>
      </c>
      <c r="Y3">
        <f>IF(N3&gt;10,"HIGH_TVW_CV",IF(J3&lt;3,"SHORT_INTERFACE","PASS"))</f>
        <v/>
      </c>
      <c r="Z3" t="inlineStr">
        <is>
          <t>Di1、TVW均值、Di2均来自本Pair_ID；TVW=3–5法线平均</t>
        </is>
      </c>
      <c r="AA3" t="inlineStr">
        <is>
          <t>样品1</t>
        </is>
      </c>
    </row>
    <row r="4">
      <c r="A4" t="inlineStr">
        <is>
          <t>1(3)-P01</t>
        </is>
      </c>
      <c r="B4" t="inlineStr">
        <is>
          <t>1 (3).tif</t>
        </is>
      </c>
      <c r="C4" t="inlineStr">
        <is>
          <t>1(3)-V01</t>
        </is>
      </c>
      <c r="D4">
        <f>导管母表_1781!F18</f>
        <v/>
      </c>
      <c r="E4">
        <f>导管母表_1781!G18</f>
        <v/>
      </c>
      <c r="F4" t="inlineStr">
        <is>
          <t>1(3)-V02</t>
        </is>
      </c>
      <c r="G4">
        <f>导管母表_1781!F19</f>
        <v/>
      </c>
      <c r="H4">
        <f>导管母表_1781!G19</f>
        <v/>
      </c>
      <c r="I4" t="inlineStr">
        <is>
          <t>J5:J7</t>
        </is>
      </c>
      <c r="J4">
        <f>COUNT(TVW线测量明细!J5:J7)</f>
        <v/>
      </c>
      <c r="K4">
        <f>AVERAGE(TVW线测量明细!J5:J7)</f>
        <v/>
      </c>
      <c r="L4">
        <f>MEDIAN(TVW线测量明细!J5:J7)</f>
        <v/>
      </c>
      <c r="M4">
        <f>IF(J4&gt;1,STDEV(TVW线测量明细!J5:J7),0)</f>
        <v/>
      </c>
      <c r="N4">
        <f>IF(K4=0,"",M4/K4*100)</f>
        <v/>
      </c>
      <c r="O4" t="n">
        <v>8.489401821637667</v>
      </c>
      <c r="P4">
        <f>IF(O4=0,"",(K4/O4-1)*100)</f>
        <v/>
      </c>
      <c r="Q4">
        <f>(K4/E4)^2</f>
        <v/>
      </c>
      <c r="R4">
        <f>(K4/H4)^2</f>
        <v/>
      </c>
      <c r="S4">
        <f>AVERAGE(Q4,R4)</f>
        <v/>
      </c>
      <c r="T4">
        <f>AVERAGE((O4/E4)^2,(O4/H4)^2)</f>
        <v/>
      </c>
      <c r="U4">
        <f>IF(T4=0,"",(S4/T4-1)*100)</f>
        <v/>
      </c>
      <c r="V4">
        <f>AVERAGE((L4/E4)^2,(L4/H4)^2)</f>
        <v/>
      </c>
      <c r="W4">
        <f>IF(ABS(E4-汇总!B25)&lt;=ABS(H4-汇总!B25),E4,H4)</f>
        <v/>
      </c>
      <c r="X4">
        <f>(K4/W4)^2</f>
        <v/>
      </c>
      <c r="Y4">
        <f>IF(N4&gt;10,"HIGH_TVW_CV",IF(J4&lt;3,"SHORT_INTERFACE","PASS"))</f>
        <v/>
      </c>
      <c r="Z4" t="inlineStr">
        <is>
          <t>Di1、TVW均值、Di2均来自本Pair_ID；TVW=3–5法线平均</t>
        </is>
      </c>
      <c r="AA4" t="inlineStr">
        <is>
          <t>样品1</t>
        </is>
      </c>
    </row>
    <row r="5">
      <c r="A5" t="inlineStr">
        <is>
          <t>1(4)-P01</t>
        </is>
      </c>
      <c r="B5" t="inlineStr">
        <is>
          <t>1 (4).tif</t>
        </is>
      </c>
      <c r="C5" t="inlineStr">
        <is>
          <t>1(4)-V01</t>
        </is>
      </c>
      <c r="D5">
        <f>导管母表_1781!F21</f>
        <v/>
      </c>
      <c r="E5">
        <f>导管母表_1781!G21</f>
        <v/>
      </c>
      <c r="F5" t="inlineStr">
        <is>
          <t>1(4)-V02</t>
        </is>
      </c>
      <c r="G5">
        <f>导管母表_1781!F22</f>
        <v/>
      </c>
      <c r="H5">
        <f>导管母表_1781!G22</f>
        <v/>
      </c>
      <c r="I5" t="inlineStr">
        <is>
          <t>J8:J9</t>
        </is>
      </c>
      <c r="J5">
        <f>COUNT(TVW线测量明细!J8:J9)</f>
        <v/>
      </c>
      <c r="K5">
        <f>AVERAGE(TVW线测量明细!J8:J9)</f>
        <v/>
      </c>
      <c r="L5">
        <f>MEDIAN(TVW线测量明细!J8:J9)</f>
        <v/>
      </c>
      <c r="M5">
        <f>IF(J5&gt;1,STDEV(TVW线测量明细!J8:J9),0)</f>
        <v/>
      </c>
      <c r="N5">
        <f>IF(K5=0,"",M5/K5*100)</f>
        <v/>
      </c>
      <c r="O5" t="n">
        <v>3.165265169252399</v>
      </c>
      <c r="P5">
        <f>IF(O5=0,"",(K5/O5-1)*100)</f>
        <v/>
      </c>
      <c r="Q5">
        <f>(K5/E5)^2</f>
        <v/>
      </c>
      <c r="R5">
        <f>(K5/H5)^2</f>
        <v/>
      </c>
      <c r="S5">
        <f>AVERAGE(Q5,R5)</f>
        <v/>
      </c>
      <c r="T5">
        <f>AVERAGE((O5/E5)^2,(O5/H5)^2)</f>
        <v/>
      </c>
      <c r="U5">
        <f>IF(T5=0,"",(S5/T5-1)*100)</f>
        <v/>
      </c>
      <c r="V5">
        <f>AVERAGE((L5/E5)^2,(L5/H5)^2)</f>
        <v/>
      </c>
      <c r="W5">
        <f>IF(ABS(E5-汇总!B25)&lt;=ABS(H5-汇总!B25),E5,H5)</f>
        <v/>
      </c>
      <c r="X5">
        <f>(K5/W5)^2</f>
        <v/>
      </c>
      <c r="Y5">
        <f>IF(N5&gt;10,"HIGH_TVW_CV",IF(J5&lt;3,"SHORT_INTERFACE","PASS"))</f>
        <v/>
      </c>
      <c r="Z5" t="inlineStr">
        <is>
          <t>Di1、TVW均值、Di2均来自本Pair_ID；TVW=3–5法线平均</t>
        </is>
      </c>
      <c r="AA5" t="inlineStr">
        <is>
          <t>样品1</t>
        </is>
      </c>
    </row>
    <row r="6">
      <c r="A6" t="inlineStr">
        <is>
          <t>1(5)-P01</t>
        </is>
      </c>
      <c r="B6" t="inlineStr">
        <is>
          <t>1 (5).tif</t>
        </is>
      </c>
      <c r="C6" t="inlineStr">
        <is>
          <t>1(5)-V01</t>
        </is>
      </c>
      <c r="D6">
        <f>导管母表_1781!F28</f>
        <v/>
      </c>
      <c r="E6">
        <f>导管母表_1781!G28</f>
        <v/>
      </c>
      <c r="F6" t="inlineStr">
        <is>
          <t>1(5)-V02</t>
        </is>
      </c>
      <c r="G6">
        <f>导管母表_1781!F29</f>
        <v/>
      </c>
      <c r="H6">
        <f>导管母表_1781!G29</f>
        <v/>
      </c>
      <c r="I6" t="inlineStr">
        <is>
          <t>J10:J10</t>
        </is>
      </c>
      <c r="J6">
        <f>COUNT(TVW线测量明细!J10:J10)</f>
        <v/>
      </c>
      <c r="K6">
        <f>AVERAGE(TVW线测量明细!J10:J10)</f>
        <v/>
      </c>
      <c r="L6">
        <f>MEDIAN(TVW线测量明细!J10:J10)</f>
        <v/>
      </c>
      <c r="M6">
        <f>IF(J6&gt;1,STDEV(TVW线测量明细!J10:J10),0)</f>
        <v/>
      </c>
      <c r="N6">
        <f>IF(K6=0,"",M6/K6*100)</f>
        <v/>
      </c>
      <c r="O6" t="n">
        <v>7.09775118144109</v>
      </c>
      <c r="P6">
        <f>IF(O6=0,"",(K6/O6-1)*100)</f>
        <v/>
      </c>
      <c r="Q6">
        <f>(K6/E6)^2</f>
        <v/>
      </c>
      <c r="R6">
        <f>(K6/H6)^2</f>
        <v/>
      </c>
      <c r="S6">
        <f>AVERAGE(Q6,R6)</f>
        <v/>
      </c>
      <c r="T6">
        <f>AVERAGE((O6/E6)^2,(O6/H6)^2)</f>
        <v/>
      </c>
      <c r="U6">
        <f>IF(T6=0,"",(S6/T6-1)*100)</f>
        <v/>
      </c>
      <c r="V6">
        <f>AVERAGE((L6/E6)^2,(L6/H6)^2)</f>
        <v/>
      </c>
      <c r="W6">
        <f>IF(ABS(E6-汇总!B25)&lt;=ABS(H6-汇总!B25),E6,H6)</f>
        <v/>
      </c>
      <c r="X6">
        <f>(K6/W6)^2</f>
        <v/>
      </c>
      <c r="Y6">
        <f>IF(N6&gt;10,"HIGH_TVW_CV",IF(J6&lt;3,"SHORT_INTERFACE","PASS"))</f>
        <v/>
      </c>
      <c r="Z6" t="inlineStr">
        <is>
          <t>Di1、TVW均值、Di2均来自本Pair_ID；TVW=3–5法线平均</t>
        </is>
      </c>
      <c r="AA6" t="inlineStr">
        <is>
          <t>样品1</t>
        </is>
      </c>
    </row>
    <row r="7">
      <c r="A7" t="inlineStr">
        <is>
          <t>1(6)-P01</t>
        </is>
      </c>
      <c r="B7" t="inlineStr">
        <is>
          <t>1 (6).tif</t>
        </is>
      </c>
      <c r="C7" t="inlineStr">
        <is>
          <t>1(6)-V01</t>
        </is>
      </c>
      <c r="D7">
        <f>导管母表_1781!F30</f>
        <v/>
      </c>
      <c r="E7">
        <f>导管母表_1781!G30</f>
        <v/>
      </c>
      <c r="F7" t="inlineStr">
        <is>
          <t>1(6)-V03</t>
        </is>
      </c>
      <c r="G7">
        <f>导管母表_1781!F32</f>
        <v/>
      </c>
      <c r="H7">
        <f>导管母表_1781!G32</f>
        <v/>
      </c>
      <c r="I7" t="inlineStr">
        <is>
          <t>J11:J12</t>
        </is>
      </c>
      <c r="J7">
        <f>COUNT(TVW线测量明细!J11:J12)</f>
        <v/>
      </c>
      <c r="K7">
        <f>AVERAGE(TVW线测量明细!J11:J12)</f>
        <v/>
      </c>
      <c r="L7">
        <f>MEDIAN(TVW线测量明细!J11:J12)</f>
        <v/>
      </c>
      <c r="M7">
        <f>IF(J7&gt;1,STDEV(TVW线测量明细!J11:J12),0)</f>
        <v/>
      </c>
      <c r="N7">
        <f>IF(K7=0,"",M7/K7*100)</f>
        <v/>
      </c>
      <c r="O7" t="n">
        <v>7.000540081784616</v>
      </c>
      <c r="P7">
        <f>IF(O7=0,"",(K7/O7-1)*100)</f>
        <v/>
      </c>
      <c r="Q7">
        <f>(K7/E7)^2</f>
        <v/>
      </c>
      <c r="R7">
        <f>(K7/H7)^2</f>
        <v/>
      </c>
      <c r="S7">
        <f>AVERAGE(Q7,R7)</f>
        <v/>
      </c>
      <c r="T7">
        <f>AVERAGE((O7/E7)^2,(O7/H7)^2)</f>
        <v/>
      </c>
      <c r="U7">
        <f>IF(T7=0,"",(S7/T7-1)*100)</f>
        <v/>
      </c>
      <c r="V7">
        <f>AVERAGE((L7/E7)^2,(L7/H7)^2)</f>
        <v/>
      </c>
      <c r="W7">
        <f>IF(ABS(E7-汇总!B25)&lt;=ABS(H7-汇总!B25),E7,H7)</f>
        <v/>
      </c>
      <c r="X7">
        <f>(K7/W7)^2</f>
        <v/>
      </c>
      <c r="Y7">
        <f>IF(N7&gt;10,"HIGH_TVW_CV",IF(J7&lt;3,"SHORT_INTERFACE","PASS"))</f>
        <v/>
      </c>
      <c r="Z7" t="inlineStr">
        <is>
          <t>Di1、TVW均值、Di2均来自本Pair_ID；TVW=3–5法线平均</t>
        </is>
      </c>
      <c r="AA7" t="inlineStr">
        <is>
          <t>样品1</t>
        </is>
      </c>
    </row>
    <row r="8">
      <c r="A8" t="inlineStr">
        <is>
          <t>2(3)-P01</t>
        </is>
      </c>
      <c r="B8" t="inlineStr">
        <is>
          <t>2 (3).tif</t>
        </is>
      </c>
      <c r="C8" t="inlineStr">
        <is>
          <t>2(3)-V02</t>
        </is>
      </c>
      <c r="D8">
        <f>导管母表_1781!F57</f>
        <v/>
      </c>
      <c r="E8">
        <f>导管母表_1781!G57</f>
        <v/>
      </c>
      <c r="F8" t="inlineStr">
        <is>
          <t>2(3)-V03</t>
        </is>
      </c>
      <c r="G8">
        <f>导管母表_1781!F58</f>
        <v/>
      </c>
      <c r="H8">
        <f>导管母表_1781!G58</f>
        <v/>
      </c>
      <c r="I8" t="inlineStr">
        <is>
          <t>J13:J16</t>
        </is>
      </c>
      <c r="J8">
        <f>COUNT(TVW线测量明细!J13:J16)</f>
        <v/>
      </c>
      <c r="K8">
        <f>AVERAGE(TVW线测量明细!J13:J16)</f>
        <v/>
      </c>
      <c r="L8">
        <f>MEDIAN(TVW线测量明细!J13:J16)</f>
        <v/>
      </c>
      <c r="M8">
        <f>IF(J8&gt;1,STDEV(TVW线测量明细!J13:J16),0)</f>
        <v/>
      </c>
      <c r="N8">
        <f>IF(K8=0,"",M8/K8*100)</f>
        <v/>
      </c>
      <c r="O8" t="n">
        <v>8.043478260869565</v>
      </c>
      <c r="P8">
        <f>IF(O8=0,"",(K8/O8-1)*100)</f>
        <v/>
      </c>
      <c r="Q8">
        <f>(K8/E8)^2</f>
        <v/>
      </c>
      <c r="R8">
        <f>(K8/H8)^2</f>
        <v/>
      </c>
      <c r="S8">
        <f>AVERAGE(Q8,R8)</f>
        <v/>
      </c>
      <c r="T8">
        <f>AVERAGE((O8/E8)^2,(O8/H8)^2)</f>
        <v/>
      </c>
      <c r="U8">
        <f>IF(T8=0,"",(S8/T8-1)*100)</f>
        <v/>
      </c>
      <c r="V8">
        <f>AVERAGE((L8/E8)^2,(L8/H8)^2)</f>
        <v/>
      </c>
      <c r="W8">
        <f>IF(ABS(E8-汇总!B25)&lt;=ABS(H8-汇总!B25),E8,H8)</f>
        <v/>
      </c>
      <c r="X8">
        <f>(K8/W8)^2</f>
        <v/>
      </c>
      <c r="Y8">
        <f>IF(N8&gt;10,"HIGH_TVW_CV",IF(J8&lt;3,"SHORT_INTERFACE","PASS"))</f>
        <v/>
      </c>
      <c r="Z8" t="inlineStr">
        <is>
          <t>Di1、TVW均值、Di2均来自本Pair_ID；TVW=3–5法线平均</t>
        </is>
      </c>
      <c r="AA8" t="inlineStr">
        <is>
          <t>样品2</t>
        </is>
      </c>
    </row>
    <row r="9">
      <c r="A9" t="inlineStr">
        <is>
          <t>2(4)-P01</t>
        </is>
      </c>
      <c r="B9" t="inlineStr">
        <is>
          <t>2 (4).tif</t>
        </is>
      </c>
      <c r="C9" t="inlineStr">
        <is>
          <t>2(4)-V01</t>
        </is>
      </c>
      <c r="D9">
        <f>导管母表_1781!F64</f>
        <v/>
      </c>
      <c r="E9">
        <f>导管母表_1781!G64</f>
        <v/>
      </c>
      <c r="F9" t="inlineStr">
        <is>
          <t>2(4)-V02</t>
        </is>
      </c>
      <c r="G9">
        <f>导管母表_1781!F65</f>
        <v/>
      </c>
      <c r="H9">
        <f>导管母表_1781!G65</f>
        <v/>
      </c>
      <c r="I9" t="inlineStr">
        <is>
          <t>J17:J18</t>
        </is>
      </c>
      <c r="J9">
        <f>COUNT(TVW线测量明细!J17:J18)</f>
        <v/>
      </c>
      <c r="K9">
        <f>AVERAGE(TVW线测量明细!J17:J18)</f>
        <v/>
      </c>
      <c r="L9">
        <f>MEDIAN(TVW线测量明细!J17:J18)</f>
        <v/>
      </c>
      <c r="M9">
        <f>IF(J9&gt;1,STDEV(TVW线测量明细!J17:J18),0)</f>
        <v/>
      </c>
      <c r="N9">
        <f>IF(K9=0,"",M9/K9*100)</f>
        <v/>
      </c>
      <c r="O9" t="n">
        <v>6.063619861296241</v>
      </c>
      <c r="P9">
        <f>IF(O9=0,"",(K9/O9-1)*100)</f>
        <v/>
      </c>
      <c r="Q9">
        <f>(K9/E9)^2</f>
        <v/>
      </c>
      <c r="R9">
        <f>(K9/H9)^2</f>
        <v/>
      </c>
      <c r="S9">
        <f>AVERAGE(Q9,R9)</f>
        <v/>
      </c>
      <c r="T9">
        <f>AVERAGE((O9/E9)^2,(O9/H9)^2)</f>
        <v/>
      </c>
      <c r="U9">
        <f>IF(T9=0,"",(S9/T9-1)*100)</f>
        <v/>
      </c>
      <c r="V9">
        <f>AVERAGE((L9/E9)^2,(L9/H9)^2)</f>
        <v/>
      </c>
      <c r="W9">
        <f>IF(ABS(E9-汇总!B25)&lt;=ABS(H9-汇总!B25),E9,H9)</f>
        <v/>
      </c>
      <c r="X9">
        <f>(K9/W9)^2</f>
        <v/>
      </c>
      <c r="Y9">
        <f>IF(N9&gt;10,"HIGH_TVW_CV",IF(J9&lt;3,"SHORT_INTERFACE","PASS"))</f>
        <v/>
      </c>
      <c r="Z9" t="inlineStr">
        <is>
          <t>Di1、TVW均值、Di2均来自本Pair_ID；TVW=3–5法线平均</t>
        </is>
      </c>
      <c r="AA9" t="inlineStr">
        <is>
          <t>样品2</t>
        </is>
      </c>
    </row>
    <row r="10">
      <c r="A10" t="inlineStr">
        <is>
          <t>2(5)-P01</t>
        </is>
      </c>
      <c r="B10" t="inlineStr">
        <is>
          <t>2 (5).tif</t>
        </is>
      </c>
      <c r="C10" t="inlineStr">
        <is>
          <t>2(5)-V02</t>
        </is>
      </c>
      <c r="D10">
        <f>导管母表_1781!F70</f>
        <v/>
      </c>
      <c r="E10">
        <f>导管母表_1781!G70</f>
        <v/>
      </c>
      <c r="F10" t="inlineStr">
        <is>
          <t>2(5)-V04</t>
        </is>
      </c>
      <c r="G10">
        <f>导管母表_1781!F72</f>
        <v/>
      </c>
      <c r="H10">
        <f>导管母表_1781!G72</f>
        <v/>
      </c>
      <c r="I10" t="inlineStr">
        <is>
          <t>J19:J19</t>
        </is>
      </c>
      <c r="J10">
        <f>COUNT(TVW线测量明细!J19:J19)</f>
        <v/>
      </c>
      <c r="K10">
        <f>AVERAGE(TVW线测量明细!J19:J19)</f>
        <v/>
      </c>
      <c r="L10">
        <f>MEDIAN(TVW线测量明细!J19:J19)</f>
        <v/>
      </c>
      <c r="M10">
        <f>IF(J10&gt;1,STDEV(TVW线测量明细!J19:J19),0)</f>
        <v/>
      </c>
      <c r="N10">
        <f>IF(K10=0,"",M10/K10*100)</f>
        <v/>
      </c>
      <c r="O10" t="n">
        <v>0</v>
      </c>
      <c r="P10">
        <f>IF(O10=0,"",(K10/O10-1)*100)</f>
        <v/>
      </c>
      <c r="Q10">
        <f>(K10/E10)^2</f>
        <v/>
      </c>
      <c r="R10">
        <f>(K10/H10)^2</f>
        <v/>
      </c>
      <c r="S10">
        <f>AVERAGE(Q10,R10)</f>
        <v/>
      </c>
      <c r="T10">
        <f>AVERAGE((O10/E10)^2,(O10/H10)^2)</f>
        <v/>
      </c>
      <c r="U10">
        <f>IF(T10=0,"",(S10/T10-1)*100)</f>
        <v/>
      </c>
      <c r="V10">
        <f>AVERAGE((L10/E10)^2,(L10/H10)^2)</f>
        <v/>
      </c>
      <c r="W10">
        <f>IF(ABS(E10-汇总!B25)&lt;=ABS(H10-汇总!B25),E10,H10)</f>
        <v/>
      </c>
      <c r="X10">
        <f>(K10/W10)^2</f>
        <v/>
      </c>
      <c r="Y10">
        <f>IF(N10&gt;10,"HIGH_TVW_CV",IF(J10&lt;3,"SHORT_INTERFACE","PASS"))</f>
        <v/>
      </c>
      <c r="Z10" t="inlineStr">
        <is>
          <t>Di1、TVW均值、Di2均来自本Pair_ID；TVW=3–5法线平均</t>
        </is>
      </c>
      <c r="AA10" t="inlineStr">
        <is>
          <t>样品2</t>
        </is>
      </c>
    </row>
    <row r="11">
      <c r="A11" t="inlineStr">
        <is>
          <t>2(6)-P01</t>
        </is>
      </c>
      <c r="B11" t="inlineStr">
        <is>
          <t>2 (6).tif</t>
        </is>
      </c>
      <c r="C11" t="inlineStr">
        <is>
          <t>2(6)-V01</t>
        </is>
      </c>
      <c r="D11">
        <f>导管母表_1781!F73</f>
        <v/>
      </c>
      <c r="E11">
        <f>导管母表_1781!G73</f>
        <v/>
      </c>
      <c r="F11" t="inlineStr">
        <is>
          <t>2(6)-V02</t>
        </is>
      </c>
      <c r="G11">
        <f>导管母表_1781!F74</f>
        <v/>
      </c>
      <c r="H11">
        <f>导管母表_1781!G74</f>
        <v/>
      </c>
      <c r="I11" t="inlineStr">
        <is>
          <t>J20:J21</t>
        </is>
      </c>
      <c r="J11">
        <f>COUNT(TVW线测量明细!J20:J21)</f>
        <v/>
      </c>
      <c r="K11">
        <f>AVERAGE(TVW线测量明细!J20:J21)</f>
        <v/>
      </c>
      <c r="L11">
        <f>MEDIAN(TVW线测量明细!J20:J21)</f>
        <v/>
      </c>
      <c r="M11">
        <f>IF(J11&gt;1,STDEV(TVW线测量明细!J20:J21),0)</f>
        <v/>
      </c>
      <c r="N11">
        <f>IF(K11=0,"",M11/K11*100)</f>
        <v/>
      </c>
      <c r="O11" t="n">
        <v>4.904571379425425</v>
      </c>
      <c r="P11">
        <f>IF(O11=0,"",(K11/O11-1)*100)</f>
        <v/>
      </c>
      <c r="Q11">
        <f>(K11/E11)^2</f>
        <v/>
      </c>
      <c r="R11">
        <f>(K11/H11)^2</f>
        <v/>
      </c>
      <c r="S11">
        <f>AVERAGE(Q11,R11)</f>
        <v/>
      </c>
      <c r="T11">
        <f>AVERAGE((O11/E11)^2,(O11/H11)^2)</f>
        <v/>
      </c>
      <c r="U11">
        <f>IF(T11=0,"",(S11/T11-1)*100)</f>
        <v/>
      </c>
      <c r="V11">
        <f>AVERAGE((L11/E11)^2,(L11/H11)^2)</f>
        <v/>
      </c>
      <c r="W11">
        <f>IF(ABS(E11-汇总!B25)&lt;=ABS(H11-汇总!B25),E11,H11)</f>
        <v/>
      </c>
      <c r="X11">
        <f>(K11/W11)^2</f>
        <v/>
      </c>
      <c r="Y11">
        <f>IF(N11&gt;10,"HIGH_TVW_CV",IF(J11&lt;3,"SHORT_INTERFACE","PASS"))</f>
        <v/>
      </c>
      <c r="Z11" t="inlineStr">
        <is>
          <t>Di1、TVW均值、Di2均来自本Pair_ID；TVW=3–5法线平均</t>
        </is>
      </c>
      <c r="AA11" t="inlineStr">
        <is>
          <t>样品2</t>
        </is>
      </c>
    </row>
    <row r="12">
      <c r="A12" t="inlineStr">
        <is>
          <t>2(7)-P01</t>
        </is>
      </c>
      <c r="B12" t="inlineStr">
        <is>
          <t>2 (7).tif</t>
        </is>
      </c>
      <c r="C12" t="inlineStr">
        <is>
          <t>2(7)-V01</t>
        </is>
      </c>
      <c r="D12">
        <f>导管母表_1781!F80</f>
        <v/>
      </c>
      <c r="E12">
        <f>导管母表_1781!G80</f>
        <v/>
      </c>
      <c r="F12" t="inlineStr">
        <is>
          <t>2(7)-V07</t>
        </is>
      </c>
      <c r="G12">
        <f>导管母表_1781!F86</f>
        <v/>
      </c>
      <c r="H12">
        <f>导管母表_1781!G86</f>
        <v/>
      </c>
      <c r="I12" t="inlineStr">
        <is>
          <t>J22:J23</t>
        </is>
      </c>
      <c r="J12">
        <f>COUNT(TVW线测量明细!J22:J23)</f>
        <v/>
      </c>
      <c r="K12">
        <f>AVERAGE(TVW线测量明细!J22:J23)</f>
        <v/>
      </c>
      <c r="L12">
        <f>MEDIAN(TVW线测量明细!J22:J23)</f>
        <v/>
      </c>
      <c r="M12">
        <f>IF(J12&gt;1,STDEV(TVW线测量明细!J22:J23),0)</f>
        <v/>
      </c>
      <c r="N12">
        <f>IF(K12=0,"",M12/K12*100)</f>
        <v/>
      </c>
      <c r="O12" t="n">
        <v>13.43787779176138</v>
      </c>
      <c r="P12">
        <f>IF(O12=0,"",(K12/O12-1)*100)</f>
        <v/>
      </c>
      <c r="Q12">
        <f>(K12/E12)^2</f>
        <v/>
      </c>
      <c r="R12">
        <f>(K12/H12)^2</f>
        <v/>
      </c>
      <c r="S12">
        <f>AVERAGE(Q12,R12)</f>
        <v/>
      </c>
      <c r="T12">
        <f>AVERAGE((O12/E12)^2,(O12/H12)^2)</f>
        <v/>
      </c>
      <c r="U12">
        <f>IF(T12=0,"",(S12/T12-1)*100)</f>
        <v/>
      </c>
      <c r="V12">
        <f>AVERAGE((L12/E12)^2,(L12/H12)^2)</f>
        <v/>
      </c>
      <c r="W12">
        <f>IF(ABS(E12-汇总!B25)&lt;=ABS(H12-汇总!B25),E12,H12)</f>
        <v/>
      </c>
      <c r="X12">
        <f>(K12/W12)^2</f>
        <v/>
      </c>
      <c r="Y12">
        <f>IF(N12&gt;10,"HIGH_TVW_CV",IF(J12&lt;3,"SHORT_INTERFACE","PASS"))</f>
        <v/>
      </c>
      <c r="Z12" t="inlineStr">
        <is>
          <t>Di1、TVW均值、Di2均来自本Pair_ID；TVW=3–5法线平均</t>
        </is>
      </c>
      <c r="AA12" t="inlineStr">
        <is>
          <t>样品2</t>
        </is>
      </c>
    </row>
    <row r="13">
      <c r="A13" t="inlineStr">
        <is>
          <t>2(8)-P01</t>
        </is>
      </c>
      <c r="B13" t="inlineStr">
        <is>
          <t>2 (8).tif</t>
        </is>
      </c>
      <c r="C13" t="inlineStr">
        <is>
          <t>2(8)-V01</t>
        </is>
      </c>
      <c r="D13">
        <f>导管母表_1781!F87</f>
        <v/>
      </c>
      <c r="E13">
        <f>导管母表_1781!G87</f>
        <v/>
      </c>
      <c r="F13" t="inlineStr">
        <is>
          <t>2(8)-V02</t>
        </is>
      </c>
      <c r="G13">
        <f>导管母表_1781!F88</f>
        <v/>
      </c>
      <c r="H13">
        <f>导管母表_1781!G88</f>
        <v/>
      </c>
      <c r="I13" t="inlineStr">
        <is>
          <t>J24:J25</t>
        </is>
      </c>
      <c r="J13">
        <f>COUNT(TVW线测量明细!J24:J25)</f>
        <v/>
      </c>
      <c r="K13">
        <f>AVERAGE(TVW线测量明细!J24:J25)</f>
        <v/>
      </c>
      <c r="L13">
        <f>MEDIAN(TVW线测量明细!J24:J25)</f>
        <v/>
      </c>
      <c r="M13">
        <f>IF(J13&gt;1,STDEV(TVW线测量明细!J24:J25),0)</f>
        <v/>
      </c>
      <c r="N13">
        <f>IF(K13=0,"",M13/K13*100)</f>
        <v/>
      </c>
      <c r="O13" t="n">
        <v>5.235475903822737</v>
      </c>
      <c r="P13">
        <f>IF(O13=0,"",(K13/O13-1)*100)</f>
        <v/>
      </c>
      <c r="Q13">
        <f>(K13/E13)^2</f>
        <v/>
      </c>
      <c r="R13">
        <f>(K13/H13)^2</f>
        <v/>
      </c>
      <c r="S13">
        <f>AVERAGE(Q13,R13)</f>
        <v/>
      </c>
      <c r="T13">
        <f>AVERAGE((O13/E13)^2,(O13/H13)^2)</f>
        <v/>
      </c>
      <c r="U13">
        <f>IF(T13=0,"",(S13/T13-1)*100)</f>
        <v/>
      </c>
      <c r="V13">
        <f>AVERAGE((L13/E13)^2,(L13/H13)^2)</f>
        <v/>
      </c>
      <c r="W13">
        <f>IF(ABS(E13-汇总!B25)&lt;=ABS(H13-汇总!B25),E13,H13)</f>
        <v/>
      </c>
      <c r="X13">
        <f>(K13/W13)^2</f>
        <v/>
      </c>
      <c r="Y13">
        <f>IF(N13&gt;10,"HIGH_TVW_CV",IF(J13&lt;3,"SHORT_INTERFACE","PASS"))</f>
        <v/>
      </c>
      <c r="Z13" t="inlineStr">
        <is>
          <t>Di1、TVW均值、Di2均来自本Pair_ID；TVW=3–5法线平均</t>
        </is>
      </c>
      <c r="AA13" t="inlineStr">
        <is>
          <t>样品2</t>
        </is>
      </c>
    </row>
    <row r="14">
      <c r="A14" t="inlineStr">
        <is>
          <t>2(9)-P01</t>
        </is>
      </c>
      <c r="B14" t="inlineStr">
        <is>
          <t>2 (9).tif</t>
        </is>
      </c>
      <c r="C14" t="inlineStr">
        <is>
          <t>2(9)-V04</t>
        </is>
      </c>
      <c r="D14">
        <f>导管母表_1781!F97</f>
        <v/>
      </c>
      <c r="E14">
        <f>导管母表_1781!G97</f>
        <v/>
      </c>
      <c r="F14" t="inlineStr">
        <is>
          <t>2(9)-V06</t>
        </is>
      </c>
      <c r="G14">
        <f>导管母表_1781!F99</f>
        <v/>
      </c>
      <c r="H14">
        <f>导管母表_1781!G99</f>
        <v/>
      </c>
      <c r="I14" t="inlineStr">
        <is>
          <t>J26:J27</t>
        </is>
      </c>
      <c r="J14">
        <f>COUNT(TVW线测量明细!J26:J27)</f>
        <v/>
      </c>
      <c r="K14">
        <f>AVERAGE(TVW线测量明细!J26:J27)</f>
        <v/>
      </c>
      <c r="L14">
        <f>MEDIAN(TVW线测量明细!J26:J27)</f>
        <v/>
      </c>
      <c r="M14">
        <f>IF(J14&gt;1,STDEV(TVW线测量明细!J26:J27),0)</f>
        <v/>
      </c>
      <c r="N14">
        <f>IF(K14=0,"",M14/K14*100)</f>
        <v/>
      </c>
      <c r="O14" t="n">
        <v>6.274291169418179</v>
      </c>
      <c r="P14">
        <f>IF(O14=0,"",(K14/O14-1)*100)</f>
        <v/>
      </c>
      <c r="Q14">
        <f>(K14/E14)^2</f>
        <v/>
      </c>
      <c r="R14">
        <f>(K14/H14)^2</f>
        <v/>
      </c>
      <c r="S14">
        <f>AVERAGE(Q14,R14)</f>
        <v/>
      </c>
      <c r="T14">
        <f>AVERAGE((O14/E14)^2,(O14/H14)^2)</f>
        <v/>
      </c>
      <c r="U14">
        <f>IF(T14=0,"",(S14/T14-1)*100)</f>
        <v/>
      </c>
      <c r="V14">
        <f>AVERAGE((L14/E14)^2,(L14/H14)^2)</f>
        <v/>
      </c>
      <c r="W14">
        <f>IF(ABS(E14-汇总!B25)&lt;=ABS(H14-汇总!B25),E14,H14)</f>
        <v/>
      </c>
      <c r="X14">
        <f>(K14/W14)^2</f>
        <v/>
      </c>
      <c r="Y14">
        <f>IF(N14&gt;10,"HIGH_TVW_CV",IF(J14&lt;3,"SHORT_INTERFACE","PASS"))</f>
        <v/>
      </c>
      <c r="Z14" t="inlineStr">
        <is>
          <t>Di1、TVW均值、Di2均来自本Pair_ID；TVW=3–5法线平均</t>
        </is>
      </c>
      <c r="AA14" t="inlineStr">
        <is>
          <t>样品2</t>
        </is>
      </c>
    </row>
    <row r="15">
      <c r="A15" t="inlineStr">
        <is>
          <t>2(13)-P01</t>
        </is>
      </c>
      <c r="B15" t="inlineStr">
        <is>
          <t>2 (13).tif</t>
        </is>
      </c>
      <c r="C15" t="inlineStr">
        <is>
          <t>2(13)-V01</t>
        </is>
      </c>
      <c r="D15">
        <f>导管母表_1781!F113</f>
        <v/>
      </c>
      <c r="E15">
        <f>导管母表_1781!G113</f>
        <v/>
      </c>
      <c r="F15" t="inlineStr">
        <is>
          <t>2(13)-V02</t>
        </is>
      </c>
      <c r="G15">
        <f>导管母表_1781!F114</f>
        <v/>
      </c>
      <c r="H15">
        <f>导管母表_1781!G114</f>
        <v/>
      </c>
      <c r="I15" t="inlineStr">
        <is>
          <t>J28:J31</t>
        </is>
      </c>
      <c r="J15">
        <f>COUNT(TVW线测量明细!J28:J31)</f>
        <v/>
      </c>
      <c r="K15">
        <f>AVERAGE(TVW线测量明细!J28:J31)</f>
        <v/>
      </c>
      <c r="L15">
        <f>MEDIAN(TVW线测量明细!J28:J31)</f>
        <v/>
      </c>
      <c r="M15">
        <f>IF(J15&gt;1,STDEV(TVW线测量明细!J28:J31),0)</f>
        <v/>
      </c>
      <c r="N15">
        <f>IF(K15=0,"",M15/K15*100)</f>
        <v/>
      </c>
      <c r="O15" t="n">
        <v>4.966808547302549</v>
      </c>
      <c r="P15">
        <f>IF(O15=0,"",(K15/O15-1)*100)</f>
        <v/>
      </c>
      <c r="Q15">
        <f>(K15/E15)^2</f>
        <v/>
      </c>
      <c r="R15">
        <f>(K15/H15)^2</f>
        <v/>
      </c>
      <c r="S15">
        <f>AVERAGE(Q15,R15)</f>
        <v/>
      </c>
      <c r="T15">
        <f>AVERAGE((O15/E15)^2,(O15/H15)^2)</f>
        <v/>
      </c>
      <c r="U15">
        <f>IF(T15=0,"",(S15/T15-1)*100)</f>
        <v/>
      </c>
      <c r="V15">
        <f>AVERAGE((L15/E15)^2,(L15/H15)^2)</f>
        <v/>
      </c>
      <c r="W15">
        <f>IF(ABS(E15-汇总!B25)&lt;=ABS(H15-汇总!B25),E15,H15)</f>
        <v/>
      </c>
      <c r="X15">
        <f>(K15/W15)^2</f>
        <v/>
      </c>
      <c r="Y15">
        <f>IF(N15&gt;10,"HIGH_TVW_CV",IF(J15&lt;3,"SHORT_INTERFACE","PASS"))</f>
        <v/>
      </c>
      <c r="Z15" t="inlineStr">
        <is>
          <t>Di1、TVW均值、Di2均来自本Pair_ID；TVW=3–5法线平均</t>
        </is>
      </c>
      <c r="AA15" t="inlineStr">
        <is>
          <t>样品2</t>
        </is>
      </c>
    </row>
    <row r="16">
      <c r="A16" t="inlineStr">
        <is>
          <t>2(14)-P01</t>
        </is>
      </c>
      <c r="B16" t="inlineStr">
        <is>
          <t>2 (14).tif</t>
        </is>
      </c>
      <c r="C16" t="inlineStr">
        <is>
          <t>2(14)-V01</t>
        </is>
      </c>
      <c r="D16">
        <f>导管母表_1781!F121</f>
        <v/>
      </c>
      <c r="E16">
        <f>导管母表_1781!G121</f>
        <v/>
      </c>
      <c r="F16" t="inlineStr">
        <is>
          <t>2(14)-V03</t>
        </is>
      </c>
      <c r="G16">
        <f>导管母表_1781!F123</f>
        <v/>
      </c>
      <c r="H16">
        <f>导管母表_1781!G123</f>
        <v/>
      </c>
      <c r="I16" t="inlineStr">
        <is>
          <t>J32:J33</t>
        </is>
      </c>
      <c r="J16">
        <f>COUNT(TVW线测量明细!J32:J33)</f>
        <v/>
      </c>
      <c r="K16">
        <f>AVERAGE(TVW线测量明细!J32:J33)</f>
        <v/>
      </c>
      <c r="L16">
        <f>MEDIAN(TVW线测量明细!J32:J33)</f>
        <v/>
      </c>
      <c r="M16">
        <f>IF(J16&gt;1,STDEV(TVW线测量明细!J32:J33),0)</f>
        <v/>
      </c>
      <c r="N16">
        <f>IF(K16=0,"",M16/K16*100)</f>
        <v/>
      </c>
      <c r="O16" t="n">
        <v>3.644142307443524</v>
      </c>
      <c r="P16">
        <f>IF(O16=0,"",(K16/O16-1)*100)</f>
        <v/>
      </c>
      <c r="Q16">
        <f>(K16/E16)^2</f>
        <v/>
      </c>
      <c r="R16">
        <f>(K16/H16)^2</f>
        <v/>
      </c>
      <c r="S16">
        <f>AVERAGE(Q16,R16)</f>
        <v/>
      </c>
      <c r="T16">
        <f>AVERAGE((O16/E16)^2,(O16/H16)^2)</f>
        <v/>
      </c>
      <c r="U16">
        <f>IF(T16=0,"",(S16/T16-1)*100)</f>
        <v/>
      </c>
      <c r="V16">
        <f>AVERAGE((L16/E16)^2,(L16/H16)^2)</f>
        <v/>
      </c>
      <c r="W16">
        <f>IF(ABS(E16-汇总!B25)&lt;=ABS(H16-汇总!B25),E16,H16)</f>
        <v/>
      </c>
      <c r="X16">
        <f>(K16/W16)^2</f>
        <v/>
      </c>
      <c r="Y16">
        <f>IF(N16&gt;10,"HIGH_TVW_CV",IF(J16&lt;3,"SHORT_INTERFACE","PASS"))</f>
        <v/>
      </c>
      <c r="Z16" t="inlineStr">
        <is>
          <t>Di1、TVW均值、Di2均来自本Pair_ID；TVW=3–5法线平均</t>
        </is>
      </c>
      <c r="AA16" t="inlineStr">
        <is>
          <t>样品2</t>
        </is>
      </c>
    </row>
    <row r="17">
      <c r="A17" t="inlineStr">
        <is>
          <t>3(1)-P01</t>
        </is>
      </c>
      <c r="B17" t="inlineStr">
        <is>
          <t>3 (1).tif</t>
        </is>
      </c>
      <c r="C17" t="inlineStr">
        <is>
          <t>3(1)-V02</t>
        </is>
      </c>
      <c r="D17">
        <f>导管母表_1781!F129</f>
        <v/>
      </c>
      <c r="E17">
        <f>导管母表_1781!G129</f>
        <v/>
      </c>
      <c r="F17" t="inlineStr">
        <is>
          <t>3(1)-V04</t>
        </is>
      </c>
      <c r="G17">
        <f>导管母表_1781!F131</f>
        <v/>
      </c>
      <c r="H17">
        <f>导管母表_1781!G131</f>
        <v/>
      </c>
      <c r="I17" t="inlineStr">
        <is>
          <t>J34:J35</t>
        </is>
      </c>
      <c r="J17">
        <f>COUNT(TVW线测量明细!J34:J35)</f>
        <v/>
      </c>
      <c r="K17">
        <f>AVERAGE(TVW线测量明细!J34:J35)</f>
        <v/>
      </c>
      <c r="L17">
        <f>MEDIAN(TVW线测量明细!J34:J35)</f>
        <v/>
      </c>
      <c r="M17">
        <f>IF(J17&gt;1,STDEV(TVW线测量明细!J34:J35),0)</f>
        <v/>
      </c>
      <c r="N17">
        <f>IF(K17=0,"",M17/K17*100)</f>
        <v/>
      </c>
      <c r="O17" t="n">
        <v>2.859336182166501</v>
      </c>
      <c r="P17">
        <f>IF(O17=0,"",(K17/O17-1)*100)</f>
        <v/>
      </c>
      <c r="Q17">
        <f>(K17/E17)^2</f>
        <v/>
      </c>
      <c r="R17">
        <f>(K17/H17)^2</f>
        <v/>
      </c>
      <c r="S17">
        <f>AVERAGE(Q17,R17)</f>
        <v/>
      </c>
      <c r="T17">
        <f>AVERAGE((O17/E17)^2,(O17/H17)^2)</f>
        <v/>
      </c>
      <c r="U17">
        <f>IF(T17=0,"",(S17/T17-1)*100)</f>
        <v/>
      </c>
      <c r="V17">
        <f>AVERAGE((L17/E17)^2,(L17/H17)^2)</f>
        <v/>
      </c>
      <c r="W17">
        <f>IF(ABS(E17-汇总!B25)&lt;=ABS(H17-汇总!B25),E17,H17)</f>
        <v/>
      </c>
      <c r="X17">
        <f>(K17/W17)^2</f>
        <v/>
      </c>
      <c r="Y17">
        <f>IF(N17&gt;10,"HIGH_TVW_CV",IF(J17&lt;3,"SHORT_INTERFACE","PASS"))</f>
        <v/>
      </c>
      <c r="Z17" t="inlineStr">
        <is>
          <t>Di1、TVW均值、Di2均来自本Pair_ID；TVW=3–5法线平均</t>
        </is>
      </c>
      <c r="AA17" t="inlineStr">
        <is>
          <t>样品3</t>
        </is>
      </c>
    </row>
    <row r="18">
      <c r="A18" t="inlineStr">
        <is>
          <t>3(2)-P01</t>
        </is>
      </c>
      <c r="B18" t="inlineStr">
        <is>
          <t>3 (2).tif</t>
        </is>
      </c>
      <c r="C18" t="inlineStr">
        <is>
          <t>3(2)-V01</t>
        </is>
      </c>
      <c r="D18">
        <f>导管母表_1781!F133</f>
        <v/>
      </c>
      <c r="E18">
        <f>导管母表_1781!G133</f>
        <v/>
      </c>
      <c r="F18" t="inlineStr">
        <is>
          <t>3(2)-V02</t>
        </is>
      </c>
      <c r="G18">
        <f>导管母表_1781!F134</f>
        <v/>
      </c>
      <c r="H18">
        <f>导管母表_1781!G134</f>
        <v/>
      </c>
      <c r="I18" t="inlineStr">
        <is>
          <t>J36:J37</t>
        </is>
      </c>
      <c r="J18">
        <f>COUNT(TVW线测量明细!J36:J37)</f>
        <v/>
      </c>
      <c r="K18">
        <f>AVERAGE(TVW线测量明细!J36:J37)</f>
        <v/>
      </c>
      <c r="L18">
        <f>MEDIAN(TVW线测量明细!J36:J37)</f>
        <v/>
      </c>
      <c r="M18">
        <f>IF(J18&gt;1,STDEV(TVW线测量明细!J36:J37),0)</f>
        <v/>
      </c>
      <c r="N18">
        <f>IF(K18=0,"",M18/K18*100)</f>
        <v/>
      </c>
      <c r="O18" t="n">
        <v>3.752755761224363</v>
      </c>
      <c r="P18">
        <f>IF(O18=0,"",(K18/O18-1)*100)</f>
        <v/>
      </c>
      <c r="Q18">
        <f>(K18/E18)^2</f>
        <v/>
      </c>
      <c r="R18">
        <f>(K18/H18)^2</f>
        <v/>
      </c>
      <c r="S18">
        <f>AVERAGE(Q18,R18)</f>
        <v/>
      </c>
      <c r="T18">
        <f>AVERAGE((O18/E18)^2,(O18/H18)^2)</f>
        <v/>
      </c>
      <c r="U18">
        <f>IF(T18=0,"",(S18/T18-1)*100)</f>
        <v/>
      </c>
      <c r="V18">
        <f>AVERAGE((L18/E18)^2,(L18/H18)^2)</f>
        <v/>
      </c>
      <c r="W18">
        <f>IF(ABS(E18-汇总!B25)&lt;=ABS(H18-汇总!B25),E18,H18)</f>
        <v/>
      </c>
      <c r="X18">
        <f>(K18/W18)^2</f>
        <v/>
      </c>
      <c r="Y18">
        <f>IF(N18&gt;10,"HIGH_TVW_CV",IF(J18&lt;3,"SHORT_INTERFACE","PASS"))</f>
        <v/>
      </c>
      <c r="Z18" t="inlineStr">
        <is>
          <t>Di1、TVW均值、Di2均来自本Pair_ID；TVW=3–5法线平均</t>
        </is>
      </c>
      <c r="AA18" t="inlineStr">
        <is>
          <t>样品3</t>
        </is>
      </c>
    </row>
    <row r="19">
      <c r="A19" t="inlineStr">
        <is>
          <t>3(4)-P01</t>
        </is>
      </c>
      <c r="B19" t="inlineStr">
        <is>
          <t>3 (4).tif</t>
        </is>
      </c>
      <c r="C19" t="inlineStr">
        <is>
          <t>3(4)-V01</t>
        </is>
      </c>
      <c r="D19">
        <f>导管母表_1781!F140</f>
        <v/>
      </c>
      <c r="E19">
        <f>导管母表_1781!G140</f>
        <v/>
      </c>
      <c r="F19" t="inlineStr">
        <is>
          <t>3(4)-V02</t>
        </is>
      </c>
      <c r="G19">
        <f>导管母表_1781!F141</f>
        <v/>
      </c>
      <c r="H19">
        <f>导管母表_1781!G141</f>
        <v/>
      </c>
      <c r="I19" t="inlineStr">
        <is>
          <t>J38:J39</t>
        </is>
      </c>
      <c r="J19">
        <f>COUNT(TVW线测量明细!J38:J39)</f>
        <v/>
      </c>
      <c r="K19">
        <f>AVERAGE(TVW线测量明细!J38:J39)</f>
        <v/>
      </c>
      <c r="L19">
        <f>MEDIAN(TVW线测量明细!J38:J39)</f>
        <v/>
      </c>
      <c r="M19">
        <f>IF(J19&gt;1,STDEV(TVW线测量明细!J38:J39),0)</f>
        <v/>
      </c>
      <c r="N19">
        <f>IF(K19=0,"",M19/K19*100)</f>
        <v/>
      </c>
      <c r="O19" t="n">
        <v>4.331491053298103</v>
      </c>
      <c r="P19">
        <f>IF(O19=0,"",(K19/O19-1)*100)</f>
        <v/>
      </c>
      <c r="Q19">
        <f>(K19/E19)^2</f>
        <v/>
      </c>
      <c r="R19">
        <f>(K19/H19)^2</f>
        <v/>
      </c>
      <c r="S19">
        <f>AVERAGE(Q19,R19)</f>
        <v/>
      </c>
      <c r="T19">
        <f>AVERAGE((O19/E19)^2,(O19/H19)^2)</f>
        <v/>
      </c>
      <c r="U19">
        <f>IF(T19=0,"",(S19/T19-1)*100)</f>
        <v/>
      </c>
      <c r="V19">
        <f>AVERAGE((L19/E19)^2,(L19/H19)^2)</f>
        <v/>
      </c>
      <c r="W19">
        <f>IF(ABS(E19-汇总!B25)&lt;=ABS(H19-汇总!B25),E19,H19)</f>
        <v/>
      </c>
      <c r="X19">
        <f>(K19/W19)^2</f>
        <v/>
      </c>
      <c r="Y19">
        <f>IF(N19&gt;10,"HIGH_TVW_CV",IF(J19&lt;3,"SHORT_INTERFACE","PASS"))</f>
        <v/>
      </c>
      <c r="Z19" t="inlineStr">
        <is>
          <t>Di1、TVW均值、Di2均来自本Pair_ID；TVW=3–5法线平均</t>
        </is>
      </c>
      <c r="AA19" t="inlineStr">
        <is>
          <t>样品3</t>
        </is>
      </c>
    </row>
    <row r="20">
      <c r="A20" t="inlineStr">
        <is>
          <t>3(5)-P01</t>
        </is>
      </c>
      <c r="B20" t="inlineStr">
        <is>
          <t>3 (5).tif</t>
        </is>
      </c>
      <c r="C20" t="inlineStr">
        <is>
          <t>3(5)-V01</t>
        </is>
      </c>
      <c r="D20">
        <f>导管母表_1781!F147</f>
        <v/>
      </c>
      <c r="E20">
        <f>导管母表_1781!G147</f>
        <v/>
      </c>
      <c r="F20" t="inlineStr">
        <is>
          <t>3(5)-V02</t>
        </is>
      </c>
      <c r="G20">
        <f>导管母表_1781!F148</f>
        <v/>
      </c>
      <c r="H20">
        <f>导管母表_1781!G148</f>
        <v/>
      </c>
      <c r="I20" t="inlineStr">
        <is>
          <t>J40:J41</t>
        </is>
      </c>
      <c r="J20">
        <f>COUNT(TVW线测量明细!J40:J41)</f>
        <v/>
      </c>
      <c r="K20">
        <f>AVERAGE(TVW线测量明细!J40:J41)</f>
        <v/>
      </c>
      <c r="L20">
        <f>MEDIAN(TVW线测量明细!J40:J41)</f>
        <v/>
      </c>
      <c r="M20">
        <f>IF(J20&gt;1,STDEV(TVW线测量明细!J40:J41),0)</f>
        <v/>
      </c>
      <c r="N20">
        <f>IF(K20=0,"",M20/K20*100)</f>
        <v/>
      </c>
      <c r="O20" t="n">
        <v>4.401838419851432</v>
      </c>
      <c r="P20">
        <f>IF(O20=0,"",(K20/O20-1)*100)</f>
        <v/>
      </c>
      <c r="Q20">
        <f>(K20/E20)^2</f>
        <v/>
      </c>
      <c r="R20">
        <f>(K20/H20)^2</f>
        <v/>
      </c>
      <c r="S20">
        <f>AVERAGE(Q20,R20)</f>
        <v/>
      </c>
      <c r="T20">
        <f>AVERAGE((O20/E20)^2,(O20/H20)^2)</f>
        <v/>
      </c>
      <c r="U20">
        <f>IF(T20=0,"",(S20/T20-1)*100)</f>
        <v/>
      </c>
      <c r="V20">
        <f>AVERAGE((L20/E20)^2,(L20/H20)^2)</f>
        <v/>
      </c>
      <c r="W20">
        <f>IF(ABS(E20-汇总!B25)&lt;=ABS(H20-汇总!B25),E20,H20)</f>
        <v/>
      </c>
      <c r="X20">
        <f>(K20/W20)^2</f>
        <v/>
      </c>
      <c r="Y20">
        <f>IF(N20&gt;10,"HIGH_TVW_CV",IF(J20&lt;3,"SHORT_INTERFACE","PASS"))</f>
        <v/>
      </c>
      <c r="Z20" t="inlineStr">
        <is>
          <t>Di1、TVW均值、Di2均来自本Pair_ID；TVW=3–5法线平均</t>
        </is>
      </c>
      <c r="AA20" t="inlineStr">
        <is>
          <t>样品3</t>
        </is>
      </c>
    </row>
    <row r="21">
      <c r="A21" t="inlineStr">
        <is>
          <t>3(8)-P01</t>
        </is>
      </c>
      <c r="B21" t="inlineStr">
        <is>
          <t>3 (8).tif</t>
        </is>
      </c>
      <c r="C21" t="inlineStr">
        <is>
          <t>3(8)-V02</t>
        </is>
      </c>
      <c r="D21">
        <f>导管母表_1781!F163</f>
        <v/>
      </c>
      <c r="E21">
        <f>导管母表_1781!G163</f>
        <v/>
      </c>
      <c r="F21" t="inlineStr">
        <is>
          <t>3(8)-V03</t>
        </is>
      </c>
      <c r="G21">
        <f>导管母表_1781!F164</f>
        <v/>
      </c>
      <c r="H21">
        <f>导管母表_1781!G164</f>
        <v/>
      </c>
      <c r="I21" t="inlineStr">
        <is>
          <t>J42:J44</t>
        </is>
      </c>
      <c r="J21">
        <f>COUNT(TVW线测量明细!J42:J44)</f>
        <v/>
      </c>
      <c r="K21">
        <f>AVERAGE(TVW线测量明细!J42:J44)</f>
        <v/>
      </c>
      <c r="L21">
        <f>MEDIAN(TVW线测量明细!J42:J44)</f>
        <v/>
      </c>
      <c r="M21">
        <f>IF(J21&gt;1,STDEV(TVW线测量明细!J42:J44),0)</f>
        <v/>
      </c>
      <c r="N21">
        <f>IF(K21=0,"",M21/K21*100)</f>
        <v/>
      </c>
      <c r="O21" t="n">
        <v>2.900361753070942</v>
      </c>
      <c r="P21">
        <f>IF(O21=0,"",(K21/O21-1)*100)</f>
        <v/>
      </c>
      <c r="Q21">
        <f>(K21/E21)^2</f>
        <v/>
      </c>
      <c r="R21">
        <f>(K21/H21)^2</f>
        <v/>
      </c>
      <c r="S21">
        <f>AVERAGE(Q21,R21)</f>
        <v/>
      </c>
      <c r="T21">
        <f>AVERAGE((O21/E21)^2,(O21/H21)^2)</f>
        <v/>
      </c>
      <c r="U21">
        <f>IF(T21=0,"",(S21/T21-1)*100)</f>
        <v/>
      </c>
      <c r="V21">
        <f>AVERAGE((L21/E21)^2,(L21/H21)^2)</f>
        <v/>
      </c>
      <c r="W21">
        <f>IF(ABS(E21-汇总!B25)&lt;=ABS(H21-汇总!B25),E21,H21)</f>
        <v/>
      </c>
      <c r="X21">
        <f>(K21/W21)^2</f>
        <v/>
      </c>
      <c r="Y21">
        <f>IF(N21&gt;10,"HIGH_TVW_CV",IF(J21&lt;3,"SHORT_INTERFACE","PASS"))</f>
        <v/>
      </c>
      <c r="Z21" t="inlineStr">
        <is>
          <t>Di1、TVW均值、Di2均来自本Pair_ID；TVW=3–5法线平均</t>
        </is>
      </c>
      <c r="AA21" t="inlineStr">
        <is>
          <t>样品3</t>
        </is>
      </c>
    </row>
    <row r="22">
      <c r="A22" t="inlineStr">
        <is>
          <t>3(9)-P01</t>
        </is>
      </c>
      <c r="B22" t="inlineStr">
        <is>
          <t>3 (9).tif</t>
        </is>
      </c>
      <c r="C22" t="inlineStr">
        <is>
          <t>3(9)-V01</t>
        </is>
      </c>
      <c r="D22">
        <f>导管母表_1781!F167</f>
        <v/>
      </c>
      <c r="E22">
        <f>导管母表_1781!G167</f>
        <v/>
      </c>
      <c r="F22" t="inlineStr">
        <is>
          <t>3(9)-V02</t>
        </is>
      </c>
      <c r="G22">
        <f>导管母表_1781!F168</f>
        <v/>
      </c>
      <c r="H22">
        <f>导管母表_1781!G168</f>
        <v/>
      </c>
      <c r="I22" t="inlineStr">
        <is>
          <t>J45:J47</t>
        </is>
      </c>
      <c r="J22">
        <f>COUNT(TVW线测量明细!J45:J47)</f>
        <v/>
      </c>
      <c r="K22">
        <f>AVERAGE(TVW线测量明细!J45:J47)</f>
        <v/>
      </c>
      <c r="L22">
        <f>MEDIAN(TVW线测量明细!J45:J47)</f>
        <v/>
      </c>
      <c r="M22">
        <f>IF(J22&gt;1,STDEV(TVW线测量明细!J45:J47),0)</f>
        <v/>
      </c>
      <c r="N22">
        <f>IF(K22=0,"",M22/K22*100)</f>
        <v/>
      </c>
      <c r="O22" t="n">
        <v>4.904571379425425</v>
      </c>
      <c r="P22">
        <f>IF(O22=0,"",(K22/O22-1)*100)</f>
        <v/>
      </c>
      <c r="Q22">
        <f>(K22/E22)^2</f>
        <v/>
      </c>
      <c r="R22">
        <f>(K22/H22)^2</f>
        <v/>
      </c>
      <c r="S22">
        <f>AVERAGE(Q22,R22)</f>
        <v/>
      </c>
      <c r="T22">
        <f>AVERAGE((O22/E22)^2,(O22/H22)^2)</f>
        <v/>
      </c>
      <c r="U22">
        <f>IF(T22=0,"",(S22/T22-1)*100)</f>
        <v/>
      </c>
      <c r="V22">
        <f>AVERAGE((L22/E22)^2,(L22/H22)^2)</f>
        <v/>
      </c>
      <c r="W22">
        <f>IF(ABS(E22-汇总!B25)&lt;=ABS(H22-汇总!B25),E22,H22)</f>
        <v/>
      </c>
      <c r="X22">
        <f>(K22/W22)^2</f>
        <v/>
      </c>
      <c r="Y22">
        <f>IF(N22&gt;10,"HIGH_TVW_CV",IF(J22&lt;3,"SHORT_INTERFACE","PASS"))</f>
        <v/>
      </c>
      <c r="Z22" t="inlineStr">
        <is>
          <t>Di1、TVW均值、Di2均来自本Pair_ID；TVW=3–5法线平均</t>
        </is>
      </c>
      <c r="AA22" t="inlineStr">
        <is>
          <t>样品3</t>
        </is>
      </c>
    </row>
    <row r="23">
      <c r="A23" t="inlineStr">
        <is>
          <t>4(1)-P01</t>
        </is>
      </c>
      <c r="B23" t="inlineStr">
        <is>
          <t>4 (1).tif</t>
        </is>
      </c>
      <c r="C23" t="inlineStr">
        <is>
          <t>4(1)-V01</t>
        </is>
      </c>
      <c r="D23">
        <f>导管母表_1781!F175</f>
        <v/>
      </c>
      <c r="E23">
        <f>导管母表_1781!G175</f>
        <v/>
      </c>
      <c r="F23" t="inlineStr">
        <is>
          <t>4(1)-V02</t>
        </is>
      </c>
      <c r="G23">
        <f>导管母表_1781!F176</f>
        <v/>
      </c>
      <c r="H23">
        <f>导管母表_1781!G176</f>
        <v/>
      </c>
      <c r="I23" t="inlineStr">
        <is>
          <t>J48:J49</t>
        </is>
      </c>
      <c r="J23">
        <f>COUNT(TVW线测量明细!J48:J49)</f>
        <v/>
      </c>
      <c r="K23">
        <f>AVERAGE(TVW线测量明细!J48:J49)</f>
        <v/>
      </c>
      <c r="L23">
        <f>MEDIAN(TVW线测量明细!J48:J49)</f>
        <v/>
      </c>
      <c r="M23">
        <f>IF(J23&gt;1,STDEV(TVW线测量明细!J48:J49),0)</f>
        <v/>
      </c>
      <c r="N23">
        <f>IF(K23=0,"",M23/K23*100)</f>
        <v/>
      </c>
      <c r="O23" t="n">
        <v>5.056392760701308</v>
      </c>
      <c r="P23">
        <f>IF(O23=0,"",(K23/O23-1)*100)</f>
        <v/>
      </c>
      <c r="Q23">
        <f>(K23/E23)^2</f>
        <v/>
      </c>
      <c r="R23">
        <f>(K23/H23)^2</f>
        <v/>
      </c>
      <c r="S23">
        <f>AVERAGE(Q23,R23)</f>
        <v/>
      </c>
      <c r="T23">
        <f>AVERAGE((O23/E23)^2,(O23/H23)^2)</f>
        <v/>
      </c>
      <c r="U23">
        <f>IF(T23=0,"",(S23/T23-1)*100)</f>
        <v/>
      </c>
      <c r="V23">
        <f>AVERAGE((L23/E23)^2,(L23/H23)^2)</f>
        <v/>
      </c>
      <c r="W23">
        <f>IF(ABS(E23-汇总!B25)&lt;=ABS(H23-汇总!B25),E23,H23)</f>
        <v/>
      </c>
      <c r="X23">
        <f>(K23/W23)^2</f>
        <v/>
      </c>
      <c r="Y23">
        <f>IF(N23&gt;10,"HIGH_TVW_CV",IF(J23&lt;3,"SHORT_INTERFACE","PASS"))</f>
        <v/>
      </c>
      <c r="Z23" t="inlineStr">
        <is>
          <t>Di1、TVW均值、Di2均来自本Pair_ID；TVW=3–5法线平均</t>
        </is>
      </c>
      <c r="AA23" t="inlineStr">
        <is>
          <t>样品4</t>
        </is>
      </c>
    </row>
    <row r="24">
      <c r="A24" t="inlineStr">
        <is>
          <t>4(2)-P01</t>
        </is>
      </c>
      <c r="B24" t="inlineStr">
        <is>
          <t>4 (2).tif</t>
        </is>
      </c>
      <c r="C24" t="inlineStr">
        <is>
          <t>4(2)-V01</t>
        </is>
      </c>
      <c r="D24">
        <f>导管母表_1781!F180</f>
        <v/>
      </c>
      <c r="E24">
        <f>导管母表_1781!G180</f>
        <v/>
      </c>
      <c r="F24" t="inlineStr">
        <is>
          <t>4(2)-V02</t>
        </is>
      </c>
      <c r="G24">
        <f>导管母表_1781!F181</f>
        <v/>
      </c>
      <c r="H24">
        <f>导管母表_1781!G181</f>
        <v/>
      </c>
      <c r="I24" t="inlineStr">
        <is>
          <t>J50:J51</t>
        </is>
      </c>
      <c r="J24">
        <f>COUNT(TVW线测量明细!J50:J51)</f>
        <v/>
      </c>
      <c r="K24">
        <f>AVERAGE(TVW线测量明细!J50:J51)</f>
        <v/>
      </c>
      <c r="L24">
        <f>MEDIAN(TVW线测量明细!J50:J51)</f>
        <v/>
      </c>
      <c r="M24">
        <f>IF(J24&gt;1,STDEV(TVW线测量明细!J50:J51),0)</f>
        <v/>
      </c>
      <c r="N24">
        <f>IF(K24=0,"",M24/K24*100)</f>
        <v/>
      </c>
      <c r="O24" t="n">
        <v>8.183274010747265</v>
      </c>
      <c r="P24">
        <f>IF(O24=0,"",(K24/O24-1)*100)</f>
        <v/>
      </c>
      <c r="Q24">
        <f>(K24/E24)^2</f>
        <v/>
      </c>
      <c r="R24">
        <f>(K24/H24)^2</f>
        <v/>
      </c>
      <c r="S24">
        <f>AVERAGE(Q24,R24)</f>
        <v/>
      </c>
      <c r="T24">
        <f>AVERAGE((O24/E24)^2,(O24/H24)^2)</f>
        <v/>
      </c>
      <c r="U24">
        <f>IF(T24=0,"",(S24/T24-1)*100)</f>
        <v/>
      </c>
      <c r="V24">
        <f>AVERAGE((L24/E24)^2,(L24/H24)^2)</f>
        <v/>
      </c>
      <c r="W24">
        <f>IF(ABS(E24-汇总!B25)&lt;=ABS(H24-汇总!B25),E24,H24)</f>
        <v/>
      </c>
      <c r="X24">
        <f>(K24/W24)^2</f>
        <v/>
      </c>
      <c r="Y24">
        <f>IF(N24&gt;10,"HIGH_TVW_CV",IF(J24&lt;3,"SHORT_INTERFACE","PASS"))</f>
        <v/>
      </c>
      <c r="Z24" t="inlineStr">
        <is>
          <t>Di1、TVW均值、Di2均来自本Pair_ID；TVW=3–5法线平均</t>
        </is>
      </c>
      <c r="AA24" t="inlineStr">
        <is>
          <t>样品4</t>
        </is>
      </c>
    </row>
    <row r="25">
      <c r="A25" t="inlineStr">
        <is>
          <t>4(4)-P01</t>
        </is>
      </c>
      <c r="B25" t="inlineStr">
        <is>
          <t>4 (4).tif</t>
        </is>
      </c>
      <c r="C25" t="inlineStr">
        <is>
          <t>4(4)-V01</t>
        </is>
      </c>
      <c r="D25">
        <f>导管母表_1781!F187</f>
        <v/>
      </c>
      <c r="E25">
        <f>导管母表_1781!G187</f>
        <v/>
      </c>
      <c r="F25" t="inlineStr">
        <is>
          <t>4(4)-V02</t>
        </is>
      </c>
      <c r="G25">
        <f>导管母表_1781!F188</f>
        <v/>
      </c>
      <c r="H25">
        <f>导管母表_1781!G188</f>
        <v/>
      </c>
      <c r="I25" t="inlineStr">
        <is>
          <t>J52:J54</t>
        </is>
      </c>
      <c r="J25">
        <f>COUNT(TVW线测量明细!J52:J54)</f>
        <v/>
      </c>
      <c r="K25">
        <f>AVERAGE(TVW线测量明细!J52:J54)</f>
        <v/>
      </c>
      <c r="L25">
        <f>MEDIAN(TVW线测量明细!J52:J54)</f>
        <v/>
      </c>
      <c r="M25">
        <f>IF(J25&gt;1,STDEV(TVW线测量明细!J52:J54),0)</f>
        <v/>
      </c>
      <c r="N25">
        <f>IF(K25=0,"",M25/K25*100)</f>
        <v/>
      </c>
      <c r="O25" t="n">
        <v>7.759377520684673</v>
      </c>
      <c r="P25">
        <f>IF(O25=0,"",(K25/O25-1)*100)</f>
        <v/>
      </c>
      <c r="Q25">
        <f>(K25/E25)^2</f>
        <v/>
      </c>
      <c r="R25">
        <f>(K25/H25)^2</f>
        <v/>
      </c>
      <c r="S25">
        <f>AVERAGE(Q25,R25)</f>
        <v/>
      </c>
      <c r="T25">
        <f>AVERAGE((O25/E25)^2,(O25/H25)^2)</f>
        <v/>
      </c>
      <c r="U25">
        <f>IF(T25=0,"",(S25/T25-1)*100)</f>
        <v/>
      </c>
      <c r="V25">
        <f>AVERAGE((L25/E25)^2,(L25/H25)^2)</f>
        <v/>
      </c>
      <c r="W25">
        <f>IF(ABS(E25-汇总!B25)&lt;=ABS(H25-汇总!B25),E25,H25)</f>
        <v/>
      </c>
      <c r="X25">
        <f>(K25/W25)^2</f>
        <v/>
      </c>
      <c r="Y25">
        <f>IF(N25&gt;10,"HIGH_TVW_CV",IF(J25&lt;3,"SHORT_INTERFACE","PASS"))</f>
        <v/>
      </c>
      <c r="Z25" t="inlineStr">
        <is>
          <t>Di1、TVW均值、Di2均来自本Pair_ID；TVW=3–5法线平均</t>
        </is>
      </c>
      <c r="AA25" t="inlineStr">
        <is>
          <t>样品4</t>
        </is>
      </c>
    </row>
    <row r="26">
      <c r="A26" t="inlineStr">
        <is>
          <t>4(6)-P01</t>
        </is>
      </c>
      <c r="B26" t="inlineStr">
        <is>
          <t>4 (6).tif</t>
        </is>
      </c>
      <c r="C26" t="inlineStr">
        <is>
          <t>4(6)-V01</t>
        </is>
      </c>
      <c r="D26">
        <f>导管母表_1781!F198</f>
        <v/>
      </c>
      <c r="E26">
        <f>导管母表_1781!G198</f>
        <v/>
      </c>
      <c r="F26" t="inlineStr">
        <is>
          <t>4(6)-V02</t>
        </is>
      </c>
      <c r="G26">
        <f>导管母表_1781!F199</f>
        <v/>
      </c>
      <c r="H26">
        <f>导管母表_1781!G199</f>
        <v/>
      </c>
      <c r="I26" t="inlineStr">
        <is>
          <t>J55:J57</t>
        </is>
      </c>
      <c r="J26">
        <f>COUNT(TVW线测量明细!J55:J57)</f>
        <v/>
      </c>
      <c r="K26">
        <f>AVERAGE(TVW线测量明细!J55:J57)</f>
        <v/>
      </c>
      <c r="L26">
        <f>MEDIAN(TVW线测量明细!J55:J57)</f>
        <v/>
      </c>
      <c r="M26">
        <f>IF(J26&gt;1,STDEV(TVW线测量明细!J55:J57),0)</f>
        <v/>
      </c>
      <c r="N26">
        <f>IF(K26=0,"",M26/K26*100)</f>
        <v/>
      </c>
      <c r="O26" t="n">
        <v>5.63961816133602</v>
      </c>
      <c r="P26">
        <f>IF(O26=0,"",(K26/O26-1)*100)</f>
        <v/>
      </c>
      <c r="Q26">
        <f>(K26/E26)^2</f>
        <v/>
      </c>
      <c r="R26">
        <f>(K26/H26)^2</f>
        <v/>
      </c>
      <c r="S26">
        <f>AVERAGE(Q26,R26)</f>
        <v/>
      </c>
      <c r="T26">
        <f>AVERAGE((O26/E26)^2,(O26/H26)^2)</f>
        <v/>
      </c>
      <c r="U26">
        <f>IF(T26=0,"",(S26/T26-1)*100)</f>
        <v/>
      </c>
      <c r="V26">
        <f>AVERAGE((L26/E26)^2,(L26/H26)^2)</f>
        <v/>
      </c>
      <c r="W26">
        <f>IF(ABS(E26-汇总!B25)&lt;=ABS(H26-汇总!B25),E26,H26)</f>
        <v/>
      </c>
      <c r="X26">
        <f>(K26/W26)^2</f>
        <v/>
      </c>
      <c r="Y26">
        <f>IF(N26&gt;10,"HIGH_TVW_CV",IF(J26&lt;3,"SHORT_INTERFACE","PASS"))</f>
        <v/>
      </c>
      <c r="Z26" t="inlineStr">
        <is>
          <t>Di1、TVW均值、Di2均来自本Pair_ID；TVW=3–5法线平均</t>
        </is>
      </c>
      <c r="AA26" t="inlineStr">
        <is>
          <t>样品4</t>
        </is>
      </c>
    </row>
    <row r="27">
      <c r="A27" t="inlineStr">
        <is>
          <t>5(2)-P01</t>
        </is>
      </c>
      <c r="B27" t="inlineStr">
        <is>
          <t>5 (2).tif</t>
        </is>
      </c>
      <c r="C27" t="inlineStr">
        <is>
          <t>5(2)-V02</t>
        </is>
      </c>
      <c r="D27">
        <f>导管母表_1781!F219</f>
        <v/>
      </c>
      <c r="E27">
        <f>导管母表_1781!G219</f>
        <v/>
      </c>
      <c r="F27" t="inlineStr">
        <is>
          <t>5(2)-V03</t>
        </is>
      </c>
      <c r="G27">
        <f>导管母表_1781!F220</f>
        <v/>
      </c>
      <c r="H27">
        <f>导管母表_1781!G220</f>
        <v/>
      </c>
      <c r="I27" t="inlineStr">
        <is>
          <t>J58:J59</t>
        </is>
      </c>
      <c r="J27">
        <f>COUNT(TVW线测量明细!J58:J59)</f>
        <v/>
      </c>
      <c r="K27">
        <f>AVERAGE(TVW线测量明细!J58:J59)</f>
        <v/>
      </c>
      <c r="L27">
        <f>MEDIAN(TVW线测量明细!J58:J59)</f>
        <v/>
      </c>
      <c r="M27">
        <f>IF(J27&gt;1,STDEV(TVW线测量明细!J58:J59),0)</f>
        <v/>
      </c>
      <c r="N27">
        <f>IF(K27=0,"",M27/K27*100)</f>
        <v/>
      </c>
      <c r="O27" t="n">
        <v>3.289727380526425</v>
      </c>
      <c r="P27">
        <f>IF(O27=0,"",(K27/O27-1)*100)</f>
        <v/>
      </c>
      <c r="Q27">
        <f>(K27/E27)^2</f>
        <v/>
      </c>
      <c r="R27">
        <f>(K27/H27)^2</f>
        <v/>
      </c>
      <c r="S27">
        <f>AVERAGE(Q27,R27)</f>
        <v/>
      </c>
      <c r="T27">
        <f>AVERAGE((O27/E27)^2,(O27/H27)^2)</f>
        <v/>
      </c>
      <c r="U27">
        <f>IF(T27=0,"",(S27/T27-1)*100)</f>
        <v/>
      </c>
      <c r="V27">
        <f>AVERAGE((L27/E27)^2,(L27/H27)^2)</f>
        <v/>
      </c>
      <c r="W27">
        <f>IF(ABS(E27-汇总!B25)&lt;=ABS(H27-汇总!B25),E27,H27)</f>
        <v/>
      </c>
      <c r="X27">
        <f>(K27/W27)^2</f>
        <v/>
      </c>
      <c r="Y27">
        <f>IF(N27&gt;10,"HIGH_TVW_CV",IF(J27&lt;3,"SHORT_INTERFACE","PASS"))</f>
        <v/>
      </c>
      <c r="Z27" t="inlineStr">
        <is>
          <t>Di1、TVW均值、Di2均来自本Pair_ID；TVW=3–5法线平均</t>
        </is>
      </c>
      <c r="AA27" t="inlineStr">
        <is>
          <t>样品5</t>
        </is>
      </c>
    </row>
    <row r="28">
      <c r="A28" t="inlineStr">
        <is>
          <t>5(3)-P01</t>
        </is>
      </c>
      <c r="B28" t="inlineStr">
        <is>
          <t>5 (3).tif</t>
        </is>
      </c>
      <c r="C28" t="inlineStr">
        <is>
          <t>5(3)-V03</t>
        </is>
      </c>
      <c r="D28">
        <f>导管母表_1781!F227</f>
        <v/>
      </c>
      <c r="E28">
        <f>导管母表_1781!G227</f>
        <v/>
      </c>
      <c r="F28" t="inlineStr">
        <is>
          <t>5(3)-V04</t>
        </is>
      </c>
      <c r="G28">
        <f>导管母表_1781!F228</f>
        <v/>
      </c>
      <c r="H28">
        <f>导管母表_1781!G228</f>
        <v/>
      </c>
      <c r="I28" t="inlineStr">
        <is>
          <t>J60:J61</t>
        </is>
      </c>
      <c r="J28">
        <f>COUNT(TVW线测量明细!J60:J61)</f>
        <v/>
      </c>
      <c r="K28">
        <f>AVERAGE(TVW线测量明细!J60:J61)</f>
        <v/>
      </c>
      <c r="L28">
        <f>MEDIAN(TVW线测量明细!J60:J61)</f>
        <v/>
      </c>
      <c r="M28">
        <f>IF(J28&gt;1,STDEV(TVW线测量明细!J60:J61),0)</f>
        <v/>
      </c>
      <c r="N28">
        <f>IF(K28=0,"",M28/K28*100)</f>
        <v/>
      </c>
      <c r="O28" t="n">
        <v>6.148754619013457</v>
      </c>
      <c r="P28">
        <f>IF(O28=0,"",(K28/O28-1)*100)</f>
        <v/>
      </c>
      <c r="Q28">
        <f>(K28/E28)^2</f>
        <v/>
      </c>
      <c r="R28">
        <f>(K28/H28)^2</f>
        <v/>
      </c>
      <c r="S28">
        <f>AVERAGE(Q28,R28)</f>
        <v/>
      </c>
      <c r="T28">
        <f>AVERAGE((O28/E28)^2,(O28/H28)^2)</f>
        <v/>
      </c>
      <c r="U28">
        <f>IF(T28=0,"",(S28/T28-1)*100)</f>
        <v/>
      </c>
      <c r="V28">
        <f>AVERAGE((L28/E28)^2,(L28/H28)^2)</f>
        <v/>
      </c>
      <c r="W28">
        <f>IF(ABS(E28-汇总!B25)&lt;=ABS(H28-汇总!B25),E28,H28)</f>
        <v/>
      </c>
      <c r="X28">
        <f>(K28/W28)^2</f>
        <v/>
      </c>
      <c r="Y28">
        <f>IF(N28&gt;10,"HIGH_TVW_CV",IF(J28&lt;3,"SHORT_INTERFACE","PASS"))</f>
        <v/>
      </c>
      <c r="Z28" t="inlineStr">
        <is>
          <t>Di1、TVW均值、Di2均来自本Pair_ID；TVW=3–5法线平均</t>
        </is>
      </c>
      <c r="AA28" t="inlineStr">
        <is>
          <t>样品5</t>
        </is>
      </c>
    </row>
    <row r="29">
      <c r="A29" t="inlineStr">
        <is>
          <t>6(1)-P01</t>
        </is>
      </c>
      <c r="B29" t="inlineStr">
        <is>
          <t>6 (1).tif</t>
        </is>
      </c>
      <c r="C29" t="inlineStr">
        <is>
          <t>6(1)-V02</t>
        </is>
      </c>
      <c r="D29">
        <f>导管母表_1781!F247</f>
        <v/>
      </c>
      <c r="E29">
        <f>导管母表_1781!G247</f>
        <v/>
      </c>
      <c r="F29" t="inlineStr">
        <is>
          <t>6(1)-V03</t>
        </is>
      </c>
      <c r="G29">
        <f>导管母表_1781!F248</f>
        <v/>
      </c>
      <c r="H29">
        <f>导管母表_1781!G248</f>
        <v/>
      </c>
      <c r="I29" t="inlineStr">
        <is>
          <t>J62:J63</t>
        </is>
      </c>
      <c r="J29">
        <f>COUNT(TVW线测量明细!J62:J63)</f>
        <v/>
      </c>
      <c r="K29">
        <f>AVERAGE(TVW线测量明细!J62:J63)</f>
        <v/>
      </c>
      <c r="L29">
        <f>MEDIAN(TVW线测量明细!J62:J63)</f>
        <v/>
      </c>
      <c r="M29">
        <f>IF(J29&gt;1,STDEV(TVW线测量明细!J62:J63),0)</f>
        <v/>
      </c>
      <c r="N29">
        <f>IF(K29=0,"",M29/K29*100)</f>
        <v/>
      </c>
      <c r="O29" t="n">
        <v>2.653599046898631</v>
      </c>
      <c r="P29">
        <f>IF(O29=0,"",(K29/O29-1)*100)</f>
        <v/>
      </c>
      <c r="Q29">
        <f>(K29/E29)^2</f>
        <v/>
      </c>
      <c r="R29">
        <f>(K29/H29)^2</f>
        <v/>
      </c>
      <c r="S29">
        <f>AVERAGE(Q29,R29)</f>
        <v/>
      </c>
      <c r="T29">
        <f>AVERAGE((O29/E29)^2,(O29/H29)^2)</f>
        <v/>
      </c>
      <c r="U29">
        <f>IF(T29=0,"",(S29/T29-1)*100)</f>
        <v/>
      </c>
      <c r="V29">
        <f>AVERAGE((L29/E29)^2,(L29/H29)^2)</f>
        <v/>
      </c>
      <c r="W29">
        <f>IF(ABS(E29-汇总!B25)&lt;=ABS(H29-汇总!B25),E29,H29)</f>
        <v/>
      </c>
      <c r="X29">
        <f>(K29/W29)^2</f>
        <v/>
      </c>
      <c r="Y29">
        <f>IF(N29&gt;10,"HIGH_TVW_CV",IF(J29&lt;3,"SHORT_INTERFACE","PASS"))</f>
        <v/>
      </c>
      <c r="Z29" t="inlineStr">
        <is>
          <t>Di1、TVW均值、Di2均来自本Pair_ID；TVW=3–5法线平均</t>
        </is>
      </c>
      <c r="AA29" t="inlineStr">
        <is>
          <t>样品6</t>
        </is>
      </c>
    </row>
    <row r="30">
      <c r="A30" t="inlineStr">
        <is>
          <t>6(3)-P01</t>
        </is>
      </c>
      <c r="B30" t="inlineStr">
        <is>
          <t>6 (3).tif</t>
        </is>
      </c>
      <c r="C30" t="inlineStr">
        <is>
          <t>6(3)-V01</t>
        </is>
      </c>
      <c r="D30">
        <f>导管母表_1781!F258</f>
        <v/>
      </c>
      <c r="E30">
        <f>导管母表_1781!G258</f>
        <v/>
      </c>
      <c r="F30" t="inlineStr">
        <is>
          <t>6(3)-V02</t>
        </is>
      </c>
      <c r="G30">
        <f>导管母表_1781!F259</f>
        <v/>
      </c>
      <c r="H30">
        <f>导管母表_1781!G259</f>
        <v/>
      </c>
      <c r="I30" t="inlineStr">
        <is>
          <t>J64:J65</t>
        </is>
      </c>
      <c r="J30">
        <f>COUNT(TVW线测量明细!J64:J65)</f>
        <v/>
      </c>
      <c r="K30">
        <f>AVERAGE(TVW线测量明细!J64:J65)</f>
        <v/>
      </c>
      <c r="L30">
        <f>MEDIAN(TVW线测量明细!J64:J65)</f>
        <v/>
      </c>
      <c r="M30">
        <f>IF(J30&gt;1,STDEV(TVW线测量明细!J64:J65),0)</f>
        <v/>
      </c>
      <c r="N30">
        <f>IF(K30=0,"",M30/K30*100)</f>
        <v/>
      </c>
      <c r="O30" t="n">
        <v>5.257994183672967</v>
      </c>
      <c r="P30">
        <f>IF(O30=0,"",(K30/O30-1)*100)</f>
        <v/>
      </c>
      <c r="Q30">
        <f>(K30/E30)^2</f>
        <v/>
      </c>
      <c r="R30">
        <f>(K30/H30)^2</f>
        <v/>
      </c>
      <c r="S30">
        <f>AVERAGE(Q30,R30)</f>
        <v/>
      </c>
      <c r="T30">
        <f>AVERAGE((O30/E30)^2,(O30/H30)^2)</f>
        <v/>
      </c>
      <c r="U30">
        <f>IF(T30=0,"",(S30/T30-1)*100)</f>
        <v/>
      </c>
      <c r="V30">
        <f>AVERAGE((L30/E30)^2,(L30/H30)^2)</f>
        <v/>
      </c>
      <c r="W30">
        <f>IF(ABS(E30-汇总!B25)&lt;=ABS(H30-汇总!B25),E30,H30)</f>
        <v/>
      </c>
      <c r="X30">
        <f>(K30/W30)^2</f>
        <v/>
      </c>
      <c r="Y30">
        <f>IF(N30&gt;10,"HIGH_TVW_CV",IF(J30&lt;3,"SHORT_INTERFACE","PASS"))</f>
        <v/>
      </c>
      <c r="Z30" t="inlineStr">
        <is>
          <t>Di1、TVW均值、Di2均来自本Pair_ID；TVW=3–5法线平均</t>
        </is>
      </c>
      <c r="AA30" t="inlineStr">
        <is>
          <t>样品6</t>
        </is>
      </c>
    </row>
    <row r="31">
      <c r="A31" t="inlineStr">
        <is>
          <t>6(4)-P01</t>
        </is>
      </c>
      <c r="B31" t="inlineStr">
        <is>
          <t>6 (4).tif</t>
        </is>
      </c>
      <c r="C31" t="inlineStr">
        <is>
          <t>6(4)-V01</t>
        </is>
      </c>
      <c r="D31">
        <f>导管母表_1781!F263</f>
        <v/>
      </c>
      <c r="E31">
        <f>导管母表_1781!G263</f>
        <v/>
      </c>
      <c r="F31" t="inlineStr">
        <is>
          <t>6(4)-V02</t>
        </is>
      </c>
      <c r="G31">
        <f>导管母表_1781!F264</f>
        <v/>
      </c>
      <c r="H31">
        <f>导管母表_1781!G264</f>
        <v/>
      </c>
      <c r="I31" t="inlineStr">
        <is>
          <t>J66:J68</t>
        </is>
      </c>
      <c r="J31">
        <f>COUNT(TVW线测量明细!J66:J68)</f>
        <v/>
      </c>
      <c r="K31">
        <f>AVERAGE(TVW线测量明细!J66:J68)</f>
        <v/>
      </c>
      <c r="L31">
        <f>MEDIAN(TVW线测量明细!J66:J68)</f>
        <v/>
      </c>
      <c r="M31">
        <f>IF(J31&gt;1,STDEV(TVW线测量明细!J66:J68),0)</f>
        <v/>
      </c>
      <c r="N31">
        <f>IF(K31=0,"",M31/K31*100)</f>
        <v/>
      </c>
      <c r="O31" t="n">
        <v>6.625978545273117</v>
      </c>
      <c r="P31">
        <f>IF(O31=0,"",(K31/O31-1)*100)</f>
        <v/>
      </c>
      <c r="Q31">
        <f>(K31/E31)^2</f>
        <v/>
      </c>
      <c r="R31">
        <f>(K31/H31)^2</f>
        <v/>
      </c>
      <c r="S31">
        <f>AVERAGE(Q31,R31)</f>
        <v/>
      </c>
      <c r="T31">
        <f>AVERAGE((O31/E31)^2,(O31/H31)^2)</f>
        <v/>
      </c>
      <c r="U31">
        <f>IF(T31=0,"",(S31/T31-1)*100)</f>
        <v/>
      </c>
      <c r="V31">
        <f>AVERAGE((L31/E31)^2,(L31/H31)^2)</f>
        <v/>
      </c>
      <c r="W31">
        <f>IF(ABS(E31-汇总!B25)&lt;=ABS(H31-汇总!B25),E31,H31)</f>
        <v/>
      </c>
      <c r="X31">
        <f>(K31/W31)^2</f>
        <v/>
      </c>
      <c r="Y31">
        <f>IF(N31&gt;10,"HIGH_TVW_CV",IF(J31&lt;3,"SHORT_INTERFACE","PASS"))</f>
        <v/>
      </c>
      <c r="Z31" t="inlineStr">
        <is>
          <t>Di1、TVW均值、Di2均来自本Pair_ID；TVW=3–5法线平均</t>
        </is>
      </c>
      <c r="AA31" t="inlineStr">
        <is>
          <t>样品6</t>
        </is>
      </c>
    </row>
    <row r="32">
      <c r="A32" t="inlineStr">
        <is>
          <t>6(7)-P01</t>
        </is>
      </c>
      <c r="B32" t="inlineStr">
        <is>
          <t>6 (7).tif</t>
        </is>
      </c>
      <c r="C32" t="inlineStr">
        <is>
          <t>6(7)-V03</t>
        </is>
      </c>
      <c r="D32">
        <f>导管母表_1781!F284</f>
        <v/>
      </c>
      <c r="E32">
        <f>导管母表_1781!G284</f>
        <v/>
      </c>
      <c r="F32" t="inlineStr">
        <is>
          <t>6(7)-V05</t>
        </is>
      </c>
      <c r="G32">
        <f>导管母表_1781!F286</f>
        <v/>
      </c>
      <c r="H32">
        <f>导管母表_1781!G286</f>
        <v/>
      </c>
      <c r="I32" t="inlineStr">
        <is>
          <t>J69:J71</t>
        </is>
      </c>
      <c r="J32">
        <f>COUNT(TVW线测量明细!J69:J71)</f>
        <v/>
      </c>
      <c r="K32">
        <f>AVERAGE(TVW线测量明细!J69:J71)</f>
        <v/>
      </c>
      <c r="L32">
        <f>MEDIAN(TVW线测量明细!J69:J71)</f>
        <v/>
      </c>
      <c r="M32">
        <f>IF(J32&gt;1,STDEV(TVW线测量明细!J69:J71),0)</f>
        <v/>
      </c>
      <c r="N32">
        <f>IF(K32=0,"",M32/K32*100)</f>
        <v/>
      </c>
      <c r="O32" t="n">
        <v>3.027910495040026</v>
      </c>
      <c r="P32">
        <f>IF(O32=0,"",(K32/O32-1)*100)</f>
        <v/>
      </c>
      <c r="Q32">
        <f>(K32/E32)^2</f>
        <v/>
      </c>
      <c r="R32">
        <f>(K32/H32)^2</f>
        <v/>
      </c>
      <c r="S32">
        <f>AVERAGE(Q32,R32)</f>
        <v/>
      </c>
      <c r="T32">
        <f>AVERAGE((O32/E32)^2,(O32/H32)^2)</f>
        <v/>
      </c>
      <c r="U32">
        <f>IF(T32=0,"",(S32/T32-1)*100)</f>
        <v/>
      </c>
      <c r="V32">
        <f>AVERAGE((L32/E32)^2,(L32/H32)^2)</f>
        <v/>
      </c>
      <c r="W32">
        <f>IF(ABS(E32-汇总!B25)&lt;=ABS(H32-汇总!B25),E32,H32)</f>
        <v/>
      </c>
      <c r="X32">
        <f>(K32/W32)^2</f>
        <v/>
      </c>
      <c r="Y32">
        <f>IF(N32&gt;10,"HIGH_TVW_CV",IF(J32&lt;3,"SHORT_INTERFACE","PASS"))</f>
        <v/>
      </c>
      <c r="Z32" t="inlineStr">
        <is>
          <t>Di1、TVW均值、Di2均来自本Pair_ID；TVW=3–5法线平均</t>
        </is>
      </c>
      <c r="AA32" t="inlineStr">
        <is>
          <t>样品6</t>
        </is>
      </c>
    </row>
    <row r="33">
      <c r="A33" t="inlineStr">
        <is>
          <t>6(9)-P01</t>
        </is>
      </c>
      <c r="B33" t="inlineStr">
        <is>
          <t>6 (9).tif</t>
        </is>
      </c>
      <c r="C33" t="inlineStr">
        <is>
          <t>6(9)-V03</t>
        </is>
      </c>
      <c r="D33">
        <f>导管母表_1781!F296</f>
        <v/>
      </c>
      <c r="E33">
        <f>导管母表_1781!G296</f>
        <v/>
      </c>
      <c r="F33" t="inlineStr">
        <is>
          <t>6(9)-V05</t>
        </is>
      </c>
      <c r="G33">
        <f>导管母表_1781!F298</f>
        <v/>
      </c>
      <c r="H33">
        <f>导管母表_1781!G298</f>
        <v/>
      </c>
      <c r="I33" t="inlineStr">
        <is>
          <t>J72:J74</t>
        </is>
      </c>
      <c r="J33">
        <f>COUNT(TVW线测量明细!J72:J74)</f>
        <v/>
      </c>
      <c r="K33">
        <f>AVERAGE(TVW线测量明细!J72:J74)</f>
        <v/>
      </c>
      <c r="L33">
        <f>MEDIAN(TVW线测量明细!J72:J74)</f>
        <v/>
      </c>
      <c r="M33">
        <f>IF(J33&gt;1,STDEV(TVW线测量明细!J72:J74),0)</f>
        <v/>
      </c>
      <c r="N33">
        <f>IF(K33=0,"",M33/K33*100)</f>
        <v/>
      </c>
      <c r="O33" t="n">
        <v>13.30534238965161</v>
      </c>
      <c r="P33">
        <f>IF(O33=0,"",(K33/O33-1)*100)</f>
        <v/>
      </c>
      <c r="Q33">
        <f>(K33/E33)^2</f>
        <v/>
      </c>
      <c r="R33">
        <f>(K33/H33)^2</f>
        <v/>
      </c>
      <c r="S33">
        <f>AVERAGE(Q33,R33)</f>
        <v/>
      </c>
      <c r="T33">
        <f>AVERAGE((O33/E33)^2,(O33/H33)^2)</f>
        <v/>
      </c>
      <c r="U33">
        <f>IF(T33=0,"",(S33/T33-1)*100)</f>
        <v/>
      </c>
      <c r="V33">
        <f>AVERAGE((L33/E33)^2,(L33/H33)^2)</f>
        <v/>
      </c>
      <c r="W33">
        <f>IF(ABS(E33-汇总!B25)&lt;=ABS(H33-汇总!B25),E33,H33)</f>
        <v/>
      </c>
      <c r="X33">
        <f>(K33/W33)^2</f>
        <v/>
      </c>
      <c r="Y33">
        <f>IF(N33&gt;10,"HIGH_TVW_CV",IF(J33&lt;3,"SHORT_INTERFACE","PASS"))</f>
        <v/>
      </c>
      <c r="Z33" t="inlineStr">
        <is>
          <t>Di1、TVW均值、Di2均来自本Pair_ID；TVW=3–5法线平均</t>
        </is>
      </c>
      <c r="AA33" t="inlineStr">
        <is>
          <t>样品6</t>
        </is>
      </c>
    </row>
    <row r="34">
      <c r="A34" t="inlineStr">
        <is>
          <t>6(10)-P01</t>
        </is>
      </c>
      <c r="B34" t="inlineStr">
        <is>
          <t>6 (10).tif</t>
        </is>
      </c>
      <c r="C34" t="inlineStr">
        <is>
          <t>6(10)-V01</t>
        </is>
      </c>
      <c r="D34">
        <f>导管母表_1781!F302</f>
        <v/>
      </c>
      <c r="E34">
        <f>导管母表_1781!G302</f>
        <v/>
      </c>
      <c r="F34" t="inlineStr">
        <is>
          <t>6(10)-V02</t>
        </is>
      </c>
      <c r="G34">
        <f>导管母表_1781!F303</f>
        <v/>
      </c>
      <c r="H34">
        <f>导管母表_1781!G303</f>
        <v/>
      </c>
      <c r="I34" t="inlineStr">
        <is>
          <t>J75:J77</t>
        </is>
      </c>
      <c r="J34">
        <f>COUNT(TVW线测量明细!J75:J77)</f>
        <v/>
      </c>
      <c r="K34">
        <f>AVERAGE(TVW线测量明细!J75:J77)</f>
        <v/>
      </c>
      <c r="L34">
        <f>MEDIAN(TVW线测量明细!J75:J77)</f>
        <v/>
      </c>
      <c r="M34">
        <f>IF(J34&gt;1,STDEV(TVW线测量明细!J75:J77),0)</f>
        <v/>
      </c>
      <c r="N34">
        <f>IF(K34=0,"",M34/K34*100)</f>
        <v/>
      </c>
      <c r="O34" t="n">
        <v>6.423168131606156</v>
      </c>
      <c r="P34">
        <f>IF(O34=0,"",(K34/O34-1)*100)</f>
        <v/>
      </c>
      <c r="Q34">
        <f>(K34/E34)^2</f>
        <v/>
      </c>
      <c r="R34">
        <f>(K34/H34)^2</f>
        <v/>
      </c>
      <c r="S34">
        <f>AVERAGE(Q34,R34)</f>
        <v/>
      </c>
      <c r="T34">
        <f>AVERAGE((O34/E34)^2,(O34/H34)^2)</f>
        <v/>
      </c>
      <c r="U34">
        <f>IF(T34=0,"",(S34/T34-1)*100)</f>
        <v/>
      </c>
      <c r="V34">
        <f>AVERAGE((L34/E34)^2,(L34/H34)^2)</f>
        <v/>
      </c>
      <c r="W34">
        <f>IF(ABS(E34-汇总!B25)&lt;=ABS(H34-汇总!B25),E34,H34)</f>
        <v/>
      </c>
      <c r="X34">
        <f>(K34/W34)^2</f>
        <v/>
      </c>
      <c r="Y34">
        <f>IF(N34&gt;10,"HIGH_TVW_CV",IF(J34&lt;3,"SHORT_INTERFACE","PASS"))</f>
        <v/>
      </c>
      <c r="Z34" t="inlineStr">
        <is>
          <t>Di1、TVW均值、Di2均来自本Pair_ID；TVW=3–5法线平均</t>
        </is>
      </c>
      <c r="AA34" t="inlineStr">
        <is>
          <t>样品6</t>
        </is>
      </c>
    </row>
    <row r="35">
      <c r="A35" t="inlineStr">
        <is>
          <t>6(11)-P01</t>
        </is>
      </c>
      <c r="B35" t="inlineStr">
        <is>
          <t>6 (11).tif</t>
        </is>
      </c>
      <c r="C35" t="inlineStr">
        <is>
          <t>6(11)-V01</t>
        </is>
      </c>
      <c r="D35">
        <f>导管母表_1781!F308</f>
        <v/>
      </c>
      <c r="E35">
        <f>导管母表_1781!G308</f>
        <v/>
      </c>
      <c r="F35" t="inlineStr">
        <is>
          <t>6(11)-V03</t>
        </is>
      </c>
      <c r="G35">
        <f>导管母表_1781!F310</f>
        <v/>
      </c>
      <c r="H35">
        <f>导管母表_1781!G310</f>
        <v/>
      </c>
      <c r="I35" t="inlineStr">
        <is>
          <t>J78:J80</t>
        </is>
      </c>
      <c r="J35">
        <f>COUNT(TVW线测量明细!J78:J80)</f>
        <v/>
      </c>
      <c r="K35">
        <f>AVERAGE(TVW线测量明细!J78:J80)</f>
        <v/>
      </c>
      <c r="L35">
        <f>MEDIAN(TVW线测量明细!J78:J80)</f>
        <v/>
      </c>
      <c r="M35">
        <f>IF(J35&gt;1,STDEV(TVW线测量明细!J78:J80),0)</f>
        <v/>
      </c>
      <c r="N35">
        <f>IF(K35=0,"",M35/K35*100)</f>
        <v/>
      </c>
      <c r="O35" t="n">
        <v>3.91304347826087</v>
      </c>
      <c r="P35">
        <f>IF(O35=0,"",(K35/O35-1)*100)</f>
        <v/>
      </c>
      <c r="Q35">
        <f>(K35/E35)^2</f>
        <v/>
      </c>
      <c r="R35">
        <f>(K35/H35)^2</f>
        <v/>
      </c>
      <c r="S35">
        <f>AVERAGE(Q35,R35)</f>
        <v/>
      </c>
      <c r="T35">
        <f>AVERAGE((O35/E35)^2,(O35/H35)^2)</f>
        <v/>
      </c>
      <c r="U35">
        <f>IF(T35=0,"",(S35/T35-1)*100)</f>
        <v/>
      </c>
      <c r="V35">
        <f>AVERAGE((L35/E35)^2,(L35/H35)^2)</f>
        <v/>
      </c>
      <c r="W35">
        <f>IF(ABS(E35-汇总!B25)&lt;=ABS(H35-汇总!B25),E35,H35)</f>
        <v/>
      </c>
      <c r="X35">
        <f>(K35/W35)^2</f>
        <v/>
      </c>
      <c r="Y35">
        <f>IF(N35&gt;10,"HIGH_TVW_CV",IF(J35&lt;3,"SHORT_INTERFACE","PASS"))</f>
        <v/>
      </c>
      <c r="Z35" t="inlineStr">
        <is>
          <t>Di1、TVW均值、Di2均来自本Pair_ID；TVW=3–5法线平均</t>
        </is>
      </c>
      <c r="AA35" t="inlineStr">
        <is>
          <t>样品6</t>
        </is>
      </c>
    </row>
    <row r="36">
      <c r="A36" t="inlineStr">
        <is>
          <t>6(12)-P01</t>
        </is>
      </c>
      <c r="B36" t="inlineStr">
        <is>
          <t>6 (12).tif</t>
        </is>
      </c>
      <c r="C36" t="inlineStr">
        <is>
          <t>6(12)-V01</t>
        </is>
      </c>
      <c r="D36">
        <f>导管母表_1781!F315</f>
        <v/>
      </c>
      <c r="E36">
        <f>导管母表_1781!G315</f>
        <v/>
      </c>
      <c r="F36" t="inlineStr">
        <is>
          <t>6(12)-V03</t>
        </is>
      </c>
      <c r="G36">
        <f>导管母表_1781!F317</f>
        <v/>
      </c>
      <c r="H36">
        <f>导管母表_1781!G317</f>
        <v/>
      </c>
      <c r="I36" t="inlineStr">
        <is>
          <t>J81:J83</t>
        </is>
      </c>
      <c r="J36">
        <f>COUNT(TVW线测量明细!J81:J83)</f>
        <v/>
      </c>
      <c r="K36">
        <f>AVERAGE(TVW线测量明细!J81:J83)</f>
        <v/>
      </c>
      <c r="L36">
        <f>MEDIAN(TVW线测量明细!J81:J83)</f>
        <v/>
      </c>
      <c r="M36">
        <f>IF(J36&gt;1,STDEV(TVW线测量明细!J81:J83),0)</f>
        <v/>
      </c>
      <c r="N36">
        <f>IF(K36=0,"",M36/K36*100)</f>
        <v/>
      </c>
      <c r="O36" t="n">
        <v>5.849401759597265</v>
      </c>
      <c r="P36">
        <f>IF(O36=0,"",(K36/O36-1)*100)</f>
        <v/>
      </c>
      <c r="Q36">
        <f>(K36/E36)^2</f>
        <v/>
      </c>
      <c r="R36">
        <f>(K36/H36)^2</f>
        <v/>
      </c>
      <c r="S36">
        <f>AVERAGE(Q36,R36)</f>
        <v/>
      </c>
      <c r="T36">
        <f>AVERAGE((O36/E36)^2,(O36/H36)^2)</f>
        <v/>
      </c>
      <c r="U36">
        <f>IF(T36=0,"",(S36/T36-1)*100)</f>
        <v/>
      </c>
      <c r="V36">
        <f>AVERAGE((L36/E36)^2,(L36/H36)^2)</f>
        <v/>
      </c>
      <c r="W36">
        <f>IF(ABS(E36-汇总!B25)&lt;=ABS(H36-汇总!B25),E36,H36)</f>
        <v/>
      </c>
      <c r="X36">
        <f>(K36/W36)^2</f>
        <v/>
      </c>
      <c r="Y36">
        <f>IF(N36&gt;10,"HIGH_TVW_CV",IF(J36&lt;3,"SHORT_INTERFACE","PASS"))</f>
        <v/>
      </c>
      <c r="Z36" t="inlineStr">
        <is>
          <t>Di1、TVW均值、Di2均来自本Pair_ID；TVW=3–5法线平均</t>
        </is>
      </c>
      <c r="AA36" t="inlineStr">
        <is>
          <t>样品6</t>
        </is>
      </c>
    </row>
    <row r="37">
      <c r="A37" t="inlineStr">
        <is>
          <t>7(1)-P01</t>
        </is>
      </c>
      <c r="B37" t="inlineStr">
        <is>
          <t>7 (1).tif</t>
        </is>
      </c>
      <c r="C37" t="inlineStr">
        <is>
          <t>7(1)-V01</t>
        </is>
      </c>
      <c r="D37">
        <f>导管母表_1781!F333</f>
        <v/>
      </c>
      <c r="E37">
        <f>导管母表_1781!G333</f>
        <v/>
      </c>
      <c r="F37" t="inlineStr">
        <is>
          <t>7(1)-V02</t>
        </is>
      </c>
      <c r="G37">
        <f>导管母表_1781!F334</f>
        <v/>
      </c>
      <c r="H37">
        <f>导管母表_1781!G334</f>
        <v/>
      </c>
      <c r="I37" t="inlineStr">
        <is>
          <t>J84:J85</t>
        </is>
      </c>
      <c r="J37">
        <f>COUNT(TVW线测量明细!J84:J85)</f>
        <v/>
      </c>
      <c r="K37">
        <f>AVERAGE(TVW线测量明细!J84:J85)</f>
        <v/>
      </c>
      <c r="L37">
        <f>MEDIAN(TVW线测量明细!J84:J85)</f>
        <v/>
      </c>
      <c r="M37">
        <f>IF(J37&gt;1,STDEV(TVW线测量明细!J84:J85),0)</f>
        <v/>
      </c>
      <c r="N37">
        <f>IF(K37=0,"",M37/K37*100)</f>
        <v/>
      </c>
      <c r="O37" t="n">
        <v>4.008497590127342</v>
      </c>
      <c r="P37">
        <f>IF(O37=0,"",(K37/O37-1)*100)</f>
        <v/>
      </c>
      <c r="Q37">
        <f>(K37/E37)^2</f>
        <v/>
      </c>
      <c r="R37">
        <f>(K37/H37)^2</f>
        <v/>
      </c>
      <c r="S37">
        <f>AVERAGE(Q37,R37)</f>
        <v/>
      </c>
      <c r="T37">
        <f>AVERAGE((O37/E37)^2,(O37/H37)^2)</f>
        <v/>
      </c>
      <c r="U37">
        <f>IF(T37=0,"",(S37/T37-1)*100)</f>
        <v/>
      </c>
      <c r="V37">
        <f>AVERAGE((L37/E37)^2,(L37/H37)^2)</f>
        <v/>
      </c>
      <c r="W37">
        <f>IF(ABS(E37-汇总!B25)&lt;=ABS(H37-汇总!B25),E37,H37)</f>
        <v/>
      </c>
      <c r="X37">
        <f>(K37/W37)^2</f>
        <v/>
      </c>
      <c r="Y37">
        <f>IF(N37&gt;10,"HIGH_TVW_CV",IF(J37&lt;3,"SHORT_INTERFACE","PASS"))</f>
        <v/>
      </c>
      <c r="Z37" t="inlineStr">
        <is>
          <t>Di1、TVW均值、Di2均来自本Pair_ID；TVW=3–5法线平均</t>
        </is>
      </c>
      <c r="AA37" t="inlineStr">
        <is>
          <t>样品7</t>
        </is>
      </c>
    </row>
    <row r="38">
      <c r="A38" t="inlineStr">
        <is>
          <t>7(4)-P01</t>
        </is>
      </c>
      <c r="B38" t="inlineStr">
        <is>
          <t>7 (4).tif</t>
        </is>
      </c>
      <c r="C38" t="inlineStr">
        <is>
          <t>7(4)-V01</t>
        </is>
      </c>
      <c r="D38">
        <f>导管母表_1781!F347</f>
        <v/>
      </c>
      <c r="E38">
        <f>导管母表_1781!G347</f>
        <v/>
      </c>
      <c r="F38" t="inlineStr">
        <is>
          <t>7(4)-V02</t>
        </is>
      </c>
      <c r="G38">
        <f>导管母表_1781!F348</f>
        <v/>
      </c>
      <c r="H38">
        <f>导管母表_1781!G348</f>
        <v/>
      </c>
      <c r="I38" t="inlineStr">
        <is>
          <t>J86:J88</t>
        </is>
      </c>
      <c r="J38">
        <f>COUNT(TVW线测量明细!J86:J88)</f>
        <v/>
      </c>
      <c r="K38">
        <f>AVERAGE(TVW线测量明细!J86:J88)</f>
        <v/>
      </c>
      <c r="L38">
        <f>MEDIAN(TVW线测量明细!J86:J88)</f>
        <v/>
      </c>
      <c r="M38">
        <f>IF(J38&gt;1,STDEV(TVW线测量明细!J86:J88),0)</f>
        <v/>
      </c>
      <c r="N38">
        <f>IF(K38=0,"",M38/K38*100)</f>
        <v/>
      </c>
      <c r="O38" t="n">
        <v>7.993381004717493</v>
      </c>
      <c r="P38">
        <f>IF(O38=0,"",(K38/O38-1)*100)</f>
        <v/>
      </c>
      <c r="Q38">
        <f>(K38/E38)^2</f>
        <v/>
      </c>
      <c r="R38">
        <f>(K38/H38)^2</f>
        <v/>
      </c>
      <c r="S38">
        <f>AVERAGE(Q38,R38)</f>
        <v/>
      </c>
      <c r="T38">
        <f>AVERAGE((O38/E38)^2,(O38/H38)^2)</f>
        <v/>
      </c>
      <c r="U38">
        <f>IF(T38=0,"",(S38/T38-1)*100)</f>
        <v/>
      </c>
      <c r="V38">
        <f>AVERAGE((L38/E38)^2,(L38/H38)^2)</f>
        <v/>
      </c>
      <c r="W38">
        <f>IF(ABS(E38-汇总!B25)&lt;=ABS(H38-汇总!B25),E38,H38)</f>
        <v/>
      </c>
      <c r="X38">
        <f>(K38/W38)^2</f>
        <v/>
      </c>
      <c r="Y38">
        <f>IF(N38&gt;10,"HIGH_TVW_CV",IF(J38&lt;3,"SHORT_INTERFACE","PASS"))</f>
        <v/>
      </c>
      <c r="Z38" t="inlineStr">
        <is>
          <t>Di1、TVW均值、Di2均来自本Pair_ID；TVW=3–5法线平均</t>
        </is>
      </c>
      <c r="AA38" t="inlineStr">
        <is>
          <t>样品7</t>
        </is>
      </c>
    </row>
    <row r="39">
      <c r="A39" t="inlineStr">
        <is>
          <t>7(7)-P01</t>
        </is>
      </c>
      <c r="B39" t="inlineStr">
        <is>
          <t>7 (7).tif</t>
        </is>
      </c>
      <c r="C39" t="inlineStr">
        <is>
          <t>7(7)-V01</t>
        </is>
      </c>
      <c r="D39">
        <f>导管母表_1781!F358</f>
        <v/>
      </c>
      <c r="E39">
        <f>导管母表_1781!G358</f>
        <v/>
      </c>
      <c r="F39" t="inlineStr">
        <is>
          <t>7(7)-V02</t>
        </is>
      </c>
      <c r="G39">
        <f>导管母表_1781!F359</f>
        <v/>
      </c>
      <c r="H39">
        <f>导管母表_1781!G359</f>
        <v/>
      </c>
      <c r="I39" t="inlineStr">
        <is>
          <t>J89:J91</t>
        </is>
      </c>
      <c r="J39">
        <f>COUNT(TVW线测量明细!J89:J91)</f>
        <v/>
      </c>
      <c r="K39">
        <f>AVERAGE(TVW线测量明细!J89:J91)</f>
        <v/>
      </c>
      <c r="L39">
        <f>MEDIAN(TVW线测量明细!J89:J91)</f>
        <v/>
      </c>
      <c r="M39">
        <f>IF(J39&gt;1,STDEV(TVW线测量明细!J89:J91),0)</f>
        <v/>
      </c>
      <c r="N39">
        <f>IF(K39=0,"",M39/K39*100)</f>
        <v/>
      </c>
      <c r="O39" t="n">
        <v>6.822762968032702</v>
      </c>
      <c r="P39">
        <f>IF(O39=0,"",(K39/O39-1)*100)</f>
        <v/>
      </c>
      <c r="Q39">
        <f>(K39/E39)^2</f>
        <v/>
      </c>
      <c r="R39">
        <f>(K39/H39)^2</f>
        <v/>
      </c>
      <c r="S39">
        <f>AVERAGE(Q39,R39)</f>
        <v/>
      </c>
      <c r="T39">
        <f>AVERAGE((O39/E39)^2,(O39/H39)^2)</f>
        <v/>
      </c>
      <c r="U39">
        <f>IF(T39=0,"",(S39/T39-1)*100)</f>
        <v/>
      </c>
      <c r="V39">
        <f>AVERAGE((L39/E39)^2,(L39/H39)^2)</f>
        <v/>
      </c>
      <c r="W39">
        <f>IF(ABS(E39-汇总!B25)&lt;=ABS(H39-汇总!B25),E39,H39)</f>
        <v/>
      </c>
      <c r="X39">
        <f>(K39/W39)^2</f>
        <v/>
      </c>
      <c r="Y39">
        <f>IF(N39&gt;10,"HIGH_TVW_CV",IF(J39&lt;3,"SHORT_INTERFACE","PASS"))</f>
        <v/>
      </c>
      <c r="Z39" t="inlineStr">
        <is>
          <t>Di1、TVW均值、Di2均来自本Pair_ID；TVW=3–5法线平均</t>
        </is>
      </c>
      <c r="AA39" t="inlineStr">
        <is>
          <t>样品7</t>
        </is>
      </c>
    </row>
    <row r="40">
      <c r="A40" t="inlineStr">
        <is>
          <t>8(7)-P01</t>
        </is>
      </c>
      <c r="B40" t="inlineStr">
        <is>
          <t>8 (7).tif</t>
        </is>
      </c>
      <c r="C40" t="inlineStr">
        <is>
          <t>8(7)-V01</t>
        </is>
      </c>
      <c r="D40">
        <f>导管母表_1781!F391</f>
        <v/>
      </c>
      <c r="E40">
        <f>导管母表_1781!G391</f>
        <v/>
      </c>
      <c r="F40" t="inlineStr">
        <is>
          <t>8(7)-V02</t>
        </is>
      </c>
      <c r="G40">
        <f>导管母表_1781!F392</f>
        <v/>
      </c>
      <c r="H40">
        <f>导管母表_1781!G392</f>
        <v/>
      </c>
      <c r="I40" t="inlineStr">
        <is>
          <t>J92:J93</t>
        </is>
      </c>
      <c r="J40">
        <f>COUNT(TVW线测量明细!J92:J93)</f>
        <v/>
      </c>
      <c r="K40">
        <f>AVERAGE(TVW线测量明细!J92:J93)</f>
        <v/>
      </c>
      <c r="L40">
        <f>MEDIAN(TVW线测量明细!J92:J93)</f>
        <v/>
      </c>
      <c r="M40">
        <f>IF(J40&gt;1,STDEV(TVW线测量明细!J92:J93),0)</f>
        <v/>
      </c>
      <c r="N40">
        <f>IF(K40=0,"",M40/K40*100)</f>
        <v/>
      </c>
      <c r="O40" t="n">
        <v>4.826870285037939</v>
      </c>
      <c r="P40">
        <f>IF(O40=0,"",(K40/O40-1)*100)</f>
        <v/>
      </c>
      <c r="Q40">
        <f>(K40/E40)^2</f>
        <v/>
      </c>
      <c r="R40">
        <f>(K40/H40)^2</f>
        <v/>
      </c>
      <c r="S40">
        <f>AVERAGE(Q40,R40)</f>
        <v/>
      </c>
      <c r="T40">
        <f>AVERAGE((O40/E40)^2,(O40/H40)^2)</f>
        <v/>
      </c>
      <c r="U40">
        <f>IF(T40=0,"",(S40/T40-1)*100)</f>
        <v/>
      </c>
      <c r="V40">
        <f>AVERAGE((L40/E40)^2,(L40/H40)^2)</f>
        <v/>
      </c>
      <c r="W40">
        <f>IF(ABS(E40-汇总!B25)&lt;=ABS(H40-汇总!B25),E40,H40)</f>
        <v/>
      </c>
      <c r="X40">
        <f>(K40/W40)^2</f>
        <v/>
      </c>
      <c r="Y40">
        <f>IF(N40&gt;10,"HIGH_TVW_CV",IF(J40&lt;3,"SHORT_INTERFACE","PASS"))</f>
        <v/>
      </c>
      <c r="Z40" t="inlineStr">
        <is>
          <t>Di1、TVW均值、Di2均来自本Pair_ID；TVW=3–5法线平均</t>
        </is>
      </c>
      <c r="AA40" t="inlineStr">
        <is>
          <t>样品8</t>
        </is>
      </c>
    </row>
    <row r="41">
      <c r="A41" t="inlineStr">
        <is>
          <t>9(3)-P01</t>
        </is>
      </c>
      <c r="B41" t="inlineStr">
        <is>
          <t>9 (3).tif</t>
        </is>
      </c>
      <c r="C41" t="inlineStr">
        <is>
          <t>9(3)-V01</t>
        </is>
      </c>
      <c r="D41">
        <f>导管母表_1781!F405</f>
        <v/>
      </c>
      <c r="E41">
        <f>导管母表_1781!G405</f>
        <v/>
      </c>
      <c r="F41" t="inlineStr">
        <is>
          <t>9(3)-V02</t>
        </is>
      </c>
      <c r="G41">
        <f>导管母表_1781!F406</f>
        <v/>
      </c>
      <c r="H41">
        <f>导管母表_1781!G406</f>
        <v/>
      </c>
      <c r="I41" t="inlineStr">
        <is>
          <t>J94:J94</t>
        </is>
      </c>
      <c r="J41">
        <f>COUNT(TVW线测量明细!J94:J94)</f>
        <v/>
      </c>
      <c r="K41">
        <f>AVERAGE(TVW线测量明细!J94:J94)</f>
        <v/>
      </c>
      <c r="L41">
        <f>MEDIAN(TVW线测量明细!J94:J94)</f>
        <v/>
      </c>
      <c r="M41">
        <f>IF(J41&gt;1,STDEV(TVW线测量明细!J94:J94),0)</f>
        <v/>
      </c>
      <c r="N41">
        <f>IF(K41=0,"",M41/K41*100)</f>
        <v/>
      </c>
      <c r="O41" t="n">
        <v>5.776230545907141</v>
      </c>
      <c r="P41">
        <f>IF(O41=0,"",(K41/O41-1)*100)</f>
        <v/>
      </c>
      <c r="Q41">
        <f>(K41/E41)^2</f>
        <v/>
      </c>
      <c r="R41">
        <f>(K41/H41)^2</f>
        <v/>
      </c>
      <c r="S41">
        <f>AVERAGE(Q41,R41)</f>
        <v/>
      </c>
      <c r="T41">
        <f>AVERAGE((O41/E41)^2,(O41/H41)^2)</f>
        <v/>
      </c>
      <c r="U41">
        <f>IF(T41=0,"",(S41/T41-1)*100)</f>
        <v/>
      </c>
      <c r="V41">
        <f>AVERAGE((L41/E41)^2,(L41/H41)^2)</f>
        <v/>
      </c>
      <c r="W41">
        <f>IF(ABS(E41-汇总!B25)&lt;=ABS(H41-汇总!B25),E41,H41)</f>
        <v/>
      </c>
      <c r="X41">
        <f>(K41/W41)^2</f>
        <v/>
      </c>
      <c r="Y41">
        <f>IF(N41&gt;10,"HIGH_TVW_CV",IF(J41&lt;3,"SHORT_INTERFACE","PASS"))</f>
        <v/>
      </c>
      <c r="Z41" t="inlineStr">
        <is>
          <t>Di1、TVW均值、Di2均来自本Pair_ID；TVW=3–5法线平均</t>
        </is>
      </c>
      <c r="AA41" t="inlineStr">
        <is>
          <t>样品9</t>
        </is>
      </c>
    </row>
    <row r="42">
      <c r="A42" t="inlineStr">
        <is>
          <t>9(4)-P01</t>
        </is>
      </c>
      <c r="B42" t="inlineStr">
        <is>
          <t>9 (4).tif</t>
        </is>
      </c>
      <c r="C42" t="inlineStr">
        <is>
          <t>9(4)-V02</t>
        </is>
      </c>
      <c r="D42">
        <f>导管母表_1781!F412</f>
        <v/>
      </c>
      <c r="E42">
        <f>导管母表_1781!G412</f>
        <v/>
      </c>
      <c r="F42" t="inlineStr">
        <is>
          <t>9(4)-V05</t>
        </is>
      </c>
      <c r="G42">
        <f>导管母表_1781!F415</f>
        <v/>
      </c>
      <c r="H42">
        <f>导管母表_1781!G415</f>
        <v/>
      </c>
      <c r="I42" t="inlineStr">
        <is>
          <t>J95:J97</t>
        </is>
      </c>
      <c r="J42">
        <f>COUNT(TVW线测量明细!J95:J97)</f>
        <v/>
      </c>
      <c r="K42">
        <f>AVERAGE(TVW线测量明细!J95:J97)</f>
        <v/>
      </c>
      <c r="L42">
        <f>MEDIAN(TVW线测量明细!J95:J97)</f>
        <v/>
      </c>
      <c r="M42">
        <f>IF(J42&gt;1,STDEV(TVW线测量明细!J95:J97),0)</f>
        <v/>
      </c>
      <c r="N42">
        <f>IF(K42=0,"",M42/K42*100)</f>
        <v/>
      </c>
      <c r="O42" t="n">
        <v>12.03531350927514</v>
      </c>
      <c r="P42">
        <f>IF(O42=0,"",(K42/O42-1)*100)</f>
        <v/>
      </c>
      <c r="Q42">
        <f>(K42/E42)^2</f>
        <v/>
      </c>
      <c r="R42">
        <f>(K42/H42)^2</f>
        <v/>
      </c>
      <c r="S42">
        <f>AVERAGE(Q42,R42)</f>
        <v/>
      </c>
      <c r="T42">
        <f>AVERAGE((O42/E42)^2,(O42/H42)^2)</f>
        <v/>
      </c>
      <c r="U42">
        <f>IF(T42=0,"",(S42/T42-1)*100)</f>
        <v/>
      </c>
      <c r="V42">
        <f>AVERAGE((L42/E42)^2,(L42/H42)^2)</f>
        <v/>
      </c>
      <c r="W42">
        <f>IF(ABS(E42-汇总!B25)&lt;=ABS(H42-汇总!B25),E42,H42)</f>
        <v/>
      </c>
      <c r="X42">
        <f>(K42/W42)^2</f>
        <v/>
      </c>
      <c r="Y42">
        <f>IF(N42&gt;10,"HIGH_TVW_CV",IF(J42&lt;3,"SHORT_INTERFACE","PASS"))</f>
        <v/>
      </c>
      <c r="Z42" t="inlineStr">
        <is>
          <t>Di1、TVW均值、Di2均来自本Pair_ID；TVW=3–5法线平均</t>
        </is>
      </c>
      <c r="AA42" t="inlineStr">
        <is>
          <t>样品9</t>
        </is>
      </c>
    </row>
    <row r="43">
      <c r="A43" t="inlineStr">
        <is>
          <t>9(5)-P01</t>
        </is>
      </c>
      <c r="B43" t="inlineStr">
        <is>
          <t>9 (5).tif</t>
        </is>
      </c>
      <c r="C43" t="inlineStr">
        <is>
          <t>9(5)-V01</t>
        </is>
      </c>
      <c r="D43">
        <f>导管母表_1781!F417</f>
        <v/>
      </c>
      <c r="E43">
        <f>导管母表_1781!G417</f>
        <v/>
      </c>
      <c r="F43" t="inlineStr">
        <is>
          <t>9(5)-V02</t>
        </is>
      </c>
      <c r="G43">
        <f>导管母表_1781!F418</f>
        <v/>
      </c>
      <c r="H43">
        <f>导管母表_1781!G418</f>
        <v/>
      </c>
      <c r="I43" t="inlineStr">
        <is>
          <t>J98:J100</t>
        </is>
      </c>
      <c r="J43">
        <f>COUNT(TVW线测量明细!J98:J100)</f>
        <v/>
      </c>
      <c r="K43">
        <f>AVERAGE(TVW线测量明细!J98:J100)</f>
        <v/>
      </c>
      <c r="L43">
        <f>MEDIAN(TVW线测量明细!J98:J100)</f>
        <v/>
      </c>
      <c r="M43">
        <f>IF(J43&gt;1,STDEV(TVW线测量明细!J98:J100),0)</f>
        <v/>
      </c>
      <c r="N43">
        <f>IF(K43=0,"",M43/K43*100)</f>
        <v/>
      </c>
      <c r="O43" t="n">
        <v>6.319322545108101</v>
      </c>
      <c r="P43">
        <f>IF(O43=0,"",(K43/O43-1)*100)</f>
        <v/>
      </c>
      <c r="Q43">
        <f>(K43/E43)^2</f>
        <v/>
      </c>
      <c r="R43">
        <f>(K43/H43)^2</f>
        <v/>
      </c>
      <c r="S43">
        <f>AVERAGE(Q43,R43)</f>
        <v/>
      </c>
      <c r="T43">
        <f>AVERAGE((O43/E43)^2,(O43/H43)^2)</f>
        <v/>
      </c>
      <c r="U43">
        <f>IF(T43=0,"",(S43/T43-1)*100)</f>
        <v/>
      </c>
      <c r="V43">
        <f>AVERAGE((L43/E43)^2,(L43/H43)^2)</f>
        <v/>
      </c>
      <c r="W43">
        <f>IF(ABS(E43-汇总!B25)&lt;=ABS(H43-汇总!B25),E43,H43)</f>
        <v/>
      </c>
      <c r="X43">
        <f>(K43/W43)^2</f>
        <v/>
      </c>
      <c r="Y43">
        <f>IF(N43&gt;10,"HIGH_TVW_CV",IF(J43&lt;3,"SHORT_INTERFACE","PASS"))</f>
        <v/>
      </c>
      <c r="Z43" t="inlineStr">
        <is>
          <t>Di1、TVW均值、Di2均来自本Pair_ID；TVW=3–5法线平均</t>
        </is>
      </c>
      <c r="AA43" t="inlineStr">
        <is>
          <t>样品9</t>
        </is>
      </c>
    </row>
    <row r="44">
      <c r="A44" t="inlineStr">
        <is>
          <t>9(6)-P01</t>
        </is>
      </c>
      <c r="B44" t="inlineStr">
        <is>
          <t>9 (6).tif</t>
        </is>
      </c>
      <c r="C44" t="inlineStr">
        <is>
          <t>9(6)-V01</t>
        </is>
      </c>
      <c r="D44">
        <f>导管母表_1781!F423</f>
        <v/>
      </c>
      <c r="E44">
        <f>导管母表_1781!G423</f>
        <v/>
      </c>
      <c r="F44" t="inlineStr">
        <is>
          <t>9(6)-V02</t>
        </is>
      </c>
      <c r="G44">
        <f>导管母表_1781!F424</f>
        <v/>
      </c>
      <c r="H44">
        <f>导管母表_1781!G424</f>
        <v/>
      </c>
      <c r="I44" t="inlineStr">
        <is>
          <t>J101:J102</t>
        </is>
      </c>
      <c r="J44">
        <f>COUNT(TVW线测量明细!J101:J102)</f>
        <v/>
      </c>
      <c r="K44">
        <f>AVERAGE(TVW线测量明细!J101:J102)</f>
        <v/>
      </c>
      <c r="L44">
        <f>MEDIAN(TVW线测量明细!J101:J102)</f>
        <v/>
      </c>
      <c r="M44">
        <f>IF(J44&gt;1,STDEV(TVW线测量明细!J101:J102),0)</f>
        <v/>
      </c>
      <c r="N44">
        <f>IF(K44=0,"",M44/K44*100)</f>
        <v/>
      </c>
      <c r="O44" t="n">
        <v>6.805424279347186</v>
      </c>
      <c r="P44">
        <f>IF(O44=0,"",(K44/O44-1)*100)</f>
        <v/>
      </c>
      <c r="Q44">
        <f>(K44/E44)^2</f>
        <v/>
      </c>
      <c r="R44">
        <f>(K44/H44)^2</f>
        <v/>
      </c>
      <c r="S44">
        <f>AVERAGE(Q44,R44)</f>
        <v/>
      </c>
      <c r="T44">
        <f>AVERAGE((O44/E44)^2,(O44/H44)^2)</f>
        <v/>
      </c>
      <c r="U44">
        <f>IF(T44=0,"",(S44/T44-1)*100)</f>
        <v/>
      </c>
      <c r="V44">
        <f>AVERAGE((L44/E44)^2,(L44/H44)^2)</f>
        <v/>
      </c>
      <c r="W44">
        <f>IF(ABS(E44-汇总!B25)&lt;=ABS(H44-汇总!B25),E44,H44)</f>
        <v/>
      </c>
      <c r="X44">
        <f>(K44/W44)^2</f>
        <v/>
      </c>
      <c r="Y44">
        <f>IF(N44&gt;10,"HIGH_TVW_CV",IF(J44&lt;3,"SHORT_INTERFACE","PASS"))</f>
        <v/>
      </c>
      <c r="Z44" t="inlineStr">
        <is>
          <t>Di1、TVW均值、Di2均来自本Pair_ID；TVW=3–5法线平均</t>
        </is>
      </c>
      <c r="AA44" t="inlineStr">
        <is>
          <t>样品9</t>
        </is>
      </c>
    </row>
    <row r="45">
      <c r="A45" t="inlineStr">
        <is>
          <t>10(3)-P01</t>
        </is>
      </c>
      <c r="B45" t="inlineStr">
        <is>
          <t>10 (3).tif</t>
        </is>
      </c>
      <c r="C45" t="inlineStr">
        <is>
          <t>10(3)-V01</t>
        </is>
      </c>
      <c r="D45">
        <f>导管母表_1781!F457</f>
        <v/>
      </c>
      <c r="E45">
        <f>导管母表_1781!G457</f>
        <v/>
      </c>
      <c r="F45" t="inlineStr">
        <is>
          <t>10(3)-V04</t>
        </is>
      </c>
      <c r="G45">
        <f>导管母表_1781!F460</f>
        <v/>
      </c>
      <c r="H45">
        <f>导管母表_1781!G460</f>
        <v/>
      </c>
      <c r="I45" t="inlineStr">
        <is>
          <t>J103:J104</t>
        </is>
      </c>
      <c r="J45">
        <f>COUNT(TVW线测量明细!J103:J104)</f>
        <v/>
      </c>
      <c r="K45">
        <f>AVERAGE(TVW线测量明细!J103:J104)</f>
        <v/>
      </c>
      <c r="L45">
        <f>MEDIAN(TVW线测量明细!J103:J104)</f>
        <v/>
      </c>
      <c r="M45">
        <f>IF(J45&gt;1,STDEV(TVW线测量明细!J103:J104),0)</f>
        <v/>
      </c>
      <c r="N45">
        <f>IF(K45=0,"",M45/K45*100)</f>
        <v/>
      </c>
      <c r="O45" t="n">
        <v>3.598466382010185</v>
      </c>
      <c r="P45">
        <f>IF(O45=0,"",(K45/O45-1)*100)</f>
        <v/>
      </c>
      <c r="Q45">
        <f>(K45/E45)^2</f>
        <v/>
      </c>
      <c r="R45">
        <f>(K45/H45)^2</f>
        <v/>
      </c>
      <c r="S45">
        <f>AVERAGE(Q45,R45)</f>
        <v/>
      </c>
      <c r="T45">
        <f>AVERAGE((O45/E45)^2,(O45/H45)^2)</f>
        <v/>
      </c>
      <c r="U45">
        <f>IF(T45=0,"",(S45/T45-1)*100)</f>
        <v/>
      </c>
      <c r="V45">
        <f>AVERAGE((L45/E45)^2,(L45/H45)^2)</f>
        <v/>
      </c>
      <c r="W45">
        <f>IF(ABS(E45-汇总!B25)&lt;=ABS(H45-汇总!B25),E45,H45)</f>
        <v/>
      </c>
      <c r="X45">
        <f>(K45/W45)^2</f>
        <v/>
      </c>
      <c r="Y45">
        <f>IF(N45&gt;10,"HIGH_TVW_CV",IF(J45&lt;3,"SHORT_INTERFACE","PASS"))</f>
        <v/>
      </c>
      <c r="Z45" t="inlineStr">
        <is>
          <t>Di1、TVW均值、Di2均来自本Pair_ID；TVW=3–5法线平均</t>
        </is>
      </c>
      <c r="AA45" t="inlineStr">
        <is>
          <t>样品10</t>
        </is>
      </c>
    </row>
    <row r="46">
      <c r="A46" t="inlineStr">
        <is>
          <t>11(2)-P01</t>
        </is>
      </c>
      <c r="B46" t="inlineStr">
        <is>
          <t>11 (2).tif</t>
        </is>
      </c>
      <c r="C46" t="inlineStr">
        <is>
          <t>11(2)-V01</t>
        </is>
      </c>
      <c r="D46">
        <f>导管母表_1781!F484</f>
        <v/>
      </c>
      <c r="E46">
        <f>导管母表_1781!G484</f>
        <v/>
      </c>
      <c r="F46" t="inlineStr">
        <is>
          <t>11(2)-V02</t>
        </is>
      </c>
      <c r="G46">
        <f>导管母表_1781!F485</f>
        <v/>
      </c>
      <c r="H46">
        <f>导管母表_1781!G485</f>
        <v/>
      </c>
      <c r="I46" t="inlineStr">
        <is>
          <t>J105:J107</t>
        </is>
      </c>
      <c r="J46">
        <f>COUNT(TVW线测量明细!J105:J107)</f>
        <v/>
      </c>
      <c r="K46">
        <f>AVERAGE(TVW线测量明细!J105:J107)</f>
        <v/>
      </c>
      <c r="L46">
        <f>MEDIAN(TVW线测量明细!J105:J107)</f>
        <v/>
      </c>
      <c r="M46">
        <f>IF(J46&gt;1,STDEV(TVW线测量明细!J105:J107),0)</f>
        <v/>
      </c>
      <c r="N46">
        <f>IF(K46=0,"",M46/K46*100)</f>
        <v/>
      </c>
      <c r="O46" t="n">
        <v>5.018867991571824</v>
      </c>
      <c r="P46">
        <f>IF(O46=0,"",(K46/O46-1)*100)</f>
        <v/>
      </c>
      <c r="Q46">
        <f>(K46/E46)^2</f>
        <v/>
      </c>
      <c r="R46">
        <f>(K46/H46)^2</f>
        <v/>
      </c>
      <c r="S46">
        <f>AVERAGE(Q46,R46)</f>
        <v/>
      </c>
      <c r="T46">
        <f>AVERAGE((O46/E46)^2,(O46/H46)^2)</f>
        <v/>
      </c>
      <c r="U46">
        <f>IF(T46=0,"",(S46/T46-1)*100)</f>
        <v/>
      </c>
      <c r="V46">
        <f>AVERAGE((L46/E46)^2,(L46/H46)^2)</f>
        <v/>
      </c>
      <c r="W46">
        <f>IF(ABS(E46-汇总!B25)&lt;=ABS(H46-汇总!B25),E46,H46)</f>
        <v/>
      </c>
      <c r="X46">
        <f>(K46/W46)^2</f>
        <v/>
      </c>
      <c r="Y46">
        <f>IF(N46&gt;10,"HIGH_TVW_CV",IF(J46&lt;3,"SHORT_INTERFACE","PASS"))</f>
        <v/>
      </c>
      <c r="Z46" t="inlineStr">
        <is>
          <t>Di1、TVW均值、Di2均来自本Pair_ID；TVW=3–5法线平均</t>
        </is>
      </c>
      <c r="AA46" t="inlineStr">
        <is>
          <t>样品11</t>
        </is>
      </c>
    </row>
    <row r="47">
      <c r="A47" t="inlineStr">
        <is>
          <t>11(7)-P01</t>
        </is>
      </c>
      <c r="B47" t="inlineStr">
        <is>
          <t>11 (7).tif</t>
        </is>
      </c>
      <c r="C47" t="inlineStr">
        <is>
          <t>11(7)-V02</t>
        </is>
      </c>
      <c r="D47">
        <f>导管母表_1781!F516</f>
        <v/>
      </c>
      <c r="E47">
        <f>导管母表_1781!G516</f>
        <v/>
      </c>
      <c r="F47" t="inlineStr">
        <is>
          <t>11(7)-V03</t>
        </is>
      </c>
      <c r="G47">
        <f>导管母表_1781!F517</f>
        <v/>
      </c>
      <c r="H47">
        <f>导管母表_1781!G517</f>
        <v/>
      </c>
      <c r="I47" t="inlineStr">
        <is>
          <t>J108:J110</t>
        </is>
      </c>
      <c r="J47">
        <f>COUNT(TVW线测量明细!J108:J110)</f>
        <v/>
      </c>
      <c r="K47">
        <f>AVERAGE(TVW线测量明细!J108:J110)</f>
        <v/>
      </c>
      <c r="L47">
        <f>MEDIAN(TVW线测量明细!J108:J110)</f>
        <v/>
      </c>
      <c r="M47">
        <f>IF(J47&gt;1,STDEV(TVW线测量明细!J108:J110),0)</f>
        <v/>
      </c>
      <c r="N47">
        <f>IF(K47=0,"",M47/K47*100)</f>
        <v/>
      </c>
      <c r="O47" t="n">
        <v>5.869565217391304</v>
      </c>
      <c r="P47">
        <f>IF(O47=0,"",(K47/O47-1)*100)</f>
        <v/>
      </c>
      <c r="Q47">
        <f>(K47/E47)^2</f>
        <v/>
      </c>
      <c r="R47">
        <f>(K47/H47)^2</f>
        <v/>
      </c>
      <c r="S47">
        <f>AVERAGE(Q47,R47)</f>
        <v/>
      </c>
      <c r="T47">
        <f>AVERAGE((O47/E47)^2,(O47/H47)^2)</f>
        <v/>
      </c>
      <c r="U47">
        <f>IF(T47=0,"",(S47/T47-1)*100)</f>
        <v/>
      </c>
      <c r="V47">
        <f>AVERAGE((L47/E47)^2,(L47/H47)^2)</f>
        <v/>
      </c>
      <c r="W47">
        <f>IF(ABS(E47-汇总!B25)&lt;=ABS(H47-汇总!B25),E47,H47)</f>
        <v/>
      </c>
      <c r="X47">
        <f>(K47/W47)^2</f>
        <v/>
      </c>
      <c r="Y47">
        <f>IF(N47&gt;10,"HIGH_TVW_CV",IF(J47&lt;3,"SHORT_INTERFACE","PASS"))</f>
        <v/>
      </c>
      <c r="Z47" t="inlineStr">
        <is>
          <t>Di1、TVW均值、Di2均来自本Pair_ID；TVW=3–5法线平均</t>
        </is>
      </c>
      <c r="AA47" t="inlineStr">
        <is>
          <t>样品11</t>
        </is>
      </c>
    </row>
    <row r="48">
      <c r="A48" t="inlineStr">
        <is>
          <t>11(8)-P01</t>
        </is>
      </c>
      <c r="B48" t="inlineStr">
        <is>
          <t>11 (8).tif</t>
        </is>
      </c>
      <c r="C48" t="inlineStr">
        <is>
          <t>11(8)-V02</t>
        </is>
      </c>
      <c r="D48">
        <f>导管母表_1781!F524</f>
        <v/>
      </c>
      <c r="E48">
        <f>导管母表_1781!G524</f>
        <v/>
      </c>
      <c r="F48" t="inlineStr">
        <is>
          <t>11(8)-V03</t>
        </is>
      </c>
      <c r="G48">
        <f>导管母表_1781!F525</f>
        <v/>
      </c>
      <c r="H48">
        <f>导管母表_1781!G525</f>
        <v/>
      </c>
      <c r="I48" t="inlineStr">
        <is>
          <t>J111:J113</t>
        </is>
      </c>
      <c r="J48">
        <f>COUNT(TVW线测量明细!J111:J113)</f>
        <v/>
      </c>
      <c r="K48">
        <f>AVERAGE(TVW线测量明细!J111:J113)</f>
        <v/>
      </c>
      <c r="L48">
        <f>MEDIAN(TVW线测量明细!J111:J113)</f>
        <v/>
      </c>
      <c r="M48">
        <f>IF(J48&gt;1,STDEV(TVW线测量明细!J111:J113),0)</f>
        <v/>
      </c>
      <c r="N48">
        <f>IF(K48=0,"",M48/K48*100)</f>
        <v/>
      </c>
      <c r="O48" t="n">
        <v>11.04424851815699</v>
      </c>
      <c r="P48">
        <f>IF(O48=0,"",(K48/O48-1)*100)</f>
        <v/>
      </c>
      <c r="Q48">
        <f>(K48/E48)^2</f>
        <v/>
      </c>
      <c r="R48">
        <f>(K48/H48)^2</f>
        <v/>
      </c>
      <c r="S48">
        <f>AVERAGE(Q48,R48)</f>
        <v/>
      </c>
      <c r="T48">
        <f>AVERAGE((O48/E48)^2,(O48/H48)^2)</f>
        <v/>
      </c>
      <c r="U48">
        <f>IF(T48=0,"",(S48/T48-1)*100)</f>
        <v/>
      </c>
      <c r="V48">
        <f>AVERAGE((L48/E48)^2,(L48/H48)^2)</f>
        <v/>
      </c>
      <c r="W48">
        <f>IF(ABS(E48-汇总!B25)&lt;=ABS(H48-汇总!B25),E48,H48)</f>
        <v/>
      </c>
      <c r="X48">
        <f>(K48/W48)^2</f>
        <v/>
      </c>
      <c r="Y48">
        <f>IF(N48&gt;10,"HIGH_TVW_CV",IF(J48&lt;3,"SHORT_INTERFACE","PASS"))</f>
        <v/>
      </c>
      <c r="Z48" t="inlineStr">
        <is>
          <t>Di1、TVW均值、Di2均来自本Pair_ID；TVW=3–5法线平均</t>
        </is>
      </c>
      <c r="AA48" t="inlineStr">
        <is>
          <t>样品11</t>
        </is>
      </c>
    </row>
    <row r="49">
      <c r="A49" t="inlineStr">
        <is>
          <t>12(1)-P01</t>
        </is>
      </c>
      <c r="B49" t="inlineStr">
        <is>
          <t>12 (1).tif</t>
        </is>
      </c>
      <c r="C49" t="inlineStr">
        <is>
          <t>12(1)-V08</t>
        </is>
      </c>
      <c r="D49">
        <f>导管母表_1781!F538</f>
        <v/>
      </c>
      <c r="E49">
        <f>导管母表_1781!G538</f>
        <v/>
      </c>
      <c r="F49" t="inlineStr">
        <is>
          <t>12(1)-V09</t>
        </is>
      </c>
      <c r="G49">
        <f>导管母表_1781!F539</f>
        <v/>
      </c>
      <c r="H49">
        <f>导管母表_1781!G539</f>
        <v/>
      </c>
      <c r="I49" t="inlineStr">
        <is>
          <t>J114:J114</t>
        </is>
      </c>
      <c r="J49">
        <f>COUNT(TVW线测量明细!J114:J114)</f>
        <v/>
      </c>
      <c r="K49">
        <f>AVERAGE(TVW线测量明细!J114:J114)</f>
        <v/>
      </c>
      <c r="L49">
        <f>MEDIAN(TVW线测量明细!J114:J114)</f>
        <v/>
      </c>
      <c r="M49">
        <f>IF(J49&gt;1,STDEV(TVW线测量明细!J114:J114),0)</f>
        <v/>
      </c>
      <c r="N49">
        <f>IF(K49=0,"",M49/K49*100)</f>
        <v/>
      </c>
      <c r="O49" t="n">
        <v>3.846044785424811</v>
      </c>
      <c r="P49">
        <f>IF(O49=0,"",(K49/O49-1)*100)</f>
        <v/>
      </c>
      <c r="Q49">
        <f>(K49/E49)^2</f>
        <v/>
      </c>
      <c r="R49">
        <f>(K49/H49)^2</f>
        <v/>
      </c>
      <c r="S49">
        <f>AVERAGE(Q49,R49)</f>
        <v/>
      </c>
      <c r="T49">
        <f>AVERAGE((O49/E49)^2,(O49/H49)^2)</f>
        <v/>
      </c>
      <c r="U49">
        <f>IF(T49=0,"",(S49/T49-1)*100)</f>
        <v/>
      </c>
      <c r="V49">
        <f>AVERAGE((L49/E49)^2,(L49/H49)^2)</f>
        <v/>
      </c>
      <c r="W49">
        <f>IF(ABS(E49-汇总!B25)&lt;=ABS(H49-汇总!B25),E49,H49)</f>
        <v/>
      </c>
      <c r="X49">
        <f>(K49/W49)^2</f>
        <v/>
      </c>
      <c r="Y49">
        <f>IF(N49&gt;10,"HIGH_TVW_CV",IF(J49&lt;3,"SHORT_INTERFACE","PASS"))</f>
        <v/>
      </c>
      <c r="Z49" t="inlineStr">
        <is>
          <t>Di1、TVW均值、Di2均来自本Pair_ID；TVW=3–5法线平均</t>
        </is>
      </c>
      <c r="AA49" t="inlineStr">
        <is>
          <t>样品12</t>
        </is>
      </c>
    </row>
    <row r="50">
      <c r="A50" t="inlineStr">
        <is>
          <t>12(4)-P01</t>
        </is>
      </c>
      <c r="B50" t="inlineStr">
        <is>
          <t>12 (4).tif</t>
        </is>
      </c>
      <c r="C50" t="inlineStr">
        <is>
          <t>12(4)-V01</t>
        </is>
      </c>
      <c r="D50">
        <f>导管母表_1781!F551</f>
        <v/>
      </c>
      <c r="E50">
        <f>导管母表_1781!G551</f>
        <v/>
      </c>
      <c r="F50" t="inlineStr">
        <is>
          <t>12(4)-V02</t>
        </is>
      </c>
      <c r="G50">
        <f>导管母表_1781!F552</f>
        <v/>
      </c>
      <c r="H50">
        <f>导管母表_1781!G552</f>
        <v/>
      </c>
      <c r="I50" t="inlineStr">
        <is>
          <t>J115:J117</t>
        </is>
      </c>
      <c r="J50">
        <f>COUNT(TVW线测量明细!J115:J117)</f>
        <v/>
      </c>
      <c r="K50">
        <f>AVERAGE(TVW线测量明细!J115:J117)</f>
        <v/>
      </c>
      <c r="L50">
        <f>MEDIAN(TVW线测量明细!J115:J117)</f>
        <v/>
      </c>
      <c r="M50">
        <f>IF(J50&gt;1,STDEV(TVW线测量明细!J115:J117),0)</f>
        <v/>
      </c>
      <c r="N50">
        <f>IF(K50=0,"",M50/K50*100)</f>
        <v/>
      </c>
      <c r="O50" t="n">
        <v>3.937123973103225</v>
      </c>
      <c r="P50">
        <f>IF(O50=0,"",(K50/O50-1)*100)</f>
        <v/>
      </c>
      <c r="Q50">
        <f>(K50/E50)^2</f>
        <v/>
      </c>
      <c r="R50">
        <f>(K50/H50)^2</f>
        <v/>
      </c>
      <c r="S50">
        <f>AVERAGE(Q50,R50)</f>
        <v/>
      </c>
      <c r="T50">
        <f>AVERAGE((O50/E50)^2,(O50/H50)^2)</f>
        <v/>
      </c>
      <c r="U50">
        <f>IF(T50=0,"",(S50/T50-1)*100)</f>
        <v/>
      </c>
      <c r="V50">
        <f>AVERAGE((L50/E50)^2,(L50/H50)^2)</f>
        <v/>
      </c>
      <c r="W50">
        <f>IF(ABS(E50-汇总!B25)&lt;=ABS(H50-汇总!B25),E50,H50)</f>
        <v/>
      </c>
      <c r="X50">
        <f>(K50/W50)^2</f>
        <v/>
      </c>
      <c r="Y50">
        <f>IF(N50&gt;10,"HIGH_TVW_CV",IF(J50&lt;3,"SHORT_INTERFACE","PASS"))</f>
        <v/>
      </c>
      <c r="Z50" t="inlineStr">
        <is>
          <t>Di1、TVW均值、Di2均来自本Pair_ID；TVW=3–5法线平均</t>
        </is>
      </c>
      <c r="AA50" t="inlineStr">
        <is>
          <t>样品12</t>
        </is>
      </c>
    </row>
    <row r="51">
      <c r="A51" t="inlineStr">
        <is>
          <t>13(5)-P01</t>
        </is>
      </c>
      <c r="B51" t="inlineStr">
        <is>
          <t>13 (5).tif</t>
        </is>
      </c>
      <c r="C51" t="inlineStr">
        <is>
          <t>13(5)-V01</t>
        </is>
      </c>
      <c r="D51">
        <f>导管母表_1781!F583</f>
        <v/>
      </c>
      <c r="E51">
        <f>导管母表_1781!G583</f>
        <v/>
      </c>
      <c r="F51" t="inlineStr">
        <is>
          <t>13(5)-V03</t>
        </is>
      </c>
      <c r="G51">
        <f>导管母表_1781!F585</f>
        <v/>
      </c>
      <c r="H51">
        <f>导管母表_1781!G585</f>
        <v/>
      </c>
      <c r="I51" t="inlineStr">
        <is>
          <t>J118:J118</t>
        </is>
      </c>
      <c r="J51">
        <f>COUNT(TVW线测量明细!J118:J118)</f>
        <v/>
      </c>
      <c r="K51">
        <f>AVERAGE(TVW线测量明细!J118:J118)</f>
        <v/>
      </c>
      <c r="L51">
        <f>MEDIAN(TVW线测量明细!J118:J118)</f>
        <v/>
      </c>
      <c r="M51">
        <f>IF(J51&gt;1,STDEV(TVW线测量明细!J118:J118),0)</f>
        <v/>
      </c>
      <c r="N51">
        <f>IF(K51=0,"",M51/K51*100)</f>
        <v/>
      </c>
      <c r="O51" t="n">
        <v>4.692833292374543</v>
      </c>
      <c r="P51">
        <f>IF(O51=0,"",(K51/O51-1)*100)</f>
        <v/>
      </c>
      <c r="Q51">
        <f>(K51/E51)^2</f>
        <v/>
      </c>
      <c r="R51">
        <f>(K51/H51)^2</f>
        <v/>
      </c>
      <c r="S51">
        <f>AVERAGE(Q51,R51)</f>
        <v/>
      </c>
      <c r="T51">
        <f>AVERAGE((O51/E51)^2,(O51/H51)^2)</f>
        <v/>
      </c>
      <c r="U51">
        <f>IF(T51=0,"",(S51/T51-1)*100)</f>
        <v/>
      </c>
      <c r="V51">
        <f>AVERAGE((L51/E51)^2,(L51/H51)^2)</f>
        <v/>
      </c>
      <c r="W51">
        <f>IF(ABS(E51-汇总!B25)&lt;=ABS(H51-汇总!B25),E51,H51)</f>
        <v/>
      </c>
      <c r="X51">
        <f>(K51/W51)^2</f>
        <v/>
      </c>
      <c r="Y51">
        <f>IF(N51&gt;10,"HIGH_TVW_CV",IF(J51&lt;3,"SHORT_INTERFACE","PASS"))</f>
        <v/>
      </c>
      <c r="Z51" t="inlineStr">
        <is>
          <t>Di1、TVW均值、Di2均来自本Pair_ID；TVW=3–5法线平均</t>
        </is>
      </c>
      <c r="AA51" t="inlineStr">
        <is>
          <t>样品13</t>
        </is>
      </c>
    </row>
    <row r="52">
      <c r="A52" t="inlineStr">
        <is>
          <t>13(7)-P01</t>
        </is>
      </c>
      <c r="B52" t="inlineStr">
        <is>
          <t>13 (7).tif</t>
        </is>
      </c>
      <c r="C52" t="inlineStr">
        <is>
          <t>13(7)-V02</t>
        </is>
      </c>
      <c r="D52">
        <f>导管母表_1781!F593</f>
        <v/>
      </c>
      <c r="E52">
        <f>导管母表_1781!G593</f>
        <v/>
      </c>
      <c r="F52" t="inlineStr">
        <is>
          <t>13(7)-V07</t>
        </is>
      </c>
      <c r="G52">
        <f>导管母表_1781!F598</f>
        <v/>
      </c>
      <c r="H52">
        <f>导管母表_1781!G598</f>
        <v/>
      </c>
      <c r="I52" t="inlineStr">
        <is>
          <t>J119:J119</t>
        </is>
      </c>
      <c r="J52">
        <f>COUNT(TVW线测量明细!J119:J119)</f>
        <v/>
      </c>
      <c r="K52">
        <f>AVERAGE(TVW线测量明细!J119:J119)</f>
        <v/>
      </c>
      <c r="L52">
        <f>MEDIAN(TVW线测量明细!J119:J119)</f>
        <v/>
      </c>
      <c r="M52">
        <f>IF(J52&gt;1,STDEV(TVW线测量明细!J119:J119),0)</f>
        <v/>
      </c>
      <c r="N52">
        <f>IF(K52=0,"",M52/K52*100)</f>
        <v/>
      </c>
      <c r="O52" t="n">
        <v>2.004248795063671</v>
      </c>
      <c r="P52">
        <f>IF(O52=0,"",(K52/O52-1)*100)</f>
        <v/>
      </c>
      <c r="Q52">
        <f>(K52/E52)^2</f>
        <v/>
      </c>
      <c r="R52">
        <f>(K52/H52)^2</f>
        <v/>
      </c>
      <c r="S52">
        <f>AVERAGE(Q52,R52)</f>
        <v/>
      </c>
      <c r="T52">
        <f>AVERAGE((O52/E52)^2,(O52/H52)^2)</f>
        <v/>
      </c>
      <c r="U52">
        <f>IF(T52=0,"",(S52/T52-1)*100)</f>
        <v/>
      </c>
      <c r="V52">
        <f>AVERAGE((L52/E52)^2,(L52/H52)^2)</f>
        <v/>
      </c>
      <c r="W52">
        <f>IF(ABS(E52-汇总!B25)&lt;=ABS(H52-汇总!B25),E52,H52)</f>
        <v/>
      </c>
      <c r="X52">
        <f>(K52/W52)^2</f>
        <v/>
      </c>
      <c r="Y52">
        <f>IF(N52&gt;10,"HIGH_TVW_CV",IF(J52&lt;3,"SHORT_INTERFACE","PASS"))</f>
        <v/>
      </c>
      <c r="Z52" t="inlineStr">
        <is>
          <t>Di1、TVW均值、Di2均来自本Pair_ID；TVW=3–5法线平均</t>
        </is>
      </c>
      <c r="AA52" t="inlineStr">
        <is>
          <t>样品13</t>
        </is>
      </c>
    </row>
    <row r="53">
      <c r="A53" t="inlineStr">
        <is>
          <t>14(8)-P01</t>
        </is>
      </c>
      <c r="B53" t="inlineStr">
        <is>
          <t>14 (8).tif</t>
        </is>
      </c>
      <c r="C53" t="inlineStr">
        <is>
          <t>14(8)-V02</t>
        </is>
      </c>
      <c r="D53">
        <f>导管母表_1781!F635</f>
        <v/>
      </c>
      <c r="E53">
        <f>导管母表_1781!G635</f>
        <v/>
      </c>
      <c r="F53" t="inlineStr">
        <is>
          <t>14(8)-V03</t>
        </is>
      </c>
      <c r="G53">
        <f>导管母表_1781!F636</f>
        <v/>
      </c>
      <c r="H53">
        <f>导管母表_1781!G636</f>
        <v/>
      </c>
      <c r="I53" t="inlineStr">
        <is>
          <t>J120:J121</t>
        </is>
      </c>
      <c r="J53">
        <f>COUNT(TVW线测量明细!J120:J121)</f>
        <v/>
      </c>
      <c r="K53">
        <f>AVERAGE(TVW线测量明细!J120:J121)</f>
        <v/>
      </c>
      <c r="L53">
        <f>MEDIAN(TVW线测量明细!J120:J121)</f>
        <v/>
      </c>
      <c r="M53">
        <f>IF(J53&gt;1,STDEV(TVW线测量明细!J120:J121),0)</f>
        <v/>
      </c>
      <c r="N53">
        <f>IF(K53=0,"",M53/K53*100)</f>
        <v/>
      </c>
      <c r="O53" t="n">
        <v>13.40971348981838</v>
      </c>
      <c r="P53">
        <f>IF(O53=0,"",(K53/O53-1)*100)</f>
        <v/>
      </c>
      <c r="Q53">
        <f>(K53/E53)^2</f>
        <v/>
      </c>
      <c r="R53">
        <f>(K53/H53)^2</f>
        <v/>
      </c>
      <c r="S53">
        <f>AVERAGE(Q53,R53)</f>
        <v/>
      </c>
      <c r="T53">
        <f>AVERAGE((O53/E53)^2,(O53/H53)^2)</f>
        <v/>
      </c>
      <c r="U53">
        <f>IF(T53=0,"",(S53/T53-1)*100)</f>
        <v/>
      </c>
      <c r="V53">
        <f>AVERAGE((L53/E53)^2,(L53/H53)^2)</f>
        <v/>
      </c>
      <c r="W53">
        <f>IF(ABS(E53-汇总!B25)&lt;=ABS(H53-汇总!B25),E53,H53)</f>
        <v/>
      </c>
      <c r="X53">
        <f>(K53/W53)^2</f>
        <v/>
      </c>
      <c r="Y53">
        <f>IF(N53&gt;10,"HIGH_TVW_CV",IF(J53&lt;3,"SHORT_INTERFACE","PASS"))</f>
        <v/>
      </c>
      <c r="Z53" t="inlineStr">
        <is>
          <t>Di1、TVW均值、Di2均来自本Pair_ID；TVW=3–5法线平均</t>
        </is>
      </c>
      <c r="AA53" t="inlineStr">
        <is>
          <t>样品14</t>
        </is>
      </c>
    </row>
    <row r="54">
      <c r="A54" t="inlineStr">
        <is>
          <t>15(8)-P01</t>
        </is>
      </c>
      <c r="B54" t="inlineStr">
        <is>
          <t>15 (8).tif</t>
        </is>
      </c>
      <c r="C54" t="inlineStr">
        <is>
          <t>15(8)-V01</t>
        </is>
      </c>
      <c r="D54">
        <f>导管母表_1781!F672</f>
        <v/>
      </c>
      <c r="E54">
        <f>导管母表_1781!G672</f>
        <v/>
      </c>
      <c r="F54" t="inlineStr">
        <is>
          <t>15(8)-V02</t>
        </is>
      </c>
      <c r="G54">
        <f>导管母表_1781!F673</f>
        <v/>
      </c>
      <c r="H54">
        <f>导管母表_1781!G673</f>
        <v/>
      </c>
      <c r="I54" t="inlineStr">
        <is>
          <t>J122:J124</t>
        </is>
      </c>
      <c r="J54">
        <f>COUNT(TVW线测量明细!J122:J124)</f>
        <v/>
      </c>
      <c r="K54">
        <f>AVERAGE(TVW线测量明细!J122:J124)</f>
        <v/>
      </c>
      <c r="L54">
        <f>MEDIAN(TVW线测量明细!J122:J124)</f>
        <v/>
      </c>
      <c r="M54">
        <f>IF(J54&gt;1,STDEV(TVW线测量明细!J122:J124),0)</f>
        <v/>
      </c>
      <c r="N54">
        <f>IF(K54=0,"",M54/K54*100)</f>
        <v/>
      </c>
      <c r="O54" t="n">
        <v>7.196932764020369</v>
      </c>
      <c r="P54">
        <f>IF(O54=0,"",(K54/O54-1)*100)</f>
        <v/>
      </c>
      <c r="Q54">
        <f>(K54/E54)^2</f>
        <v/>
      </c>
      <c r="R54">
        <f>(K54/H54)^2</f>
        <v/>
      </c>
      <c r="S54">
        <f>AVERAGE(Q54,R54)</f>
        <v/>
      </c>
      <c r="T54">
        <f>AVERAGE((O54/E54)^2,(O54/H54)^2)</f>
        <v/>
      </c>
      <c r="U54">
        <f>IF(T54=0,"",(S54/T54-1)*100)</f>
        <v/>
      </c>
      <c r="V54">
        <f>AVERAGE((L54/E54)^2,(L54/H54)^2)</f>
        <v/>
      </c>
      <c r="W54">
        <f>IF(ABS(E54-汇总!B25)&lt;=ABS(H54-汇总!B25),E54,H54)</f>
        <v/>
      </c>
      <c r="X54">
        <f>(K54/W54)^2</f>
        <v/>
      </c>
      <c r="Y54">
        <f>IF(N54&gt;10,"HIGH_TVW_CV",IF(J54&lt;3,"SHORT_INTERFACE","PASS"))</f>
        <v/>
      </c>
      <c r="Z54" t="inlineStr">
        <is>
          <t>Di1、TVW均值、Di2均来自本Pair_ID；TVW=3–5法线平均</t>
        </is>
      </c>
      <c r="AA54" t="inlineStr">
        <is>
          <t>样品15</t>
        </is>
      </c>
    </row>
    <row r="55">
      <c r="A55" t="inlineStr">
        <is>
          <t>16(3)-P01</t>
        </is>
      </c>
      <c r="B55" t="inlineStr">
        <is>
          <t>16 (3).tif</t>
        </is>
      </c>
      <c r="C55" t="inlineStr">
        <is>
          <t>16(3)-V01</t>
        </is>
      </c>
      <c r="D55">
        <f>导管母表_1781!F689</f>
        <v/>
      </c>
      <c r="E55">
        <f>导管母表_1781!G689</f>
        <v/>
      </c>
      <c r="F55" t="inlineStr">
        <is>
          <t>16(3)-V02</t>
        </is>
      </c>
      <c r="G55">
        <f>导管母表_1781!F690</f>
        <v/>
      </c>
      <c r="H55">
        <f>导管母表_1781!G690</f>
        <v/>
      </c>
      <c r="I55" t="inlineStr">
        <is>
          <t>J125:J127</t>
        </is>
      </c>
      <c r="J55">
        <f>COUNT(TVW线测量明细!J125:J127)</f>
        <v/>
      </c>
      <c r="K55">
        <f>AVERAGE(TVW线测量明细!J125:J127)</f>
        <v/>
      </c>
      <c r="L55">
        <f>MEDIAN(TVW线测量明细!J125:J127)</f>
        <v/>
      </c>
      <c r="M55">
        <f>IF(J55&gt;1,STDEV(TVW线测量明细!J125:J127),0)</f>
        <v/>
      </c>
      <c r="N55">
        <f>IF(K55=0,"",M55/K55*100)</f>
        <v/>
      </c>
      <c r="O55" t="n">
        <v>12.62555095281009</v>
      </c>
      <c r="P55">
        <f>IF(O55=0,"",(K55/O55-1)*100)</f>
        <v/>
      </c>
      <c r="Q55">
        <f>(K55/E55)^2</f>
        <v/>
      </c>
      <c r="R55">
        <f>(K55/H55)^2</f>
        <v/>
      </c>
      <c r="S55">
        <f>AVERAGE(Q55,R55)</f>
        <v/>
      </c>
      <c r="T55">
        <f>AVERAGE((O55/E55)^2,(O55/H55)^2)</f>
        <v/>
      </c>
      <c r="U55">
        <f>IF(T55=0,"",(S55/T55-1)*100)</f>
        <v/>
      </c>
      <c r="V55">
        <f>AVERAGE((L55/E55)^2,(L55/H55)^2)</f>
        <v/>
      </c>
      <c r="W55">
        <f>IF(ABS(E55-汇总!B25)&lt;=ABS(H55-汇总!B25),E55,H55)</f>
        <v/>
      </c>
      <c r="X55">
        <f>(K55/W55)^2</f>
        <v/>
      </c>
      <c r="Y55">
        <f>IF(N55&gt;10,"HIGH_TVW_CV",IF(J55&lt;3,"SHORT_INTERFACE","PASS"))</f>
        <v/>
      </c>
      <c r="Z55" t="inlineStr">
        <is>
          <t>Di1、TVW均值、Di2均来自本Pair_ID；TVW=3–5法线平均</t>
        </is>
      </c>
      <c r="AA55" t="inlineStr">
        <is>
          <t>样品16</t>
        </is>
      </c>
    </row>
    <row r="56">
      <c r="A56" t="inlineStr">
        <is>
          <t>16(4)-P01</t>
        </is>
      </c>
      <c r="B56" t="inlineStr">
        <is>
          <t>16 (4).tif</t>
        </is>
      </c>
      <c r="C56" t="inlineStr">
        <is>
          <t>16(4)-V01</t>
        </is>
      </c>
      <c r="D56">
        <f>导管母表_1781!F697</f>
        <v/>
      </c>
      <c r="E56">
        <f>导管母表_1781!G697</f>
        <v/>
      </c>
      <c r="F56" t="inlineStr">
        <is>
          <t>16(4)-V02</t>
        </is>
      </c>
      <c r="G56">
        <f>导管母表_1781!F698</f>
        <v/>
      </c>
      <c r="H56">
        <f>导管母表_1781!G698</f>
        <v/>
      </c>
      <c r="I56" t="inlineStr">
        <is>
          <t>J128:J128</t>
        </is>
      </c>
      <c r="J56">
        <f>COUNT(TVW线测量明细!J128:J128)</f>
        <v/>
      </c>
      <c r="K56">
        <f>AVERAGE(TVW线测量明细!J128:J128)</f>
        <v/>
      </c>
      <c r="L56">
        <f>MEDIAN(TVW线测量明细!J128:J128)</f>
        <v/>
      </c>
      <c r="M56">
        <f>IF(J56&gt;1,STDEV(TVW线测量明细!J128:J128),0)</f>
        <v/>
      </c>
      <c r="N56">
        <f>IF(K56=0,"",M56/K56*100)</f>
        <v/>
      </c>
      <c r="O56" t="n">
        <v>4.084411788707812</v>
      </c>
      <c r="P56">
        <f>IF(O56=0,"",(K56/O56-1)*100)</f>
        <v/>
      </c>
      <c r="Q56">
        <f>(K56/E56)^2</f>
        <v/>
      </c>
      <c r="R56">
        <f>(K56/H56)^2</f>
        <v/>
      </c>
      <c r="S56">
        <f>AVERAGE(Q56,R56)</f>
        <v/>
      </c>
      <c r="T56">
        <f>AVERAGE((O56/E56)^2,(O56/H56)^2)</f>
        <v/>
      </c>
      <c r="U56">
        <f>IF(T56=0,"",(S56/T56-1)*100)</f>
        <v/>
      </c>
      <c r="V56">
        <f>AVERAGE((L56/E56)^2,(L56/H56)^2)</f>
        <v/>
      </c>
      <c r="W56">
        <f>IF(ABS(E56-汇总!B25)&lt;=ABS(H56-汇总!B25),E56,H56)</f>
        <v/>
      </c>
      <c r="X56">
        <f>(K56/W56)^2</f>
        <v/>
      </c>
      <c r="Y56">
        <f>IF(N56&gt;10,"HIGH_TVW_CV",IF(J56&lt;3,"SHORT_INTERFACE","PASS"))</f>
        <v/>
      </c>
      <c r="Z56" t="inlineStr">
        <is>
          <t>Di1、TVW均值、Di2均来自本Pair_ID；TVW=3–5法线平均</t>
        </is>
      </c>
      <c r="AA56" t="inlineStr">
        <is>
          <t>样品16</t>
        </is>
      </c>
    </row>
    <row r="57">
      <c r="A57" t="inlineStr">
        <is>
          <t>16(5)-P01</t>
        </is>
      </c>
      <c r="B57" t="inlineStr">
        <is>
          <t>16 (5).tif</t>
        </is>
      </c>
      <c r="C57" t="inlineStr">
        <is>
          <t>16(5)-V01</t>
        </is>
      </c>
      <c r="D57">
        <f>导管母表_1781!F703</f>
        <v/>
      </c>
      <c r="E57">
        <f>导管母表_1781!G703</f>
        <v/>
      </c>
      <c r="F57" t="inlineStr">
        <is>
          <t>16(5)-V02</t>
        </is>
      </c>
      <c r="G57">
        <f>导管母表_1781!F704</f>
        <v/>
      </c>
      <c r="H57">
        <f>导管母表_1781!G704</f>
        <v/>
      </c>
      <c r="I57" t="inlineStr">
        <is>
          <t>J129:J131</t>
        </is>
      </c>
      <c r="J57">
        <f>COUNT(TVW线测量明细!J129:J131)</f>
        <v/>
      </c>
      <c r="K57">
        <f>AVERAGE(TVW线测量明细!J129:J131)</f>
        <v/>
      </c>
      <c r="L57">
        <f>MEDIAN(TVW线测量明细!J129:J131)</f>
        <v/>
      </c>
      <c r="M57">
        <f>IF(J57&gt;1,STDEV(TVW线测量明细!J129:J131),0)</f>
        <v/>
      </c>
      <c r="N57">
        <f>IF(K57=0,"",M57/K57*100)</f>
        <v/>
      </c>
      <c r="O57" t="n">
        <v>6.539829981083184</v>
      </c>
      <c r="P57">
        <f>IF(O57=0,"",(K57/O57-1)*100)</f>
        <v/>
      </c>
      <c r="Q57">
        <f>(K57/E57)^2</f>
        <v/>
      </c>
      <c r="R57">
        <f>(K57/H57)^2</f>
        <v/>
      </c>
      <c r="S57">
        <f>AVERAGE(Q57,R57)</f>
        <v/>
      </c>
      <c r="T57">
        <f>AVERAGE((O57/E57)^2,(O57/H57)^2)</f>
        <v/>
      </c>
      <c r="U57">
        <f>IF(T57=0,"",(S57/T57-1)*100)</f>
        <v/>
      </c>
      <c r="V57">
        <f>AVERAGE((L57/E57)^2,(L57/H57)^2)</f>
        <v/>
      </c>
      <c r="W57">
        <f>IF(ABS(E57-汇总!B25)&lt;=ABS(H57-汇总!B25),E57,H57)</f>
        <v/>
      </c>
      <c r="X57">
        <f>(K57/W57)^2</f>
        <v/>
      </c>
      <c r="Y57">
        <f>IF(N57&gt;10,"HIGH_TVW_CV",IF(J57&lt;3,"SHORT_INTERFACE","PASS"))</f>
        <v/>
      </c>
      <c r="Z57" t="inlineStr">
        <is>
          <t>Di1、TVW均值、Di2均来自本Pair_ID；TVW=3–5法线平均</t>
        </is>
      </c>
      <c r="AA57" t="inlineStr">
        <is>
          <t>样品16</t>
        </is>
      </c>
    </row>
    <row r="58">
      <c r="A58" t="inlineStr">
        <is>
          <t>16(6)-P01</t>
        </is>
      </c>
      <c r="B58" t="inlineStr">
        <is>
          <t>16 (6).tif</t>
        </is>
      </c>
      <c r="C58" t="inlineStr">
        <is>
          <t>16(6)-V01</t>
        </is>
      </c>
      <c r="D58">
        <f>导管母表_1781!F710</f>
        <v/>
      </c>
      <c r="E58">
        <f>导管母表_1781!G710</f>
        <v/>
      </c>
      <c r="F58" t="inlineStr">
        <is>
          <t>16(6)-V03</t>
        </is>
      </c>
      <c r="G58">
        <f>导管母表_1781!F712</f>
        <v/>
      </c>
      <c r="H58">
        <f>导管母表_1781!G712</f>
        <v/>
      </c>
      <c r="I58" t="inlineStr">
        <is>
          <t>J132:J133</t>
        </is>
      </c>
      <c r="J58">
        <f>COUNT(TVW线测量明细!J132:J133)</f>
        <v/>
      </c>
      <c r="K58">
        <f>AVERAGE(TVW线测量明细!J132:J133)</f>
        <v/>
      </c>
      <c r="L58">
        <f>MEDIAN(TVW线测量明细!J132:J133)</f>
        <v/>
      </c>
      <c r="M58">
        <f>IF(J58&gt;1,STDEV(TVW线测量明细!J132:J133),0)</f>
        <v/>
      </c>
      <c r="N58">
        <f>IF(K58=0,"",M58/K58*100)</f>
        <v/>
      </c>
      <c r="O58" t="n">
        <v>8.332072998581218</v>
      </c>
      <c r="P58">
        <f>IF(O58=0,"",(K58/O58-1)*100)</f>
        <v/>
      </c>
      <c r="Q58">
        <f>(K58/E58)^2</f>
        <v/>
      </c>
      <c r="R58">
        <f>(K58/H58)^2</f>
        <v/>
      </c>
      <c r="S58">
        <f>AVERAGE(Q58,R58)</f>
        <v/>
      </c>
      <c r="T58">
        <f>AVERAGE((O58/E58)^2,(O58/H58)^2)</f>
        <v/>
      </c>
      <c r="U58">
        <f>IF(T58=0,"",(S58/T58-1)*100)</f>
        <v/>
      </c>
      <c r="V58">
        <f>AVERAGE((L58/E58)^2,(L58/H58)^2)</f>
        <v/>
      </c>
      <c r="W58">
        <f>IF(ABS(E58-汇总!B25)&lt;=ABS(H58-汇总!B25),E58,H58)</f>
        <v/>
      </c>
      <c r="X58">
        <f>(K58/W58)^2</f>
        <v/>
      </c>
      <c r="Y58">
        <f>IF(N58&gt;10,"HIGH_TVW_CV",IF(J58&lt;3,"SHORT_INTERFACE","PASS"))</f>
        <v/>
      </c>
      <c r="Z58" t="inlineStr">
        <is>
          <t>Di1、TVW均值、Di2均来自本Pair_ID；TVW=3–5法线平均</t>
        </is>
      </c>
      <c r="AA58" t="inlineStr">
        <is>
          <t>样品16</t>
        </is>
      </c>
    </row>
    <row r="59">
      <c r="A59" t="inlineStr">
        <is>
          <t>17(2)-P01</t>
        </is>
      </c>
      <c r="B59" t="inlineStr">
        <is>
          <t>17 (2).tif</t>
        </is>
      </c>
      <c r="C59" t="inlineStr">
        <is>
          <t>17(2)-V01</t>
        </is>
      </c>
      <c r="D59">
        <f>导管母表_1781!F718</f>
        <v/>
      </c>
      <c r="E59">
        <f>导管母表_1781!G718</f>
        <v/>
      </c>
      <c r="F59" t="inlineStr">
        <is>
          <t>17(2)-V02</t>
        </is>
      </c>
      <c r="G59">
        <f>导管母表_1781!F719</f>
        <v/>
      </c>
      <c r="H59">
        <f>导管母表_1781!G719</f>
        <v/>
      </c>
      <c r="I59" t="inlineStr">
        <is>
          <t>J134:J136</t>
        </is>
      </c>
      <c r="J59">
        <f>COUNT(TVW线测量明细!J134:J136)</f>
        <v/>
      </c>
      <c r="K59">
        <f>AVERAGE(TVW线测量明细!J134:J136)</f>
        <v/>
      </c>
      <c r="L59">
        <f>MEDIAN(TVW线测量明细!J134:J136)</f>
        <v/>
      </c>
      <c r="M59">
        <f>IF(J59&gt;1,STDEV(TVW线测量明细!J134:J136),0)</f>
        <v/>
      </c>
      <c r="N59">
        <f>IF(K59=0,"",M59/K59*100)</f>
        <v/>
      </c>
      <c r="O59" t="n">
        <v>18.41677750752869</v>
      </c>
      <c r="P59">
        <f>IF(O59=0,"",(K59/O59-1)*100)</f>
        <v/>
      </c>
      <c r="Q59">
        <f>(K59/E59)^2</f>
        <v/>
      </c>
      <c r="R59">
        <f>(K59/H59)^2</f>
        <v/>
      </c>
      <c r="S59">
        <f>AVERAGE(Q59,R59)</f>
        <v/>
      </c>
      <c r="T59">
        <f>AVERAGE((O59/E59)^2,(O59/H59)^2)</f>
        <v/>
      </c>
      <c r="U59">
        <f>IF(T59=0,"",(S59/T59-1)*100)</f>
        <v/>
      </c>
      <c r="V59">
        <f>AVERAGE((L59/E59)^2,(L59/H59)^2)</f>
        <v/>
      </c>
      <c r="W59">
        <f>IF(ABS(E59-汇总!B25)&lt;=ABS(H59-汇总!B25),E59,H59)</f>
        <v/>
      </c>
      <c r="X59">
        <f>(K59/W59)^2</f>
        <v/>
      </c>
      <c r="Y59">
        <f>IF(N59&gt;10,"HIGH_TVW_CV",IF(J59&lt;3,"SHORT_INTERFACE","PASS"))</f>
        <v/>
      </c>
      <c r="Z59" t="inlineStr">
        <is>
          <t>Di1、TVW均值、Di2均来自本Pair_ID；TVW=3–5法线平均</t>
        </is>
      </c>
      <c r="AA59" t="inlineStr">
        <is>
          <t>样品17</t>
        </is>
      </c>
    </row>
    <row r="60">
      <c r="A60" t="inlineStr">
        <is>
          <t>17(5)-P01</t>
        </is>
      </c>
      <c r="B60" t="inlineStr">
        <is>
          <t>17 (5).tif</t>
        </is>
      </c>
      <c r="C60" t="inlineStr">
        <is>
          <t>17(5)-V01</t>
        </is>
      </c>
      <c r="D60">
        <f>导管母表_1781!F735</f>
        <v/>
      </c>
      <c r="E60">
        <f>导管母表_1781!G735</f>
        <v/>
      </c>
      <c r="F60" t="inlineStr">
        <is>
          <t>17(5)-V02</t>
        </is>
      </c>
      <c r="G60">
        <f>导管母表_1781!F736</f>
        <v/>
      </c>
      <c r="H60">
        <f>导管母表_1781!G736</f>
        <v/>
      </c>
      <c r="I60" t="inlineStr">
        <is>
          <t>J137:J138</t>
        </is>
      </c>
      <c r="J60">
        <f>COUNT(TVW线测量明细!J137:J138)</f>
        <v/>
      </c>
      <c r="K60">
        <f>AVERAGE(TVW线测量明细!J137:J138)</f>
        <v/>
      </c>
      <c r="L60">
        <f>MEDIAN(TVW线测量明细!J137:J138)</f>
        <v/>
      </c>
      <c r="M60">
        <f>IF(J60&gt;1,STDEV(TVW线测量明细!J137:J138),0)</f>
        <v/>
      </c>
      <c r="N60">
        <f>IF(K60=0,"",M60/K60*100)</f>
        <v/>
      </c>
      <c r="O60" t="n">
        <v>6.970095452991912</v>
      </c>
      <c r="P60">
        <f>IF(O60=0,"",(K60/O60-1)*100)</f>
        <v/>
      </c>
      <c r="Q60">
        <f>(K60/E60)^2</f>
        <v/>
      </c>
      <c r="R60">
        <f>(K60/H60)^2</f>
        <v/>
      </c>
      <c r="S60">
        <f>AVERAGE(Q60,R60)</f>
        <v/>
      </c>
      <c r="T60">
        <f>AVERAGE((O60/E60)^2,(O60/H60)^2)</f>
        <v/>
      </c>
      <c r="U60">
        <f>IF(T60=0,"",(S60/T60-1)*100)</f>
        <v/>
      </c>
      <c r="V60">
        <f>AVERAGE((L60/E60)^2,(L60/H60)^2)</f>
        <v/>
      </c>
      <c r="W60">
        <f>IF(ABS(E60-汇总!B25)&lt;=ABS(H60-汇总!B25),E60,H60)</f>
        <v/>
      </c>
      <c r="X60">
        <f>(K60/W60)^2</f>
        <v/>
      </c>
      <c r="Y60">
        <f>IF(N60&gt;10,"HIGH_TVW_CV",IF(J60&lt;3,"SHORT_INTERFACE","PASS"))</f>
        <v/>
      </c>
      <c r="Z60" t="inlineStr">
        <is>
          <t>Di1、TVW均值、Di2均来自本Pair_ID；TVW=3–5法线平均</t>
        </is>
      </c>
      <c r="AA60" t="inlineStr">
        <is>
          <t>样品17</t>
        </is>
      </c>
    </row>
    <row r="61">
      <c r="A61" t="inlineStr">
        <is>
          <t>17(7)-P01</t>
        </is>
      </c>
      <c r="B61" t="inlineStr">
        <is>
          <t>17 (7).tif</t>
        </is>
      </c>
      <c r="C61" t="inlineStr">
        <is>
          <t>17(7)-V02</t>
        </is>
      </c>
      <c r="D61">
        <f>导管母表_1781!F746</f>
        <v/>
      </c>
      <c r="E61">
        <f>导管母表_1781!G746</f>
        <v/>
      </c>
      <c r="F61" t="inlineStr">
        <is>
          <t>17(7)-V03</t>
        </is>
      </c>
      <c r="G61">
        <f>导管母表_1781!F747</f>
        <v/>
      </c>
      <c r="H61">
        <f>导管母表_1781!G747</f>
        <v/>
      </c>
      <c r="I61" t="inlineStr">
        <is>
          <t>J139:J139</t>
        </is>
      </c>
      <c r="J61">
        <f>COUNT(TVW线测量明细!J139:J139)</f>
        <v/>
      </c>
      <c r="K61">
        <f>AVERAGE(TVW线测量明细!J139:J139)</f>
        <v/>
      </c>
      <c r="L61">
        <f>MEDIAN(TVW线测量明细!J139:J139)</f>
        <v/>
      </c>
      <c r="M61">
        <f>IF(J61&gt;1,STDEV(TVW线测量明细!J139:J139),0)</f>
        <v/>
      </c>
      <c r="N61">
        <f>IF(K61=0,"",M61/K61*100)</f>
        <v/>
      </c>
      <c r="O61" t="n">
        <v>7.09775118144109</v>
      </c>
      <c r="P61">
        <f>IF(O61=0,"",(K61/O61-1)*100)</f>
        <v/>
      </c>
      <c r="Q61">
        <f>(K61/E61)^2</f>
        <v/>
      </c>
      <c r="R61">
        <f>(K61/H61)^2</f>
        <v/>
      </c>
      <c r="S61">
        <f>AVERAGE(Q61,R61)</f>
        <v/>
      </c>
      <c r="T61">
        <f>AVERAGE((O61/E61)^2,(O61/H61)^2)</f>
        <v/>
      </c>
      <c r="U61">
        <f>IF(T61=0,"",(S61/T61-1)*100)</f>
        <v/>
      </c>
      <c r="V61">
        <f>AVERAGE((L61/E61)^2,(L61/H61)^2)</f>
        <v/>
      </c>
      <c r="W61">
        <f>IF(ABS(E61-汇总!B25)&lt;=ABS(H61-汇总!B25),E61,H61)</f>
        <v/>
      </c>
      <c r="X61">
        <f>(K61/W61)^2</f>
        <v/>
      </c>
      <c r="Y61">
        <f>IF(N61&gt;10,"HIGH_TVW_CV",IF(J61&lt;3,"SHORT_INTERFACE","PASS"))</f>
        <v/>
      </c>
      <c r="Z61" t="inlineStr">
        <is>
          <t>Di1、TVW均值、Di2均来自本Pair_ID；TVW=3–5法线平均</t>
        </is>
      </c>
      <c r="AA61" t="inlineStr">
        <is>
          <t>样品17</t>
        </is>
      </c>
    </row>
    <row r="62">
      <c r="A62" t="inlineStr">
        <is>
          <t>18(3)-P01</t>
        </is>
      </c>
      <c r="B62" t="inlineStr">
        <is>
          <t>18 (3).tif</t>
        </is>
      </c>
      <c r="C62" t="inlineStr">
        <is>
          <t>18(3)-V02</t>
        </is>
      </c>
      <c r="D62">
        <f>导管母表_1781!F763</f>
        <v/>
      </c>
      <c r="E62">
        <f>导管母表_1781!G763</f>
        <v/>
      </c>
      <c r="F62" t="inlineStr">
        <is>
          <t>18(3)-V03</t>
        </is>
      </c>
      <c r="G62">
        <f>导管母表_1781!F764</f>
        <v/>
      </c>
      <c r="H62">
        <f>导管母表_1781!G764</f>
        <v/>
      </c>
      <c r="I62" t="inlineStr">
        <is>
          <t>J140:J143</t>
        </is>
      </c>
      <c r="J62">
        <f>COUNT(TVW线测量明细!J140:J143)</f>
        <v/>
      </c>
      <c r="K62">
        <f>AVERAGE(TVW线测量明细!J140:J143)</f>
        <v/>
      </c>
      <c r="L62">
        <f>MEDIAN(TVW线测量明细!J140:J143)</f>
        <v/>
      </c>
      <c r="M62">
        <f>IF(J62&gt;1,STDEV(TVW线测量明细!J140:J143),0)</f>
        <v/>
      </c>
      <c r="N62">
        <f>IF(K62=0,"",M62/K62*100)</f>
        <v/>
      </c>
      <c r="O62" t="n">
        <v>2.916610405434509</v>
      </c>
      <c r="P62">
        <f>IF(O62=0,"",(K62/O62-1)*100)</f>
        <v/>
      </c>
      <c r="Q62">
        <f>(K62/E62)^2</f>
        <v/>
      </c>
      <c r="R62">
        <f>(K62/H62)^2</f>
        <v/>
      </c>
      <c r="S62">
        <f>AVERAGE(Q62,R62)</f>
        <v/>
      </c>
      <c r="T62">
        <f>AVERAGE((O62/E62)^2,(O62/H62)^2)</f>
        <v/>
      </c>
      <c r="U62">
        <f>IF(T62=0,"",(S62/T62-1)*100)</f>
        <v/>
      </c>
      <c r="V62">
        <f>AVERAGE((L62/E62)^2,(L62/H62)^2)</f>
        <v/>
      </c>
      <c r="W62">
        <f>IF(ABS(E62-汇总!B25)&lt;=ABS(H62-汇总!B25),E62,H62)</f>
        <v/>
      </c>
      <c r="X62">
        <f>(K62/W62)^2</f>
        <v/>
      </c>
      <c r="Y62">
        <f>IF(N62&gt;10,"HIGH_TVW_CV",IF(J62&lt;3,"SHORT_INTERFACE","PASS"))</f>
        <v/>
      </c>
      <c r="Z62" t="inlineStr">
        <is>
          <t>Di1、TVW均值、Di2均来自本Pair_ID；TVW=3–5法线平均</t>
        </is>
      </c>
      <c r="AA62" t="inlineStr">
        <is>
          <t>样品18</t>
        </is>
      </c>
    </row>
    <row r="63">
      <c r="A63" t="inlineStr">
        <is>
          <t>18(5)-P01</t>
        </is>
      </c>
      <c r="B63" t="inlineStr">
        <is>
          <t>18 (5).tif</t>
        </is>
      </c>
      <c r="C63" t="inlineStr">
        <is>
          <t>18(5)-V03</t>
        </is>
      </c>
      <c r="D63">
        <f>导管母表_1781!F775</f>
        <v/>
      </c>
      <c r="E63">
        <f>导管母表_1781!G775</f>
        <v/>
      </c>
      <c r="F63" t="inlineStr">
        <is>
          <t>18(5)-V04</t>
        </is>
      </c>
      <c r="G63">
        <f>导管母表_1781!F776</f>
        <v/>
      </c>
      <c r="H63">
        <f>导管母表_1781!G776</f>
        <v/>
      </c>
      <c r="I63" t="inlineStr">
        <is>
          <t>J144:J147</t>
        </is>
      </c>
      <c r="J63">
        <f>COUNT(TVW线测量明细!J144:J147)</f>
        <v/>
      </c>
      <c r="K63">
        <f>AVERAGE(TVW线测量明细!J144:J147)</f>
        <v/>
      </c>
      <c r="L63">
        <f>MEDIAN(TVW线测量明细!J144:J147)</f>
        <v/>
      </c>
      <c r="M63">
        <f>IF(J63&gt;1,STDEV(TVW线测量明细!J144:J147),0)</f>
        <v/>
      </c>
      <c r="N63">
        <f>IF(K63=0,"",M63/K63*100)</f>
        <v/>
      </c>
      <c r="O63" t="n">
        <v>5.399887977554009</v>
      </c>
      <c r="P63">
        <f>IF(O63=0,"",(K63/O63-1)*100)</f>
        <v/>
      </c>
      <c r="Q63">
        <f>(K63/E63)^2</f>
        <v/>
      </c>
      <c r="R63">
        <f>(K63/H63)^2</f>
        <v/>
      </c>
      <c r="S63">
        <f>AVERAGE(Q63,R63)</f>
        <v/>
      </c>
      <c r="T63">
        <f>AVERAGE((O63/E63)^2,(O63/H63)^2)</f>
        <v/>
      </c>
      <c r="U63">
        <f>IF(T63=0,"",(S63/T63-1)*100)</f>
        <v/>
      </c>
      <c r="V63">
        <f>AVERAGE((L63/E63)^2,(L63/H63)^2)</f>
        <v/>
      </c>
      <c r="W63">
        <f>IF(ABS(E63-汇总!B25)&lt;=ABS(H63-汇总!B25),E63,H63)</f>
        <v/>
      </c>
      <c r="X63">
        <f>(K63/W63)^2</f>
        <v/>
      </c>
      <c r="Y63">
        <f>IF(N63&gt;10,"HIGH_TVW_CV",IF(J63&lt;3,"SHORT_INTERFACE","PASS"))</f>
        <v/>
      </c>
      <c r="Z63" t="inlineStr">
        <is>
          <t>Di1、TVW均值、Di2均来自本Pair_ID；TVW=3–5法线平均</t>
        </is>
      </c>
      <c r="AA63" t="inlineStr">
        <is>
          <t>样品18</t>
        </is>
      </c>
    </row>
    <row r="64">
      <c r="A64" t="inlineStr">
        <is>
          <t>18(6)-P01</t>
        </is>
      </c>
      <c r="B64" t="inlineStr">
        <is>
          <t>18 (6).tif</t>
        </is>
      </c>
      <c r="C64" t="inlineStr">
        <is>
          <t>18(6)-V01</t>
        </is>
      </c>
      <c r="D64">
        <f>导管母表_1781!F778</f>
        <v/>
      </c>
      <c r="E64">
        <f>导管母表_1781!G778</f>
        <v/>
      </c>
      <c r="F64" t="inlineStr">
        <is>
          <t>18(6)-V02</t>
        </is>
      </c>
      <c r="G64">
        <f>导管母表_1781!F779</f>
        <v/>
      </c>
      <c r="H64">
        <f>导管母表_1781!G779</f>
        <v/>
      </c>
      <c r="I64" t="inlineStr">
        <is>
          <t>J148:J151</t>
        </is>
      </c>
      <c r="J64">
        <f>COUNT(TVW线测量明细!J148:J151)</f>
        <v/>
      </c>
      <c r="K64">
        <f>AVERAGE(TVW线测量明细!J148:J151)</f>
        <v/>
      </c>
      <c r="L64">
        <f>MEDIAN(TVW线测量明细!J148:J151)</f>
        <v/>
      </c>
      <c r="M64">
        <f>IF(J64&gt;1,STDEV(TVW线测量明细!J148:J151),0)</f>
        <v/>
      </c>
      <c r="N64">
        <f>IF(K64=0,"",M64/K64*100)</f>
        <v/>
      </c>
      <c r="O64" t="n">
        <v>6.055820990080051</v>
      </c>
      <c r="P64">
        <f>IF(O64=0,"",(K64/O64-1)*100)</f>
        <v/>
      </c>
      <c r="Q64">
        <f>(K64/E64)^2</f>
        <v/>
      </c>
      <c r="R64">
        <f>(K64/H64)^2</f>
        <v/>
      </c>
      <c r="S64">
        <f>AVERAGE(Q64,R64)</f>
        <v/>
      </c>
      <c r="T64">
        <f>AVERAGE((O64/E64)^2,(O64/H64)^2)</f>
        <v/>
      </c>
      <c r="U64">
        <f>IF(T64=0,"",(S64/T64-1)*100)</f>
        <v/>
      </c>
      <c r="V64">
        <f>AVERAGE((L64/E64)^2,(L64/H64)^2)</f>
        <v/>
      </c>
      <c r="W64">
        <f>IF(ABS(E64-汇总!B25)&lt;=ABS(H64-汇总!B25),E64,H64)</f>
        <v/>
      </c>
      <c r="X64">
        <f>(K64/W64)^2</f>
        <v/>
      </c>
      <c r="Y64">
        <f>IF(N64&gt;10,"HIGH_TVW_CV",IF(J64&lt;3,"SHORT_INTERFACE","PASS"))</f>
        <v/>
      </c>
      <c r="Z64" t="inlineStr">
        <is>
          <t>Di1、TVW均值、Di2均来自本Pair_ID；TVW=3–5法线平均</t>
        </is>
      </c>
      <c r="AA64" t="inlineStr">
        <is>
          <t>样品18</t>
        </is>
      </c>
    </row>
    <row r="65">
      <c r="A65" t="inlineStr">
        <is>
          <t>18(7)-P01</t>
        </is>
      </c>
      <c r="B65" t="inlineStr">
        <is>
          <t>18 (7).tif</t>
        </is>
      </c>
      <c r="C65" t="inlineStr">
        <is>
          <t>18(7)-V01</t>
        </is>
      </c>
      <c r="D65">
        <f>导管母表_1781!F781</f>
        <v/>
      </c>
      <c r="E65">
        <f>导管母表_1781!G781</f>
        <v/>
      </c>
      <c r="F65" t="inlineStr">
        <is>
          <t>18(7)-V03</t>
        </is>
      </c>
      <c r="G65">
        <f>导管母表_1781!F783</f>
        <v/>
      </c>
      <c r="H65">
        <f>导管母表_1781!G783</f>
        <v/>
      </c>
      <c r="I65" t="inlineStr">
        <is>
          <t>J152:J154</t>
        </is>
      </c>
      <c r="J65">
        <f>COUNT(TVW线测量明细!J152:J154)</f>
        <v/>
      </c>
      <c r="K65">
        <f>AVERAGE(TVW线测量明细!J152:J154)</f>
        <v/>
      </c>
      <c r="L65">
        <f>MEDIAN(TVW线测量明细!J152:J154)</f>
        <v/>
      </c>
      <c r="M65">
        <f>IF(J65&gt;1,STDEV(TVW线测量明细!J152:J154),0)</f>
        <v/>
      </c>
      <c r="N65">
        <f>IF(K65=0,"",M65/K65*100)</f>
        <v/>
      </c>
      <c r="O65" t="n">
        <v>11.17822620189778</v>
      </c>
      <c r="P65">
        <f>IF(O65=0,"",(K65/O65-1)*100)</f>
        <v/>
      </c>
      <c r="Q65">
        <f>(K65/E65)^2</f>
        <v/>
      </c>
      <c r="R65">
        <f>(K65/H65)^2</f>
        <v/>
      </c>
      <c r="S65">
        <f>AVERAGE(Q65,R65)</f>
        <v/>
      </c>
      <c r="T65">
        <f>AVERAGE((O65/E65)^2,(O65/H65)^2)</f>
        <v/>
      </c>
      <c r="U65">
        <f>IF(T65=0,"",(S65/T65-1)*100)</f>
        <v/>
      </c>
      <c r="V65">
        <f>AVERAGE((L65/E65)^2,(L65/H65)^2)</f>
        <v/>
      </c>
      <c r="W65">
        <f>IF(ABS(E65-汇总!B25)&lt;=ABS(H65-汇总!B25),E65,H65)</f>
        <v/>
      </c>
      <c r="X65">
        <f>(K65/W65)^2</f>
        <v/>
      </c>
      <c r="Y65">
        <f>IF(N65&gt;10,"HIGH_TVW_CV",IF(J65&lt;3,"SHORT_INTERFACE","PASS"))</f>
        <v/>
      </c>
      <c r="Z65" t="inlineStr">
        <is>
          <t>Di1、TVW均值、Di2均来自本Pair_ID；TVW=3–5法线平均</t>
        </is>
      </c>
      <c r="AA65" t="inlineStr">
        <is>
          <t>样品18</t>
        </is>
      </c>
    </row>
    <row r="66">
      <c r="A66" t="inlineStr">
        <is>
          <t>18(9)-P01</t>
        </is>
      </c>
      <c r="B66" t="inlineStr">
        <is>
          <t>18 (9).tif</t>
        </is>
      </c>
      <c r="C66" t="inlineStr">
        <is>
          <t>18(9)-V01</t>
        </is>
      </c>
      <c r="D66">
        <f>导管母表_1781!F790</f>
        <v/>
      </c>
      <c r="E66">
        <f>导管母表_1781!G790</f>
        <v/>
      </c>
      <c r="F66" t="inlineStr">
        <is>
          <t>18(9)-V05</t>
        </is>
      </c>
      <c r="G66">
        <f>导管母表_1781!F794</f>
        <v/>
      </c>
      <c r="H66">
        <f>导管母表_1781!G794</f>
        <v/>
      </c>
      <c r="I66" t="inlineStr">
        <is>
          <t>J155:J156</t>
        </is>
      </c>
      <c r="J66">
        <f>COUNT(TVW线测量明细!J155:J156)</f>
        <v/>
      </c>
      <c r="K66">
        <f>AVERAGE(TVW线测量明细!J155:J156)</f>
        <v/>
      </c>
      <c r="L66">
        <f>MEDIAN(TVW线测量明细!J155:J156)</f>
        <v/>
      </c>
      <c r="M66">
        <f>IF(J66&gt;1,STDEV(TVW线测量明细!J155:J156),0)</f>
        <v/>
      </c>
      <c r="N66">
        <f>IF(K66=0,"",M66/K66*100)</f>
        <v/>
      </c>
      <c r="O66" t="n">
        <v>9.470878656866072</v>
      </c>
      <c r="P66">
        <f>IF(O66=0,"",(K66/O66-1)*100)</f>
        <v/>
      </c>
      <c r="Q66">
        <f>(K66/E66)^2</f>
        <v/>
      </c>
      <c r="R66">
        <f>(K66/H66)^2</f>
        <v/>
      </c>
      <c r="S66">
        <f>AVERAGE(Q66,R66)</f>
        <v/>
      </c>
      <c r="T66">
        <f>AVERAGE((O66/E66)^2,(O66/H66)^2)</f>
        <v/>
      </c>
      <c r="U66">
        <f>IF(T66=0,"",(S66/T66-1)*100)</f>
        <v/>
      </c>
      <c r="V66">
        <f>AVERAGE((L66/E66)^2,(L66/H66)^2)</f>
        <v/>
      </c>
      <c r="W66">
        <f>IF(ABS(E66-汇总!B25)&lt;=ABS(H66-汇总!B25),E66,H66)</f>
        <v/>
      </c>
      <c r="X66">
        <f>(K66/W66)^2</f>
        <v/>
      </c>
      <c r="Y66">
        <f>IF(N66&gt;10,"HIGH_TVW_CV",IF(J66&lt;3,"SHORT_INTERFACE","PASS"))</f>
        <v/>
      </c>
      <c r="Z66" t="inlineStr">
        <is>
          <t>Di1、TVW均值、Di2均来自本Pair_ID；TVW=3–5法线平均</t>
        </is>
      </c>
      <c r="AA66" t="inlineStr">
        <is>
          <t>样品18</t>
        </is>
      </c>
    </row>
    <row r="67">
      <c r="A67" t="inlineStr">
        <is>
          <t>18(9)-P02</t>
        </is>
      </c>
      <c r="B67" t="inlineStr">
        <is>
          <t>18 (9).tif</t>
        </is>
      </c>
      <c r="C67" t="inlineStr">
        <is>
          <t>18(9)-V02</t>
        </is>
      </c>
      <c r="D67">
        <f>导管母表_1781!F791</f>
        <v/>
      </c>
      <c r="E67">
        <f>导管母表_1781!G791</f>
        <v/>
      </c>
      <c r="F67" t="inlineStr">
        <is>
          <t>18(9)-V06</t>
        </is>
      </c>
      <c r="G67">
        <f>导管母表_1781!F795</f>
        <v/>
      </c>
      <c r="H67">
        <f>导管母表_1781!G795</f>
        <v/>
      </c>
      <c r="I67" t="inlineStr">
        <is>
          <t>J157:J159</t>
        </is>
      </c>
      <c r="J67">
        <f>COUNT(TVW线测量明细!J157:J159)</f>
        <v/>
      </c>
      <c r="K67">
        <f>AVERAGE(TVW线测量明细!J157:J159)</f>
        <v/>
      </c>
      <c r="L67">
        <f>MEDIAN(TVW线测量明细!J157:J159)</f>
        <v/>
      </c>
      <c r="M67">
        <f>IF(J67&gt;1,STDEV(TVW线测量明细!J157:J159),0)</f>
        <v/>
      </c>
      <c r="N67">
        <f>IF(K67=0,"",M67/K67*100)</f>
        <v/>
      </c>
      <c r="O67" t="n">
        <v>9.228254468170054</v>
      </c>
      <c r="P67">
        <f>IF(O67=0,"",(K67/O67-1)*100)</f>
        <v/>
      </c>
      <c r="Q67">
        <f>(K67/E67)^2</f>
        <v/>
      </c>
      <c r="R67">
        <f>(K67/H67)^2</f>
        <v/>
      </c>
      <c r="S67">
        <f>AVERAGE(Q67,R67)</f>
        <v/>
      </c>
      <c r="T67">
        <f>AVERAGE((O67/E67)^2,(O67/H67)^2)</f>
        <v/>
      </c>
      <c r="U67">
        <f>IF(T67=0,"",(S67/T67-1)*100)</f>
        <v/>
      </c>
      <c r="V67">
        <f>AVERAGE((L67/E67)^2,(L67/H67)^2)</f>
        <v/>
      </c>
      <c r="W67">
        <f>IF(ABS(E67-汇总!B25)&lt;=ABS(H67-汇总!B25),E67,H67)</f>
        <v/>
      </c>
      <c r="X67">
        <f>(K67/W67)^2</f>
        <v/>
      </c>
      <c r="Y67">
        <f>IF(N67&gt;10,"HIGH_TVW_CV",IF(J67&lt;3,"SHORT_INTERFACE","PASS"))</f>
        <v/>
      </c>
      <c r="Z67" t="inlineStr">
        <is>
          <t>Di1、TVW均值、Di2均来自本Pair_ID；TVW=3–5法线平均</t>
        </is>
      </c>
      <c r="AA67" t="inlineStr">
        <is>
          <t>样品18</t>
        </is>
      </c>
    </row>
    <row r="68">
      <c r="A68" t="inlineStr">
        <is>
          <t>18(10)-P01</t>
        </is>
      </c>
      <c r="B68" t="inlineStr">
        <is>
          <t>18 (10).tif</t>
        </is>
      </c>
      <c r="C68" t="inlineStr">
        <is>
          <t>18(10)-V01</t>
        </is>
      </c>
      <c r="D68">
        <f>导管母表_1781!F796</f>
        <v/>
      </c>
      <c r="E68">
        <f>导管母表_1781!G796</f>
        <v/>
      </c>
      <c r="F68" t="inlineStr">
        <is>
          <t>18(10)-V02</t>
        </is>
      </c>
      <c r="G68">
        <f>导管母表_1781!F797</f>
        <v/>
      </c>
      <c r="H68">
        <f>导管母表_1781!G797</f>
        <v/>
      </c>
      <c r="I68" t="inlineStr">
        <is>
          <t>J160:J160</t>
        </is>
      </c>
      <c r="J68">
        <f>COUNT(TVW线测量明细!J160:J160)</f>
        <v/>
      </c>
      <c r="K68">
        <f>AVERAGE(TVW线测量明细!J160:J160)</f>
        <v/>
      </c>
      <c r="L68">
        <f>MEDIAN(TVW线测量明细!J160:J160)</f>
        <v/>
      </c>
      <c r="M68">
        <f>IF(J68&gt;1,STDEV(TVW线测量明细!J160:J160),0)</f>
        <v/>
      </c>
      <c r="N68">
        <f>IF(K68=0,"",M68/K68*100)</f>
        <v/>
      </c>
      <c r="O68" t="n">
        <v>6.319322545108101</v>
      </c>
      <c r="P68">
        <f>IF(O68=0,"",(K68/O68-1)*100)</f>
        <v/>
      </c>
      <c r="Q68">
        <f>(K68/E68)^2</f>
        <v/>
      </c>
      <c r="R68">
        <f>(K68/H68)^2</f>
        <v/>
      </c>
      <c r="S68">
        <f>AVERAGE(Q68,R68)</f>
        <v/>
      </c>
      <c r="T68">
        <f>AVERAGE((O68/E68)^2,(O68/H68)^2)</f>
        <v/>
      </c>
      <c r="U68">
        <f>IF(T68=0,"",(S68/T68-1)*100)</f>
        <v/>
      </c>
      <c r="V68">
        <f>AVERAGE((L68/E68)^2,(L68/H68)^2)</f>
        <v/>
      </c>
      <c r="W68">
        <f>IF(ABS(E68-汇总!B25)&lt;=ABS(H68-汇总!B25),E68,H68)</f>
        <v/>
      </c>
      <c r="X68">
        <f>(K68/W68)^2</f>
        <v/>
      </c>
      <c r="Y68">
        <f>IF(N68&gt;10,"HIGH_TVW_CV",IF(J68&lt;3,"SHORT_INTERFACE","PASS"))</f>
        <v/>
      </c>
      <c r="Z68" t="inlineStr">
        <is>
          <t>Di1、TVW均值、Di2均来自本Pair_ID；TVW=3–5法线平均</t>
        </is>
      </c>
      <c r="AA68" t="inlineStr">
        <is>
          <t>样品18</t>
        </is>
      </c>
    </row>
    <row r="69">
      <c r="A69" t="inlineStr">
        <is>
          <t>19(3)-P01</t>
        </is>
      </c>
      <c r="B69" t="inlineStr">
        <is>
          <t>19 (3).tif</t>
        </is>
      </c>
      <c r="C69" t="inlineStr">
        <is>
          <t>19(3)-V01</t>
        </is>
      </c>
      <c r="D69">
        <f>导管母表_1781!F809</f>
        <v/>
      </c>
      <c r="E69">
        <f>导管母表_1781!G809</f>
        <v/>
      </c>
      <c r="F69" t="inlineStr">
        <is>
          <t>19(3)-V02</t>
        </is>
      </c>
      <c r="G69">
        <f>导管母表_1781!F810</f>
        <v/>
      </c>
      <c r="H69">
        <f>导管母表_1781!G810</f>
        <v/>
      </c>
      <c r="I69" t="inlineStr">
        <is>
          <t>J161:J163</t>
        </is>
      </c>
      <c r="J69">
        <f>COUNT(TVW线测量明细!J161:J163)</f>
        <v/>
      </c>
      <c r="K69">
        <f>AVERAGE(TVW线测量明细!J161:J163)</f>
        <v/>
      </c>
      <c r="L69">
        <f>MEDIAN(TVW线测量明细!J161:J163)</f>
        <v/>
      </c>
      <c r="M69">
        <f>IF(J69&gt;1,STDEV(TVW线测量明细!J161:J163),0)</f>
        <v/>
      </c>
      <c r="N69">
        <f>IF(K69=0,"",M69/K69*100)</f>
        <v/>
      </c>
      <c r="O69" t="n">
        <v>15.02518364837172</v>
      </c>
      <c r="P69">
        <f>IF(O69=0,"",(K69/O69-1)*100)</f>
        <v/>
      </c>
      <c r="Q69">
        <f>(K69/E69)^2</f>
        <v/>
      </c>
      <c r="R69">
        <f>(K69/H69)^2</f>
        <v/>
      </c>
      <c r="S69">
        <f>AVERAGE(Q69,R69)</f>
        <v/>
      </c>
      <c r="T69">
        <f>AVERAGE((O69/E69)^2,(O69/H69)^2)</f>
        <v/>
      </c>
      <c r="U69">
        <f>IF(T69=0,"",(S69/T69-1)*100)</f>
        <v/>
      </c>
      <c r="V69">
        <f>AVERAGE((L69/E69)^2,(L69/H69)^2)</f>
        <v/>
      </c>
      <c r="W69">
        <f>IF(ABS(E69-汇总!B25)&lt;=ABS(H69-汇总!B25),E69,H69)</f>
        <v/>
      </c>
      <c r="X69">
        <f>(K69/W69)^2</f>
        <v/>
      </c>
      <c r="Y69">
        <f>IF(N69&gt;10,"HIGH_TVW_CV",IF(J69&lt;3,"SHORT_INTERFACE","PASS"))</f>
        <v/>
      </c>
      <c r="Z69" t="inlineStr">
        <is>
          <t>Di1、TVW均值、Di2均来自本Pair_ID；TVW=3–5法线平均</t>
        </is>
      </c>
      <c r="AA69" t="inlineStr">
        <is>
          <t>样品19</t>
        </is>
      </c>
    </row>
    <row r="70">
      <c r="A70" t="inlineStr">
        <is>
          <t>19(4)-P01</t>
        </is>
      </c>
      <c r="B70" t="inlineStr">
        <is>
          <t>19 (4).tif</t>
        </is>
      </c>
      <c r="C70" t="inlineStr">
        <is>
          <t>19(4)-V01</t>
        </is>
      </c>
      <c r="D70">
        <f>导管母表_1781!F816</f>
        <v/>
      </c>
      <c r="E70">
        <f>导管母表_1781!G816</f>
        <v/>
      </c>
      <c r="F70" t="inlineStr">
        <is>
          <t>19(4)-V03</t>
        </is>
      </c>
      <c r="G70">
        <f>导管母表_1781!F818</f>
        <v/>
      </c>
      <c r="H70">
        <f>导管母表_1781!G818</f>
        <v/>
      </c>
      <c r="I70" t="inlineStr">
        <is>
          <t>J164:J166</t>
        </is>
      </c>
      <c r="J70">
        <f>COUNT(TVW线测量明细!J164:J166)</f>
        <v/>
      </c>
      <c r="K70">
        <f>AVERAGE(TVW线测量明细!J164:J166)</f>
        <v/>
      </c>
      <c r="L70">
        <f>MEDIAN(TVW线测量明细!J164:J166)</f>
        <v/>
      </c>
      <c r="M70">
        <f>IF(J70&gt;1,STDEV(TVW线测量明细!J164:J166),0)</f>
        <v/>
      </c>
      <c r="N70">
        <f>IF(K70=0,"",M70/K70*100)</f>
        <v/>
      </c>
      <c r="O70" t="n">
        <v>3.585309239667531</v>
      </c>
      <c r="P70">
        <f>IF(O70=0,"",(K70/O70-1)*100)</f>
        <v/>
      </c>
      <c r="Q70">
        <f>(K70/E70)^2</f>
        <v/>
      </c>
      <c r="R70">
        <f>(K70/H70)^2</f>
        <v/>
      </c>
      <c r="S70">
        <f>AVERAGE(Q70,R70)</f>
        <v/>
      </c>
      <c r="T70">
        <f>AVERAGE((O70/E70)^2,(O70/H70)^2)</f>
        <v/>
      </c>
      <c r="U70">
        <f>IF(T70=0,"",(S70/T70-1)*100)</f>
        <v/>
      </c>
      <c r="V70">
        <f>AVERAGE((L70/E70)^2,(L70/H70)^2)</f>
        <v/>
      </c>
      <c r="W70">
        <f>IF(ABS(E70-汇总!B25)&lt;=ABS(H70-汇总!B25),E70,H70)</f>
        <v/>
      </c>
      <c r="X70">
        <f>(K70/W70)^2</f>
        <v/>
      </c>
      <c r="Y70">
        <f>IF(N70&gt;10,"HIGH_TVW_CV",IF(J70&lt;3,"SHORT_INTERFACE","PASS"))</f>
        <v/>
      </c>
      <c r="Z70" t="inlineStr">
        <is>
          <t>Di1、TVW均值、Di2均来自本Pair_ID；TVW=3–5法线平均</t>
        </is>
      </c>
      <c r="AA70" t="inlineStr">
        <is>
          <t>样品19</t>
        </is>
      </c>
    </row>
    <row r="71">
      <c r="A71" t="inlineStr">
        <is>
          <t>19(4)-P02</t>
        </is>
      </c>
      <c r="B71" t="inlineStr">
        <is>
          <t>19 (4).tif</t>
        </is>
      </c>
      <c r="C71" t="inlineStr">
        <is>
          <t>19(4)-V02</t>
        </is>
      </c>
      <c r="D71">
        <f>导管母表_1781!F817</f>
        <v/>
      </c>
      <c r="E71">
        <f>导管母表_1781!G817</f>
        <v/>
      </c>
      <c r="F71" t="inlineStr">
        <is>
          <t>19(4)-V04</t>
        </is>
      </c>
      <c r="G71">
        <f>导管母表_1781!F819</f>
        <v/>
      </c>
      <c r="H71">
        <f>导管母表_1781!G819</f>
        <v/>
      </c>
      <c r="I71" t="inlineStr">
        <is>
          <t>J167:J168</t>
        </is>
      </c>
      <c r="J71">
        <f>COUNT(TVW线测量明细!J167:J168)</f>
        <v/>
      </c>
      <c r="K71">
        <f>AVERAGE(TVW线测量明细!J167:J168)</f>
        <v/>
      </c>
      <c r="L71">
        <f>MEDIAN(TVW线测量明细!J167:J168)</f>
        <v/>
      </c>
      <c r="M71">
        <f>IF(J71&gt;1,STDEV(TVW线测量明细!J167:J168),0)</f>
        <v/>
      </c>
      <c r="N71">
        <f>IF(K71=0,"",M71/K71*100)</f>
        <v/>
      </c>
      <c r="O71" t="n">
        <v>13.26799523449315</v>
      </c>
      <c r="P71">
        <f>IF(O71=0,"",(K71/O71-1)*100)</f>
        <v/>
      </c>
      <c r="Q71">
        <f>(K71/E71)^2</f>
        <v/>
      </c>
      <c r="R71">
        <f>(K71/H71)^2</f>
        <v/>
      </c>
      <c r="S71">
        <f>AVERAGE(Q71,R71)</f>
        <v/>
      </c>
      <c r="T71">
        <f>AVERAGE((O71/E71)^2,(O71/H71)^2)</f>
        <v/>
      </c>
      <c r="U71">
        <f>IF(T71=0,"",(S71/T71-1)*100)</f>
        <v/>
      </c>
      <c r="V71">
        <f>AVERAGE((L71/E71)^2,(L71/H71)^2)</f>
        <v/>
      </c>
      <c r="W71">
        <f>IF(ABS(E71-汇总!B25)&lt;=ABS(H71-汇总!B25),E71,H71)</f>
        <v/>
      </c>
      <c r="X71">
        <f>(K71/W71)^2</f>
        <v/>
      </c>
      <c r="Y71">
        <f>IF(N71&gt;10,"HIGH_TVW_CV",IF(J71&lt;3,"SHORT_INTERFACE","PASS"))</f>
        <v/>
      </c>
      <c r="Z71" t="inlineStr">
        <is>
          <t>Di1、TVW均值、Di2均来自本Pair_ID；TVW=3–5法线平均</t>
        </is>
      </c>
      <c r="AA71" t="inlineStr">
        <is>
          <t>样品19</t>
        </is>
      </c>
    </row>
    <row r="72">
      <c r="A72" t="inlineStr">
        <is>
          <t>19(5)-P01</t>
        </is>
      </c>
      <c r="B72" t="inlineStr">
        <is>
          <t>19 (5).tif</t>
        </is>
      </c>
      <c r="C72" t="inlineStr">
        <is>
          <t>19(5)-V01</t>
        </is>
      </c>
      <c r="D72">
        <f>导管母表_1781!F821</f>
        <v/>
      </c>
      <c r="E72">
        <f>导管母表_1781!G821</f>
        <v/>
      </c>
      <c r="F72" t="inlineStr">
        <is>
          <t>19(5)-V02</t>
        </is>
      </c>
      <c r="G72">
        <f>导管母表_1781!F822</f>
        <v/>
      </c>
      <c r="H72">
        <f>导管母表_1781!G822</f>
        <v/>
      </c>
      <c r="I72" t="inlineStr">
        <is>
          <t>J169:J170</t>
        </is>
      </c>
      <c r="J72">
        <f>COUNT(TVW线测量明细!J169:J170)</f>
        <v/>
      </c>
      <c r="K72">
        <f>AVERAGE(TVW线测量明细!J169:J170)</f>
        <v/>
      </c>
      <c r="L72">
        <f>MEDIAN(TVW线测量明细!J169:J170)</f>
        <v/>
      </c>
      <c r="M72">
        <f>IF(J72&gt;1,STDEV(TVW线测量明细!J169:J170),0)</f>
        <v/>
      </c>
      <c r="N72">
        <f>IF(K72=0,"",M72/K72*100)</f>
        <v/>
      </c>
      <c r="O72" t="n">
        <v>6.932703790913902</v>
      </c>
      <c r="P72">
        <f>IF(O72=0,"",(K72/O72-1)*100)</f>
        <v/>
      </c>
      <c r="Q72">
        <f>(K72/E72)^2</f>
        <v/>
      </c>
      <c r="R72">
        <f>(K72/H72)^2</f>
        <v/>
      </c>
      <c r="S72">
        <f>AVERAGE(Q72,R72)</f>
        <v/>
      </c>
      <c r="T72">
        <f>AVERAGE((O72/E72)^2,(O72/H72)^2)</f>
        <v/>
      </c>
      <c r="U72">
        <f>IF(T72=0,"",(S72/T72-1)*100)</f>
        <v/>
      </c>
      <c r="V72">
        <f>AVERAGE((L72/E72)^2,(L72/H72)^2)</f>
        <v/>
      </c>
      <c r="W72">
        <f>IF(ABS(E72-汇总!B25)&lt;=ABS(H72-汇总!B25),E72,H72)</f>
        <v/>
      </c>
      <c r="X72">
        <f>(K72/W72)^2</f>
        <v/>
      </c>
      <c r="Y72">
        <f>IF(N72&gt;10,"HIGH_TVW_CV",IF(J72&lt;3,"SHORT_INTERFACE","PASS"))</f>
        <v/>
      </c>
      <c r="Z72" t="inlineStr">
        <is>
          <t>Di1、TVW均值、Di2均来自本Pair_ID；TVW=3–5法线平均</t>
        </is>
      </c>
      <c r="AA72" t="inlineStr">
        <is>
          <t>样品19</t>
        </is>
      </c>
    </row>
    <row r="73">
      <c r="A73" t="inlineStr">
        <is>
          <t>19(6)-P01</t>
        </is>
      </c>
      <c r="B73" t="inlineStr">
        <is>
          <t>19 (6).tif</t>
        </is>
      </c>
      <c r="C73" t="inlineStr">
        <is>
          <t>19(6)-V02</t>
        </is>
      </c>
      <c r="D73">
        <f>导管母表_1781!F830</f>
        <v/>
      </c>
      <c r="E73">
        <f>导管母表_1781!G830</f>
        <v/>
      </c>
      <c r="F73" t="inlineStr">
        <is>
          <t>19(6)-V03</t>
        </is>
      </c>
      <c r="G73">
        <f>导管母表_1781!F831</f>
        <v/>
      </c>
      <c r="H73">
        <f>导管母表_1781!G831</f>
        <v/>
      </c>
      <c r="I73" t="inlineStr">
        <is>
          <t>J171:J171</t>
        </is>
      </c>
      <c r="J73">
        <f>COUNT(TVW线测量明细!J171:J171)</f>
        <v/>
      </c>
      <c r="K73">
        <f>AVERAGE(TVW线测量明细!J171:J171)</f>
        <v/>
      </c>
      <c r="L73">
        <f>MEDIAN(TVW线测量明细!J171:J171)</f>
        <v/>
      </c>
      <c r="M73">
        <f>IF(J73&gt;1,STDEV(TVW线测量明细!J171:J171),0)</f>
        <v/>
      </c>
      <c r="N73">
        <f>IF(K73=0,"",M73/K73*100)</f>
        <v/>
      </c>
      <c r="O73" t="n">
        <v>3.996690502358747</v>
      </c>
      <c r="P73">
        <f>IF(O73=0,"",(K73/O73-1)*100)</f>
        <v/>
      </c>
      <c r="Q73">
        <f>(K73/E73)^2</f>
        <v/>
      </c>
      <c r="R73">
        <f>(K73/H73)^2</f>
        <v/>
      </c>
      <c r="S73">
        <f>AVERAGE(Q73,R73)</f>
        <v/>
      </c>
      <c r="T73">
        <f>AVERAGE((O73/E73)^2,(O73/H73)^2)</f>
        <v/>
      </c>
      <c r="U73">
        <f>IF(T73=0,"",(S73/T73-1)*100)</f>
        <v/>
      </c>
      <c r="V73">
        <f>AVERAGE((L73/E73)^2,(L73/H73)^2)</f>
        <v/>
      </c>
      <c r="W73">
        <f>IF(ABS(E73-汇总!B25)&lt;=ABS(H73-汇总!B25),E73,H73)</f>
        <v/>
      </c>
      <c r="X73">
        <f>(K73/W73)^2</f>
        <v/>
      </c>
      <c r="Y73">
        <f>IF(N73&gt;10,"HIGH_TVW_CV",IF(J73&lt;3,"SHORT_INTERFACE","PASS"))</f>
        <v/>
      </c>
      <c r="Z73" t="inlineStr">
        <is>
          <t>Di1、TVW均值、Di2均来自本Pair_ID；TVW=3–5法线平均</t>
        </is>
      </c>
      <c r="AA73" t="inlineStr">
        <is>
          <t>样品19</t>
        </is>
      </c>
    </row>
    <row r="74">
      <c r="A74" t="inlineStr">
        <is>
          <t>19(7)-P01</t>
        </is>
      </c>
      <c r="B74" t="inlineStr">
        <is>
          <t>19 (7).tif</t>
        </is>
      </c>
      <c r="C74" t="inlineStr">
        <is>
          <t>19(7)-V01</t>
        </is>
      </c>
      <c r="D74">
        <f>导管母表_1781!F837</f>
        <v/>
      </c>
      <c r="E74">
        <f>导管母表_1781!G837</f>
        <v/>
      </c>
      <c r="F74" t="inlineStr">
        <is>
          <t>19(7)-V03</t>
        </is>
      </c>
      <c r="G74">
        <f>导管母表_1781!F839</f>
        <v/>
      </c>
      <c r="H74">
        <f>导管母表_1781!G839</f>
        <v/>
      </c>
      <c r="I74" t="inlineStr">
        <is>
          <t>J172:J174</t>
        </is>
      </c>
      <c r="J74">
        <f>COUNT(TVW线测量明细!J172:J174)</f>
        <v/>
      </c>
      <c r="K74">
        <f>AVERAGE(TVW线测量明细!J172:J174)</f>
        <v/>
      </c>
      <c r="L74">
        <f>MEDIAN(TVW线测量明细!J172:J174)</f>
        <v/>
      </c>
      <c r="M74">
        <f>IF(J74&gt;1,STDEV(TVW线测量明细!J172:J174),0)</f>
        <v/>
      </c>
      <c r="N74">
        <f>IF(K74=0,"",M74/K74*100)</f>
        <v/>
      </c>
      <c r="O74" t="n">
        <v>15.01731829493091</v>
      </c>
      <c r="P74">
        <f>IF(O74=0,"",(K74/O74-1)*100)</f>
        <v/>
      </c>
      <c r="Q74">
        <f>(K74/E74)^2</f>
        <v/>
      </c>
      <c r="R74">
        <f>(K74/H74)^2</f>
        <v/>
      </c>
      <c r="S74">
        <f>AVERAGE(Q74,R74)</f>
        <v/>
      </c>
      <c r="T74">
        <f>AVERAGE((O74/E74)^2,(O74/H74)^2)</f>
        <v/>
      </c>
      <c r="U74">
        <f>IF(T74=0,"",(S74/T74-1)*100)</f>
        <v/>
      </c>
      <c r="V74">
        <f>AVERAGE((L74/E74)^2,(L74/H74)^2)</f>
        <v/>
      </c>
      <c r="W74">
        <f>IF(ABS(E74-汇总!B25)&lt;=ABS(H74-汇总!B25),E74,H74)</f>
        <v/>
      </c>
      <c r="X74">
        <f>(K74/W74)^2</f>
        <v/>
      </c>
      <c r="Y74">
        <f>IF(N74&gt;10,"HIGH_TVW_CV",IF(J74&lt;3,"SHORT_INTERFACE","PASS"))</f>
        <v/>
      </c>
      <c r="Z74" t="inlineStr">
        <is>
          <t>Di1、TVW均值、Di2均来自本Pair_ID；TVW=3–5法线平均</t>
        </is>
      </c>
      <c r="AA74" t="inlineStr">
        <is>
          <t>样品19</t>
        </is>
      </c>
    </row>
    <row r="75">
      <c r="A75" t="inlineStr">
        <is>
          <t>19(9)-P01</t>
        </is>
      </c>
      <c r="B75" t="inlineStr">
        <is>
          <t>19 (9).tif</t>
        </is>
      </c>
      <c r="C75" t="inlineStr">
        <is>
          <t>19(9)-V01</t>
        </is>
      </c>
      <c r="D75">
        <f>导管母表_1781!F849</f>
        <v/>
      </c>
      <c r="E75">
        <f>导管母表_1781!G849</f>
        <v/>
      </c>
      <c r="F75" t="inlineStr">
        <is>
          <t>19(9)-V02</t>
        </is>
      </c>
      <c r="G75">
        <f>导管母表_1781!F850</f>
        <v/>
      </c>
      <c r="H75">
        <f>导管母表_1781!G850</f>
        <v/>
      </c>
      <c r="I75" t="inlineStr">
        <is>
          <t>J175:J175</t>
        </is>
      </c>
      <c r="J75">
        <f>COUNT(TVW线测量明细!J175:J175)</f>
        <v/>
      </c>
      <c r="K75">
        <f>AVERAGE(TVW线测量明细!J175:J175)</f>
        <v/>
      </c>
      <c r="L75">
        <f>MEDIAN(TVW线测量明细!J175:J175)</f>
        <v/>
      </c>
      <c r="M75">
        <f>IF(J75&gt;1,STDEV(TVW线测量明细!J175:J175),0)</f>
        <v/>
      </c>
      <c r="N75">
        <f>IF(K75=0,"",M75/K75*100)</f>
        <v/>
      </c>
      <c r="O75" t="n">
        <v>1.792654619833765</v>
      </c>
      <c r="P75">
        <f>IF(O75=0,"",(K75/O75-1)*100)</f>
        <v/>
      </c>
      <c r="Q75">
        <f>(K75/E75)^2</f>
        <v/>
      </c>
      <c r="R75">
        <f>(K75/H75)^2</f>
        <v/>
      </c>
      <c r="S75">
        <f>AVERAGE(Q75,R75)</f>
        <v/>
      </c>
      <c r="T75">
        <f>AVERAGE((O75/E75)^2,(O75/H75)^2)</f>
        <v/>
      </c>
      <c r="U75">
        <f>IF(T75=0,"",(S75/T75-1)*100)</f>
        <v/>
      </c>
      <c r="V75">
        <f>AVERAGE((L75/E75)^2,(L75/H75)^2)</f>
        <v/>
      </c>
      <c r="W75">
        <f>IF(ABS(E75-汇总!B25)&lt;=ABS(H75-汇总!B25),E75,H75)</f>
        <v/>
      </c>
      <c r="X75">
        <f>(K75/W75)^2</f>
        <v/>
      </c>
      <c r="Y75">
        <f>IF(N75&gt;10,"HIGH_TVW_CV",IF(J75&lt;3,"SHORT_INTERFACE","PASS"))</f>
        <v/>
      </c>
      <c r="Z75" t="inlineStr">
        <is>
          <t>Di1、TVW均值、Di2均来自本Pair_ID；TVW=3–5法线平均</t>
        </is>
      </c>
      <c r="AA75" t="inlineStr">
        <is>
          <t>样品19</t>
        </is>
      </c>
    </row>
    <row r="76">
      <c r="A76" t="inlineStr">
        <is>
          <t>19(11)-P01</t>
        </is>
      </c>
      <c r="B76" t="inlineStr">
        <is>
          <t>19 (11).tif</t>
        </is>
      </c>
      <c r="C76" t="inlineStr">
        <is>
          <t>19(11)-V01</t>
        </is>
      </c>
      <c r="D76">
        <f>导管母表_1781!F858</f>
        <v/>
      </c>
      <c r="E76">
        <f>导管母表_1781!G858</f>
        <v/>
      </c>
      <c r="F76" t="inlineStr">
        <is>
          <t>19(11)-V03</t>
        </is>
      </c>
      <c r="G76">
        <f>导管母表_1781!F860</f>
        <v/>
      </c>
      <c r="H76">
        <f>导管母表_1781!G860</f>
        <v/>
      </c>
      <c r="I76" t="inlineStr">
        <is>
          <t>J176:J177</t>
        </is>
      </c>
      <c r="J76">
        <f>COUNT(TVW线测量明细!J176:J177)</f>
        <v/>
      </c>
      <c r="K76">
        <f>AVERAGE(TVW线测量明细!J176:J177)</f>
        <v/>
      </c>
      <c r="L76">
        <f>MEDIAN(TVW线测量明细!J176:J177)</f>
        <v/>
      </c>
      <c r="M76">
        <f>IF(J76&gt;1,STDEV(TVW线测量明细!J176:J177),0)</f>
        <v/>
      </c>
      <c r="N76">
        <f>IF(K76=0,"",M76/K76*100)</f>
        <v/>
      </c>
      <c r="O76" t="n">
        <v>3.505329455781978</v>
      </c>
      <c r="P76">
        <f>IF(O76=0,"",(K76/O76-1)*100)</f>
        <v/>
      </c>
      <c r="Q76">
        <f>(K76/E76)^2</f>
        <v/>
      </c>
      <c r="R76">
        <f>(K76/H76)^2</f>
        <v/>
      </c>
      <c r="S76">
        <f>AVERAGE(Q76,R76)</f>
        <v/>
      </c>
      <c r="T76">
        <f>AVERAGE((O76/E76)^2,(O76/H76)^2)</f>
        <v/>
      </c>
      <c r="U76">
        <f>IF(T76=0,"",(S76/T76-1)*100)</f>
        <v/>
      </c>
      <c r="V76">
        <f>AVERAGE((L76/E76)^2,(L76/H76)^2)</f>
        <v/>
      </c>
      <c r="W76">
        <f>IF(ABS(E76-汇总!B25)&lt;=ABS(H76-汇总!B25),E76,H76)</f>
        <v/>
      </c>
      <c r="X76">
        <f>(K76/W76)^2</f>
        <v/>
      </c>
      <c r="Y76">
        <f>IF(N76&gt;10,"HIGH_TVW_CV",IF(J76&lt;3,"SHORT_INTERFACE","PASS"))</f>
        <v/>
      </c>
      <c r="Z76" t="inlineStr">
        <is>
          <t>Di1、TVW均值、Di2均来自本Pair_ID；TVW=3–5法线平均</t>
        </is>
      </c>
      <c r="AA76" t="inlineStr">
        <is>
          <t>样品19</t>
        </is>
      </c>
    </row>
    <row r="77">
      <c r="A77" t="inlineStr">
        <is>
          <t>19(14)-P01</t>
        </is>
      </c>
      <c r="B77" t="inlineStr">
        <is>
          <t>19 (14).tif</t>
        </is>
      </c>
      <c r="C77" t="inlineStr">
        <is>
          <t>19(14)-V01</t>
        </is>
      </c>
      <c r="D77">
        <f>导管母表_1781!F873</f>
        <v/>
      </c>
      <c r="E77">
        <f>导管母表_1781!G873</f>
        <v/>
      </c>
      <c r="F77" t="inlineStr">
        <is>
          <t>19(14)-V02</t>
        </is>
      </c>
      <c r="G77">
        <f>导管母表_1781!F874</f>
        <v/>
      </c>
      <c r="H77">
        <f>导管母表_1781!G874</f>
        <v/>
      </c>
      <c r="I77" t="inlineStr">
        <is>
          <t>J178:J180</t>
        </is>
      </c>
      <c r="J77">
        <f>COUNT(TVW线测量明细!J178:J180)</f>
        <v/>
      </c>
      <c r="K77">
        <f>AVERAGE(TVW线测量明细!J178:J180)</f>
        <v/>
      </c>
      <c r="L77">
        <f>MEDIAN(TVW线测量明细!J178:J180)</f>
        <v/>
      </c>
      <c r="M77">
        <f>IF(J77&gt;1,STDEV(TVW线测量明细!J178:J180),0)</f>
        <v/>
      </c>
      <c r="N77">
        <f>IF(K77=0,"",M77/K77*100)</f>
        <v/>
      </c>
      <c r="O77" t="n">
        <v>7.658223892960232</v>
      </c>
      <c r="P77">
        <f>IF(O77=0,"",(K77/O77-1)*100)</f>
        <v/>
      </c>
      <c r="Q77">
        <f>(K77/E77)^2</f>
        <v/>
      </c>
      <c r="R77">
        <f>(K77/H77)^2</f>
        <v/>
      </c>
      <c r="S77">
        <f>AVERAGE(Q77,R77)</f>
        <v/>
      </c>
      <c r="T77">
        <f>AVERAGE((O77/E77)^2,(O77/H77)^2)</f>
        <v/>
      </c>
      <c r="U77">
        <f>IF(T77=0,"",(S77/T77-1)*100)</f>
        <v/>
      </c>
      <c r="V77">
        <f>AVERAGE((L77/E77)^2,(L77/H77)^2)</f>
        <v/>
      </c>
      <c r="W77">
        <f>IF(ABS(E77-汇总!B25)&lt;=ABS(H77-汇总!B25),E77,H77)</f>
        <v/>
      </c>
      <c r="X77">
        <f>(K77/W77)^2</f>
        <v/>
      </c>
      <c r="Y77">
        <f>IF(N77&gt;10,"HIGH_TVW_CV",IF(J77&lt;3,"SHORT_INTERFACE","PASS"))</f>
        <v/>
      </c>
      <c r="Z77" t="inlineStr">
        <is>
          <t>Di1、TVW均值、Di2均来自本Pair_ID；TVW=3–5法线平均</t>
        </is>
      </c>
      <c r="AA77" t="inlineStr">
        <is>
          <t>样品19</t>
        </is>
      </c>
    </row>
    <row r="78">
      <c r="A78" t="inlineStr">
        <is>
          <t>19(16)-P01</t>
        </is>
      </c>
      <c r="B78" t="inlineStr">
        <is>
          <t>19 (16).tif</t>
        </is>
      </c>
      <c r="C78" t="inlineStr">
        <is>
          <t>19(16)-V01</t>
        </is>
      </c>
      <c r="D78">
        <f>导管母表_1781!F882</f>
        <v/>
      </c>
      <c r="E78">
        <f>导管母表_1781!G882</f>
        <v/>
      </c>
      <c r="F78" t="inlineStr">
        <is>
          <t>19(16)-V02</t>
        </is>
      </c>
      <c r="G78">
        <f>导管母表_1781!F883</f>
        <v/>
      </c>
      <c r="H78">
        <f>导管母表_1781!G883</f>
        <v/>
      </c>
      <c r="I78" t="inlineStr">
        <is>
          <t>J181:J182</t>
        </is>
      </c>
      <c r="J78">
        <f>COUNT(TVW线测量明细!J181:J182)</f>
        <v/>
      </c>
      <c r="K78">
        <f>AVERAGE(TVW线测量明细!J181:J182)</f>
        <v/>
      </c>
      <c r="L78">
        <f>MEDIAN(TVW线测量明细!J181:J182)</f>
        <v/>
      </c>
      <c r="M78">
        <f>IF(J78&gt;1,STDEV(TVW线测量明细!J181:J182),0)</f>
        <v/>
      </c>
      <c r="N78">
        <f>IF(K78=0,"",M78/K78*100)</f>
        <v/>
      </c>
      <c r="O78" t="n">
        <v>4.606439152264585</v>
      </c>
      <c r="P78">
        <f>IF(O78=0,"",(K78/O78-1)*100)</f>
        <v/>
      </c>
      <c r="Q78">
        <f>(K78/E78)^2</f>
        <v/>
      </c>
      <c r="R78">
        <f>(K78/H78)^2</f>
        <v/>
      </c>
      <c r="S78">
        <f>AVERAGE(Q78,R78)</f>
        <v/>
      </c>
      <c r="T78">
        <f>AVERAGE((O78/E78)^2,(O78/H78)^2)</f>
        <v/>
      </c>
      <c r="U78">
        <f>IF(T78=0,"",(S78/T78-1)*100)</f>
        <v/>
      </c>
      <c r="V78">
        <f>AVERAGE((L78/E78)^2,(L78/H78)^2)</f>
        <v/>
      </c>
      <c r="W78">
        <f>IF(ABS(E78-汇总!B25)&lt;=ABS(H78-汇总!B25),E78,H78)</f>
        <v/>
      </c>
      <c r="X78">
        <f>(K78/W78)^2</f>
        <v/>
      </c>
      <c r="Y78">
        <f>IF(N78&gt;10,"HIGH_TVW_CV",IF(J78&lt;3,"SHORT_INTERFACE","PASS"))</f>
        <v/>
      </c>
      <c r="Z78" t="inlineStr">
        <is>
          <t>Di1、TVW均值、Di2均来自本Pair_ID；TVW=3–5法线平均</t>
        </is>
      </c>
      <c r="AA78" t="inlineStr">
        <is>
          <t>样品19</t>
        </is>
      </c>
    </row>
    <row r="79">
      <c r="A79" t="inlineStr">
        <is>
          <t>19(17)-P01</t>
        </is>
      </c>
      <c r="B79" t="inlineStr">
        <is>
          <t>19 (17).tif</t>
        </is>
      </c>
      <c r="C79" t="inlineStr">
        <is>
          <t>19(17)-V01</t>
        </is>
      </c>
      <c r="D79">
        <f>导管母表_1781!F885</f>
        <v/>
      </c>
      <c r="E79">
        <f>导管母表_1781!G885</f>
        <v/>
      </c>
      <c r="F79" t="inlineStr">
        <is>
          <t>19(17)-V02</t>
        </is>
      </c>
      <c r="G79">
        <f>导管母表_1781!F886</f>
        <v/>
      </c>
      <c r="H79">
        <f>导管母表_1781!G886</f>
        <v/>
      </c>
      <c r="I79" t="inlineStr">
        <is>
          <t>J183:J185</t>
        </is>
      </c>
      <c r="J79">
        <f>COUNT(TVW线测量明细!J183:J185)</f>
        <v/>
      </c>
      <c r="K79">
        <f>AVERAGE(TVW线测量明细!J183:J185)</f>
        <v/>
      </c>
      <c r="L79">
        <f>MEDIAN(TVW线测量明细!J183:J185)</f>
        <v/>
      </c>
      <c r="M79">
        <f>IF(J79&gt;1,STDEV(TVW线测量明细!J183:J185),0)</f>
        <v/>
      </c>
      <c r="N79">
        <f>IF(K79=0,"",M79/K79*100)</f>
        <v/>
      </c>
      <c r="O79" t="n">
        <v>4.374915608151762</v>
      </c>
      <c r="P79">
        <f>IF(O79=0,"",(K79/O79-1)*100)</f>
        <v/>
      </c>
      <c r="Q79">
        <f>(K79/E79)^2</f>
        <v/>
      </c>
      <c r="R79">
        <f>(K79/H79)^2</f>
        <v/>
      </c>
      <c r="S79">
        <f>AVERAGE(Q79,R79)</f>
        <v/>
      </c>
      <c r="T79">
        <f>AVERAGE((O79/E79)^2,(O79/H79)^2)</f>
        <v/>
      </c>
      <c r="U79">
        <f>IF(T79=0,"",(S79/T79-1)*100)</f>
        <v/>
      </c>
      <c r="V79">
        <f>AVERAGE((L79/E79)^2,(L79/H79)^2)</f>
        <v/>
      </c>
      <c r="W79">
        <f>IF(ABS(E79-汇总!B25)&lt;=ABS(H79-汇总!B25),E79,H79)</f>
        <v/>
      </c>
      <c r="X79">
        <f>(K79/W79)^2</f>
        <v/>
      </c>
      <c r="Y79">
        <f>IF(N79&gt;10,"HIGH_TVW_CV",IF(J79&lt;3,"SHORT_INTERFACE","PASS"))</f>
        <v/>
      </c>
      <c r="Z79" t="inlineStr">
        <is>
          <t>Di1、TVW均值、Di2均来自本Pair_ID；TVW=3–5法线平均</t>
        </is>
      </c>
      <c r="AA79" t="inlineStr">
        <is>
          <t>样品19</t>
        </is>
      </c>
    </row>
    <row r="80">
      <c r="A80" t="inlineStr">
        <is>
          <t>20(4)-P01</t>
        </is>
      </c>
      <c r="B80" t="inlineStr">
        <is>
          <t>20 (4).tif</t>
        </is>
      </c>
      <c r="C80" t="inlineStr">
        <is>
          <t>20(4)-V01</t>
        </is>
      </c>
      <c r="D80">
        <f>导管母表_1781!F904</f>
        <v/>
      </c>
      <c r="E80">
        <f>导管母表_1781!G904</f>
        <v/>
      </c>
      <c r="F80" t="inlineStr">
        <is>
          <t>20(4)-V02</t>
        </is>
      </c>
      <c r="G80">
        <f>导管母表_1781!F905</f>
        <v/>
      </c>
      <c r="H80">
        <f>导管母表_1781!G905</f>
        <v/>
      </c>
      <c r="I80" t="inlineStr">
        <is>
          <t>J186:J186</t>
        </is>
      </c>
      <c r="J80">
        <f>COUNT(TVW线测量明细!J186:J186)</f>
        <v/>
      </c>
      <c r="K80">
        <f>AVERAGE(TVW线测量明细!J186:J186)</f>
        <v/>
      </c>
      <c r="L80">
        <f>MEDIAN(TVW线测量明细!J186:J186)</f>
        <v/>
      </c>
      <c r="M80">
        <f>IF(J80&gt;1,STDEV(TVW线测量明细!J186:J186),0)</f>
        <v/>
      </c>
      <c r="N80">
        <f>IF(K80=0,"",M80/K80*100)</f>
        <v/>
      </c>
      <c r="O80" t="n">
        <v>4.570390443832313</v>
      </c>
      <c r="P80">
        <f>IF(O80=0,"",(K80/O80-1)*100)</f>
        <v/>
      </c>
      <c r="Q80">
        <f>(K80/E80)^2</f>
        <v/>
      </c>
      <c r="R80">
        <f>(K80/H80)^2</f>
        <v/>
      </c>
      <c r="S80">
        <f>AVERAGE(Q80,R80)</f>
        <v/>
      </c>
      <c r="T80">
        <f>AVERAGE((O80/E80)^2,(O80/H80)^2)</f>
        <v/>
      </c>
      <c r="U80">
        <f>IF(T80=0,"",(S80/T80-1)*100)</f>
        <v/>
      </c>
      <c r="V80">
        <f>AVERAGE((L80/E80)^2,(L80/H80)^2)</f>
        <v/>
      </c>
      <c r="W80">
        <f>IF(ABS(E80-汇总!B25)&lt;=ABS(H80-汇总!B25),E80,H80)</f>
        <v/>
      </c>
      <c r="X80">
        <f>(K80/W80)^2</f>
        <v/>
      </c>
      <c r="Y80">
        <f>IF(N80&gt;10,"HIGH_TVW_CV",IF(J80&lt;3,"SHORT_INTERFACE","PASS"))</f>
        <v/>
      </c>
      <c r="Z80" t="inlineStr">
        <is>
          <t>Di1、TVW均值、Di2均来自本Pair_ID；TVW=3–5法线平均</t>
        </is>
      </c>
      <c r="AA80" t="inlineStr">
        <is>
          <t>样品20</t>
        </is>
      </c>
    </row>
    <row r="81">
      <c r="A81" t="inlineStr">
        <is>
          <t>20(7)-P01</t>
        </is>
      </c>
      <c r="B81" t="inlineStr">
        <is>
          <t>20 (7).tif</t>
        </is>
      </c>
      <c r="C81" t="inlineStr">
        <is>
          <t>20(7)-V01</t>
        </is>
      </c>
      <c r="D81">
        <f>导管母表_1781!F918</f>
        <v/>
      </c>
      <c r="E81">
        <f>导管母表_1781!G918</f>
        <v/>
      </c>
      <c r="F81" t="inlineStr">
        <is>
          <t>20(7)-V02</t>
        </is>
      </c>
      <c r="G81">
        <f>导管母表_1781!F919</f>
        <v/>
      </c>
      <c r="H81">
        <f>导管母表_1781!G919</f>
        <v/>
      </c>
      <c r="I81" t="inlineStr">
        <is>
          <t>J187:J187</t>
        </is>
      </c>
      <c r="J81">
        <f>COUNT(TVW线测量明细!J187:J187)</f>
        <v/>
      </c>
      <c r="K81">
        <f>AVERAGE(TVW线测量明细!J187:J187)</f>
        <v/>
      </c>
      <c r="L81">
        <f>MEDIAN(TVW线测量明细!J187:J187)</f>
        <v/>
      </c>
      <c r="M81">
        <f>IF(J81&gt;1,STDEV(TVW线测量明细!J187:J187),0)</f>
        <v/>
      </c>
      <c r="N81">
        <f>IF(K81=0,"",M81/K81*100)</f>
        <v/>
      </c>
      <c r="O81" t="n">
        <v>4.401838419851432</v>
      </c>
      <c r="P81">
        <f>IF(O81=0,"",(K81/O81-1)*100)</f>
        <v/>
      </c>
      <c r="Q81">
        <f>(K81/E81)^2</f>
        <v/>
      </c>
      <c r="R81">
        <f>(K81/H81)^2</f>
        <v/>
      </c>
      <c r="S81">
        <f>AVERAGE(Q81,R81)</f>
        <v/>
      </c>
      <c r="T81">
        <f>AVERAGE((O81/E81)^2,(O81/H81)^2)</f>
        <v/>
      </c>
      <c r="U81">
        <f>IF(T81=0,"",(S81/T81-1)*100)</f>
        <v/>
      </c>
      <c r="V81">
        <f>AVERAGE((L81/E81)^2,(L81/H81)^2)</f>
        <v/>
      </c>
      <c r="W81">
        <f>IF(ABS(E81-汇总!B25)&lt;=ABS(H81-汇总!B25),E81,H81)</f>
        <v/>
      </c>
      <c r="X81">
        <f>(K81/W81)^2</f>
        <v/>
      </c>
      <c r="Y81">
        <f>IF(N81&gt;10,"HIGH_TVW_CV",IF(J81&lt;3,"SHORT_INTERFACE","PASS"))</f>
        <v/>
      </c>
      <c r="Z81" t="inlineStr">
        <is>
          <t>Di1、TVW均值、Di2均来自本Pair_ID；TVW=3–5法线平均</t>
        </is>
      </c>
      <c r="AA81" t="inlineStr">
        <is>
          <t>样品20</t>
        </is>
      </c>
    </row>
    <row r="82">
      <c r="A82" t="inlineStr">
        <is>
          <t>21(1)-P01</t>
        </is>
      </c>
      <c r="B82" t="inlineStr">
        <is>
          <t>21 (1).tif</t>
        </is>
      </c>
      <c r="C82" t="inlineStr">
        <is>
          <t>21(1)-V01</t>
        </is>
      </c>
      <c r="D82">
        <f>导管母表_1781!F931</f>
        <v/>
      </c>
      <c r="E82">
        <f>导管母表_1781!G931</f>
        <v/>
      </c>
      <c r="F82" t="inlineStr">
        <is>
          <t>21(1)-V02</t>
        </is>
      </c>
      <c r="G82">
        <f>导管母表_1781!F932</f>
        <v/>
      </c>
      <c r="H82">
        <f>导管母表_1781!G932</f>
        <v/>
      </c>
      <c r="I82" t="inlineStr">
        <is>
          <t>J188:J189</t>
        </is>
      </c>
      <c r="J82">
        <f>COUNT(TVW线测量明细!J188:J189)</f>
        <v/>
      </c>
      <c r="K82">
        <f>AVERAGE(TVW线测量明细!J188:J189)</f>
        <v/>
      </c>
      <c r="L82">
        <f>MEDIAN(TVW线测量明细!J188:J189)</f>
        <v/>
      </c>
      <c r="M82">
        <f>IF(J82&gt;1,STDEV(TVW线测量明细!J188:J189),0)</f>
        <v/>
      </c>
      <c r="N82">
        <f>IF(K82=0,"",M82/K82*100)</f>
        <v/>
      </c>
      <c r="O82" t="n">
        <v>5.347119076629932</v>
      </c>
      <c r="P82">
        <f>IF(O82=0,"",(K82/O82-1)*100)</f>
        <v/>
      </c>
      <c r="Q82">
        <f>(K82/E82)^2</f>
        <v/>
      </c>
      <c r="R82">
        <f>(K82/H82)^2</f>
        <v/>
      </c>
      <c r="S82">
        <f>AVERAGE(Q82,R82)</f>
        <v/>
      </c>
      <c r="T82">
        <f>AVERAGE((O82/E82)^2,(O82/H82)^2)</f>
        <v/>
      </c>
      <c r="U82">
        <f>IF(T82=0,"",(S82/T82-1)*100)</f>
        <v/>
      </c>
      <c r="V82">
        <f>AVERAGE((L82/E82)^2,(L82/H82)^2)</f>
        <v/>
      </c>
      <c r="W82">
        <f>IF(ABS(E82-汇总!B25)&lt;=ABS(H82-汇总!B25),E82,H82)</f>
        <v/>
      </c>
      <c r="X82">
        <f>(K82/W82)^2</f>
        <v/>
      </c>
      <c r="Y82">
        <f>IF(N82&gt;10,"HIGH_TVW_CV",IF(J82&lt;3,"SHORT_INTERFACE","PASS"))</f>
        <v/>
      </c>
      <c r="Z82" t="inlineStr">
        <is>
          <t>Di1、TVW均值、Di2均来自本Pair_ID；TVW=3–5法线平均</t>
        </is>
      </c>
      <c r="AA82" t="inlineStr">
        <is>
          <t>样品21</t>
        </is>
      </c>
    </row>
    <row r="83">
      <c r="A83" t="inlineStr">
        <is>
          <t>21(2)-P01</t>
        </is>
      </c>
      <c r="B83" t="inlineStr">
        <is>
          <t>21 (2).tif</t>
        </is>
      </c>
      <c r="C83" t="inlineStr">
        <is>
          <t>21(2)-V01</t>
        </is>
      </c>
      <c r="D83">
        <f>导管母表_1781!F935</f>
        <v/>
      </c>
      <c r="E83">
        <f>导管母表_1781!G935</f>
        <v/>
      </c>
      <c r="F83" t="inlineStr">
        <is>
          <t>21(2)-V02</t>
        </is>
      </c>
      <c r="G83">
        <f>导管母表_1781!F936</f>
        <v/>
      </c>
      <c r="H83">
        <f>导管母表_1781!G936</f>
        <v/>
      </c>
      <c r="I83" t="inlineStr">
        <is>
          <t>J190:J191</t>
        </is>
      </c>
      <c r="J83">
        <f>COUNT(TVW线测量明细!J190:J191)</f>
        <v/>
      </c>
      <c r="K83">
        <f>AVERAGE(TVW线测量明细!J190:J191)</f>
        <v/>
      </c>
      <c r="L83">
        <f>MEDIAN(TVW线测量明细!J190:J191)</f>
        <v/>
      </c>
      <c r="M83">
        <f>IF(J83&gt;1,STDEV(TVW线测量明细!J190:J191),0)</f>
        <v/>
      </c>
      <c r="N83">
        <f>IF(K83=0,"",M83/K83*100)</f>
        <v/>
      </c>
      <c r="O83" t="n">
        <v>12.72249990295611</v>
      </c>
      <c r="P83">
        <f>IF(O83=0,"",(K83/O83-1)*100)</f>
        <v/>
      </c>
      <c r="Q83">
        <f>(K83/E83)^2</f>
        <v/>
      </c>
      <c r="R83">
        <f>(K83/H83)^2</f>
        <v/>
      </c>
      <c r="S83">
        <f>AVERAGE(Q83,R83)</f>
        <v/>
      </c>
      <c r="T83">
        <f>AVERAGE((O83/E83)^2,(O83/H83)^2)</f>
        <v/>
      </c>
      <c r="U83">
        <f>IF(T83=0,"",(S83/T83-1)*100)</f>
        <v/>
      </c>
      <c r="V83">
        <f>AVERAGE((L83/E83)^2,(L83/H83)^2)</f>
        <v/>
      </c>
      <c r="W83">
        <f>IF(ABS(E83-汇总!B25)&lt;=ABS(H83-汇总!B25),E83,H83)</f>
        <v/>
      </c>
      <c r="X83">
        <f>(K83/W83)^2</f>
        <v/>
      </c>
      <c r="Y83">
        <f>IF(N83&gt;10,"HIGH_TVW_CV",IF(J83&lt;3,"SHORT_INTERFACE","PASS"))</f>
        <v/>
      </c>
      <c r="Z83" t="inlineStr">
        <is>
          <t>Di1、TVW均值、Di2均来自本Pair_ID；TVW=3–5法线平均</t>
        </is>
      </c>
      <c r="AA83" t="inlineStr">
        <is>
          <t>样品21</t>
        </is>
      </c>
    </row>
    <row r="84">
      <c r="A84" t="inlineStr">
        <is>
          <t>21(3)-P01</t>
        </is>
      </c>
      <c r="B84" t="inlineStr">
        <is>
          <t>21 (3).tif</t>
        </is>
      </c>
      <c r="C84" t="inlineStr">
        <is>
          <t>21(3)-V01</t>
        </is>
      </c>
      <c r="D84">
        <f>导管母表_1781!F941</f>
        <v/>
      </c>
      <c r="E84">
        <f>导管母表_1781!G941</f>
        <v/>
      </c>
      <c r="F84" t="inlineStr">
        <is>
          <t>21(3)-V04</t>
        </is>
      </c>
      <c r="G84">
        <f>导管母表_1781!F944</f>
        <v/>
      </c>
      <c r="H84">
        <f>导管母表_1781!G944</f>
        <v/>
      </c>
      <c r="I84" t="inlineStr">
        <is>
          <t>J192:J193</t>
        </is>
      </c>
      <c r="J84">
        <f>COUNT(TVW线测量明细!J192:J193)</f>
        <v/>
      </c>
      <c r="K84">
        <f>AVERAGE(TVW线测量明细!J192:J193)</f>
        <v/>
      </c>
      <c r="L84">
        <f>MEDIAN(TVW线测量明细!J192:J193)</f>
        <v/>
      </c>
      <c r="M84">
        <f>IF(J84&gt;1,STDEV(TVW线测量明细!J192:J193),0)</f>
        <v/>
      </c>
      <c r="N84">
        <f>IF(K84=0,"",M84/K84*100)</f>
        <v/>
      </c>
      <c r="O84" t="n">
        <v>6.611698402498065</v>
      </c>
      <c r="P84">
        <f>IF(O84=0,"",(K84/O84-1)*100)</f>
        <v/>
      </c>
      <c r="Q84">
        <f>(K84/E84)^2</f>
        <v/>
      </c>
      <c r="R84">
        <f>(K84/H84)^2</f>
        <v/>
      </c>
      <c r="S84">
        <f>AVERAGE(Q84,R84)</f>
        <v/>
      </c>
      <c r="T84">
        <f>AVERAGE((O84/E84)^2,(O84/H84)^2)</f>
        <v/>
      </c>
      <c r="U84">
        <f>IF(T84=0,"",(S84/T84-1)*100)</f>
        <v/>
      </c>
      <c r="V84">
        <f>AVERAGE((L84/E84)^2,(L84/H84)^2)</f>
        <v/>
      </c>
      <c r="W84">
        <f>IF(ABS(E84-汇总!B25)&lt;=ABS(H84-汇总!B25),E84,H84)</f>
        <v/>
      </c>
      <c r="X84">
        <f>(K84/W84)^2</f>
        <v/>
      </c>
      <c r="Y84">
        <f>IF(N84&gt;10,"HIGH_TVW_CV",IF(J84&lt;3,"SHORT_INTERFACE","PASS"))</f>
        <v/>
      </c>
      <c r="Z84" t="inlineStr">
        <is>
          <t>Di1、TVW均值、Di2均来自本Pair_ID；TVW=3–5法线平均</t>
        </is>
      </c>
      <c r="AA84" t="inlineStr">
        <is>
          <t>样品21</t>
        </is>
      </c>
    </row>
    <row r="85">
      <c r="A85" t="inlineStr">
        <is>
          <t>21(7)-P01</t>
        </is>
      </c>
      <c r="B85" t="inlineStr">
        <is>
          <t>21 (7).tif</t>
        </is>
      </c>
      <c r="C85" t="inlineStr">
        <is>
          <t>21(7)-V02</t>
        </is>
      </c>
      <c r="D85">
        <f>导管母表_1781!F964</f>
        <v/>
      </c>
      <c r="E85">
        <f>导管母表_1781!G964</f>
        <v/>
      </c>
      <c r="F85" t="inlineStr">
        <is>
          <t>21(7)-V03</t>
        </is>
      </c>
      <c r="G85">
        <f>导管母表_1781!F965</f>
        <v/>
      </c>
      <c r="H85">
        <f>导管母表_1781!G965</f>
        <v/>
      </c>
      <c r="I85" t="inlineStr">
        <is>
          <t>J194:J196</t>
        </is>
      </c>
      <c r="J85">
        <f>COUNT(TVW线测量明细!J194:J196)</f>
        <v/>
      </c>
      <c r="K85">
        <f>AVERAGE(TVW线测量明细!J194:J196)</f>
        <v/>
      </c>
      <c r="L85">
        <f>MEDIAN(TVW线测量明细!J194:J196)</f>
        <v/>
      </c>
      <c r="M85">
        <f>IF(J85&gt;1,STDEV(TVW线测量明细!J194:J196),0)</f>
        <v/>
      </c>
      <c r="N85">
        <f>IF(K85=0,"",M85/K85*100)</f>
        <v/>
      </c>
      <c r="O85" t="n">
        <v>8.923641631205996</v>
      </c>
      <c r="P85">
        <f>IF(O85=0,"",(K85/O85-1)*100)</f>
        <v/>
      </c>
      <c r="Q85">
        <f>(K85/E85)^2</f>
        <v/>
      </c>
      <c r="R85">
        <f>(K85/H85)^2</f>
        <v/>
      </c>
      <c r="S85">
        <f>AVERAGE(Q85,R85)</f>
        <v/>
      </c>
      <c r="T85">
        <f>AVERAGE((O85/E85)^2,(O85/H85)^2)</f>
        <v/>
      </c>
      <c r="U85">
        <f>IF(T85=0,"",(S85/T85-1)*100)</f>
        <v/>
      </c>
      <c r="V85">
        <f>AVERAGE((L85/E85)^2,(L85/H85)^2)</f>
        <v/>
      </c>
      <c r="W85">
        <f>IF(ABS(E85-汇总!B25)&lt;=ABS(H85-汇总!B25),E85,H85)</f>
        <v/>
      </c>
      <c r="X85">
        <f>(K85/W85)^2</f>
        <v/>
      </c>
      <c r="Y85">
        <f>IF(N85&gt;10,"HIGH_TVW_CV",IF(J85&lt;3,"SHORT_INTERFACE","PASS"))</f>
        <v/>
      </c>
      <c r="Z85" t="inlineStr">
        <is>
          <t>Di1、TVW均值、Di2均来自本Pair_ID；TVW=3–5法线平均</t>
        </is>
      </c>
      <c r="AA85" t="inlineStr">
        <is>
          <t>样品21</t>
        </is>
      </c>
    </row>
    <row r="86">
      <c r="A86" t="inlineStr">
        <is>
          <t>22(5)-P01</t>
        </is>
      </c>
      <c r="B86" t="inlineStr">
        <is>
          <t>22 (5).tif</t>
        </is>
      </c>
      <c r="C86" t="inlineStr">
        <is>
          <t>22(5)-V02</t>
        </is>
      </c>
      <c r="D86">
        <f>导管母表_1781!F996</f>
        <v/>
      </c>
      <c r="E86">
        <f>导管母表_1781!G996</f>
        <v/>
      </c>
      <c r="F86" t="inlineStr">
        <is>
          <t>22(5)-V04</t>
        </is>
      </c>
      <c r="G86">
        <f>导管母表_1781!F998</f>
        <v/>
      </c>
      <c r="H86">
        <f>导管母表_1781!G998</f>
        <v/>
      </c>
      <c r="I86" t="inlineStr">
        <is>
          <t>J197:J198</t>
        </is>
      </c>
      <c r="J86">
        <f>COUNT(TVW线测量明细!J197:J198)</f>
        <v/>
      </c>
      <c r="K86">
        <f>AVERAGE(TVW线测量明细!J197:J198)</f>
        <v/>
      </c>
      <c r="L86">
        <f>MEDIAN(TVW线测量明细!J197:J198)</f>
        <v/>
      </c>
      <c r="M86">
        <f>IF(J86&gt;1,STDEV(TVW线测量明细!J197:J198),0)</f>
        <v/>
      </c>
      <c r="N86">
        <f>IF(K86=0,"",M86/K86*100)</f>
        <v/>
      </c>
      <c r="O86" t="n">
        <v>7.981547717689486</v>
      </c>
      <c r="P86">
        <f>IF(O86=0,"",(K86/O86-1)*100)</f>
        <v/>
      </c>
      <c r="Q86">
        <f>(K86/E86)^2</f>
        <v/>
      </c>
      <c r="R86">
        <f>(K86/H86)^2</f>
        <v/>
      </c>
      <c r="S86">
        <f>AVERAGE(Q86,R86)</f>
        <v/>
      </c>
      <c r="T86">
        <f>AVERAGE((O86/E86)^2,(O86/H86)^2)</f>
        <v/>
      </c>
      <c r="U86">
        <f>IF(T86=0,"",(S86/T86-1)*100)</f>
        <v/>
      </c>
      <c r="V86">
        <f>AVERAGE((L86/E86)^2,(L86/H86)^2)</f>
        <v/>
      </c>
      <c r="W86">
        <f>IF(ABS(E86-汇总!B25)&lt;=ABS(H86-汇总!B25),E86,H86)</f>
        <v/>
      </c>
      <c r="X86">
        <f>(K86/W86)^2</f>
        <v/>
      </c>
      <c r="Y86">
        <f>IF(N86&gt;10,"HIGH_TVW_CV",IF(J86&lt;3,"SHORT_INTERFACE","PASS"))</f>
        <v/>
      </c>
      <c r="Z86" t="inlineStr">
        <is>
          <t>Di1、TVW均值、Di2均来自本Pair_ID；TVW=3–5法线平均</t>
        </is>
      </c>
      <c r="AA86" t="inlineStr">
        <is>
          <t>样品22</t>
        </is>
      </c>
    </row>
    <row r="87">
      <c r="A87" t="inlineStr">
        <is>
          <t>22(7)-P01</t>
        </is>
      </c>
      <c r="B87" t="inlineStr">
        <is>
          <t>22 (7).tif</t>
        </is>
      </c>
      <c r="C87" t="inlineStr">
        <is>
          <t>22(7)-V01</t>
        </is>
      </c>
      <c r="D87">
        <f>导管母表_1781!F1008</f>
        <v/>
      </c>
      <c r="E87">
        <f>导管母表_1781!G1008</f>
        <v/>
      </c>
      <c r="F87" t="inlineStr">
        <is>
          <t>22(7)-V02</t>
        </is>
      </c>
      <c r="G87">
        <f>导管母表_1781!F1009</f>
        <v/>
      </c>
      <c r="H87">
        <f>导管母表_1781!G1009</f>
        <v/>
      </c>
      <c r="I87" t="inlineStr">
        <is>
          <t>J199:J202</t>
        </is>
      </c>
      <c r="J87">
        <f>COUNT(TVW线测量明细!J199:J202)</f>
        <v/>
      </c>
      <c r="K87">
        <f>AVERAGE(TVW线测量明细!J199:J202)</f>
        <v/>
      </c>
      <c r="L87">
        <f>MEDIAN(TVW线测量明细!J199:J202)</f>
        <v/>
      </c>
      <c r="M87">
        <f>IF(J87&gt;1,STDEV(TVW线测量明细!J199:J202),0)</f>
        <v/>
      </c>
      <c r="N87">
        <f>IF(K87=0,"",M87/K87*100)</f>
        <v/>
      </c>
      <c r="O87" t="n">
        <v>9.228254468170054</v>
      </c>
      <c r="P87">
        <f>IF(O87=0,"",(K87/O87-1)*100)</f>
        <v/>
      </c>
      <c r="Q87">
        <f>(K87/E87)^2</f>
        <v/>
      </c>
      <c r="R87">
        <f>(K87/H87)^2</f>
        <v/>
      </c>
      <c r="S87">
        <f>AVERAGE(Q87,R87)</f>
        <v/>
      </c>
      <c r="T87">
        <f>AVERAGE((O87/E87)^2,(O87/H87)^2)</f>
        <v/>
      </c>
      <c r="U87">
        <f>IF(T87=0,"",(S87/T87-1)*100)</f>
        <v/>
      </c>
      <c r="V87">
        <f>AVERAGE((L87/E87)^2,(L87/H87)^2)</f>
        <v/>
      </c>
      <c r="W87">
        <f>IF(ABS(E87-汇总!B25)&lt;=ABS(H87-汇总!B25),E87,H87)</f>
        <v/>
      </c>
      <c r="X87">
        <f>(K87/W87)^2</f>
        <v/>
      </c>
      <c r="Y87">
        <f>IF(N87&gt;10,"HIGH_TVW_CV",IF(J87&lt;3,"SHORT_INTERFACE","PASS"))</f>
        <v/>
      </c>
      <c r="Z87" t="inlineStr">
        <is>
          <t>Di1、TVW均值、Di2均来自本Pair_ID；TVW=3–5法线平均</t>
        </is>
      </c>
      <c r="AA87" t="inlineStr">
        <is>
          <t>样品22</t>
        </is>
      </c>
    </row>
    <row r="88">
      <c r="A88" t="inlineStr">
        <is>
          <t>22(8)-P01</t>
        </is>
      </c>
      <c r="B88" t="inlineStr">
        <is>
          <t>22 (8).tif</t>
        </is>
      </c>
      <c r="C88" t="inlineStr">
        <is>
          <t>22(8)-V01</t>
        </is>
      </c>
      <c r="D88">
        <f>导管母表_1781!F1014</f>
        <v/>
      </c>
      <c r="E88">
        <f>导管母表_1781!G1014</f>
        <v/>
      </c>
      <c r="F88" t="inlineStr">
        <is>
          <t>22(8)-V04</t>
        </is>
      </c>
      <c r="G88">
        <f>导管母表_1781!F1017</f>
        <v/>
      </c>
      <c r="H88">
        <f>导管母表_1781!G1017</f>
        <v/>
      </c>
      <c r="I88" t="inlineStr">
        <is>
          <t>J203:J204</t>
        </is>
      </c>
      <c r="J88">
        <f>COUNT(TVW线测量明细!J203:J204)</f>
        <v/>
      </c>
      <c r="K88">
        <f>AVERAGE(TVW线测量明细!J203:J204)</f>
        <v/>
      </c>
      <c r="L88">
        <f>MEDIAN(TVW线测量明细!J203:J204)</f>
        <v/>
      </c>
      <c r="M88">
        <f>IF(J88&gt;1,STDEV(TVW线测量明细!J203:J204),0)</f>
        <v/>
      </c>
      <c r="N88">
        <f>IF(K88=0,"",M88/K88*100)</f>
        <v/>
      </c>
      <c r="O88" t="n">
        <v>6.908803731335088</v>
      </c>
      <c r="P88">
        <f>IF(O88=0,"",(K88/O88-1)*100)</f>
        <v/>
      </c>
      <c r="Q88">
        <f>(K88/E88)^2</f>
        <v/>
      </c>
      <c r="R88">
        <f>(K88/H88)^2</f>
        <v/>
      </c>
      <c r="S88">
        <f>AVERAGE(Q88,R88)</f>
        <v/>
      </c>
      <c r="T88">
        <f>AVERAGE((O88/E88)^2,(O88/H88)^2)</f>
        <v/>
      </c>
      <c r="U88">
        <f>IF(T88=0,"",(S88/T88-1)*100)</f>
        <v/>
      </c>
      <c r="V88">
        <f>AVERAGE((L88/E88)^2,(L88/H88)^2)</f>
        <v/>
      </c>
      <c r="W88">
        <f>IF(ABS(E88-汇总!B25)&lt;=ABS(H88-汇总!B25),E88,H88)</f>
        <v/>
      </c>
      <c r="X88">
        <f>(K88/W88)^2</f>
        <v/>
      </c>
      <c r="Y88">
        <f>IF(N88&gt;10,"HIGH_TVW_CV",IF(J88&lt;3,"SHORT_INTERFACE","PASS"))</f>
        <v/>
      </c>
      <c r="Z88" t="inlineStr">
        <is>
          <t>Di1、TVW均值、Di2均来自本Pair_ID；TVW=3–5法线平均</t>
        </is>
      </c>
      <c r="AA88" t="inlineStr">
        <is>
          <t>样品22</t>
        </is>
      </c>
    </row>
    <row r="89">
      <c r="A89" t="inlineStr">
        <is>
          <t>23(3)-P01</t>
        </is>
      </c>
      <c r="B89" t="inlineStr">
        <is>
          <t>23 (3).tif</t>
        </is>
      </c>
      <c r="C89" t="inlineStr">
        <is>
          <t>23(3)-V02</t>
        </is>
      </c>
      <c r="D89">
        <f>导管母表_1781!F1032</f>
        <v/>
      </c>
      <c r="E89">
        <f>导管母表_1781!G1032</f>
        <v/>
      </c>
      <c r="F89" t="inlineStr">
        <is>
          <t>23(3)-V03</t>
        </is>
      </c>
      <c r="G89">
        <f>导管母表_1781!F1033</f>
        <v/>
      </c>
      <c r="H89">
        <f>导管母表_1781!G1033</f>
        <v/>
      </c>
      <c r="I89" t="inlineStr">
        <is>
          <t>J205:J207</t>
        </is>
      </c>
      <c r="J89">
        <f>COUNT(TVW线测量明细!J205:J207)</f>
        <v/>
      </c>
      <c r="K89">
        <f>AVERAGE(TVW线测量明细!J205:J207)</f>
        <v/>
      </c>
      <c r="L89">
        <f>MEDIAN(TVW线测量明细!J205:J207)</f>
        <v/>
      </c>
      <c r="M89">
        <f>IF(J89&gt;1,STDEV(TVW线测量明细!J205:J207),0)</f>
        <v/>
      </c>
      <c r="N89">
        <f>IF(K89=0,"",M89/K89*100)</f>
        <v/>
      </c>
      <c r="O89" t="n">
        <v>5.452146175645415</v>
      </c>
      <c r="P89">
        <f>IF(O89=0,"",(K89/O89-1)*100)</f>
        <v/>
      </c>
      <c r="Q89">
        <f>(K89/E89)^2</f>
        <v/>
      </c>
      <c r="R89">
        <f>(K89/H89)^2</f>
        <v/>
      </c>
      <c r="S89">
        <f>AVERAGE(Q89,R89)</f>
        <v/>
      </c>
      <c r="T89">
        <f>AVERAGE((O89/E89)^2,(O89/H89)^2)</f>
        <v/>
      </c>
      <c r="U89">
        <f>IF(T89=0,"",(S89/T89-1)*100)</f>
        <v/>
      </c>
      <c r="V89">
        <f>AVERAGE((L89/E89)^2,(L89/H89)^2)</f>
        <v/>
      </c>
      <c r="W89">
        <f>IF(ABS(E89-汇总!B25)&lt;=ABS(H89-汇总!B25),E89,H89)</f>
        <v/>
      </c>
      <c r="X89">
        <f>(K89/W89)^2</f>
        <v/>
      </c>
      <c r="Y89">
        <f>IF(N89&gt;10,"HIGH_TVW_CV",IF(J89&lt;3,"SHORT_INTERFACE","PASS"))</f>
        <v/>
      </c>
      <c r="Z89" t="inlineStr">
        <is>
          <t>Di1、TVW均值、Di2均来自本Pair_ID；TVW=3–5法线平均</t>
        </is>
      </c>
      <c r="AA89" t="inlineStr">
        <is>
          <t>样品23</t>
        </is>
      </c>
    </row>
    <row r="90">
      <c r="A90" t="inlineStr">
        <is>
          <t>23(5)-P01</t>
        </is>
      </c>
      <c r="B90" t="inlineStr">
        <is>
          <t>23 (5).tif</t>
        </is>
      </c>
      <c r="C90" t="inlineStr">
        <is>
          <t>23(5)-V01</t>
        </is>
      </c>
      <c r="D90">
        <f>导管母表_1781!F1042</f>
        <v/>
      </c>
      <c r="E90">
        <f>导管母表_1781!G1042</f>
        <v/>
      </c>
      <c r="F90" t="inlineStr">
        <is>
          <t>23(5)-V02</t>
        </is>
      </c>
      <c r="G90">
        <f>导管母表_1781!F1043</f>
        <v/>
      </c>
      <c r="H90">
        <f>导管母表_1781!G1043</f>
        <v/>
      </c>
      <c r="I90" t="inlineStr">
        <is>
          <t>J208:J210</t>
        </is>
      </c>
      <c r="J90">
        <f>COUNT(TVW线测量明细!J208:J210)</f>
        <v/>
      </c>
      <c r="K90">
        <f>AVERAGE(TVW线测量明细!J208:J210)</f>
        <v/>
      </c>
      <c r="L90">
        <f>MEDIAN(TVW线测量明细!J208:J210)</f>
        <v/>
      </c>
      <c r="M90">
        <f>IF(J90&gt;1,STDEV(TVW线测量明细!J208:J210),0)</f>
        <v/>
      </c>
      <c r="N90">
        <f>IF(K90=0,"",M90/K90*100)</f>
        <v/>
      </c>
      <c r="O90" t="n">
        <v>6.452531338980795</v>
      </c>
      <c r="P90">
        <f>IF(O90=0,"",(K90/O90-1)*100)</f>
        <v/>
      </c>
      <c r="Q90">
        <f>(K90/E90)^2</f>
        <v/>
      </c>
      <c r="R90">
        <f>(K90/H90)^2</f>
        <v/>
      </c>
      <c r="S90">
        <f>AVERAGE(Q90,R90)</f>
        <v/>
      </c>
      <c r="T90">
        <f>AVERAGE((O90/E90)^2,(O90/H90)^2)</f>
        <v/>
      </c>
      <c r="U90">
        <f>IF(T90=0,"",(S90/T90-1)*100)</f>
        <v/>
      </c>
      <c r="V90">
        <f>AVERAGE((L90/E90)^2,(L90/H90)^2)</f>
        <v/>
      </c>
      <c r="W90">
        <f>IF(ABS(E90-汇总!B25)&lt;=ABS(H90-汇总!B25),E90,H90)</f>
        <v/>
      </c>
      <c r="X90">
        <f>(K90/W90)^2</f>
        <v/>
      </c>
      <c r="Y90">
        <f>IF(N90&gt;10,"HIGH_TVW_CV",IF(J90&lt;3,"SHORT_INTERFACE","PASS"))</f>
        <v/>
      </c>
      <c r="Z90" t="inlineStr">
        <is>
          <t>Di1、TVW均值、Di2均来自本Pair_ID；TVW=3–5法线平均</t>
        </is>
      </c>
      <c r="AA90" t="inlineStr">
        <is>
          <t>样品23</t>
        </is>
      </c>
    </row>
    <row r="91">
      <c r="A91" t="inlineStr">
        <is>
          <t>23(7)-P01</t>
        </is>
      </c>
      <c r="B91" t="inlineStr">
        <is>
          <t>23 (7).tif</t>
        </is>
      </c>
      <c r="C91" t="inlineStr">
        <is>
          <t>23(7)-V01</t>
        </is>
      </c>
      <c r="D91">
        <f>导管母表_1781!F1051</f>
        <v/>
      </c>
      <c r="E91">
        <f>导管母表_1781!G1051</f>
        <v/>
      </c>
      <c r="F91" t="inlineStr">
        <is>
          <t>23(7)-V02</t>
        </is>
      </c>
      <c r="G91">
        <f>导管母表_1781!F1052</f>
        <v/>
      </c>
      <c r="H91">
        <f>导管母表_1781!G1052</f>
        <v/>
      </c>
      <c r="I91" t="inlineStr">
        <is>
          <t>J211:J211</t>
        </is>
      </c>
      <c r="J91">
        <f>COUNT(TVW线测量明细!J211:J211)</f>
        <v/>
      </c>
      <c r="K91">
        <f>AVERAGE(TVW线测量明细!J211:J211)</f>
        <v/>
      </c>
      <c r="L91">
        <f>MEDIAN(TVW线测量明细!J211:J211)</f>
        <v/>
      </c>
      <c r="M91">
        <f>IF(J91&gt;1,STDEV(TVW线测量明细!J211:J211),0)</f>
        <v/>
      </c>
      <c r="N91">
        <f>IF(K91=0,"",M91/K91*100)</f>
        <v/>
      </c>
      <c r="O91" t="n">
        <v>7.571336855333912</v>
      </c>
      <c r="P91">
        <f>IF(O91=0,"",(K91/O91-1)*100)</f>
        <v/>
      </c>
      <c r="Q91">
        <f>(K91/E91)^2</f>
        <v/>
      </c>
      <c r="R91">
        <f>(K91/H91)^2</f>
        <v/>
      </c>
      <c r="S91">
        <f>AVERAGE(Q91,R91)</f>
        <v/>
      </c>
      <c r="T91">
        <f>AVERAGE((O91/E91)^2,(O91/H91)^2)</f>
        <v/>
      </c>
      <c r="U91">
        <f>IF(T91=0,"",(S91/T91-1)*100)</f>
        <v/>
      </c>
      <c r="V91">
        <f>AVERAGE((L91/E91)^2,(L91/H91)^2)</f>
        <v/>
      </c>
      <c r="W91">
        <f>IF(ABS(E91-汇总!B25)&lt;=ABS(H91-汇总!B25),E91,H91)</f>
        <v/>
      </c>
      <c r="X91">
        <f>(K91/W91)^2</f>
        <v/>
      </c>
      <c r="Y91">
        <f>IF(N91&gt;10,"HIGH_TVW_CV",IF(J91&lt;3,"SHORT_INTERFACE","PASS"))</f>
        <v/>
      </c>
      <c r="Z91" t="inlineStr">
        <is>
          <t>Di1、TVW均值、Di2均来自本Pair_ID；TVW=3–5法线平均</t>
        </is>
      </c>
      <c r="AA91" t="inlineStr">
        <is>
          <t>样品23</t>
        </is>
      </c>
    </row>
    <row r="92">
      <c r="A92" t="inlineStr">
        <is>
          <t>23(8)-P01</t>
        </is>
      </c>
      <c r="B92" t="inlineStr">
        <is>
          <t>23 (8).tif</t>
        </is>
      </c>
      <c r="C92" t="inlineStr">
        <is>
          <t>23(8)-V01</t>
        </is>
      </c>
      <c r="D92">
        <f>导管母表_1781!F1059</f>
        <v/>
      </c>
      <c r="E92">
        <f>导管母表_1781!G1059</f>
        <v/>
      </c>
      <c r="F92" t="inlineStr">
        <is>
          <t>23(8)-V02</t>
        </is>
      </c>
      <c r="G92">
        <f>导管母表_1781!F1060</f>
        <v/>
      </c>
      <c r="H92">
        <f>导管母表_1781!G1060</f>
        <v/>
      </c>
      <c r="I92" t="inlineStr">
        <is>
          <t>J212:J213</t>
        </is>
      </c>
      <c r="J92">
        <f>COUNT(TVW线测量明细!J212:J213)</f>
        <v/>
      </c>
      <c r="K92">
        <f>AVERAGE(TVW线测量明细!J212:J213)</f>
        <v/>
      </c>
      <c r="L92">
        <f>MEDIAN(TVW线测量明细!J212:J213)</f>
        <v/>
      </c>
      <c r="M92">
        <f>IF(J92&gt;1,STDEV(TVW线测量明细!J212:J213),0)</f>
        <v/>
      </c>
      <c r="N92">
        <f>IF(K92=0,"",M92/K92*100)</f>
        <v/>
      </c>
      <c r="O92" t="n">
        <v>5.226441426161438</v>
      </c>
      <c r="P92">
        <f>IF(O92=0,"",(K92/O92-1)*100)</f>
        <v/>
      </c>
      <c r="Q92">
        <f>(K92/E92)^2</f>
        <v/>
      </c>
      <c r="R92">
        <f>(K92/H92)^2</f>
        <v/>
      </c>
      <c r="S92">
        <f>AVERAGE(Q92,R92)</f>
        <v/>
      </c>
      <c r="T92">
        <f>AVERAGE((O92/E92)^2,(O92/H92)^2)</f>
        <v/>
      </c>
      <c r="U92">
        <f>IF(T92=0,"",(S92/T92-1)*100)</f>
        <v/>
      </c>
      <c r="V92">
        <f>AVERAGE((L92/E92)^2,(L92/H92)^2)</f>
        <v/>
      </c>
      <c r="W92">
        <f>IF(ABS(E92-汇总!B25)&lt;=ABS(H92-汇总!B25),E92,H92)</f>
        <v/>
      </c>
      <c r="X92">
        <f>(K92/W92)^2</f>
        <v/>
      </c>
      <c r="Y92">
        <f>IF(N92&gt;10,"HIGH_TVW_CV",IF(J92&lt;3,"SHORT_INTERFACE","PASS"))</f>
        <v/>
      </c>
      <c r="Z92" t="inlineStr">
        <is>
          <t>Di1、TVW均值、Di2均来自本Pair_ID；TVW=3–5法线平均</t>
        </is>
      </c>
      <c r="AA92" t="inlineStr">
        <is>
          <t>样品23</t>
        </is>
      </c>
    </row>
    <row r="93">
      <c r="A93" t="inlineStr">
        <is>
          <t>24(1)-P01</t>
        </is>
      </c>
      <c r="B93" t="inlineStr">
        <is>
          <t>24 (1).tif</t>
        </is>
      </c>
      <c r="C93" t="inlineStr">
        <is>
          <t>24(1)-V01</t>
        </is>
      </c>
      <c r="D93">
        <f>导管母表_1781!F1065</f>
        <v/>
      </c>
      <c r="E93">
        <f>导管母表_1781!G1065</f>
        <v/>
      </c>
      <c r="F93" t="inlineStr">
        <is>
          <t>24(1)-V03</t>
        </is>
      </c>
      <c r="G93">
        <f>导管母表_1781!F1067</f>
        <v/>
      </c>
      <c r="H93">
        <f>导管母表_1781!G1067</f>
        <v/>
      </c>
      <c r="I93" t="inlineStr">
        <is>
          <t>J214:J215</t>
        </is>
      </c>
      <c r="J93">
        <f>COUNT(TVW线测量明细!J214:J215)</f>
        <v/>
      </c>
      <c r="K93">
        <f>AVERAGE(TVW线测量明细!J214:J215)</f>
        <v/>
      </c>
      <c r="L93">
        <f>MEDIAN(TVW线测量明细!J214:J215)</f>
        <v/>
      </c>
      <c r="M93">
        <f>IF(J93&gt;1,STDEV(TVW线测量明细!J214:J215),0)</f>
        <v/>
      </c>
      <c r="N93">
        <f>IF(K93=0,"",M93/K93*100)</f>
        <v/>
      </c>
      <c r="O93" t="n">
        <v>8.306510075888173</v>
      </c>
      <c r="P93">
        <f>IF(O93=0,"",(K93/O93-1)*100)</f>
        <v/>
      </c>
      <c r="Q93">
        <f>(K93/E93)^2</f>
        <v/>
      </c>
      <c r="R93">
        <f>(K93/H93)^2</f>
        <v/>
      </c>
      <c r="S93">
        <f>AVERAGE(Q93,R93)</f>
        <v/>
      </c>
      <c r="T93">
        <f>AVERAGE((O93/E93)^2,(O93/H93)^2)</f>
        <v/>
      </c>
      <c r="U93">
        <f>IF(T93=0,"",(S93/T93-1)*100)</f>
        <v/>
      </c>
      <c r="V93">
        <f>AVERAGE((L93/E93)^2,(L93/H93)^2)</f>
        <v/>
      </c>
      <c r="W93">
        <f>IF(ABS(E93-汇总!B25)&lt;=ABS(H93-汇总!B25),E93,H93)</f>
        <v/>
      </c>
      <c r="X93">
        <f>(K93/W93)^2</f>
        <v/>
      </c>
      <c r="Y93">
        <f>IF(N93&gt;10,"HIGH_TVW_CV",IF(J93&lt;3,"SHORT_INTERFACE","PASS"))</f>
        <v/>
      </c>
      <c r="Z93" t="inlineStr">
        <is>
          <t>Di1、TVW均值、Di2均来自本Pair_ID；TVW=3–5法线平均</t>
        </is>
      </c>
      <c r="AA93" t="inlineStr">
        <is>
          <t>样品24</t>
        </is>
      </c>
    </row>
    <row r="94">
      <c r="A94" t="inlineStr">
        <is>
          <t>24(2)-P01</t>
        </is>
      </c>
      <c r="B94" t="inlineStr">
        <is>
          <t>24 (2).tif</t>
        </is>
      </c>
      <c r="C94" t="inlineStr">
        <is>
          <t>24(2)-V01</t>
        </is>
      </c>
      <c r="D94">
        <f>导管母表_1781!F1069</f>
        <v/>
      </c>
      <c r="E94">
        <f>导管母表_1781!G1069</f>
        <v/>
      </c>
      <c r="F94" t="inlineStr">
        <is>
          <t>24(2)-V02</t>
        </is>
      </c>
      <c r="G94">
        <f>导管母表_1781!F1070</f>
        <v/>
      </c>
      <c r="H94">
        <f>导管母表_1781!G1070</f>
        <v/>
      </c>
      <c r="I94" t="inlineStr">
        <is>
          <t>J216:J216</t>
        </is>
      </c>
      <c r="J94">
        <f>COUNT(TVW线测量明细!J216:J216)</f>
        <v/>
      </c>
      <c r="K94">
        <f>AVERAGE(TVW线测量明细!J216:J216)</f>
        <v/>
      </c>
      <c r="L94">
        <f>MEDIAN(TVW线测量明细!J216:J216)</f>
        <v/>
      </c>
      <c r="M94">
        <f>IF(J94&gt;1,STDEV(TVW线测量明细!J216:J216),0)</f>
        <v/>
      </c>
      <c r="N94">
        <f>IF(K94=0,"",M94/K94*100)</f>
        <v/>
      </c>
      <c r="O94" t="n">
        <v>4.304128233309419</v>
      </c>
      <c r="P94">
        <f>IF(O94=0,"",(K94/O94-1)*100)</f>
        <v/>
      </c>
      <c r="Q94">
        <f>(K94/E94)^2</f>
        <v/>
      </c>
      <c r="R94">
        <f>(K94/H94)^2</f>
        <v/>
      </c>
      <c r="S94">
        <f>AVERAGE(Q94,R94)</f>
        <v/>
      </c>
      <c r="T94">
        <f>AVERAGE((O94/E94)^2,(O94/H94)^2)</f>
        <v/>
      </c>
      <c r="U94">
        <f>IF(T94=0,"",(S94/T94-1)*100)</f>
        <v/>
      </c>
      <c r="V94">
        <f>AVERAGE((L94/E94)^2,(L94/H94)^2)</f>
        <v/>
      </c>
      <c r="W94">
        <f>IF(ABS(E94-汇总!B25)&lt;=ABS(H94-汇总!B25),E94,H94)</f>
        <v/>
      </c>
      <c r="X94">
        <f>(K94/W94)^2</f>
        <v/>
      </c>
      <c r="Y94">
        <f>IF(N94&gt;10,"HIGH_TVW_CV",IF(J94&lt;3,"SHORT_INTERFACE","PASS"))</f>
        <v/>
      </c>
      <c r="Z94" t="inlineStr">
        <is>
          <t>Di1、TVW均值、Di2均来自本Pair_ID；TVW=3–5法线平均</t>
        </is>
      </c>
      <c r="AA94" t="inlineStr">
        <is>
          <t>样品24</t>
        </is>
      </c>
    </row>
    <row r="95">
      <c r="A95" t="inlineStr">
        <is>
          <t>24(3)-P01</t>
        </is>
      </c>
      <c r="B95" t="inlineStr">
        <is>
          <t>24 (3).tif</t>
        </is>
      </c>
      <c r="C95" t="inlineStr">
        <is>
          <t>24(3)-V01</t>
        </is>
      </c>
      <c r="D95">
        <f>导管母表_1781!F1075</f>
        <v/>
      </c>
      <c r="E95">
        <f>导管母表_1781!G1075</f>
        <v/>
      </c>
      <c r="F95" t="inlineStr">
        <is>
          <t>24(3)-V02</t>
        </is>
      </c>
      <c r="G95">
        <f>导管母表_1781!F1076</f>
        <v/>
      </c>
      <c r="H95">
        <f>导管母表_1781!G1076</f>
        <v/>
      </c>
      <c r="I95" t="inlineStr">
        <is>
          <t>J217:J218</t>
        </is>
      </c>
      <c r="J95">
        <f>COUNT(TVW线测量明细!J217:J218)</f>
        <v/>
      </c>
      <c r="K95">
        <f>AVERAGE(TVW线测量明细!J217:J218)</f>
        <v/>
      </c>
      <c r="L95">
        <f>MEDIAN(TVW线测量明细!J217:J218)</f>
        <v/>
      </c>
      <c r="M95">
        <f>IF(J95&gt;1,STDEV(TVW线测量明细!J217:J218),0)</f>
        <v/>
      </c>
      <c r="N95">
        <f>IF(K95=0,"",M95/K95*100)</f>
        <v/>
      </c>
      <c r="O95" t="n">
        <v>4.043712008203973</v>
      </c>
      <c r="P95">
        <f>IF(O95=0,"",(K95/O95-1)*100)</f>
        <v/>
      </c>
      <c r="Q95">
        <f>(K95/E95)^2</f>
        <v/>
      </c>
      <c r="R95">
        <f>(K95/H95)^2</f>
        <v/>
      </c>
      <c r="S95">
        <f>AVERAGE(Q95,R95)</f>
        <v/>
      </c>
      <c r="T95">
        <f>AVERAGE((O95/E95)^2,(O95/H95)^2)</f>
        <v/>
      </c>
      <c r="U95">
        <f>IF(T95=0,"",(S95/T95-1)*100)</f>
        <v/>
      </c>
      <c r="V95">
        <f>AVERAGE((L95/E95)^2,(L95/H95)^2)</f>
        <v/>
      </c>
      <c r="W95">
        <f>IF(ABS(E95-汇总!B25)&lt;=ABS(H95-汇总!B25),E95,H95)</f>
        <v/>
      </c>
      <c r="X95">
        <f>(K95/W95)^2</f>
        <v/>
      </c>
      <c r="Y95">
        <f>IF(N95&gt;10,"HIGH_TVW_CV",IF(J95&lt;3,"SHORT_INTERFACE","PASS"))</f>
        <v/>
      </c>
      <c r="Z95" t="inlineStr">
        <is>
          <t>Di1、TVW均值、Di2均来自本Pair_ID；TVW=3–5法线平均</t>
        </is>
      </c>
      <c r="AA95" t="inlineStr">
        <is>
          <t>样品24</t>
        </is>
      </c>
    </row>
    <row r="96">
      <c r="A96" t="inlineStr">
        <is>
          <t>24(4)-P01</t>
        </is>
      </c>
      <c r="B96" t="inlineStr">
        <is>
          <t>24 (4).tif</t>
        </is>
      </c>
      <c r="C96" t="inlineStr">
        <is>
          <t>24(4)-V01</t>
        </is>
      </c>
      <c r="D96">
        <f>导管母表_1781!F1083</f>
        <v/>
      </c>
      <c r="E96">
        <f>导管母表_1781!G1083</f>
        <v/>
      </c>
      <c r="F96" t="inlineStr">
        <is>
          <t>24(4)-V07</t>
        </is>
      </c>
      <c r="G96">
        <f>导管母表_1781!F1089</f>
        <v/>
      </c>
      <c r="H96">
        <f>导管母表_1781!G1089</f>
        <v/>
      </c>
      <c r="I96" t="inlineStr">
        <is>
          <t>J219:J222</t>
        </is>
      </c>
      <c r="J96">
        <f>COUNT(TVW线测量明细!J219:J222)</f>
        <v/>
      </c>
      <c r="K96">
        <f>AVERAGE(TVW线测量明细!J219:J222)</f>
        <v/>
      </c>
      <c r="L96">
        <f>MEDIAN(TVW线测量明细!J219:J222)</f>
        <v/>
      </c>
      <c r="M96">
        <f>IF(J96&gt;1,STDEV(TVW线测量明细!J219:J222),0)</f>
        <v/>
      </c>
      <c r="N96">
        <f>IF(K96=0,"",M96/K96*100)</f>
        <v/>
      </c>
      <c r="O96" t="n">
        <v>11.09547839580421</v>
      </c>
      <c r="P96">
        <f>IF(O96=0,"",(K96/O96-1)*100)</f>
        <v/>
      </c>
      <c r="Q96">
        <f>(K96/E96)^2</f>
        <v/>
      </c>
      <c r="R96">
        <f>(K96/H96)^2</f>
        <v/>
      </c>
      <c r="S96">
        <f>AVERAGE(Q96,R96)</f>
        <v/>
      </c>
      <c r="T96">
        <f>AVERAGE((O96/E96)^2,(O96/H96)^2)</f>
        <v/>
      </c>
      <c r="U96">
        <f>IF(T96=0,"",(S96/T96-1)*100)</f>
        <v/>
      </c>
      <c r="V96">
        <f>AVERAGE((L96/E96)^2,(L96/H96)^2)</f>
        <v/>
      </c>
      <c r="W96">
        <f>IF(ABS(E96-汇总!B25)&lt;=ABS(H96-汇总!B25),E96,H96)</f>
        <v/>
      </c>
      <c r="X96">
        <f>(K96/W96)^2</f>
        <v/>
      </c>
      <c r="Y96">
        <f>IF(N96&gt;10,"HIGH_TVW_CV",IF(J96&lt;3,"SHORT_INTERFACE","PASS"))</f>
        <v/>
      </c>
      <c r="Z96" t="inlineStr">
        <is>
          <t>Di1、TVW均值、Di2均来自本Pair_ID；TVW=3–5法线平均</t>
        </is>
      </c>
      <c r="AA96" t="inlineStr">
        <is>
          <t>样品24</t>
        </is>
      </c>
    </row>
    <row r="97">
      <c r="A97" t="inlineStr">
        <is>
          <t>24(5)-P01</t>
        </is>
      </c>
      <c r="B97" t="inlineStr">
        <is>
          <t>24 (5).tif</t>
        </is>
      </c>
      <c r="C97" t="inlineStr">
        <is>
          <t>24(5)-V03</t>
        </is>
      </c>
      <c r="D97">
        <f>导管母表_1781!F1093</f>
        <v/>
      </c>
      <c r="E97">
        <f>导管母表_1781!G1093</f>
        <v/>
      </c>
      <c r="F97" t="inlineStr">
        <is>
          <t>24(5)-V06</t>
        </is>
      </c>
      <c r="G97">
        <f>导管母表_1781!F1096</f>
        <v/>
      </c>
      <c r="H97">
        <f>导管母表_1781!G1096</f>
        <v/>
      </c>
      <c r="I97" t="inlineStr">
        <is>
          <t>J223:J224</t>
        </is>
      </c>
      <c r="J97">
        <f>COUNT(TVW线测量明细!J223:J224)</f>
        <v/>
      </c>
      <c r="K97">
        <f>AVERAGE(TVW线测量明细!J223:J224)</f>
        <v/>
      </c>
      <c r="L97">
        <f>MEDIAN(TVW线测量明细!J223:J224)</f>
        <v/>
      </c>
      <c r="M97">
        <f>IF(J97&gt;1,STDEV(TVW线测量明细!J223:J224),0)</f>
        <v/>
      </c>
      <c r="N97">
        <f>IF(K97=0,"",M97/K97*100)</f>
        <v/>
      </c>
      <c r="O97" t="n">
        <v>11.08908760422335</v>
      </c>
      <c r="P97">
        <f>IF(O97=0,"",(K97/O97-1)*100)</f>
        <v/>
      </c>
      <c r="Q97">
        <f>(K97/E97)^2</f>
        <v/>
      </c>
      <c r="R97">
        <f>(K97/H97)^2</f>
        <v/>
      </c>
      <c r="S97">
        <f>AVERAGE(Q97,R97)</f>
        <v/>
      </c>
      <c r="T97">
        <f>AVERAGE((O97/E97)^2,(O97/H97)^2)</f>
        <v/>
      </c>
      <c r="U97">
        <f>IF(T97=0,"",(S97/T97-1)*100)</f>
        <v/>
      </c>
      <c r="V97">
        <f>AVERAGE((L97/E97)^2,(L97/H97)^2)</f>
        <v/>
      </c>
      <c r="W97">
        <f>IF(ABS(E97-汇总!B25)&lt;=ABS(H97-汇总!B25),E97,H97)</f>
        <v/>
      </c>
      <c r="X97">
        <f>(K97/W97)^2</f>
        <v/>
      </c>
      <c r="Y97">
        <f>IF(N97&gt;10,"HIGH_TVW_CV",IF(J97&lt;3,"SHORT_INTERFACE","PASS"))</f>
        <v/>
      </c>
      <c r="Z97" t="inlineStr">
        <is>
          <t>Di1、TVW均值、Di2均来自本Pair_ID；TVW=3–5法线平均</t>
        </is>
      </c>
      <c r="AA97" t="inlineStr">
        <is>
          <t>样品24</t>
        </is>
      </c>
    </row>
    <row r="98">
      <c r="A98" t="inlineStr">
        <is>
          <t>24(5)-P02</t>
        </is>
      </c>
      <c r="B98" t="inlineStr">
        <is>
          <t>24 (5).tif</t>
        </is>
      </c>
      <c r="C98" t="inlineStr">
        <is>
          <t>24(5)-V01</t>
        </is>
      </c>
      <c r="D98">
        <f>导管母表_1781!F1091</f>
        <v/>
      </c>
      <c r="E98">
        <f>导管母表_1781!G1091</f>
        <v/>
      </c>
      <c r="F98" t="inlineStr">
        <is>
          <t>24(5)-V04</t>
        </is>
      </c>
      <c r="G98">
        <f>导管母表_1781!F1094</f>
        <v/>
      </c>
      <c r="H98">
        <f>导管母表_1781!G1094</f>
        <v/>
      </c>
      <c r="I98" t="inlineStr">
        <is>
          <t>J225:J227</t>
        </is>
      </c>
      <c r="J98">
        <f>COUNT(TVW线测量明细!J225:J227)</f>
        <v/>
      </c>
      <c r="K98">
        <f>AVERAGE(TVW线测量明细!J225:J227)</f>
        <v/>
      </c>
      <c r="L98">
        <f>MEDIAN(TVW线测量明细!J225:J227)</f>
        <v/>
      </c>
      <c r="M98">
        <f>IF(J98&gt;1,STDEV(TVW线测量明细!J225:J227),0)</f>
        <v/>
      </c>
      <c r="N98">
        <f>IF(K98=0,"",M98/K98*100)</f>
        <v/>
      </c>
      <c r="O98" t="n">
        <v>6.521739130434782</v>
      </c>
      <c r="P98">
        <f>IF(O98=0,"",(K98/O98-1)*100)</f>
        <v/>
      </c>
      <c r="Q98">
        <f>(K98/E98)^2</f>
        <v/>
      </c>
      <c r="R98">
        <f>(K98/H98)^2</f>
        <v/>
      </c>
      <c r="S98">
        <f>AVERAGE(Q98,R98)</f>
        <v/>
      </c>
      <c r="T98">
        <f>AVERAGE((O98/E98)^2,(O98/H98)^2)</f>
        <v/>
      </c>
      <c r="U98">
        <f>IF(T98=0,"",(S98/T98-1)*100)</f>
        <v/>
      </c>
      <c r="V98">
        <f>AVERAGE((L98/E98)^2,(L98/H98)^2)</f>
        <v/>
      </c>
      <c r="W98">
        <f>IF(ABS(E98-汇总!B25)&lt;=ABS(H98-汇总!B25),E98,H98)</f>
        <v/>
      </c>
      <c r="X98">
        <f>(K98/W98)^2</f>
        <v/>
      </c>
      <c r="Y98">
        <f>IF(N98&gt;10,"HIGH_TVW_CV",IF(J98&lt;3,"SHORT_INTERFACE","PASS"))</f>
        <v/>
      </c>
      <c r="Z98" t="inlineStr">
        <is>
          <t>Di1、TVW均值、Di2均来自本Pair_ID；TVW=3–5法线平均</t>
        </is>
      </c>
      <c r="AA98" t="inlineStr">
        <is>
          <t>样品24</t>
        </is>
      </c>
    </row>
    <row r="99">
      <c r="A99" t="inlineStr">
        <is>
          <t>24(7)-P01</t>
        </is>
      </c>
      <c r="B99" t="inlineStr">
        <is>
          <t>24 (7).tif</t>
        </is>
      </c>
      <c r="C99" t="inlineStr">
        <is>
          <t>24(7)-V03</t>
        </is>
      </c>
      <c r="D99">
        <f>导管母表_1781!F1108</f>
        <v/>
      </c>
      <c r="E99">
        <f>导管母表_1781!G1108</f>
        <v/>
      </c>
      <c r="F99" t="inlineStr">
        <is>
          <t>24(7)-V04</t>
        </is>
      </c>
      <c r="G99">
        <f>导管母表_1781!F1109</f>
        <v/>
      </c>
      <c r="H99">
        <f>导管母表_1781!G1109</f>
        <v/>
      </c>
      <c r="I99" t="inlineStr">
        <is>
          <t>J228:J228</t>
        </is>
      </c>
      <c r="J99">
        <f>COUNT(TVW线测量明细!J228:J228)</f>
        <v/>
      </c>
      <c r="K99">
        <f>AVERAGE(TVW线测量明细!J228:J228)</f>
        <v/>
      </c>
      <c r="L99">
        <f>MEDIAN(TVW线测量明细!J228:J228)</f>
        <v/>
      </c>
      <c r="M99">
        <f>IF(J99&gt;1,STDEV(TVW线测量明细!J228:J228),0)</f>
        <v/>
      </c>
      <c r="N99">
        <f>IF(K99=0,"",M99/K99*100)</f>
        <v/>
      </c>
      <c r="O99" t="n">
        <v>15.75449646260299</v>
      </c>
      <c r="P99">
        <f>IF(O99=0,"",(K99/O99-1)*100)</f>
        <v/>
      </c>
      <c r="Q99">
        <f>(K99/E99)^2</f>
        <v/>
      </c>
      <c r="R99">
        <f>(K99/H99)^2</f>
        <v/>
      </c>
      <c r="S99">
        <f>AVERAGE(Q99,R99)</f>
        <v/>
      </c>
      <c r="T99">
        <f>AVERAGE((O99/E99)^2,(O99/H99)^2)</f>
        <v/>
      </c>
      <c r="U99">
        <f>IF(T99=0,"",(S99/T99-1)*100)</f>
        <v/>
      </c>
      <c r="V99">
        <f>AVERAGE((L99/E99)^2,(L99/H99)^2)</f>
        <v/>
      </c>
      <c r="W99">
        <f>IF(ABS(E99-汇总!B25)&lt;=ABS(H99-汇总!B25),E99,H99)</f>
        <v/>
      </c>
      <c r="X99">
        <f>(K99/W99)^2</f>
        <v/>
      </c>
      <c r="Y99">
        <f>IF(N99&gt;10,"HIGH_TVW_CV",IF(J99&lt;3,"SHORT_INTERFACE","PASS"))</f>
        <v/>
      </c>
      <c r="Z99" t="inlineStr">
        <is>
          <t>Di1、TVW均值、Di2均来自本Pair_ID；TVW=3–5法线平均</t>
        </is>
      </c>
      <c r="AA99" t="inlineStr">
        <is>
          <t>样品24</t>
        </is>
      </c>
    </row>
    <row r="100">
      <c r="A100" t="inlineStr">
        <is>
          <t>24(8)-P01</t>
        </is>
      </c>
      <c r="B100" t="inlineStr">
        <is>
          <t>24 (8).tif</t>
        </is>
      </c>
      <c r="C100" t="inlineStr">
        <is>
          <t>24(8)-V01</t>
        </is>
      </c>
      <c r="D100">
        <f>导管母表_1781!F1114</f>
        <v/>
      </c>
      <c r="E100">
        <f>导管母表_1781!G1114</f>
        <v/>
      </c>
      <c r="F100" t="inlineStr">
        <is>
          <t>24(8)-V05</t>
        </is>
      </c>
      <c r="G100">
        <f>导管母表_1781!F1118</f>
        <v/>
      </c>
      <c r="H100">
        <f>导管母表_1781!G1118</f>
        <v/>
      </c>
      <c r="I100" t="inlineStr">
        <is>
          <t>J229:J230</t>
        </is>
      </c>
      <c r="J100">
        <f>COUNT(TVW线测量明细!J229:J230)</f>
        <v/>
      </c>
      <c r="K100">
        <f>AVERAGE(TVW线测量明细!J229:J230)</f>
        <v/>
      </c>
      <c r="L100">
        <f>MEDIAN(TVW线测量明细!J229:J230)</f>
        <v/>
      </c>
      <c r="M100">
        <f>IF(J100&gt;1,STDEV(TVW线测量明细!J229:J230),0)</f>
        <v/>
      </c>
      <c r="N100">
        <f>IF(K100=0,"",M100/K100*100)</f>
        <v/>
      </c>
      <c r="O100" t="n">
        <v>5.347119076629932</v>
      </c>
      <c r="P100">
        <f>IF(O100=0,"",(K100/O100-1)*100)</f>
        <v/>
      </c>
      <c r="Q100">
        <f>(K100/E100)^2</f>
        <v/>
      </c>
      <c r="R100">
        <f>(K100/H100)^2</f>
        <v/>
      </c>
      <c r="S100">
        <f>AVERAGE(Q100,R100)</f>
        <v/>
      </c>
      <c r="T100">
        <f>AVERAGE((O100/E100)^2,(O100/H100)^2)</f>
        <v/>
      </c>
      <c r="U100">
        <f>IF(T100=0,"",(S100/T100-1)*100)</f>
        <v/>
      </c>
      <c r="V100">
        <f>AVERAGE((L100/E100)^2,(L100/H100)^2)</f>
        <v/>
      </c>
      <c r="W100">
        <f>IF(ABS(E100-汇总!B25)&lt;=ABS(H100-汇总!B25),E100,H100)</f>
        <v/>
      </c>
      <c r="X100">
        <f>(K100/W100)^2</f>
        <v/>
      </c>
      <c r="Y100">
        <f>IF(N100&gt;10,"HIGH_TVW_CV",IF(J100&lt;3,"SHORT_INTERFACE","PASS"))</f>
        <v/>
      </c>
      <c r="Z100" t="inlineStr">
        <is>
          <t>Di1、TVW均值、Di2均来自本Pair_ID；TVW=3–5法线平均</t>
        </is>
      </c>
      <c r="AA100" t="inlineStr">
        <is>
          <t>样品24</t>
        </is>
      </c>
    </row>
    <row r="101">
      <c r="A101" t="inlineStr">
        <is>
          <t>25(1)-P01</t>
        </is>
      </c>
      <c r="B101" t="inlineStr">
        <is>
          <t>25 (1).tif</t>
        </is>
      </c>
      <c r="C101" t="inlineStr">
        <is>
          <t>25(1)-V01</t>
        </is>
      </c>
      <c r="D101">
        <f>导管母表_1781!F1122</f>
        <v/>
      </c>
      <c r="E101">
        <f>导管母表_1781!G1122</f>
        <v/>
      </c>
      <c r="F101" t="inlineStr">
        <is>
          <t>25(1)-V02</t>
        </is>
      </c>
      <c r="G101">
        <f>导管母表_1781!F1123</f>
        <v/>
      </c>
      <c r="H101">
        <f>导管母表_1781!G1123</f>
        <v/>
      </c>
      <c r="I101" t="inlineStr">
        <is>
          <t>J231:J231</t>
        </is>
      </c>
      <c r="J101">
        <f>COUNT(TVW线测量明细!J231:J231)</f>
        <v/>
      </c>
      <c r="K101">
        <f>AVERAGE(TVW线测量明细!J231:J231)</f>
        <v/>
      </c>
      <c r="L101">
        <f>MEDIAN(TVW线测量明细!J231:J231)</f>
        <v/>
      </c>
      <c r="M101">
        <f>IF(J101&gt;1,STDEV(TVW线测量明细!J231:J231),0)</f>
        <v/>
      </c>
      <c r="N101">
        <f>IF(K101=0,"",M101/K101*100)</f>
        <v/>
      </c>
      <c r="O101" t="n">
        <v>3.990773858844743</v>
      </c>
      <c r="P101">
        <f>IF(O101=0,"",(K101/O101-1)*100)</f>
        <v/>
      </c>
      <c r="Q101">
        <f>(K101/E101)^2</f>
        <v/>
      </c>
      <c r="R101">
        <f>(K101/H101)^2</f>
        <v/>
      </c>
      <c r="S101">
        <f>AVERAGE(Q101,R101)</f>
        <v/>
      </c>
      <c r="T101">
        <f>AVERAGE((O101/E101)^2,(O101/H101)^2)</f>
        <v/>
      </c>
      <c r="U101">
        <f>IF(T101=0,"",(S101/T101-1)*100)</f>
        <v/>
      </c>
      <c r="V101">
        <f>AVERAGE((L101/E101)^2,(L101/H101)^2)</f>
        <v/>
      </c>
      <c r="W101">
        <f>IF(ABS(E101-汇总!B25)&lt;=ABS(H101-汇总!B25),E101,H101)</f>
        <v/>
      </c>
      <c r="X101">
        <f>(K101/W101)^2</f>
        <v/>
      </c>
      <c r="Y101">
        <f>IF(N101&gt;10,"HIGH_TVW_CV",IF(J101&lt;3,"SHORT_INTERFACE","PASS"))</f>
        <v/>
      </c>
      <c r="Z101" t="inlineStr">
        <is>
          <t>Di1、TVW均值、Di2均来自本Pair_ID；TVW=3–5法线平均</t>
        </is>
      </c>
      <c r="AA101" t="inlineStr">
        <is>
          <t>样品25</t>
        </is>
      </c>
    </row>
    <row r="102">
      <c r="A102" t="inlineStr">
        <is>
          <t>25(4)-P01</t>
        </is>
      </c>
      <c r="B102" t="inlineStr">
        <is>
          <t>25 (4).tif</t>
        </is>
      </c>
      <c r="C102" t="inlineStr">
        <is>
          <t>25(4)-V01</t>
        </is>
      </c>
      <c r="D102">
        <f>导管母表_1781!F1131</f>
        <v/>
      </c>
      <c r="E102">
        <f>导管母表_1781!G1131</f>
        <v/>
      </c>
      <c r="F102" t="inlineStr">
        <is>
          <t>25(4)-V04</t>
        </is>
      </c>
      <c r="G102">
        <f>导管母表_1781!F1134</f>
        <v/>
      </c>
      <c r="H102">
        <f>导管母表_1781!G1134</f>
        <v/>
      </c>
      <c r="I102" t="inlineStr">
        <is>
          <t>J232:J233</t>
        </is>
      </c>
      <c r="J102">
        <f>COUNT(TVW线测量明细!J232:J233)</f>
        <v/>
      </c>
      <c r="K102">
        <f>AVERAGE(TVW线测量明细!J232:J233)</f>
        <v/>
      </c>
      <c r="L102">
        <f>MEDIAN(TVW线测量明细!J232:J233)</f>
        <v/>
      </c>
      <c r="M102">
        <f>IF(J102&gt;1,STDEV(TVW线测量明细!J232:J233),0)</f>
        <v/>
      </c>
      <c r="N102">
        <f>IF(K102=0,"",M102/K102*100)</f>
        <v/>
      </c>
      <c r="O102" t="n">
        <v>11.02068857011876</v>
      </c>
      <c r="P102">
        <f>IF(O102=0,"",(K102/O102-1)*100)</f>
        <v/>
      </c>
      <c r="Q102">
        <f>(K102/E102)^2</f>
        <v/>
      </c>
      <c r="R102">
        <f>(K102/H102)^2</f>
        <v/>
      </c>
      <c r="S102">
        <f>AVERAGE(Q102,R102)</f>
        <v/>
      </c>
      <c r="T102">
        <f>AVERAGE((O102/E102)^2,(O102/H102)^2)</f>
        <v/>
      </c>
      <c r="U102">
        <f>IF(T102=0,"",(S102/T102-1)*100)</f>
        <v/>
      </c>
      <c r="V102">
        <f>AVERAGE((L102/E102)^2,(L102/H102)^2)</f>
        <v/>
      </c>
      <c r="W102">
        <f>IF(ABS(E102-汇总!B25)&lt;=ABS(H102-汇总!B25),E102,H102)</f>
        <v/>
      </c>
      <c r="X102">
        <f>(K102/W102)^2</f>
        <v/>
      </c>
      <c r="Y102">
        <f>IF(N102&gt;10,"HIGH_TVW_CV",IF(J102&lt;3,"SHORT_INTERFACE","PASS"))</f>
        <v/>
      </c>
      <c r="Z102" t="inlineStr">
        <is>
          <t>Di1、TVW均值、Di2均来自本Pair_ID；TVW=3–5法线平均</t>
        </is>
      </c>
      <c r="AA102" t="inlineStr">
        <is>
          <t>样品25</t>
        </is>
      </c>
    </row>
    <row r="103">
      <c r="A103" t="inlineStr">
        <is>
          <t>25(6)-P01</t>
        </is>
      </c>
      <c r="B103" t="inlineStr">
        <is>
          <t>25 (6).tif</t>
        </is>
      </c>
      <c r="C103" t="inlineStr">
        <is>
          <t>25(6)-V02</t>
        </is>
      </c>
      <c r="D103">
        <f>导管母表_1781!F1138</f>
        <v/>
      </c>
      <c r="E103">
        <f>导管母表_1781!G1138</f>
        <v/>
      </c>
      <c r="F103" t="inlineStr">
        <is>
          <t>25(6)-V04</t>
        </is>
      </c>
      <c r="G103">
        <f>导管母表_1781!F1140</f>
        <v/>
      </c>
      <c r="H103">
        <f>导管母表_1781!G1140</f>
        <v/>
      </c>
      <c r="I103" t="inlineStr">
        <is>
          <t>J234:J234</t>
        </is>
      </c>
      <c r="J103">
        <f>COUNT(TVW线测量明细!J234:J234)</f>
        <v/>
      </c>
      <c r="K103">
        <f>AVERAGE(TVW线测量明细!J234:J234)</f>
        <v/>
      </c>
      <c r="L103">
        <f>MEDIAN(TVW线测量明细!J234:J234)</f>
        <v/>
      </c>
      <c r="M103">
        <f>IF(J103&gt;1,STDEV(TVW线测量明细!J234:J234),0)</f>
        <v/>
      </c>
      <c r="N103">
        <f>IF(K103=0,"",M103/K103*100)</f>
        <v/>
      </c>
      <c r="O103" t="n">
        <v>0</v>
      </c>
      <c r="P103">
        <f>IF(O103=0,"",(K103/O103-1)*100)</f>
        <v/>
      </c>
      <c r="Q103">
        <f>(K103/E103)^2</f>
        <v/>
      </c>
      <c r="R103">
        <f>(K103/H103)^2</f>
        <v/>
      </c>
      <c r="S103">
        <f>AVERAGE(Q103,R103)</f>
        <v/>
      </c>
      <c r="T103">
        <f>AVERAGE((O103/E103)^2,(O103/H103)^2)</f>
        <v/>
      </c>
      <c r="U103">
        <f>IF(T103=0,"",(S103/T103-1)*100)</f>
        <v/>
      </c>
      <c r="V103">
        <f>AVERAGE((L103/E103)^2,(L103/H103)^2)</f>
        <v/>
      </c>
      <c r="W103">
        <f>IF(ABS(E103-汇总!B25)&lt;=ABS(H103-汇总!B25),E103,H103)</f>
        <v/>
      </c>
      <c r="X103">
        <f>(K103/W103)^2</f>
        <v/>
      </c>
      <c r="Y103">
        <f>IF(N103&gt;10,"HIGH_TVW_CV",IF(J103&lt;3,"SHORT_INTERFACE","PASS"))</f>
        <v/>
      </c>
      <c r="Z103" t="inlineStr">
        <is>
          <t>Di1、TVW均值、Di2均来自本Pair_ID；TVW=3–5法线平均</t>
        </is>
      </c>
      <c r="AA103" t="inlineStr">
        <is>
          <t>样品25</t>
        </is>
      </c>
    </row>
    <row r="104">
      <c r="A104" t="inlineStr">
        <is>
          <t>25(7)-P01</t>
        </is>
      </c>
      <c r="B104" t="inlineStr">
        <is>
          <t>25 (7).tif</t>
        </is>
      </c>
      <c r="C104" t="inlineStr">
        <is>
          <t>25(7)-V01</t>
        </is>
      </c>
      <c r="D104">
        <f>导管母表_1781!F1143</f>
        <v/>
      </c>
      <c r="E104">
        <f>导管母表_1781!G1143</f>
        <v/>
      </c>
      <c r="F104" t="inlineStr">
        <is>
          <t>25(7)-V02</t>
        </is>
      </c>
      <c r="G104">
        <f>导管母表_1781!F1144</f>
        <v/>
      </c>
      <c r="H104">
        <f>导管母表_1781!G1144</f>
        <v/>
      </c>
      <c r="I104" t="inlineStr">
        <is>
          <t>J235:J235</t>
        </is>
      </c>
      <c r="J104">
        <f>COUNT(TVW线测量明细!J235:J235)</f>
        <v/>
      </c>
      <c r="K104">
        <f>AVERAGE(TVW线测量明细!J235:J235)</f>
        <v/>
      </c>
      <c r="L104">
        <f>MEDIAN(TVW线测量明细!J235:J235)</f>
        <v/>
      </c>
      <c r="M104">
        <f>IF(J104&gt;1,STDEV(TVW线测量明细!J235:J235),0)</f>
        <v/>
      </c>
      <c r="N104">
        <f>IF(K104=0,"",M104/K104*100)</f>
        <v/>
      </c>
      <c r="O104" t="n">
        <v>5.257994183672967</v>
      </c>
      <c r="P104">
        <f>IF(O104=0,"",(K104/O104-1)*100)</f>
        <v/>
      </c>
      <c r="Q104">
        <f>(K104/E104)^2</f>
        <v/>
      </c>
      <c r="R104">
        <f>(K104/H104)^2</f>
        <v/>
      </c>
      <c r="S104">
        <f>AVERAGE(Q104,R104)</f>
        <v/>
      </c>
      <c r="T104">
        <f>AVERAGE((O104/E104)^2,(O104/H104)^2)</f>
        <v/>
      </c>
      <c r="U104">
        <f>IF(T104=0,"",(S104/T104-1)*100)</f>
        <v/>
      </c>
      <c r="V104">
        <f>AVERAGE((L104/E104)^2,(L104/H104)^2)</f>
        <v/>
      </c>
      <c r="W104">
        <f>IF(ABS(E104-汇总!B25)&lt;=ABS(H104-汇总!B25),E104,H104)</f>
        <v/>
      </c>
      <c r="X104">
        <f>(K104/W104)^2</f>
        <v/>
      </c>
      <c r="Y104">
        <f>IF(N104&gt;10,"HIGH_TVW_CV",IF(J104&lt;3,"SHORT_INTERFACE","PASS"))</f>
        <v/>
      </c>
      <c r="Z104" t="inlineStr">
        <is>
          <t>Di1、TVW均值、Di2均来自本Pair_ID；TVW=3–5法线平均</t>
        </is>
      </c>
      <c r="AA104" t="inlineStr">
        <is>
          <t>样品25</t>
        </is>
      </c>
    </row>
    <row r="105">
      <c r="A105" t="inlineStr">
        <is>
          <t>26(2)-P01</t>
        </is>
      </c>
      <c r="B105" t="inlineStr">
        <is>
          <t>26 (2).tif</t>
        </is>
      </c>
      <c r="C105" t="inlineStr">
        <is>
          <t>26(2)-V02</t>
        </is>
      </c>
      <c r="D105">
        <f>导管母表_1781!F1158</f>
        <v/>
      </c>
      <c r="E105">
        <f>导管母表_1781!G1158</f>
        <v/>
      </c>
      <c r="F105" t="inlineStr">
        <is>
          <t>26(2)-V04</t>
        </is>
      </c>
      <c r="G105">
        <f>导管母表_1781!F1160</f>
        <v/>
      </c>
      <c r="H105">
        <f>导管母表_1781!G1160</f>
        <v/>
      </c>
      <c r="I105" t="inlineStr">
        <is>
          <t>J236:J236</t>
        </is>
      </c>
      <c r="J105">
        <f>COUNT(TVW线测量明细!J236:J236)</f>
        <v/>
      </c>
      <c r="K105">
        <f>AVERAGE(TVW线测量明细!J236:J236)</f>
        <v/>
      </c>
      <c r="L105">
        <f>MEDIAN(TVW线测量明细!J236:J236)</f>
        <v/>
      </c>
      <c r="M105">
        <f>IF(J105&gt;1,STDEV(TVW线测量明细!J236:J236),0)</f>
        <v/>
      </c>
      <c r="N105">
        <f>IF(K105=0,"",M105/K105*100)</f>
        <v/>
      </c>
      <c r="O105" t="n">
        <v>6.822762968032702</v>
      </c>
      <c r="P105">
        <f>IF(O105=0,"",(K105/O105-1)*100)</f>
        <v/>
      </c>
      <c r="Q105">
        <f>(K105/E105)^2</f>
        <v/>
      </c>
      <c r="R105">
        <f>(K105/H105)^2</f>
        <v/>
      </c>
      <c r="S105">
        <f>AVERAGE(Q105,R105)</f>
        <v/>
      </c>
      <c r="T105">
        <f>AVERAGE((O105/E105)^2,(O105/H105)^2)</f>
        <v/>
      </c>
      <c r="U105">
        <f>IF(T105=0,"",(S105/T105-1)*100)</f>
        <v/>
      </c>
      <c r="V105">
        <f>AVERAGE((L105/E105)^2,(L105/H105)^2)</f>
        <v/>
      </c>
      <c r="W105">
        <f>IF(ABS(E105-汇总!B25)&lt;=ABS(H105-汇总!B25),E105,H105)</f>
        <v/>
      </c>
      <c r="X105">
        <f>(K105/W105)^2</f>
        <v/>
      </c>
      <c r="Y105">
        <f>IF(N105&gt;10,"HIGH_TVW_CV",IF(J105&lt;3,"SHORT_INTERFACE","PASS"))</f>
        <v/>
      </c>
      <c r="Z105" t="inlineStr">
        <is>
          <t>Di1、TVW均值、Di2均来自本Pair_ID；TVW=3–5法线平均</t>
        </is>
      </c>
      <c r="AA105" t="inlineStr">
        <is>
          <t>样品26</t>
        </is>
      </c>
    </row>
    <row r="106">
      <c r="A106" t="inlineStr">
        <is>
          <t>26(4)-P01</t>
        </is>
      </c>
      <c r="B106" t="inlineStr">
        <is>
          <t>26 (4).tif</t>
        </is>
      </c>
      <c r="C106" t="inlineStr">
        <is>
          <t>26(4)-V01</t>
        </is>
      </c>
      <c r="D106">
        <f>导管母表_1781!F1168</f>
        <v/>
      </c>
      <c r="E106">
        <f>导管母表_1781!G1168</f>
        <v/>
      </c>
      <c r="F106" t="inlineStr">
        <is>
          <t>26(4)-V06</t>
        </is>
      </c>
      <c r="G106">
        <f>导管母表_1781!F1173</f>
        <v/>
      </c>
      <c r="H106">
        <f>导管母表_1781!G1173</f>
        <v/>
      </c>
      <c r="I106" t="inlineStr">
        <is>
          <t>J237:J239</t>
        </is>
      </c>
      <c r="J106">
        <f>COUNT(TVW线测量明细!J237:J239)</f>
        <v/>
      </c>
      <c r="K106">
        <f>AVERAGE(TVW线测量明细!J237:J239)</f>
        <v/>
      </c>
      <c r="L106">
        <f>MEDIAN(TVW线测量明细!J237:J239)</f>
        <v/>
      </c>
      <c r="M106">
        <f>IF(J106&gt;1,STDEV(TVW线测量明细!J237:J239),0)</f>
        <v/>
      </c>
      <c r="N106">
        <f>IF(K106=0,"",M106/K106*100)</f>
        <v/>
      </c>
      <c r="O106" t="n">
        <v>0.6521739130434783</v>
      </c>
      <c r="P106">
        <f>IF(O106=0,"",(K106/O106-1)*100)</f>
        <v/>
      </c>
      <c r="Q106">
        <f>(K106/E106)^2</f>
        <v/>
      </c>
      <c r="R106">
        <f>(K106/H106)^2</f>
        <v/>
      </c>
      <c r="S106">
        <f>AVERAGE(Q106,R106)</f>
        <v/>
      </c>
      <c r="T106">
        <f>AVERAGE((O106/E106)^2,(O106/H106)^2)</f>
        <v/>
      </c>
      <c r="U106">
        <f>IF(T106=0,"",(S106/T106-1)*100)</f>
        <v/>
      </c>
      <c r="V106">
        <f>AVERAGE((L106/E106)^2,(L106/H106)^2)</f>
        <v/>
      </c>
      <c r="W106">
        <f>IF(ABS(E106-汇总!B25)&lt;=ABS(H106-汇总!B25),E106,H106)</f>
        <v/>
      </c>
      <c r="X106">
        <f>(K106/W106)^2</f>
        <v/>
      </c>
      <c r="Y106">
        <f>IF(N106&gt;10,"HIGH_TVW_CV",IF(J106&lt;3,"SHORT_INTERFACE","PASS"))</f>
        <v/>
      </c>
      <c r="Z106" t="inlineStr">
        <is>
          <t>Di1、TVW均值、Di2均来自本Pair_ID；TVW=3–5法线平均</t>
        </is>
      </c>
      <c r="AA106" t="inlineStr">
        <is>
          <t>样品26</t>
        </is>
      </c>
    </row>
    <row r="107">
      <c r="A107" t="inlineStr">
        <is>
          <t>26(5)-P01</t>
        </is>
      </c>
      <c r="B107" t="inlineStr">
        <is>
          <t>26 (5).tif</t>
        </is>
      </c>
      <c r="C107" t="inlineStr">
        <is>
          <t>26(5)-V01</t>
        </is>
      </c>
      <c r="D107">
        <f>导管母表_1781!F1177</f>
        <v/>
      </c>
      <c r="E107">
        <f>导管母表_1781!G1177</f>
        <v/>
      </c>
      <c r="F107" t="inlineStr">
        <is>
          <t>26(5)-V02</t>
        </is>
      </c>
      <c r="G107">
        <f>导管母表_1781!F1178</f>
        <v/>
      </c>
      <c r="H107">
        <f>导管母表_1781!G1178</f>
        <v/>
      </c>
      <c r="I107" t="inlineStr">
        <is>
          <t>J240:J240</t>
        </is>
      </c>
      <c r="J107">
        <f>COUNT(TVW线测量明细!J240:J240)</f>
        <v/>
      </c>
      <c r="K107">
        <f>AVERAGE(TVW线测量明细!J240:J240)</f>
        <v/>
      </c>
      <c r="L107">
        <f>MEDIAN(TVW线测量明细!J240:J240)</f>
        <v/>
      </c>
      <c r="M107">
        <f>IF(J107&gt;1,STDEV(TVW线测量明细!J240:J240),0)</f>
        <v/>
      </c>
      <c r="N107">
        <f>IF(K107=0,"",M107/K107*100)</f>
        <v/>
      </c>
      <c r="O107" t="n">
        <v>5.075051099969023</v>
      </c>
      <c r="P107">
        <f>IF(O107=0,"",(K107/O107-1)*100)</f>
        <v/>
      </c>
      <c r="Q107">
        <f>(K107/E107)^2</f>
        <v/>
      </c>
      <c r="R107">
        <f>(K107/H107)^2</f>
        <v/>
      </c>
      <c r="S107">
        <f>AVERAGE(Q107,R107)</f>
        <v/>
      </c>
      <c r="T107">
        <f>AVERAGE((O107/E107)^2,(O107/H107)^2)</f>
        <v/>
      </c>
      <c r="U107">
        <f>IF(T107=0,"",(S107/T107-1)*100)</f>
        <v/>
      </c>
      <c r="V107">
        <f>AVERAGE((L107/E107)^2,(L107/H107)^2)</f>
        <v/>
      </c>
      <c r="W107">
        <f>IF(ABS(E107-汇总!B25)&lt;=ABS(H107-汇总!B25),E107,H107)</f>
        <v/>
      </c>
      <c r="X107">
        <f>(K107/W107)^2</f>
        <v/>
      </c>
      <c r="Y107">
        <f>IF(N107&gt;10,"HIGH_TVW_CV",IF(J107&lt;3,"SHORT_INTERFACE","PASS"))</f>
        <v/>
      </c>
      <c r="Z107" t="inlineStr">
        <is>
          <t>Di1、TVW均值、Di2均来自本Pair_ID；TVW=3–5法线平均</t>
        </is>
      </c>
      <c r="AA107" t="inlineStr">
        <is>
          <t>样品26</t>
        </is>
      </c>
    </row>
    <row r="108">
      <c r="A108" t="inlineStr">
        <is>
          <t>26(6)-P01</t>
        </is>
      </c>
      <c r="B108" t="inlineStr">
        <is>
          <t>26 (6).tif</t>
        </is>
      </c>
      <c r="C108" t="inlineStr">
        <is>
          <t>26(6)-V02</t>
        </is>
      </c>
      <c r="D108">
        <f>导管母表_1781!F1182</f>
        <v/>
      </c>
      <c r="E108">
        <f>导管母表_1781!G1182</f>
        <v/>
      </c>
      <c r="F108" t="inlineStr">
        <is>
          <t>26(6)-V06</t>
        </is>
      </c>
      <c r="G108">
        <f>导管母表_1781!F1186</f>
        <v/>
      </c>
      <c r="H108">
        <f>导管母表_1781!G1186</f>
        <v/>
      </c>
      <c r="I108" t="inlineStr">
        <is>
          <t>J241:J242</t>
        </is>
      </c>
      <c r="J108">
        <f>COUNT(TVW线测量明细!J241:J242)</f>
        <v/>
      </c>
      <c r="K108">
        <f>AVERAGE(TVW线测量明细!J241:J242)</f>
        <v/>
      </c>
      <c r="L108">
        <f>MEDIAN(TVW线测量明细!J241:J242)</f>
        <v/>
      </c>
      <c r="M108">
        <f>IF(J108&gt;1,STDEV(TVW线测量明细!J241:J242),0)</f>
        <v/>
      </c>
      <c r="N108">
        <f>IF(K108=0,"",M108/K108*100)</f>
        <v/>
      </c>
      <c r="O108" t="n">
        <v>14.76341464899969</v>
      </c>
      <c r="P108">
        <f>IF(O108=0,"",(K108/O108-1)*100)</f>
        <v/>
      </c>
      <c r="Q108">
        <f>(K108/E108)^2</f>
        <v/>
      </c>
      <c r="R108">
        <f>(K108/H108)^2</f>
        <v/>
      </c>
      <c r="S108">
        <f>AVERAGE(Q108,R108)</f>
        <v/>
      </c>
      <c r="T108">
        <f>AVERAGE((O108/E108)^2,(O108/H108)^2)</f>
        <v/>
      </c>
      <c r="U108">
        <f>IF(T108=0,"",(S108/T108-1)*100)</f>
        <v/>
      </c>
      <c r="V108">
        <f>AVERAGE((L108/E108)^2,(L108/H108)^2)</f>
        <v/>
      </c>
      <c r="W108">
        <f>IF(ABS(E108-汇总!B25)&lt;=ABS(H108-汇总!B25),E108,H108)</f>
        <v/>
      </c>
      <c r="X108">
        <f>(K108/W108)^2</f>
        <v/>
      </c>
      <c r="Y108">
        <f>IF(N108&gt;10,"HIGH_TVW_CV",IF(J108&lt;3,"SHORT_INTERFACE","PASS"))</f>
        <v/>
      </c>
      <c r="Z108" t="inlineStr">
        <is>
          <t>Di1、TVW均值、Di2均来自本Pair_ID；TVW=3–5法线平均</t>
        </is>
      </c>
      <c r="AA108" t="inlineStr">
        <is>
          <t>样品26</t>
        </is>
      </c>
    </row>
    <row r="109">
      <c r="A109" t="inlineStr">
        <is>
          <t>27(6)-P01</t>
        </is>
      </c>
      <c r="B109" t="inlineStr">
        <is>
          <t>27 (6).tif</t>
        </is>
      </c>
      <c r="C109" t="inlineStr">
        <is>
          <t>27(6)-V01</t>
        </is>
      </c>
      <c r="D109">
        <f>导管母表_1781!F1225</f>
        <v/>
      </c>
      <c r="E109">
        <f>导管母表_1781!G1225</f>
        <v/>
      </c>
      <c r="F109" t="inlineStr">
        <is>
          <t>27(6)-V06</t>
        </is>
      </c>
      <c r="G109">
        <f>导管母表_1781!F1230</f>
        <v/>
      </c>
      <c r="H109">
        <f>导管母表_1781!G1230</f>
        <v/>
      </c>
      <c r="I109" t="inlineStr">
        <is>
          <t>J243:J245</t>
        </is>
      </c>
      <c r="J109">
        <f>COUNT(TVW线测量明细!J243:J245)</f>
        <v/>
      </c>
      <c r="K109">
        <f>AVERAGE(TVW线测量明细!J243:J245)</f>
        <v/>
      </c>
      <c r="L109">
        <f>MEDIAN(TVW线测量明细!J243:J245)</f>
        <v/>
      </c>
      <c r="M109">
        <f>IF(J109&gt;1,STDEV(TVW线测量明细!J243:J245),0)</f>
        <v/>
      </c>
      <c r="N109">
        <f>IF(K109=0,"",M109/K109*100)</f>
        <v/>
      </c>
      <c r="O109" t="n">
        <v>7.496060717202898</v>
      </c>
      <c r="P109">
        <f>IF(O109=0,"",(K109/O109-1)*100)</f>
        <v/>
      </c>
      <c r="Q109">
        <f>(K109/E109)^2</f>
        <v/>
      </c>
      <c r="R109">
        <f>(K109/H109)^2</f>
        <v/>
      </c>
      <c r="S109">
        <f>AVERAGE(Q109,R109)</f>
        <v/>
      </c>
      <c r="T109">
        <f>AVERAGE((O109/E109)^2,(O109/H109)^2)</f>
        <v/>
      </c>
      <c r="U109">
        <f>IF(T109=0,"",(S109/T109-1)*100)</f>
        <v/>
      </c>
      <c r="V109">
        <f>AVERAGE((L109/E109)^2,(L109/H109)^2)</f>
        <v/>
      </c>
      <c r="W109">
        <f>IF(ABS(E109-汇总!B25)&lt;=ABS(H109-汇总!B25),E109,H109)</f>
        <v/>
      </c>
      <c r="X109">
        <f>(K109/W109)^2</f>
        <v/>
      </c>
      <c r="Y109">
        <f>IF(N109&gt;10,"HIGH_TVW_CV",IF(J109&lt;3,"SHORT_INTERFACE","PASS"))</f>
        <v/>
      </c>
      <c r="Z109" t="inlineStr">
        <is>
          <t>Di1、TVW均值、Di2均来自本Pair_ID；TVW=3–5法线平均</t>
        </is>
      </c>
      <c r="AA109" t="inlineStr">
        <is>
          <t>样品27</t>
        </is>
      </c>
    </row>
    <row r="110">
      <c r="A110" t="inlineStr">
        <is>
          <t>28(2)-P01</t>
        </is>
      </c>
      <c r="B110" t="inlineStr">
        <is>
          <t>28 (2).tif</t>
        </is>
      </c>
      <c r="C110" t="inlineStr">
        <is>
          <t>28(2)-V01</t>
        </is>
      </c>
      <c r="D110">
        <f>导管母表_1781!F1238</f>
        <v/>
      </c>
      <c r="E110">
        <f>导管母表_1781!G1238</f>
        <v/>
      </c>
      <c r="F110" t="inlineStr">
        <is>
          <t>28(2)-V02</t>
        </is>
      </c>
      <c r="G110">
        <f>导管母表_1781!F1239</f>
        <v/>
      </c>
      <c r="H110">
        <f>导管母表_1781!G1239</f>
        <v/>
      </c>
      <c r="I110" t="inlineStr">
        <is>
          <t>J246:J246</t>
        </is>
      </c>
      <c r="J110">
        <f>COUNT(TVW线测量明细!J246:J246)</f>
        <v/>
      </c>
      <c r="K110">
        <f>AVERAGE(TVW线测量明细!J246:J246)</f>
        <v/>
      </c>
      <c r="L110">
        <f>MEDIAN(TVW线测量明细!J246:J246)</f>
        <v/>
      </c>
      <c r="M110">
        <f>IF(J110&gt;1,STDEV(TVW线测量明细!J246:J246),0)</f>
        <v/>
      </c>
      <c r="N110">
        <f>IF(K110=0,"",M110/K110*100)</f>
        <v/>
      </c>
      <c r="O110" t="n">
        <v>7.880247374083416</v>
      </c>
      <c r="P110">
        <f>IF(O110=0,"",(K110/O110-1)*100)</f>
        <v/>
      </c>
      <c r="Q110">
        <f>(K110/E110)^2</f>
        <v/>
      </c>
      <c r="R110">
        <f>(K110/H110)^2</f>
        <v/>
      </c>
      <c r="S110">
        <f>AVERAGE(Q110,R110)</f>
        <v/>
      </c>
      <c r="T110">
        <f>AVERAGE((O110/E110)^2,(O110/H110)^2)</f>
        <v/>
      </c>
      <c r="U110">
        <f>IF(T110=0,"",(S110/T110-1)*100)</f>
        <v/>
      </c>
      <c r="V110">
        <f>AVERAGE((L110/E110)^2,(L110/H110)^2)</f>
        <v/>
      </c>
      <c r="W110">
        <f>IF(ABS(E110-汇总!B25)&lt;=ABS(H110-汇总!B25),E110,H110)</f>
        <v/>
      </c>
      <c r="X110">
        <f>(K110/W110)^2</f>
        <v/>
      </c>
      <c r="Y110">
        <f>IF(N110&gt;10,"HIGH_TVW_CV",IF(J110&lt;3,"SHORT_INTERFACE","PASS"))</f>
        <v/>
      </c>
      <c r="Z110" t="inlineStr">
        <is>
          <t>Di1、TVW均值、Di2均来自本Pair_ID；TVW=3–5法线平均</t>
        </is>
      </c>
      <c r="AA110" t="inlineStr">
        <is>
          <t>样品28</t>
        </is>
      </c>
    </row>
    <row r="111">
      <c r="A111" t="inlineStr">
        <is>
          <t>28(3)-P01</t>
        </is>
      </c>
      <c r="B111" t="inlineStr">
        <is>
          <t>28 (3).tif</t>
        </is>
      </c>
      <c r="C111" t="inlineStr">
        <is>
          <t>28(3)-V01</t>
        </is>
      </c>
      <c r="D111">
        <f>导管母表_1781!F1240</f>
        <v/>
      </c>
      <c r="E111">
        <f>导管母表_1781!G1240</f>
        <v/>
      </c>
      <c r="F111" t="inlineStr">
        <is>
          <t>28(3)-V03</t>
        </is>
      </c>
      <c r="G111">
        <f>导管母表_1781!F1242</f>
        <v/>
      </c>
      <c r="H111">
        <f>导管母表_1781!G1242</f>
        <v/>
      </c>
      <c r="I111" t="inlineStr">
        <is>
          <t>J247:J248</t>
        </is>
      </c>
      <c r="J111">
        <f>COUNT(TVW线测量明细!J247:J248)</f>
        <v/>
      </c>
      <c r="K111">
        <f>AVERAGE(TVW线测量明细!J247:J248)</f>
        <v/>
      </c>
      <c r="L111">
        <f>MEDIAN(TVW线测量明细!J247:J248)</f>
        <v/>
      </c>
      <c r="M111">
        <f>IF(J111&gt;1,STDEV(TVW线测量明细!J247:J248),0)</f>
        <v/>
      </c>
      <c r="N111">
        <f>IF(K111=0,"",M111/K111*100)</f>
        <v/>
      </c>
      <c r="O111" t="n">
        <v>5.933627853893991</v>
      </c>
      <c r="P111">
        <f>IF(O111=0,"",(K111/O111-1)*100)</f>
        <v/>
      </c>
      <c r="Q111">
        <f>(K111/E111)^2</f>
        <v/>
      </c>
      <c r="R111">
        <f>(K111/H111)^2</f>
        <v/>
      </c>
      <c r="S111">
        <f>AVERAGE(Q111,R111)</f>
        <v/>
      </c>
      <c r="T111">
        <f>AVERAGE((O111/E111)^2,(O111/H111)^2)</f>
        <v/>
      </c>
      <c r="U111">
        <f>IF(T111=0,"",(S111/T111-1)*100)</f>
        <v/>
      </c>
      <c r="V111">
        <f>AVERAGE((L111/E111)^2,(L111/H111)^2)</f>
        <v/>
      </c>
      <c r="W111">
        <f>IF(ABS(E111-汇总!B25)&lt;=ABS(H111-汇总!B25),E111,H111)</f>
        <v/>
      </c>
      <c r="X111">
        <f>(K111/W111)^2</f>
        <v/>
      </c>
      <c r="Y111">
        <f>IF(N111&gt;10,"HIGH_TVW_CV",IF(J111&lt;3,"SHORT_INTERFACE","PASS"))</f>
        <v/>
      </c>
      <c r="Z111" t="inlineStr">
        <is>
          <t>Di1、TVW均值、Di2均来自本Pair_ID；TVW=3–5法线平均</t>
        </is>
      </c>
      <c r="AA111" t="inlineStr">
        <is>
          <t>样品28</t>
        </is>
      </c>
    </row>
    <row r="112">
      <c r="A112" t="inlineStr">
        <is>
          <t>28(8)-P01</t>
        </is>
      </c>
      <c r="B112" t="inlineStr">
        <is>
          <t>28 (8).tif</t>
        </is>
      </c>
      <c r="C112" t="inlineStr">
        <is>
          <t>28(8)-V01</t>
        </is>
      </c>
      <c r="D112">
        <f>导管母表_1781!F1254</f>
        <v/>
      </c>
      <c r="E112">
        <f>导管母表_1781!G1254</f>
        <v/>
      </c>
      <c r="F112" t="inlineStr">
        <is>
          <t>28(8)-V02</t>
        </is>
      </c>
      <c r="G112">
        <f>导管母表_1781!F1255</f>
        <v/>
      </c>
      <c r="H112">
        <f>导管母表_1781!G1255</f>
        <v/>
      </c>
      <c r="I112" t="inlineStr">
        <is>
          <t>J249:J251</t>
        </is>
      </c>
      <c r="J112">
        <f>COUNT(TVW线测量明细!J249:J251)</f>
        <v/>
      </c>
      <c r="K112">
        <f>AVERAGE(TVW线测量明细!J249:J251)</f>
        <v/>
      </c>
      <c r="L112">
        <f>MEDIAN(TVW线测量明细!J249:J251)</f>
        <v/>
      </c>
      <c r="M112">
        <f>IF(J112&gt;1,STDEV(TVW线测量明细!J249:J251),0)</f>
        <v/>
      </c>
      <c r="N112">
        <f>IF(K112=0,"",M112/K112*100)</f>
        <v/>
      </c>
      <c r="O112" t="n">
        <v>5.913682829884976</v>
      </c>
      <c r="P112">
        <f>IF(O112=0,"",(K112/O112-1)*100)</f>
        <v/>
      </c>
      <c r="Q112">
        <f>(K112/E112)^2</f>
        <v/>
      </c>
      <c r="R112">
        <f>(K112/H112)^2</f>
        <v/>
      </c>
      <c r="S112">
        <f>AVERAGE(Q112,R112)</f>
        <v/>
      </c>
      <c r="T112">
        <f>AVERAGE((O112/E112)^2,(O112/H112)^2)</f>
        <v/>
      </c>
      <c r="U112">
        <f>IF(T112=0,"",(S112/T112-1)*100)</f>
        <v/>
      </c>
      <c r="V112">
        <f>AVERAGE((L112/E112)^2,(L112/H112)^2)</f>
        <v/>
      </c>
      <c r="W112">
        <f>IF(ABS(E112-汇总!B25)&lt;=ABS(H112-汇总!B25),E112,H112)</f>
        <v/>
      </c>
      <c r="X112">
        <f>(K112/W112)^2</f>
        <v/>
      </c>
      <c r="Y112">
        <f>IF(N112&gt;10,"HIGH_TVW_CV",IF(J112&lt;3,"SHORT_INTERFACE","PASS"))</f>
        <v/>
      </c>
      <c r="Z112" t="inlineStr">
        <is>
          <t>Di1、TVW均值、Di2均来自本Pair_ID；TVW=3–5法线平均</t>
        </is>
      </c>
      <c r="AA112" t="inlineStr">
        <is>
          <t>样品28</t>
        </is>
      </c>
    </row>
    <row r="113">
      <c r="A113" t="inlineStr">
        <is>
          <t>29(1)-P01</t>
        </is>
      </c>
      <c r="B113" t="inlineStr">
        <is>
          <t>29 (1).tif</t>
        </is>
      </c>
      <c r="C113" t="inlineStr">
        <is>
          <t>29(1)-V01</t>
        </is>
      </c>
      <c r="D113">
        <f>导管母表_1781!F1256</f>
        <v/>
      </c>
      <c r="E113">
        <f>导管母表_1781!G1256</f>
        <v/>
      </c>
      <c r="F113" t="inlineStr">
        <is>
          <t>29(1)-V02</t>
        </is>
      </c>
      <c r="G113">
        <f>导管母表_1781!F1257</f>
        <v/>
      </c>
      <c r="H113">
        <f>导管母表_1781!G1257</f>
        <v/>
      </c>
      <c r="I113" t="inlineStr">
        <is>
          <t>J252:J256</t>
        </is>
      </c>
      <c r="J113">
        <f>COUNT(TVW线测量明细!J252:J256)</f>
        <v/>
      </c>
      <c r="K113">
        <f>AVERAGE(TVW线测量明细!J252:J256)</f>
        <v/>
      </c>
      <c r="L113">
        <f>MEDIAN(TVW线测量明细!J252:J256)</f>
        <v/>
      </c>
      <c r="M113">
        <f>IF(J113&gt;1,STDEV(TVW线测量明细!J252:J256),0)</f>
        <v/>
      </c>
      <c r="N113">
        <f>IF(K113=0,"",M113/K113*100)</f>
        <v/>
      </c>
      <c r="O113" t="n">
        <v>12.54481569239436</v>
      </c>
      <c r="P113">
        <f>IF(O113=0,"",(K113/O113-1)*100)</f>
        <v/>
      </c>
      <c r="Q113">
        <f>(K113/E113)^2</f>
        <v/>
      </c>
      <c r="R113">
        <f>(K113/H113)^2</f>
        <v/>
      </c>
      <c r="S113">
        <f>AVERAGE(Q113,R113)</f>
        <v/>
      </c>
      <c r="T113">
        <f>AVERAGE((O113/E113)^2,(O113/H113)^2)</f>
        <v/>
      </c>
      <c r="U113">
        <f>IF(T113=0,"",(S113/T113-1)*100)</f>
        <v/>
      </c>
      <c r="V113">
        <f>AVERAGE((L113/E113)^2,(L113/H113)^2)</f>
        <v/>
      </c>
      <c r="W113">
        <f>IF(ABS(E113-汇总!B25)&lt;=ABS(H113-汇总!B25),E113,H113)</f>
        <v/>
      </c>
      <c r="X113">
        <f>(K113/W113)^2</f>
        <v/>
      </c>
      <c r="Y113">
        <f>IF(N113&gt;10,"HIGH_TVW_CV",IF(J113&lt;3,"SHORT_INTERFACE","PASS"))</f>
        <v/>
      </c>
      <c r="Z113" t="inlineStr">
        <is>
          <t>Di1、TVW均值、Di2均来自本Pair_ID；TVW=3–5法线平均</t>
        </is>
      </c>
      <c r="AA113" t="inlineStr">
        <is>
          <t>样品29</t>
        </is>
      </c>
    </row>
    <row r="114">
      <c r="A114" t="inlineStr">
        <is>
          <t>29(2)-P01</t>
        </is>
      </c>
      <c r="B114" t="inlineStr">
        <is>
          <t>29 (2).tif</t>
        </is>
      </c>
      <c r="C114" t="inlineStr">
        <is>
          <t>29(2)-V03</t>
        </is>
      </c>
      <c r="D114">
        <f>导管母表_1781!F1261</f>
        <v/>
      </c>
      <c r="E114">
        <f>导管母表_1781!G1261</f>
        <v/>
      </c>
      <c r="F114" t="inlineStr">
        <is>
          <t>29(2)-V06</t>
        </is>
      </c>
      <c r="G114">
        <f>导管母表_1781!F1264</f>
        <v/>
      </c>
      <c r="H114">
        <f>导管母表_1781!G1264</f>
        <v/>
      </c>
      <c r="I114" t="inlineStr">
        <is>
          <t>J257:J258</t>
        </is>
      </c>
      <c r="J114">
        <f>COUNT(TVW线测量明细!J257:J258)</f>
        <v/>
      </c>
      <c r="K114">
        <f>AVERAGE(TVW线测量明细!J257:J258)</f>
        <v/>
      </c>
      <c r="L114">
        <f>MEDIAN(TVW线测量明细!J257:J258)</f>
        <v/>
      </c>
      <c r="M114">
        <f>IF(J114&gt;1,STDEV(TVW线测量明细!J257:J258),0)</f>
        <v/>
      </c>
      <c r="N114">
        <f>IF(K114=0,"",M114/K114*100)</f>
        <v/>
      </c>
      <c r="O114" t="n">
        <v>12.55987550056895</v>
      </c>
      <c r="P114">
        <f>IF(O114=0,"",(K114/O114-1)*100)</f>
        <v/>
      </c>
      <c r="Q114">
        <f>(K114/E114)^2</f>
        <v/>
      </c>
      <c r="R114">
        <f>(K114/H114)^2</f>
        <v/>
      </c>
      <c r="S114">
        <f>AVERAGE(Q114,R114)</f>
        <v/>
      </c>
      <c r="T114">
        <f>AVERAGE((O114/E114)^2,(O114/H114)^2)</f>
        <v/>
      </c>
      <c r="U114">
        <f>IF(T114=0,"",(S114/T114-1)*100)</f>
        <v/>
      </c>
      <c r="V114">
        <f>AVERAGE((L114/E114)^2,(L114/H114)^2)</f>
        <v/>
      </c>
      <c r="W114">
        <f>IF(ABS(E114-汇总!B25)&lt;=ABS(H114-汇总!B25),E114,H114)</f>
        <v/>
      </c>
      <c r="X114">
        <f>(K114/W114)^2</f>
        <v/>
      </c>
      <c r="Y114">
        <f>IF(N114&gt;10,"HIGH_TVW_CV",IF(J114&lt;3,"SHORT_INTERFACE","PASS"))</f>
        <v/>
      </c>
      <c r="Z114" t="inlineStr">
        <is>
          <t>Di1、TVW均值、Di2均来自本Pair_ID；TVW=3–5法线平均</t>
        </is>
      </c>
      <c r="AA114" t="inlineStr">
        <is>
          <t>样品29</t>
        </is>
      </c>
    </row>
    <row r="115">
      <c r="A115" t="inlineStr">
        <is>
          <t>29(5)-P01</t>
        </is>
      </c>
      <c r="B115" t="inlineStr">
        <is>
          <t>29 (5).tif</t>
        </is>
      </c>
      <c r="C115" t="inlineStr">
        <is>
          <t>29(5)-V02</t>
        </is>
      </c>
      <c r="D115">
        <f>导管母表_1781!F1276</f>
        <v/>
      </c>
      <c r="E115">
        <f>导管母表_1781!G1276</f>
        <v/>
      </c>
      <c r="F115" t="inlineStr">
        <is>
          <t>29(5)-V03</t>
        </is>
      </c>
      <c r="G115">
        <f>导管母表_1781!F1277</f>
        <v/>
      </c>
      <c r="H115">
        <f>导管母表_1781!G1277</f>
        <v/>
      </c>
      <c r="I115" t="inlineStr">
        <is>
          <t>J259:J259</t>
        </is>
      </c>
      <c r="J115">
        <f>COUNT(TVW线测量明细!J259:J259)</f>
        <v/>
      </c>
      <c r="K115">
        <f>AVERAGE(TVW线测量明细!J259:J259)</f>
        <v/>
      </c>
      <c r="L115">
        <f>MEDIAN(TVW线测量明细!J259:J259)</f>
        <v/>
      </c>
      <c r="M115">
        <f>IF(J115&gt;1,STDEV(TVW线测量明细!J259:J259),0)</f>
        <v/>
      </c>
      <c r="N115">
        <f>IF(K115=0,"",M115/K115*100)</f>
        <v/>
      </c>
      <c r="O115" t="n">
        <v>4.611565964260093</v>
      </c>
      <c r="P115">
        <f>IF(O115=0,"",(K115/O115-1)*100)</f>
        <v/>
      </c>
      <c r="Q115">
        <f>(K115/E115)^2</f>
        <v/>
      </c>
      <c r="R115">
        <f>(K115/H115)^2</f>
        <v/>
      </c>
      <c r="S115">
        <f>AVERAGE(Q115,R115)</f>
        <v/>
      </c>
      <c r="T115">
        <f>AVERAGE((O115/E115)^2,(O115/H115)^2)</f>
        <v/>
      </c>
      <c r="U115">
        <f>IF(T115=0,"",(S115/T115-1)*100)</f>
        <v/>
      </c>
      <c r="V115">
        <f>AVERAGE((L115/E115)^2,(L115/H115)^2)</f>
        <v/>
      </c>
      <c r="W115">
        <f>IF(ABS(E115-汇总!B25)&lt;=ABS(H115-汇总!B25),E115,H115)</f>
        <v/>
      </c>
      <c r="X115">
        <f>(K115/W115)^2</f>
        <v/>
      </c>
      <c r="Y115">
        <f>IF(N115&gt;10,"HIGH_TVW_CV",IF(J115&lt;3,"SHORT_INTERFACE","PASS"))</f>
        <v/>
      </c>
      <c r="Z115" t="inlineStr">
        <is>
          <t>Di1、TVW均值、Di2均来自本Pair_ID；TVW=3–5法线平均</t>
        </is>
      </c>
      <c r="AA115" t="inlineStr">
        <is>
          <t>样品29</t>
        </is>
      </c>
    </row>
    <row r="116">
      <c r="A116" t="inlineStr">
        <is>
          <t>29(9)-P01</t>
        </is>
      </c>
      <c r="B116" t="inlineStr">
        <is>
          <t>29 (9).tif</t>
        </is>
      </c>
      <c r="C116" t="inlineStr">
        <is>
          <t>29(9)-V01</t>
        </is>
      </c>
      <c r="D116">
        <f>导管母表_1781!F1297</f>
        <v/>
      </c>
      <c r="E116">
        <f>导管母表_1781!G1297</f>
        <v/>
      </c>
      <c r="F116" t="inlineStr">
        <is>
          <t>29(9)-V02</t>
        </is>
      </c>
      <c r="G116">
        <f>导管母表_1781!F1298</f>
        <v/>
      </c>
      <c r="H116">
        <f>导管母表_1781!G1298</f>
        <v/>
      </c>
      <c r="I116" t="inlineStr">
        <is>
          <t>J260:J262</t>
        </is>
      </c>
      <c r="J116">
        <f>COUNT(TVW线测量明细!J260:J262)</f>
        <v/>
      </c>
      <c r="K116">
        <f>AVERAGE(TVW线测量明细!J260:J262)</f>
        <v/>
      </c>
      <c r="L116">
        <f>MEDIAN(TVW线测量明细!J260:J262)</f>
        <v/>
      </c>
      <c r="M116">
        <f>IF(J116&gt;1,STDEV(TVW线测量明细!J260:J262),0)</f>
        <v/>
      </c>
      <c r="N116">
        <f>IF(K116=0,"",M116/K116*100)</f>
        <v/>
      </c>
      <c r="O116" t="n">
        <v>4.611565964260093</v>
      </c>
      <c r="P116">
        <f>IF(O116=0,"",(K116/O116-1)*100)</f>
        <v/>
      </c>
      <c r="Q116">
        <f>(K116/E116)^2</f>
        <v/>
      </c>
      <c r="R116">
        <f>(K116/H116)^2</f>
        <v/>
      </c>
      <c r="S116">
        <f>AVERAGE(Q116,R116)</f>
        <v/>
      </c>
      <c r="T116">
        <f>AVERAGE((O116/E116)^2,(O116/H116)^2)</f>
        <v/>
      </c>
      <c r="U116">
        <f>IF(T116=0,"",(S116/T116-1)*100)</f>
        <v/>
      </c>
      <c r="V116">
        <f>AVERAGE((L116/E116)^2,(L116/H116)^2)</f>
        <v/>
      </c>
      <c r="W116">
        <f>IF(ABS(E116-汇总!B25)&lt;=ABS(H116-汇总!B25),E116,H116)</f>
        <v/>
      </c>
      <c r="X116">
        <f>(K116/W116)^2</f>
        <v/>
      </c>
      <c r="Y116">
        <f>IF(N116&gt;10,"HIGH_TVW_CV",IF(J116&lt;3,"SHORT_INTERFACE","PASS"))</f>
        <v/>
      </c>
      <c r="Z116" t="inlineStr">
        <is>
          <t>Di1、TVW均值、Di2均来自本Pair_ID；TVW=3–5法线平均</t>
        </is>
      </c>
      <c r="AA116" t="inlineStr">
        <is>
          <t>样品29</t>
        </is>
      </c>
    </row>
    <row r="117">
      <c r="A117" t="inlineStr">
        <is>
          <t>30(1)-P01</t>
        </is>
      </c>
      <c r="B117" t="inlineStr">
        <is>
          <t>30 (1).tif</t>
        </is>
      </c>
      <c r="C117" t="inlineStr">
        <is>
          <t>30(1)-V03</t>
        </is>
      </c>
      <c r="D117">
        <f>导管母表_1781!F1302</f>
        <v/>
      </c>
      <c r="E117">
        <f>导管母表_1781!G1302</f>
        <v/>
      </c>
      <c r="F117" t="inlineStr">
        <is>
          <t>30(1)-V04</t>
        </is>
      </c>
      <c r="G117">
        <f>导管母表_1781!F1303</f>
        <v/>
      </c>
      <c r="H117">
        <f>导管母表_1781!G1303</f>
        <v/>
      </c>
      <c r="I117" t="inlineStr">
        <is>
          <t>J263:J263</t>
        </is>
      </c>
      <c r="J117">
        <f>COUNT(TVW线测量明细!J263:J263)</f>
        <v/>
      </c>
      <c r="K117">
        <f>AVERAGE(TVW线测量明细!J263:J263)</f>
        <v/>
      </c>
      <c r="L117">
        <f>MEDIAN(TVW线测量明细!J263:J263)</f>
        <v/>
      </c>
      <c r="M117">
        <f>IF(J117&gt;1,STDEV(TVW线测量明细!J263:J263),0)</f>
        <v/>
      </c>
      <c r="N117">
        <f>IF(K117=0,"",M117/K117*100)</f>
        <v/>
      </c>
      <c r="O117" t="n">
        <v>4.702892967996508</v>
      </c>
      <c r="P117">
        <f>IF(O117=0,"",(K117/O117-1)*100)</f>
        <v/>
      </c>
      <c r="Q117">
        <f>(K117/E117)^2</f>
        <v/>
      </c>
      <c r="R117">
        <f>(K117/H117)^2</f>
        <v/>
      </c>
      <c r="S117">
        <f>AVERAGE(Q117,R117)</f>
        <v/>
      </c>
      <c r="T117">
        <f>AVERAGE((O117/E117)^2,(O117/H117)^2)</f>
        <v/>
      </c>
      <c r="U117">
        <f>IF(T117=0,"",(S117/T117-1)*100)</f>
        <v/>
      </c>
      <c r="V117">
        <f>AVERAGE((L117/E117)^2,(L117/H117)^2)</f>
        <v/>
      </c>
      <c r="W117">
        <f>IF(ABS(E117-汇总!B25)&lt;=ABS(H117-汇总!B25),E117,H117)</f>
        <v/>
      </c>
      <c r="X117">
        <f>(K117/W117)^2</f>
        <v/>
      </c>
      <c r="Y117">
        <f>IF(N117&gt;10,"HIGH_TVW_CV",IF(J117&lt;3,"SHORT_INTERFACE","PASS"))</f>
        <v/>
      </c>
      <c r="Z117" t="inlineStr">
        <is>
          <t>Di1、TVW均值、Di2均来自本Pair_ID；TVW=3–5法线平均</t>
        </is>
      </c>
      <c r="AA117" t="inlineStr">
        <is>
          <t>样品30</t>
        </is>
      </c>
    </row>
    <row r="118">
      <c r="A118" t="inlineStr">
        <is>
          <t>30(2)-P01</t>
        </is>
      </c>
      <c r="B118" t="inlineStr">
        <is>
          <t>30 (2).tif</t>
        </is>
      </c>
      <c r="C118" t="inlineStr">
        <is>
          <t>30(2)-V01</t>
        </is>
      </c>
      <c r="D118">
        <f>导管母表_1781!F1306</f>
        <v/>
      </c>
      <c r="E118">
        <f>导管母表_1781!G1306</f>
        <v/>
      </c>
      <c r="F118" t="inlineStr">
        <is>
          <t>30(2)-V02</t>
        </is>
      </c>
      <c r="G118">
        <f>导管母表_1781!F1307</f>
        <v/>
      </c>
      <c r="H118">
        <f>导管母表_1781!G1307</f>
        <v/>
      </c>
      <c r="I118" t="inlineStr">
        <is>
          <t>J264:J264</t>
        </is>
      </c>
      <c r="J118">
        <f>COUNT(TVW线测量明细!J264:J264)</f>
        <v/>
      </c>
      <c r="K118">
        <f>AVERAGE(TVW线测量明细!J264:J264)</f>
        <v/>
      </c>
      <c r="L118">
        <f>MEDIAN(TVW线测量明细!J264:J264)</f>
        <v/>
      </c>
      <c r="M118">
        <f>IF(J118&gt;1,STDEV(TVW线测量明细!J264:J264),0)</f>
        <v/>
      </c>
      <c r="N118">
        <f>IF(K118=0,"",M118/K118*100)</f>
        <v/>
      </c>
      <c r="O118" t="n">
        <v>5.739295122801776</v>
      </c>
      <c r="P118">
        <f>IF(O118=0,"",(K118/O118-1)*100)</f>
        <v/>
      </c>
      <c r="Q118">
        <f>(K118/E118)^2</f>
        <v/>
      </c>
      <c r="R118">
        <f>(K118/H118)^2</f>
        <v/>
      </c>
      <c r="S118">
        <f>AVERAGE(Q118,R118)</f>
        <v/>
      </c>
      <c r="T118">
        <f>AVERAGE((O118/E118)^2,(O118/H118)^2)</f>
        <v/>
      </c>
      <c r="U118">
        <f>IF(T118=0,"",(S118/T118-1)*100)</f>
        <v/>
      </c>
      <c r="V118">
        <f>AVERAGE((L118/E118)^2,(L118/H118)^2)</f>
        <v/>
      </c>
      <c r="W118">
        <f>IF(ABS(E118-汇总!B25)&lt;=ABS(H118-汇总!B25),E118,H118)</f>
        <v/>
      </c>
      <c r="X118">
        <f>(K118/W118)^2</f>
        <v/>
      </c>
      <c r="Y118">
        <f>IF(N118&gt;10,"HIGH_TVW_CV",IF(J118&lt;3,"SHORT_INTERFACE","PASS"))</f>
        <v/>
      </c>
      <c r="Z118" t="inlineStr">
        <is>
          <t>Di1、TVW均值、Di2均来自本Pair_ID；TVW=3–5法线平均</t>
        </is>
      </c>
      <c r="AA118" t="inlineStr">
        <is>
          <t>样品30</t>
        </is>
      </c>
    </row>
    <row r="119">
      <c r="A119" t="inlineStr">
        <is>
          <t>30(4)-P01</t>
        </is>
      </c>
      <c r="B119" t="inlineStr">
        <is>
          <t>30 (4).tif</t>
        </is>
      </c>
      <c r="C119" t="inlineStr">
        <is>
          <t>30(4)-V01</t>
        </is>
      </c>
      <c r="D119">
        <f>导管母表_1781!F1315</f>
        <v/>
      </c>
      <c r="E119">
        <f>导管母表_1781!G1315</f>
        <v/>
      </c>
      <c r="F119" t="inlineStr">
        <is>
          <t>30(4)-V02</t>
        </is>
      </c>
      <c r="G119">
        <f>导管母表_1781!F1316</f>
        <v/>
      </c>
      <c r="H119">
        <f>导管母表_1781!G1316</f>
        <v/>
      </c>
      <c r="I119" t="inlineStr">
        <is>
          <t>J265:J267</t>
        </is>
      </c>
      <c r="J119">
        <f>COUNT(TVW线测量明细!J265:J267)</f>
        <v/>
      </c>
      <c r="K119">
        <f>AVERAGE(TVW线测量明细!J265:J267)</f>
        <v/>
      </c>
      <c r="L119">
        <f>MEDIAN(TVW线测量明细!J265:J267)</f>
        <v/>
      </c>
      <c r="M119">
        <f>IF(J119&gt;1,STDEV(TVW线测量明细!J265:J267),0)</f>
        <v/>
      </c>
      <c r="N119">
        <f>IF(K119=0,"",M119/K119*100)</f>
        <v/>
      </c>
      <c r="O119" t="n">
        <v>3.990773858844743</v>
      </c>
      <c r="P119">
        <f>IF(O119=0,"",(K119/O119-1)*100)</f>
        <v/>
      </c>
      <c r="Q119">
        <f>(K119/E119)^2</f>
        <v/>
      </c>
      <c r="R119">
        <f>(K119/H119)^2</f>
        <v/>
      </c>
      <c r="S119">
        <f>AVERAGE(Q119,R119)</f>
        <v/>
      </c>
      <c r="T119">
        <f>AVERAGE((O119/E119)^2,(O119/H119)^2)</f>
        <v/>
      </c>
      <c r="U119">
        <f>IF(T119=0,"",(S119/T119-1)*100)</f>
        <v/>
      </c>
      <c r="V119">
        <f>AVERAGE((L119/E119)^2,(L119/H119)^2)</f>
        <v/>
      </c>
      <c r="W119">
        <f>IF(ABS(E119-汇总!B25)&lt;=ABS(H119-汇总!B25),E119,H119)</f>
        <v/>
      </c>
      <c r="X119">
        <f>(K119/W119)^2</f>
        <v/>
      </c>
      <c r="Y119">
        <f>IF(N119&gt;10,"HIGH_TVW_CV",IF(J119&lt;3,"SHORT_INTERFACE","PASS"))</f>
        <v/>
      </c>
      <c r="Z119" t="inlineStr">
        <is>
          <t>Di1、TVW均值、Di2均来自本Pair_ID；TVW=3–5法线平均</t>
        </is>
      </c>
      <c r="AA119" t="inlineStr">
        <is>
          <t>样品30</t>
        </is>
      </c>
    </row>
    <row r="120">
      <c r="A120" t="inlineStr">
        <is>
          <t>30(6)-P01</t>
        </is>
      </c>
      <c r="B120" t="inlineStr">
        <is>
          <t>30 (6).tif</t>
        </is>
      </c>
      <c r="C120" t="inlineStr">
        <is>
          <t>30(6)-V01</t>
        </is>
      </c>
      <c r="D120">
        <f>导管母表_1781!F1326</f>
        <v/>
      </c>
      <c r="E120">
        <f>导管母表_1781!G1326</f>
        <v/>
      </c>
      <c r="F120" t="inlineStr">
        <is>
          <t>30(6)-V06</t>
        </is>
      </c>
      <c r="G120">
        <f>导管母表_1781!F1331</f>
        <v/>
      </c>
      <c r="H120">
        <f>导管母表_1781!G1331</f>
        <v/>
      </c>
      <c r="I120" t="inlineStr">
        <is>
          <t>J268:J269</t>
        </is>
      </c>
      <c r="J120">
        <f>COUNT(TVW线测量明细!J268:J269)</f>
        <v/>
      </c>
      <c r="K120">
        <f>AVERAGE(TVW线测量明细!J268:J269)</f>
        <v/>
      </c>
      <c r="L120">
        <f>MEDIAN(TVW线测量明细!J268:J269)</f>
        <v/>
      </c>
      <c r="M120">
        <f>IF(J120&gt;1,STDEV(TVW线测量明细!J268:J269),0)</f>
        <v/>
      </c>
      <c r="N120">
        <f>IF(K120=0,"",M120/K120*100)</f>
        <v/>
      </c>
      <c r="O120" t="n">
        <v>15.18941527788124</v>
      </c>
      <c r="P120">
        <f>IF(O120=0,"",(K120/O120-1)*100)</f>
        <v/>
      </c>
      <c r="Q120">
        <f>(K120/E120)^2</f>
        <v/>
      </c>
      <c r="R120">
        <f>(K120/H120)^2</f>
        <v/>
      </c>
      <c r="S120">
        <f>AVERAGE(Q120,R120)</f>
        <v/>
      </c>
      <c r="T120">
        <f>AVERAGE((O120/E120)^2,(O120/H120)^2)</f>
        <v/>
      </c>
      <c r="U120">
        <f>IF(T120=0,"",(S120/T120-1)*100)</f>
        <v/>
      </c>
      <c r="V120">
        <f>AVERAGE((L120/E120)^2,(L120/H120)^2)</f>
        <v/>
      </c>
      <c r="W120">
        <f>IF(ABS(E120-汇总!B25)&lt;=ABS(H120-汇总!B25),E120,H120)</f>
        <v/>
      </c>
      <c r="X120">
        <f>(K120/W120)^2</f>
        <v/>
      </c>
      <c r="Y120">
        <f>IF(N120&gt;10,"HIGH_TVW_CV",IF(J120&lt;3,"SHORT_INTERFACE","PASS"))</f>
        <v/>
      </c>
      <c r="Z120" t="inlineStr">
        <is>
          <t>Di1、TVW均值、Di2均来自本Pair_ID；TVW=3–5法线平均</t>
        </is>
      </c>
      <c r="AA120" t="inlineStr">
        <is>
          <t>样品30</t>
        </is>
      </c>
    </row>
    <row r="121">
      <c r="A121" t="inlineStr">
        <is>
          <t>30(7)-P01</t>
        </is>
      </c>
      <c r="B121" t="inlineStr">
        <is>
          <t>30 (7).tif</t>
        </is>
      </c>
      <c r="C121" t="inlineStr">
        <is>
          <t>30(7)-V01</t>
        </is>
      </c>
      <c r="D121">
        <f>导管母表_1781!F1334</f>
        <v/>
      </c>
      <c r="E121">
        <f>导管母表_1781!G1334</f>
        <v/>
      </c>
      <c r="F121" t="inlineStr">
        <is>
          <t>30(7)-V02</t>
        </is>
      </c>
      <c r="G121">
        <f>导管母表_1781!F1335</f>
        <v/>
      </c>
      <c r="H121">
        <f>导管母表_1781!G1335</f>
        <v/>
      </c>
      <c r="I121" t="inlineStr">
        <is>
          <t>J270:J271</t>
        </is>
      </c>
      <c r="J121">
        <f>COUNT(TVW线测量明细!J270:J271)</f>
        <v/>
      </c>
      <c r="K121">
        <f>AVERAGE(TVW线测量明细!J270:J271)</f>
        <v/>
      </c>
      <c r="L121">
        <f>MEDIAN(TVW线测量明细!J270:J271)</f>
        <v/>
      </c>
      <c r="M121">
        <f>IF(J121&gt;1,STDEV(TVW线测量明细!J270:J271),0)</f>
        <v/>
      </c>
      <c r="N121">
        <f>IF(K121=0,"",M121/K121*100)</f>
        <v/>
      </c>
      <c r="O121" t="n">
        <v>2.430508671195424</v>
      </c>
      <c r="P121">
        <f>IF(O121=0,"",(K121/O121-1)*100)</f>
        <v/>
      </c>
      <c r="Q121">
        <f>(K121/E121)^2</f>
        <v/>
      </c>
      <c r="R121">
        <f>(K121/H121)^2</f>
        <v/>
      </c>
      <c r="S121">
        <f>AVERAGE(Q121,R121)</f>
        <v/>
      </c>
      <c r="T121">
        <f>AVERAGE((O121/E121)^2,(O121/H121)^2)</f>
        <v/>
      </c>
      <c r="U121">
        <f>IF(T121=0,"",(S121/T121-1)*100)</f>
        <v/>
      </c>
      <c r="V121">
        <f>AVERAGE((L121/E121)^2,(L121/H121)^2)</f>
        <v/>
      </c>
      <c r="W121">
        <f>IF(ABS(E121-汇总!B25)&lt;=ABS(H121-汇总!B25),E121,H121)</f>
        <v/>
      </c>
      <c r="X121">
        <f>(K121/W121)^2</f>
        <v/>
      </c>
      <c r="Y121">
        <f>IF(N121&gt;10,"HIGH_TVW_CV",IF(J121&lt;3,"SHORT_INTERFACE","PASS"))</f>
        <v/>
      </c>
      <c r="Z121" t="inlineStr">
        <is>
          <t>Di1、TVW均值、Di2均来自本Pair_ID；TVW=3–5法线平均</t>
        </is>
      </c>
      <c r="AA121" t="inlineStr">
        <is>
          <t>样品30</t>
        </is>
      </c>
    </row>
    <row r="122">
      <c r="A122" t="inlineStr">
        <is>
          <t>30(8)-P01</t>
        </is>
      </c>
      <c r="B122" t="inlineStr">
        <is>
          <t>30 (8).tif</t>
        </is>
      </c>
      <c r="C122" t="inlineStr">
        <is>
          <t>30(8)-V02</t>
        </is>
      </c>
      <c r="D122">
        <f>导管母表_1781!F1340</f>
        <v/>
      </c>
      <c r="E122">
        <f>导管母表_1781!G1340</f>
        <v/>
      </c>
      <c r="F122" t="inlineStr">
        <is>
          <t>30(8)-V04</t>
        </is>
      </c>
      <c r="G122">
        <f>导管母表_1781!F1342</f>
        <v/>
      </c>
      <c r="H122">
        <f>导管母表_1781!G1342</f>
        <v/>
      </c>
      <c r="I122" t="inlineStr">
        <is>
          <t>J272:J273</t>
        </is>
      </c>
      <c r="J122">
        <f>COUNT(TVW线测量明细!J272:J273)</f>
        <v/>
      </c>
      <c r="K122">
        <f>AVERAGE(TVW线测量明细!J272:J273)</f>
        <v/>
      </c>
      <c r="L122">
        <f>MEDIAN(TVW线测量明细!J272:J273)</f>
        <v/>
      </c>
      <c r="M122">
        <f>IF(J122&gt;1,STDEV(TVW线测量明细!J272:J273),0)</f>
        <v/>
      </c>
      <c r="N122">
        <f>IF(K122=0,"",M122/K122*100)</f>
        <v/>
      </c>
      <c r="O122" t="n">
        <v>1.08695652173913</v>
      </c>
      <c r="P122">
        <f>IF(O122=0,"",(K122/O122-1)*100)</f>
        <v/>
      </c>
      <c r="Q122">
        <f>(K122/E122)^2</f>
        <v/>
      </c>
      <c r="R122">
        <f>(K122/H122)^2</f>
        <v/>
      </c>
      <c r="S122">
        <f>AVERAGE(Q122,R122)</f>
        <v/>
      </c>
      <c r="T122">
        <f>AVERAGE((O122/E122)^2,(O122/H122)^2)</f>
        <v/>
      </c>
      <c r="U122">
        <f>IF(T122=0,"",(S122/T122-1)*100)</f>
        <v/>
      </c>
      <c r="V122">
        <f>AVERAGE((L122/E122)^2,(L122/H122)^2)</f>
        <v/>
      </c>
      <c r="W122">
        <f>IF(ABS(E122-汇总!B25)&lt;=ABS(H122-汇总!B25),E122,H122)</f>
        <v/>
      </c>
      <c r="X122">
        <f>(K122/W122)^2</f>
        <v/>
      </c>
      <c r="Y122">
        <f>IF(N122&gt;10,"HIGH_TVW_CV",IF(J122&lt;3,"SHORT_INTERFACE","PASS"))</f>
        <v/>
      </c>
      <c r="Z122" t="inlineStr">
        <is>
          <t>Di1、TVW均值、Di2均来自本Pair_ID；TVW=3–5法线平均</t>
        </is>
      </c>
      <c r="AA122" t="inlineStr">
        <is>
          <t>样品30</t>
        </is>
      </c>
    </row>
    <row r="123">
      <c r="A123" t="inlineStr">
        <is>
          <t>30(9)-P01</t>
        </is>
      </c>
      <c r="B123" t="inlineStr">
        <is>
          <t>30 (9).tif</t>
        </is>
      </c>
      <c r="C123" t="inlineStr">
        <is>
          <t>30(9)-V03</t>
        </is>
      </c>
      <c r="D123">
        <f>导管母表_1781!F1348</f>
        <v/>
      </c>
      <c r="E123">
        <f>导管母表_1781!G1348</f>
        <v/>
      </c>
      <c r="F123" t="inlineStr">
        <is>
          <t>30(9)-V06</t>
        </is>
      </c>
      <c r="G123">
        <f>导管母表_1781!F1351</f>
        <v/>
      </c>
      <c r="H123">
        <f>导管母表_1781!G1351</f>
        <v/>
      </c>
      <c r="I123" t="inlineStr">
        <is>
          <t>J274:J276</t>
        </is>
      </c>
      <c r="J123">
        <f>COUNT(TVW线测量明细!J274:J276)</f>
        <v/>
      </c>
      <c r="K123">
        <f>AVERAGE(TVW线测量明细!J274:J276)</f>
        <v/>
      </c>
      <c r="L123">
        <f>MEDIAN(TVW线测量明细!J274:J276)</f>
        <v/>
      </c>
      <c r="M123">
        <f>IF(J123&gt;1,STDEV(TVW线测量明细!J274:J276),0)</f>
        <v/>
      </c>
      <c r="N123">
        <f>IF(K123=0,"",M123/K123*100)</f>
        <v/>
      </c>
      <c r="O123" t="n">
        <v>16.44863690263213</v>
      </c>
      <c r="P123">
        <f>IF(O123=0,"",(K123/O123-1)*100)</f>
        <v/>
      </c>
      <c r="Q123">
        <f>(K123/E123)^2</f>
        <v/>
      </c>
      <c r="R123">
        <f>(K123/H123)^2</f>
        <v/>
      </c>
      <c r="S123">
        <f>AVERAGE(Q123,R123)</f>
        <v/>
      </c>
      <c r="T123">
        <f>AVERAGE((O123/E123)^2,(O123/H123)^2)</f>
        <v/>
      </c>
      <c r="U123">
        <f>IF(T123=0,"",(S123/T123-1)*100)</f>
        <v/>
      </c>
      <c r="V123">
        <f>AVERAGE((L123/E123)^2,(L123/H123)^2)</f>
        <v/>
      </c>
      <c r="W123">
        <f>IF(ABS(E123-汇总!B25)&lt;=ABS(H123-汇总!B25),E123,H123)</f>
        <v/>
      </c>
      <c r="X123">
        <f>(K123/W123)^2</f>
        <v/>
      </c>
      <c r="Y123">
        <f>IF(N123&gt;10,"HIGH_TVW_CV",IF(J123&lt;3,"SHORT_INTERFACE","PASS"))</f>
        <v/>
      </c>
      <c r="Z123" t="inlineStr">
        <is>
          <t>Di1、TVW均值、Di2均来自本Pair_ID；TVW=3–5法线平均</t>
        </is>
      </c>
      <c r="AA123" t="inlineStr">
        <is>
          <t>样品30</t>
        </is>
      </c>
    </row>
    <row r="124">
      <c r="A124" t="inlineStr">
        <is>
          <t>31(1)-P01</t>
        </is>
      </c>
      <c r="B124" t="inlineStr">
        <is>
          <t>31 (1).tif</t>
        </is>
      </c>
      <c r="C124" t="inlineStr">
        <is>
          <t>31(1)-V01</t>
        </is>
      </c>
      <c r="D124">
        <f>导管母表_1781!F1354</f>
        <v/>
      </c>
      <c r="E124">
        <f>导管母表_1781!G1354</f>
        <v/>
      </c>
      <c r="F124" t="inlineStr">
        <is>
          <t>31(1)-V02</t>
        </is>
      </c>
      <c r="G124">
        <f>导管母表_1781!F1355</f>
        <v/>
      </c>
      <c r="H124">
        <f>导管母表_1781!G1355</f>
        <v/>
      </c>
      <c r="I124" t="inlineStr">
        <is>
          <t>J277:J278</t>
        </is>
      </c>
      <c r="J124">
        <f>COUNT(TVW线测量明细!J277:J278)</f>
        <v/>
      </c>
      <c r="K124">
        <f>AVERAGE(TVW线测量明细!J277:J278)</f>
        <v/>
      </c>
      <c r="L124">
        <f>MEDIAN(TVW线测量明细!J277:J278)</f>
        <v/>
      </c>
      <c r="M124">
        <f>IF(J124&gt;1,STDEV(TVW线测量明细!J277:J278),0)</f>
        <v/>
      </c>
      <c r="N124">
        <f>IF(K124=0,"",M124/K124*100)</f>
        <v/>
      </c>
      <c r="O124" t="n">
        <v>5.167332314784658</v>
      </c>
      <c r="P124">
        <f>IF(O124=0,"",(K124/O124-1)*100)</f>
        <v/>
      </c>
      <c r="Q124">
        <f>(K124/E124)^2</f>
        <v/>
      </c>
      <c r="R124">
        <f>(K124/H124)^2</f>
        <v/>
      </c>
      <c r="S124">
        <f>AVERAGE(Q124,R124)</f>
        <v/>
      </c>
      <c r="T124">
        <f>AVERAGE((O124/E124)^2,(O124/H124)^2)</f>
        <v/>
      </c>
      <c r="U124">
        <f>IF(T124=0,"",(S124/T124-1)*100)</f>
        <v/>
      </c>
      <c r="V124">
        <f>AVERAGE((L124/E124)^2,(L124/H124)^2)</f>
        <v/>
      </c>
      <c r="W124">
        <f>IF(ABS(E124-汇总!B25)&lt;=ABS(H124-汇总!B25),E124,H124)</f>
        <v/>
      </c>
      <c r="X124">
        <f>(K124/W124)^2</f>
        <v/>
      </c>
      <c r="Y124">
        <f>IF(N124&gt;10,"HIGH_TVW_CV",IF(J124&lt;3,"SHORT_INTERFACE","PASS"))</f>
        <v/>
      </c>
      <c r="Z124" t="inlineStr">
        <is>
          <t>Di1、TVW均值、Di2均来自本Pair_ID；TVW=3–5法线平均</t>
        </is>
      </c>
      <c r="AA124" t="inlineStr">
        <is>
          <t>样品31</t>
        </is>
      </c>
    </row>
    <row r="125">
      <c r="A125" t="inlineStr">
        <is>
          <t>31(3)-P01</t>
        </is>
      </c>
      <c r="B125" t="inlineStr">
        <is>
          <t>31 (3).tif</t>
        </is>
      </c>
      <c r="C125" t="inlineStr">
        <is>
          <t>31(3)-V02</t>
        </is>
      </c>
      <c r="D125">
        <f>导管母表_1781!F1363</f>
        <v/>
      </c>
      <c r="E125">
        <f>导管母表_1781!G1363</f>
        <v/>
      </c>
      <c r="F125" t="inlineStr">
        <is>
          <t>31(3)-V03</t>
        </is>
      </c>
      <c r="G125">
        <f>导管母表_1781!F1364</f>
        <v/>
      </c>
      <c r="H125">
        <f>导管母表_1781!G1364</f>
        <v/>
      </c>
      <c r="I125" t="inlineStr">
        <is>
          <t>J279:J279</t>
        </is>
      </c>
      <c r="J125">
        <f>COUNT(TVW线测量明细!J279:J279)</f>
        <v/>
      </c>
      <c r="K125">
        <f>AVERAGE(TVW线测量明细!J279:J279)</f>
        <v/>
      </c>
      <c r="L125">
        <f>MEDIAN(TVW线测量明细!J279:J279)</f>
        <v/>
      </c>
      <c r="M125">
        <f>IF(J125&gt;1,STDEV(TVW线测量明细!J279:J279),0)</f>
        <v/>
      </c>
      <c r="N125">
        <f>IF(K125=0,"",M125/K125*100)</f>
        <v/>
      </c>
      <c r="O125" t="n">
        <v>8.763323639454944</v>
      </c>
      <c r="P125">
        <f>IF(O125=0,"",(K125/O125-1)*100)</f>
        <v/>
      </c>
      <c r="Q125">
        <f>(K125/E125)^2</f>
        <v/>
      </c>
      <c r="R125">
        <f>(K125/H125)^2</f>
        <v/>
      </c>
      <c r="S125">
        <f>AVERAGE(Q125,R125)</f>
        <v/>
      </c>
      <c r="T125">
        <f>AVERAGE((O125/E125)^2,(O125/H125)^2)</f>
        <v/>
      </c>
      <c r="U125">
        <f>IF(T125=0,"",(S125/T125-1)*100)</f>
        <v/>
      </c>
      <c r="V125">
        <f>AVERAGE((L125/E125)^2,(L125/H125)^2)</f>
        <v/>
      </c>
      <c r="W125">
        <f>IF(ABS(E125-汇总!B25)&lt;=ABS(H125-汇总!B25),E125,H125)</f>
        <v/>
      </c>
      <c r="X125">
        <f>(K125/W125)^2</f>
        <v/>
      </c>
      <c r="Y125">
        <f>IF(N125&gt;10,"HIGH_TVW_CV",IF(J125&lt;3,"SHORT_INTERFACE","PASS"))</f>
        <v/>
      </c>
      <c r="Z125" t="inlineStr">
        <is>
          <t>Di1、TVW均值、Di2均来自本Pair_ID；TVW=3–5法线平均</t>
        </is>
      </c>
      <c r="AA125" t="inlineStr">
        <is>
          <t>样品31</t>
        </is>
      </c>
    </row>
    <row r="126">
      <c r="A126" t="inlineStr">
        <is>
          <t>31(5)-P01</t>
        </is>
      </c>
      <c r="B126" t="inlineStr">
        <is>
          <t>31 (5).tif</t>
        </is>
      </c>
      <c r="C126" t="inlineStr">
        <is>
          <t>31(5)-V01</t>
        </is>
      </c>
      <c r="D126">
        <f>导管母表_1781!F1371</f>
        <v/>
      </c>
      <c r="E126">
        <f>导管母表_1781!G1371</f>
        <v/>
      </c>
      <c r="F126" t="inlineStr">
        <is>
          <t>31(5)-V03</t>
        </is>
      </c>
      <c r="G126">
        <f>导管母表_1781!F1373</f>
        <v/>
      </c>
      <c r="H126">
        <f>导管母表_1781!G1373</f>
        <v/>
      </c>
      <c r="I126" t="inlineStr">
        <is>
          <t>J280:J281</t>
        </is>
      </c>
      <c r="J126">
        <f>COUNT(TVW线测量明细!J280:J281)</f>
        <v/>
      </c>
      <c r="K126">
        <f>AVERAGE(TVW线测量明细!J280:J281)</f>
        <v/>
      </c>
      <c r="L126">
        <f>MEDIAN(TVW线测量明细!J280:J281)</f>
        <v/>
      </c>
      <c r="M126">
        <f>IF(J126&gt;1,STDEV(TVW线测量明细!J280:J281),0)</f>
        <v/>
      </c>
      <c r="N126">
        <f>IF(K126=0,"",M126/K126*100)</f>
        <v/>
      </c>
      <c r="O126" t="n">
        <v>6.055820990080051</v>
      </c>
      <c r="P126">
        <f>IF(O126=0,"",(K126/O126-1)*100)</f>
        <v/>
      </c>
      <c r="Q126">
        <f>(K126/E126)^2</f>
        <v/>
      </c>
      <c r="R126">
        <f>(K126/H126)^2</f>
        <v/>
      </c>
      <c r="S126">
        <f>AVERAGE(Q126,R126)</f>
        <v/>
      </c>
      <c r="T126">
        <f>AVERAGE((O126/E126)^2,(O126/H126)^2)</f>
        <v/>
      </c>
      <c r="U126">
        <f>IF(T126=0,"",(S126/T126-1)*100)</f>
        <v/>
      </c>
      <c r="V126">
        <f>AVERAGE((L126/E126)^2,(L126/H126)^2)</f>
        <v/>
      </c>
      <c r="W126">
        <f>IF(ABS(E126-汇总!B25)&lt;=ABS(H126-汇总!B25),E126,H126)</f>
        <v/>
      </c>
      <c r="X126">
        <f>(K126/W126)^2</f>
        <v/>
      </c>
      <c r="Y126">
        <f>IF(N126&gt;10,"HIGH_TVW_CV",IF(J126&lt;3,"SHORT_INTERFACE","PASS"))</f>
        <v/>
      </c>
      <c r="Z126" t="inlineStr">
        <is>
          <t>Di1、TVW均值、Di2均来自本Pair_ID；TVW=3–5法线平均</t>
        </is>
      </c>
      <c r="AA126" t="inlineStr">
        <is>
          <t>样品31</t>
        </is>
      </c>
    </row>
    <row r="127">
      <c r="A127" t="inlineStr">
        <is>
          <t>31(6)-P01</t>
        </is>
      </c>
      <c r="B127" t="inlineStr">
        <is>
          <t>31 (6).tif</t>
        </is>
      </c>
      <c r="C127" t="inlineStr">
        <is>
          <t>31(6)-V01</t>
        </is>
      </c>
      <c r="D127">
        <f>导管母表_1781!F1379</f>
        <v/>
      </c>
      <c r="E127">
        <f>导管母表_1781!G1379</f>
        <v/>
      </c>
      <c r="F127" t="inlineStr">
        <is>
          <t>31(6)-V02</t>
        </is>
      </c>
      <c r="G127">
        <f>导管母表_1781!F1380</f>
        <v/>
      </c>
      <c r="H127">
        <f>导管母表_1781!G1380</f>
        <v/>
      </c>
      <c r="I127" t="inlineStr">
        <is>
          <t>J282:J284</t>
        </is>
      </c>
      <c r="J127">
        <f>COUNT(TVW线测量明细!J282:J284)</f>
        <v/>
      </c>
      <c r="K127">
        <f>AVERAGE(TVW线测量明细!J282:J284)</f>
        <v/>
      </c>
      <c r="L127">
        <f>MEDIAN(TVW线测量明细!J282:J284)</f>
        <v/>
      </c>
      <c r="M127">
        <f>IF(J127&gt;1,STDEV(TVW线测量明细!J282:J284),0)</f>
        <v/>
      </c>
      <c r="N127">
        <f>IF(K127=0,"",M127/K127*100)</f>
        <v/>
      </c>
      <c r="O127" t="n">
        <v>5.668871656697956</v>
      </c>
      <c r="P127">
        <f>IF(O127=0,"",(K127/O127-1)*100)</f>
        <v/>
      </c>
      <c r="Q127">
        <f>(K127/E127)^2</f>
        <v/>
      </c>
      <c r="R127">
        <f>(K127/H127)^2</f>
        <v/>
      </c>
      <c r="S127">
        <f>AVERAGE(Q127,R127)</f>
        <v/>
      </c>
      <c r="T127">
        <f>AVERAGE((O127/E127)^2,(O127/H127)^2)</f>
        <v/>
      </c>
      <c r="U127">
        <f>IF(T127=0,"",(S127/T127-1)*100)</f>
        <v/>
      </c>
      <c r="V127">
        <f>AVERAGE((L127/E127)^2,(L127/H127)^2)</f>
        <v/>
      </c>
      <c r="W127">
        <f>IF(ABS(E127-汇总!B25)&lt;=ABS(H127-汇总!B25),E127,H127)</f>
        <v/>
      </c>
      <c r="X127">
        <f>(K127/W127)^2</f>
        <v/>
      </c>
      <c r="Y127">
        <f>IF(N127&gt;10,"HIGH_TVW_CV",IF(J127&lt;3,"SHORT_INTERFACE","PASS"))</f>
        <v/>
      </c>
      <c r="Z127" t="inlineStr">
        <is>
          <t>Di1、TVW均值、Di2均来自本Pair_ID；TVW=3–5法线平均</t>
        </is>
      </c>
      <c r="AA127" t="inlineStr">
        <is>
          <t>样品31</t>
        </is>
      </c>
    </row>
    <row r="128">
      <c r="A128" t="inlineStr">
        <is>
          <t>31(6)-P02</t>
        </is>
      </c>
      <c r="B128" t="inlineStr">
        <is>
          <t>31 (6).tif</t>
        </is>
      </c>
      <c r="C128" t="inlineStr">
        <is>
          <t>31(6)-V03</t>
        </is>
      </c>
      <c r="D128">
        <f>导管母表_1781!F1381</f>
        <v/>
      </c>
      <c r="E128">
        <f>导管母表_1781!G1381</f>
        <v/>
      </c>
      <c r="F128" t="inlineStr">
        <is>
          <t>31(6)-V04</t>
        </is>
      </c>
      <c r="G128">
        <f>导管母表_1781!F1382</f>
        <v/>
      </c>
      <c r="H128">
        <f>导管母表_1781!G1382</f>
        <v/>
      </c>
      <c r="I128" t="inlineStr">
        <is>
          <t>J285:J285</t>
        </is>
      </c>
      <c r="J128">
        <f>COUNT(TVW线测量明细!J285:J285)</f>
        <v/>
      </c>
      <c r="K128">
        <f>AVERAGE(TVW线测量明细!J285:J285)</f>
        <v/>
      </c>
      <c r="L128">
        <f>MEDIAN(TVW线测量明细!J285:J285)</f>
        <v/>
      </c>
      <c r="M128">
        <f>IF(J128&gt;1,STDEV(TVW线测量明细!J285:J285),0)</f>
        <v/>
      </c>
      <c r="N128">
        <f>IF(K128=0,"",M128/K128*100)</f>
        <v/>
      </c>
      <c r="O128" t="n">
        <v>3.644142307443524</v>
      </c>
      <c r="P128">
        <f>IF(O128=0,"",(K128/O128-1)*100)</f>
        <v/>
      </c>
      <c r="Q128">
        <f>(K128/E128)^2</f>
        <v/>
      </c>
      <c r="R128">
        <f>(K128/H128)^2</f>
        <v/>
      </c>
      <c r="S128">
        <f>AVERAGE(Q128,R128)</f>
        <v/>
      </c>
      <c r="T128">
        <f>AVERAGE((O128/E128)^2,(O128/H128)^2)</f>
        <v/>
      </c>
      <c r="U128">
        <f>IF(T128=0,"",(S128/T128-1)*100)</f>
        <v/>
      </c>
      <c r="V128">
        <f>AVERAGE((L128/E128)^2,(L128/H128)^2)</f>
        <v/>
      </c>
      <c r="W128">
        <f>IF(ABS(E128-汇总!B25)&lt;=ABS(H128-汇总!B25),E128,H128)</f>
        <v/>
      </c>
      <c r="X128">
        <f>(K128/W128)^2</f>
        <v/>
      </c>
      <c r="Y128">
        <f>IF(N128&gt;10,"HIGH_TVW_CV",IF(J128&lt;3,"SHORT_INTERFACE","PASS"))</f>
        <v/>
      </c>
      <c r="Z128" t="inlineStr">
        <is>
          <t>Di1、TVW均值、Di2均来自本Pair_ID；TVW=3–5法线平均</t>
        </is>
      </c>
      <c r="AA128" t="inlineStr">
        <is>
          <t>样品31</t>
        </is>
      </c>
    </row>
    <row r="129">
      <c r="A129" t="inlineStr">
        <is>
          <t>31(7)-P01</t>
        </is>
      </c>
      <c r="B129" t="inlineStr">
        <is>
          <t>31 (7).tif</t>
        </is>
      </c>
      <c r="C129" t="inlineStr">
        <is>
          <t>31(7)-V01</t>
        </is>
      </c>
      <c r="D129">
        <f>导管母表_1781!F1387</f>
        <v/>
      </c>
      <c r="E129">
        <f>导管母表_1781!G1387</f>
        <v/>
      </c>
      <c r="F129" t="inlineStr">
        <is>
          <t>31(7)-V02</t>
        </is>
      </c>
      <c r="G129">
        <f>导管母表_1781!F1388</f>
        <v/>
      </c>
      <c r="H129">
        <f>导管母表_1781!G1388</f>
        <v/>
      </c>
      <c r="I129" t="inlineStr">
        <is>
          <t>J286:J287</t>
        </is>
      </c>
      <c r="J129">
        <f>COUNT(TVW线测量明细!J286:J287)</f>
        <v/>
      </c>
      <c r="K129">
        <f>AVERAGE(TVW线测量明细!J286:J287)</f>
        <v/>
      </c>
      <c r="L129">
        <f>MEDIAN(TVW线测量明细!J286:J287)</f>
        <v/>
      </c>
      <c r="M129">
        <f>IF(J129&gt;1,STDEV(TVW线测量明细!J286:J287),0)</f>
        <v/>
      </c>
      <c r="N129">
        <f>IF(K129=0,"",M129/K129*100)</f>
        <v/>
      </c>
      <c r="O129" t="n">
        <v>5.439128697042088</v>
      </c>
      <c r="P129">
        <f>IF(O129=0,"",(K129/O129-1)*100)</f>
        <v/>
      </c>
      <c r="Q129">
        <f>(K129/E129)^2</f>
        <v/>
      </c>
      <c r="R129">
        <f>(K129/H129)^2</f>
        <v/>
      </c>
      <c r="S129">
        <f>AVERAGE(Q129,R129)</f>
        <v/>
      </c>
      <c r="T129">
        <f>AVERAGE((O129/E129)^2,(O129/H129)^2)</f>
        <v/>
      </c>
      <c r="U129">
        <f>IF(T129=0,"",(S129/T129-1)*100)</f>
        <v/>
      </c>
      <c r="V129">
        <f>AVERAGE((L129/E129)^2,(L129/H129)^2)</f>
        <v/>
      </c>
      <c r="W129">
        <f>IF(ABS(E129-汇总!B25)&lt;=ABS(H129-汇总!B25),E129,H129)</f>
        <v/>
      </c>
      <c r="X129">
        <f>(K129/W129)^2</f>
        <v/>
      </c>
      <c r="Y129">
        <f>IF(N129&gt;10,"HIGH_TVW_CV",IF(J129&lt;3,"SHORT_INTERFACE","PASS"))</f>
        <v/>
      </c>
      <c r="Z129" t="inlineStr">
        <is>
          <t>Di1、TVW均值、Di2均来自本Pair_ID；TVW=3–5法线平均</t>
        </is>
      </c>
      <c r="AA129" t="inlineStr">
        <is>
          <t>样品31</t>
        </is>
      </c>
    </row>
    <row r="130">
      <c r="A130" t="inlineStr">
        <is>
          <t>31(8)-P01</t>
        </is>
      </c>
      <c r="B130" t="inlineStr">
        <is>
          <t>31 (8).tif</t>
        </is>
      </c>
      <c r="C130" t="inlineStr">
        <is>
          <t>31(8)-V01</t>
        </is>
      </c>
      <c r="D130">
        <f>导管母表_1781!F1390</f>
        <v/>
      </c>
      <c r="E130">
        <f>导管母表_1781!G1390</f>
        <v/>
      </c>
      <c r="F130" t="inlineStr">
        <is>
          <t>31(8)-V03</t>
        </is>
      </c>
      <c r="G130">
        <f>导管母表_1781!F1392</f>
        <v/>
      </c>
      <c r="H130">
        <f>导管母表_1781!G1392</f>
        <v/>
      </c>
      <c r="I130" t="inlineStr">
        <is>
          <t>J288:J291</t>
        </is>
      </c>
      <c r="J130">
        <f>COUNT(TVW线测量明细!J288:J291)</f>
        <v/>
      </c>
      <c r="K130">
        <f>AVERAGE(TVW线测量明细!J288:J291)</f>
        <v/>
      </c>
      <c r="L130">
        <f>MEDIAN(TVW线测量明细!J288:J291)</f>
        <v/>
      </c>
      <c r="M130">
        <f>IF(J130&gt;1,STDEV(TVW线测量明细!J288:J291),0)</f>
        <v/>
      </c>
      <c r="N130">
        <f>IF(K130=0,"",M130/K130*100)</f>
        <v/>
      </c>
      <c r="O130" t="n">
        <v>6.650895017729719</v>
      </c>
      <c r="P130">
        <f>IF(O130=0,"",(K130/O130-1)*100)</f>
        <v/>
      </c>
      <c r="Q130">
        <f>(K130/E130)^2</f>
        <v/>
      </c>
      <c r="R130">
        <f>(K130/H130)^2</f>
        <v/>
      </c>
      <c r="S130">
        <f>AVERAGE(Q130,R130)</f>
        <v/>
      </c>
      <c r="T130">
        <f>AVERAGE((O130/E130)^2,(O130/H130)^2)</f>
        <v/>
      </c>
      <c r="U130">
        <f>IF(T130=0,"",(S130/T130-1)*100)</f>
        <v/>
      </c>
      <c r="V130">
        <f>AVERAGE((L130/E130)^2,(L130/H130)^2)</f>
        <v/>
      </c>
      <c r="W130">
        <f>IF(ABS(E130-汇总!B25)&lt;=ABS(H130-汇总!B25),E130,H130)</f>
        <v/>
      </c>
      <c r="X130">
        <f>(K130/W130)^2</f>
        <v/>
      </c>
      <c r="Y130">
        <f>IF(N130&gt;10,"HIGH_TVW_CV",IF(J130&lt;3,"SHORT_INTERFACE","PASS"))</f>
        <v/>
      </c>
      <c r="Z130" t="inlineStr">
        <is>
          <t>Di1、TVW均值、Di2均来自本Pair_ID；TVW=3–5法线平均</t>
        </is>
      </c>
      <c r="AA130" t="inlineStr">
        <is>
          <t>样品31</t>
        </is>
      </c>
    </row>
    <row r="131">
      <c r="A131" t="inlineStr">
        <is>
          <t>32(1)-P01</t>
        </is>
      </c>
      <c r="B131" t="inlineStr">
        <is>
          <t>32 (1).tif</t>
        </is>
      </c>
      <c r="C131" t="inlineStr">
        <is>
          <t>32(1)-V01</t>
        </is>
      </c>
      <c r="D131">
        <f>导管母表_1781!F1395</f>
        <v/>
      </c>
      <c r="E131">
        <f>导管母表_1781!G1395</f>
        <v/>
      </c>
      <c r="F131" t="inlineStr">
        <is>
          <t>32(1)-V02</t>
        </is>
      </c>
      <c r="G131">
        <f>导管母表_1781!F1396</f>
        <v/>
      </c>
      <c r="H131">
        <f>导管母表_1781!G1396</f>
        <v/>
      </c>
      <c r="I131" t="inlineStr">
        <is>
          <t>J292:J292</t>
        </is>
      </c>
      <c r="J131">
        <f>COUNT(TVW线测量明细!J292:J292)</f>
        <v/>
      </c>
      <c r="K131">
        <f>AVERAGE(TVW线测量明细!J292:J292)</f>
        <v/>
      </c>
      <c r="L131">
        <f>MEDIAN(TVW线测量明细!J292:J292)</f>
        <v/>
      </c>
      <c r="M131">
        <f>IF(J131&gt;1,STDEV(TVW线测量明细!J292:J292),0)</f>
        <v/>
      </c>
      <c r="N131">
        <f>IF(K131=0,"",M131/K131*100)</f>
        <v/>
      </c>
      <c r="O131" t="n">
        <v>4.198523459962601</v>
      </c>
      <c r="P131">
        <f>IF(O131=0,"",(K131/O131-1)*100)</f>
        <v/>
      </c>
      <c r="Q131">
        <f>(K131/E131)^2</f>
        <v/>
      </c>
      <c r="R131">
        <f>(K131/H131)^2</f>
        <v/>
      </c>
      <c r="S131">
        <f>AVERAGE(Q131,R131)</f>
        <v/>
      </c>
      <c r="T131">
        <f>AVERAGE((O131/E131)^2,(O131/H131)^2)</f>
        <v/>
      </c>
      <c r="U131">
        <f>IF(T131=0,"",(S131/T131-1)*100)</f>
        <v/>
      </c>
      <c r="V131">
        <f>AVERAGE((L131/E131)^2,(L131/H131)^2)</f>
        <v/>
      </c>
      <c r="W131">
        <f>IF(ABS(E131-汇总!B25)&lt;=ABS(H131-汇总!B25),E131,H131)</f>
        <v/>
      </c>
      <c r="X131">
        <f>(K131/W131)^2</f>
        <v/>
      </c>
      <c r="Y131">
        <f>IF(N131&gt;10,"HIGH_TVW_CV",IF(J131&lt;3,"SHORT_INTERFACE","PASS"))</f>
        <v/>
      </c>
      <c r="Z131" t="inlineStr">
        <is>
          <t>Di1、TVW均值、Di2均来自本Pair_ID；TVW=3–5法线平均</t>
        </is>
      </c>
      <c r="AA131" t="inlineStr">
        <is>
          <t>样品32</t>
        </is>
      </c>
    </row>
    <row r="132">
      <c r="A132" t="inlineStr">
        <is>
          <t>32(2)-P01</t>
        </is>
      </c>
      <c r="B132" t="inlineStr">
        <is>
          <t>32 (2).tif</t>
        </is>
      </c>
      <c r="C132" t="inlineStr">
        <is>
          <t>32(2)-V01</t>
        </is>
      </c>
      <c r="D132">
        <f>导管母表_1781!F1397</f>
        <v/>
      </c>
      <c r="E132">
        <f>导管母表_1781!G1397</f>
        <v/>
      </c>
      <c r="F132" t="inlineStr">
        <is>
          <t>32(2)-V02</t>
        </is>
      </c>
      <c r="G132">
        <f>导管母表_1781!F1398</f>
        <v/>
      </c>
      <c r="H132">
        <f>导管母表_1781!G1398</f>
        <v/>
      </c>
      <c r="I132" t="inlineStr">
        <is>
          <t>J293:J295</t>
        </is>
      </c>
      <c r="J132">
        <f>COUNT(TVW线测量明细!J293:J295)</f>
        <v/>
      </c>
      <c r="K132">
        <f>AVERAGE(TVW线测量明细!J293:J295)</f>
        <v/>
      </c>
      <c r="L132">
        <f>MEDIAN(TVW线测量明细!J293:J295)</f>
        <v/>
      </c>
      <c r="M132">
        <f>IF(J132&gt;1,STDEV(TVW线测量明细!J293:J295),0)</f>
        <v/>
      </c>
      <c r="N132">
        <f>IF(K132=0,"",M132/K132*100)</f>
        <v/>
      </c>
      <c r="O132" t="n">
        <v>9.785023856458173</v>
      </c>
      <c r="P132">
        <f>IF(O132=0,"",(K132/O132-1)*100)</f>
        <v/>
      </c>
      <c r="Q132">
        <f>(K132/E132)^2</f>
        <v/>
      </c>
      <c r="R132">
        <f>(K132/H132)^2</f>
        <v/>
      </c>
      <c r="S132">
        <f>AVERAGE(Q132,R132)</f>
        <v/>
      </c>
      <c r="T132">
        <f>AVERAGE((O132/E132)^2,(O132/H132)^2)</f>
        <v/>
      </c>
      <c r="U132">
        <f>IF(T132=0,"",(S132/T132-1)*100)</f>
        <v/>
      </c>
      <c r="V132">
        <f>AVERAGE((L132/E132)^2,(L132/H132)^2)</f>
        <v/>
      </c>
      <c r="W132">
        <f>IF(ABS(E132-汇总!B25)&lt;=ABS(H132-汇总!B25),E132,H132)</f>
        <v/>
      </c>
      <c r="X132">
        <f>(K132/W132)^2</f>
        <v/>
      </c>
      <c r="Y132">
        <f>IF(N132&gt;10,"HIGH_TVW_CV",IF(J132&lt;3,"SHORT_INTERFACE","PASS"))</f>
        <v/>
      </c>
      <c r="Z132" t="inlineStr">
        <is>
          <t>Di1、TVW均值、Di2均来自本Pair_ID；TVW=3–5法线平均</t>
        </is>
      </c>
      <c r="AA132" t="inlineStr">
        <is>
          <t>样品32</t>
        </is>
      </c>
    </row>
    <row r="133">
      <c r="A133" t="inlineStr">
        <is>
          <t>32(3)-P01</t>
        </is>
      </c>
      <c r="B133" t="inlineStr">
        <is>
          <t>32 (3).tif</t>
        </is>
      </c>
      <c r="C133" t="inlineStr">
        <is>
          <t>32(3)-V01</t>
        </is>
      </c>
      <c r="D133">
        <f>导管母表_1781!F1403</f>
        <v/>
      </c>
      <c r="E133">
        <f>导管母表_1781!G1403</f>
        <v/>
      </c>
      <c r="F133" t="inlineStr">
        <is>
          <t>32(3)-V02</t>
        </is>
      </c>
      <c r="G133">
        <f>导管母表_1781!F1404</f>
        <v/>
      </c>
      <c r="H133">
        <f>导管母表_1781!G1404</f>
        <v/>
      </c>
      <c r="I133" t="inlineStr">
        <is>
          <t>J296:J296</t>
        </is>
      </c>
      <c r="J133">
        <f>COUNT(TVW线测量明细!J296:J296)</f>
        <v/>
      </c>
      <c r="K133">
        <f>AVERAGE(TVW线测量明细!J296:J296)</f>
        <v/>
      </c>
      <c r="L133">
        <f>MEDIAN(TVW线测量明细!J296:J296)</f>
        <v/>
      </c>
      <c r="M133">
        <f>IF(J133&gt;1,STDEV(TVW线测量明细!J296:J296),0)</f>
        <v/>
      </c>
      <c r="N133">
        <f>IF(K133=0,"",M133/K133*100)</f>
        <v/>
      </c>
      <c r="O133" t="n">
        <v>2.956841414942488</v>
      </c>
      <c r="P133">
        <f>IF(O133=0,"",(K133/O133-1)*100)</f>
        <v/>
      </c>
      <c r="Q133">
        <f>(K133/E133)^2</f>
        <v/>
      </c>
      <c r="R133">
        <f>(K133/H133)^2</f>
        <v/>
      </c>
      <c r="S133">
        <f>AVERAGE(Q133,R133)</f>
        <v/>
      </c>
      <c r="T133">
        <f>AVERAGE((O133/E133)^2,(O133/H133)^2)</f>
        <v/>
      </c>
      <c r="U133">
        <f>IF(T133=0,"",(S133/T133-1)*100)</f>
        <v/>
      </c>
      <c r="V133">
        <f>AVERAGE((L133/E133)^2,(L133/H133)^2)</f>
        <v/>
      </c>
      <c r="W133">
        <f>IF(ABS(E133-汇总!B25)&lt;=ABS(H133-汇总!B25),E133,H133)</f>
        <v/>
      </c>
      <c r="X133">
        <f>(K133/W133)^2</f>
        <v/>
      </c>
      <c r="Y133">
        <f>IF(N133&gt;10,"HIGH_TVW_CV",IF(J133&lt;3,"SHORT_INTERFACE","PASS"))</f>
        <v/>
      </c>
      <c r="Z133" t="inlineStr">
        <is>
          <t>Di1、TVW均值、Di2均来自本Pair_ID；TVW=3–5法线平均</t>
        </is>
      </c>
      <c r="AA133" t="inlineStr">
        <is>
          <t>样品32</t>
        </is>
      </c>
    </row>
    <row r="134">
      <c r="A134" t="inlineStr">
        <is>
          <t>32(5)-P01</t>
        </is>
      </c>
      <c r="B134" t="inlineStr">
        <is>
          <t>32 (5).tif</t>
        </is>
      </c>
      <c r="C134" t="inlineStr">
        <is>
          <t>32(5)-V01</t>
        </is>
      </c>
      <c r="D134">
        <f>导管母表_1781!F1414</f>
        <v/>
      </c>
      <c r="E134">
        <f>导管母表_1781!G1414</f>
        <v/>
      </c>
      <c r="F134" t="inlineStr">
        <is>
          <t>32(5)-V06</t>
        </is>
      </c>
      <c r="G134">
        <f>导管母表_1781!F1419</f>
        <v/>
      </c>
      <c r="H134">
        <f>导管母表_1781!G1419</f>
        <v/>
      </c>
      <c r="I134" t="inlineStr">
        <is>
          <t>J297:J297</t>
        </is>
      </c>
      <c r="J134">
        <f>COUNT(TVW线测量明细!J297:J297)</f>
        <v/>
      </c>
      <c r="K134">
        <f>AVERAGE(TVW线测量明细!J297:J297)</f>
        <v/>
      </c>
      <c r="L134">
        <f>MEDIAN(TVW线测量明细!J297:J297)</f>
        <v/>
      </c>
      <c r="M134">
        <f>IF(J134&gt;1,STDEV(TVW线测量明细!J297:J297),0)</f>
        <v/>
      </c>
      <c r="N134">
        <f>IF(K134=0,"",M134/K134*100)</f>
        <v/>
      </c>
      <c r="O134" t="n">
        <v>0</v>
      </c>
      <c r="P134">
        <f>IF(O134=0,"",(K134/O134-1)*100)</f>
        <v/>
      </c>
      <c r="Q134">
        <f>(K134/E134)^2</f>
        <v/>
      </c>
      <c r="R134">
        <f>(K134/H134)^2</f>
        <v/>
      </c>
      <c r="S134">
        <f>AVERAGE(Q134,R134)</f>
        <v/>
      </c>
      <c r="T134">
        <f>AVERAGE((O134/E134)^2,(O134/H134)^2)</f>
        <v/>
      </c>
      <c r="U134">
        <f>IF(T134=0,"",(S134/T134-1)*100)</f>
        <v/>
      </c>
      <c r="V134">
        <f>AVERAGE((L134/E134)^2,(L134/H134)^2)</f>
        <v/>
      </c>
      <c r="W134">
        <f>IF(ABS(E134-汇总!B25)&lt;=ABS(H134-汇总!B25),E134,H134)</f>
        <v/>
      </c>
      <c r="X134">
        <f>(K134/W134)^2</f>
        <v/>
      </c>
      <c r="Y134">
        <f>IF(N134&gt;10,"HIGH_TVW_CV",IF(J134&lt;3,"SHORT_INTERFACE","PASS"))</f>
        <v/>
      </c>
      <c r="Z134" t="inlineStr">
        <is>
          <t>Di1、TVW均值、Di2均来自本Pair_ID；TVW=3–5法线平均</t>
        </is>
      </c>
      <c r="AA134" t="inlineStr">
        <is>
          <t>样品32</t>
        </is>
      </c>
    </row>
    <row r="135">
      <c r="A135" t="inlineStr">
        <is>
          <t>32(6)-P01</t>
        </is>
      </c>
      <c r="B135" t="inlineStr">
        <is>
          <t>32 (6).tif</t>
        </is>
      </c>
      <c r="C135" t="inlineStr">
        <is>
          <t>32(6)-V01</t>
        </is>
      </c>
      <c r="D135">
        <f>导管母表_1781!F1423</f>
        <v/>
      </c>
      <c r="E135">
        <f>导管母表_1781!G1423</f>
        <v/>
      </c>
      <c r="F135" t="inlineStr">
        <is>
          <t>32(6)-V02</t>
        </is>
      </c>
      <c r="G135">
        <f>导管母表_1781!F1424</f>
        <v/>
      </c>
      <c r="H135">
        <f>导管母表_1781!G1424</f>
        <v/>
      </c>
      <c r="I135" t="inlineStr">
        <is>
          <t>J298:J300</t>
        </is>
      </c>
      <c r="J135">
        <f>COUNT(TVW线测量明细!J298:J300)</f>
        <v/>
      </c>
      <c r="K135">
        <f>AVERAGE(TVW线测量明细!J298:J300)</f>
        <v/>
      </c>
      <c r="L135">
        <f>MEDIAN(TVW线测量明细!J298:J300)</f>
        <v/>
      </c>
      <c r="M135">
        <f>IF(J135&gt;1,STDEV(TVW线测量明细!J298:J300),0)</f>
        <v/>
      </c>
      <c r="N135">
        <f>IF(K135=0,"",M135/K135*100)</f>
        <v/>
      </c>
      <c r="O135" t="n">
        <v>6.572268025143901</v>
      </c>
      <c r="P135">
        <f>IF(O135=0,"",(K135/O135-1)*100)</f>
        <v/>
      </c>
      <c r="Q135">
        <f>(K135/E135)^2</f>
        <v/>
      </c>
      <c r="R135">
        <f>(K135/H135)^2</f>
        <v/>
      </c>
      <c r="S135">
        <f>AVERAGE(Q135,R135)</f>
        <v/>
      </c>
      <c r="T135">
        <f>AVERAGE((O135/E135)^2,(O135/H135)^2)</f>
        <v/>
      </c>
      <c r="U135">
        <f>IF(T135=0,"",(S135/T135-1)*100)</f>
        <v/>
      </c>
      <c r="V135">
        <f>AVERAGE((L135/E135)^2,(L135/H135)^2)</f>
        <v/>
      </c>
      <c r="W135">
        <f>IF(ABS(E135-汇总!B25)&lt;=ABS(H135-汇总!B25),E135,H135)</f>
        <v/>
      </c>
      <c r="X135">
        <f>(K135/W135)^2</f>
        <v/>
      </c>
      <c r="Y135">
        <f>IF(N135&gt;10,"HIGH_TVW_CV",IF(J135&lt;3,"SHORT_INTERFACE","PASS"))</f>
        <v/>
      </c>
      <c r="Z135" t="inlineStr">
        <is>
          <t>Di1、TVW均值、Di2均来自本Pair_ID；TVW=3–5法线平均</t>
        </is>
      </c>
      <c r="AA135" t="inlineStr">
        <is>
          <t>样品32</t>
        </is>
      </c>
    </row>
    <row r="136">
      <c r="A136" t="inlineStr">
        <is>
          <t>32(8)-P01</t>
        </is>
      </c>
      <c r="B136" t="inlineStr">
        <is>
          <t>32 (8).tif</t>
        </is>
      </c>
      <c r="C136" t="inlineStr">
        <is>
          <t>32(8)-V01</t>
        </is>
      </c>
      <c r="D136">
        <f>导管母表_1781!F1428</f>
        <v/>
      </c>
      <c r="E136">
        <f>导管母表_1781!G1428</f>
        <v/>
      </c>
      <c r="F136" t="inlineStr">
        <is>
          <t>32(8)-V03</t>
        </is>
      </c>
      <c r="G136">
        <f>导管母表_1781!F1430</f>
        <v/>
      </c>
      <c r="H136">
        <f>导管母表_1781!G1430</f>
        <v/>
      </c>
      <c r="I136" t="inlineStr">
        <is>
          <t>J301:J303</t>
        </is>
      </c>
      <c r="J136">
        <f>COUNT(TVW线测量明细!J301:J303)</f>
        <v/>
      </c>
      <c r="K136">
        <f>AVERAGE(TVW线测量明细!J301:J303)</f>
        <v/>
      </c>
      <c r="L136">
        <f>MEDIAN(TVW线测量明细!J301:J303)</f>
        <v/>
      </c>
      <c r="M136">
        <f>IF(J136&gt;1,STDEV(TVW线测量明细!J301:J303),0)</f>
        <v/>
      </c>
      <c r="N136">
        <f>IF(K136=0,"",M136/K136*100)</f>
        <v/>
      </c>
      <c r="O136" t="n">
        <v>14.23705593915908</v>
      </c>
      <c r="P136">
        <f>IF(O136=0,"",(K136/O136-1)*100)</f>
        <v/>
      </c>
      <c r="Q136">
        <f>(K136/E136)^2</f>
        <v/>
      </c>
      <c r="R136">
        <f>(K136/H136)^2</f>
        <v/>
      </c>
      <c r="S136">
        <f>AVERAGE(Q136,R136)</f>
        <v/>
      </c>
      <c r="T136">
        <f>AVERAGE((O136/E136)^2,(O136/H136)^2)</f>
        <v/>
      </c>
      <c r="U136">
        <f>IF(T136=0,"",(S136/T136-1)*100)</f>
        <v/>
      </c>
      <c r="V136">
        <f>AVERAGE((L136/E136)^2,(L136/H136)^2)</f>
        <v/>
      </c>
      <c r="W136">
        <f>IF(ABS(E136-汇总!B25)&lt;=ABS(H136-汇总!B25),E136,H136)</f>
        <v/>
      </c>
      <c r="X136">
        <f>(K136/W136)^2</f>
        <v/>
      </c>
      <c r="Y136">
        <f>IF(N136&gt;10,"HIGH_TVW_CV",IF(J136&lt;3,"SHORT_INTERFACE","PASS"))</f>
        <v/>
      </c>
      <c r="Z136" t="inlineStr">
        <is>
          <t>Di1、TVW均值、Di2均来自本Pair_ID；TVW=3–5法线平均</t>
        </is>
      </c>
      <c r="AA136" t="inlineStr">
        <is>
          <t>样品32</t>
        </is>
      </c>
    </row>
    <row r="137">
      <c r="A137" t="inlineStr">
        <is>
          <t>33(1)-P01</t>
        </is>
      </c>
      <c r="B137" t="inlineStr">
        <is>
          <t>33 (1).tif</t>
        </is>
      </c>
      <c r="C137" t="inlineStr">
        <is>
          <t>33(1)-V01</t>
        </is>
      </c>
      <c r="D137">
        <f>导管母表_1781!F1431</f>
        <v/>
      </c>
      <c r="E137">
        <f>导管母表_1781!G1431</f>
        <v/>
      </c>
      <c r="F137" t="inlineStr">
        <is>
          <t>33(1)-V02</t>
        </is>
      </c>
      <c r="G137">
        <f>导管母表_1781!F1432</f>
        <v/>
      </c>
      <c r="H137">
        <f>导管母表_1781!G1432</f>
        <v/>
      </c>
      <c r="I137" t="inlineStr">
        <is>
          <t>J304:J305</t>
        </is>
      </c>
      <c r="J137">
        <f>COUNT(TVW线测量明细!J304:J305)</f>
        <v/>
      </c>
      <c r="K137">
        <f>AVERAGE(TVW线测量明细!J304:J305)</f>
        <v/>
      </c>
      <c r="L137">
        <f>MEDIAN(TVW线测量明细!J304:J305)</f>
        <v/>
      </c>
      <c r="M137">
        <f>IF(J137&gt;1,STDEV(TVW线测量明细!J304:J305),0)</f>
        <v/>
      </c>
      <c r="N137">
        <f>IF(K137=0,"",M137/K137*100)</f>
        <v/>
      </c>
      <c r="O137" t="n">
        <v>7.658223892960232</v>
      </c>
      <c r="P137">
        <f>IF(O137=0,"",(K137/O137-1)*100)</f>
        <v/>
      </c>
      <c r="Q137">
        <f>(K137/E137)^2</f>
        <v/>
      </c>
      <c r="R137">
        <f>(K137/H137)^2</f>
        <v/>
      </c>
      <c r="S137">
        <f>AVERAGE(Q137,R137)</f>
        <v/>
      </c>
      <c r="T137">
        <f>AVERAGE((O137/E137)^2,(O137/H137)^2)</f>
        <v/>
      </c>
      <c r="U137">
        <f>IF(T137=0,"",(S137/T137-1)*100)</f>
        <v/>
      </c>
      <c r="V137">
        <f>AVERAGE((L137/E137)^2,(L137/H137)^2)</f>
        <v/>
      </c>
      <c r="W137">
        <f>IF(ABS(E137-汇总!B25)&lt;=ABS(H137-汇总!B25),E137,H137)</f>
        <v/>
      </c>
      <c r="X137">
        <f>(K137/W137)^2</f>
        <v/>
      </c>
      <c r="Y137">
        <f>IF(N137&gt;10,"HIGH_TVW_CV",IF(J137&lt;3,"SHORT_INTERFACE","PASS"))</f>
        <v/>
      </c>
      <c r="Z137" t="inlineStr">
        <is>
          <t>Di1、TVW均值、Di2均来自本Pair_ID；TVW=3–5法线平均</t>
        </is>
      </c>
      <c r="AA137" t="inlineStr">
        <is>
          <t>样品33</t>
        </is>
      </c>
    </row>
    <row r="138">
      <c r="A138" t="inlineStr">
        <is>
          <t>33(6)-P01</t>
        </is>
      </c>
      <c r="B138" t="inlineStr">
        <is>
          <t>33 (6).tif</t>
        </is>
      </c>
      <c r="C138" t="inlineStr">
        <is>
          <t>33(6)-V01</t>
        </is>
      </c>
      <c r="D138">
        <f>导管母表_1781!F1458</f>
        <v/>
      </c>
      <c r="E138">
        <f>导管母表_1781!G1458</f>
        <v/>
      </c>
      <c r="F138" t="inlineStr">
        <is>
          <t>33(6)-V05</t>
        </is>
      </c>
      <c r="G138">
        <f>导管母表_1781!F1462</f>
        <v/>
      </c>
      <c r="H138">
        <f>导管母表_1781!G1462</f>
        <v/>
      </c>
      <c r="I138" t="inlineStr">
        <is>
          <t>J306:J309</t>
        </is>
      </c>
      <c r="J138">
        <f>COUNT(TVW线测量明细!J306:J309)</f>
        <v/>
      </c>
      <c r="K138">
        <f>AVERAGE(TVW线测量明细!J306:J309)</f>
        <v/>
      </c>
      <c r="L138">
        <f>MEDIAN(TVW线测量明细!J306:J309)</f>
        <v/>
      </c>
      <c r="M138">
        <f>IF(J138&gt;1,STDEV(TVW线测量明细!J306:J309),0)</f>
        <v/>
      </c>
      <c r="N138">
        <f>IF(K138=0,"",M138/K138*100)</f>
        <v/>
      </c>
      <c r="O138" t="n">
        <v>5.377963859501296</v>
      </c>
      <c r="P138">
        <f>IF(O138=0,"",(K138/O138-1)*100)</f>
        <v/>
      </c>
      <c r="Q138">
        <f>(K138/E138)^2</f>
        <v/>
      </c>
      <c r="R138">
        <f>(K138/H138)^2</f>
        <v/>
      </c>
      <c r="S138">
        <f>AVERAGE(Q138,R138)</f>
        <v/>
      </c>
      <c r="T138">
        <f>AVERAGE((O138/E138)^2,(O138/H138)^2)</f>
        <v/>
      </c>
      <c r="U138">
        <f>IF(T138=0,"",(S138/T138-1)*100)</f>
        <v/>
      </c>
      <c r="V138">
        <f>AVERAGE((L138/E138)^2,(L138/H138)^2)</f>
        <v/>
      </c>
      <c r="W138">
        <f>IF(ABS(E138-汇总!B25)&lt;=ABS(H138-汇总!B25),E138,H138)</f>
        <v/>
      </c>
      <c r="X138">
        <f>(K138/W138)^2</f>
        <v/>
      </c>
      <c r="Y138">
        <f>IF(N138&gt;10,"HIGH_TVW_CV",IF(J138&lt;3,"SHORT_INTERFACE","PASS"))</f>
        <v/>
      </c>
      <c r="Z138" t="inlineStr">
        <is>
          <t>Di1、TVW均值、Di2均来自本Pair_ID；TVW=3–5法线平均</t>
        </is>
      </c>
      <c r="AA138" t="inlineStr">
        <is>
          <t>样品33</t>
        </is>
      </c>
    </row>
    <row r="139">
      <c r="A139" t="inlineStr">
        <is>
          <t>33(7)-P01</t>
        </is>
      </c>
      <c r="B139" t="inlineStr">
        <is>
          <t>33 (7).tif</t>
        </is>
      </c>
      <c r="C139" t="inlineStr">
        <is>
          <t>33(7)-V01</t>
        </is>
      </c>
      <c r="D139">
        <f>导管母表_1781!F1467</f>
        <v/>
      </c>
      <c r="E139">
        <f>导管母表_1781!G1467</f>
        <v/>
      </c>
      <c r="F139" t="inlineStr">
        <is>
          <t>33(7)-V03</t>
        </is>
      </c>
      <c r="G139">
        <f>导管母表_1781!F1469</f>
        <v/>
      </c>
      <c r="H139">
        <f>导管母表_1781!G1469</f>
        <v/>
      </c>
      <c r="I139" t="inlineStr">
        <is>
          <t>J310:J311</t>
        </is>
      </c>
      <c r="J139">
        <f>COUNT(TVW线测量明细!J310:J311)</f>
        <v/>
      </c>
      <c r="K139">
        <f>AVERAGE(TVW线测量明细!J310:J311)</f>
        <v/>
      </c>
      <c r="L139">
        <f>MEDIAN(TVW线测量明细!J310:J311)</f>
        <v/>
      </c>
      <c r="M139">
        <f>IF(J139&gt;1,STDEV(TVW线测量明细!J310:J311),0)</f>
        <v/>
      </c>
      <c r="N139">
        <f>IF(K139=0,"",M139/K139*100)</f>
        <v/>
      </c>
      <c r="O139" t="n">
        <v>5.217391304347826</v>
      </c>
      <c r="P139">
        <f>IF(O139=0,"",(K139/O139-1)*100)</f>
        <v/>
      </c>
      <c r="Q139">
        <f>(K139/E139)^2</f>
        <v/>
      </c>
      <c r="R139">
        <f>(K139/H139)^2</f>
        <v/>
      </c>
      <c r="S139">
        <f>AVERAGE(Q139,R139)</f>
        <v/>
      </c>
      <c r="T139">
        <f>AVERAGE((O139/E139)^2,(O139/H139)^2)</f>
        <v/>
      </c>
      <c r="U139">
        <f>IF(T139=0,"",(S139/T139-1)*100)</f>
        <v/>
      </c>
      <c r="V139">
        <f>AVERAGE((L139/E139)^2,(L139/H139)^2)</f>
        <v/>
      </c>
      <c r="W139">
        <f>IF(ABS(E139-汇总!B25)&lt;=ABS(H139-汇总!B25),E139,H139)</f>
        <v/>
      </c>
      <c r="X139">
        <f>(K139/W139)^2</f>
        <v/>
      </c>
      <c r="Y139">
        <f>IF(N139&gt;10,"HIGH_TVW_CV",IF(J139&lt;3,"SHORT_INTERFACE","PASS"))</f>
        <v/>
      </c>
      <c r="Z139" t="inlineStr">
        <is>
          <t>Di1、TVW均值、Di2均来自本Pair_ID；TVW=3–5法线平均</t>
        </is>
      </c>
      <c r="AA139" t="inlineStr">
        <is>
          <t>样品33</t>
        </is>
      </c>
    </row>
    <row r="140">
      <c r="A140" t="inlineStr">
        <is>
          <t>34(2)-P01</t>
        </is>
      </c>
      <c r="B140" t="inlineStr">
        <is>
          <t>34 (2).tif</t>
        </is>
      </c>
      <c r="C140" t="inlineStr">
        <is>
          <t>34(2)-V03</t>
        </is>
      </c>
      <c r="D140">
        <f>导管母表_1781!F1486</f>
        <v/>
      </c>
      <c r="E140">
        <f>导管母表_1781!G1486</f>
        <v/>
      </c>
      <c r="F140" t="inlineStr">
        <is>
          <t>34(2)-V04</t>
        </is>
      </c>
      <c r="G140">
        <f>导管母表_1781!F1487</f>
        <v/>
      </c>
      <c r="H140">
        <f>导管母表_1781!G1487</f>
        <v/>
      </c>
      <c r="I140" t="inlineStr">
        <is>
          <t>J312:J313</t>
        </is>
      </c>
      <c r="J140">
        <f>COUNT(TVW线测量明细!J312:J313)</f>
        <v/>
      </c>
      <c r="K140">
        <f>AVERAGE(TVW线测量明细!J312:J313)</f>
        <v/>
      </c>
      <c r="L140">
        <f>MEDIAN(TVW线测量明细!J312:J313)</f>
        <v/>
      </c>
      <c r="M140">
        <f>IF(J140&gt;1,STDEV(TVW线测量明细!J312:J313),0)</f>
        <v/>
      </c>
      <c r="N140">
        <f>IF(K140=0,"",M140/K140*100)</f>
        <v/>
      </c>
      <c r="O140" t="n">
        <v>8.503307485046932</v>
      </c>
      <c r="P140">
        <f>IF(O140=0,"",(K140/O140-1)*100)</f>
        <v/>
      </c>
      <c r="Q140">
        <f>(K140/E140)^2</f>
        <v/>
      </c>
      <c r="R140">
        <f>(K140/H140)^2</f>
        <v/>
      </c>
      <c r="S140">
        <f>AVERAGE(Q140,R140)</f>
        <v/>
      </c>
      <c r="T140">
        <f>AVERAGE((O140/E140)^2,(O140/H140)^2)</f>
        <v/>
      </c>
      <c r="U140">
        <f>IF(T140=0,"",(S140/T140-1)*100)</f>
        <v/>
      </c>
      <c r="V140">
        <f>AVERAGE((L140/E140)^2,(L140/H140)^2)</f>
        <v/>
      </c>
      <c r="W140">
        <f>IF(ABS(E140-汇总!B25)&lt;=ABS(H140-汇总!B25),E140,H140)</f>
        <v/>
      </c>
      <c r="X140">
        <f>(K140/W140)^2</f>
        <v/>
      </c>
      <c r="Y140">
        <f>IF(N140&gt;10,"HIGH_TVW_CV",IF(J140&lt;3,"SHORT_INTERFACE","PASS"))</f>
        <v/>
      </c>
      <c r="Z140" t="inlineStr">
        <is>
          <t>Di1、TVW均值、Di2均来自本Pair_ID；TVW=3–5法线平均</t>
        </is>
      </c>
      <c r="AA140" t="inlineStr">
        <is>
          <t>样品34</t>
        </is>
      </c>
    </row>
    <row r="141">
      <c r="A141" t="inlineStr">
        <is>
          <t>34(5)-P01</t>
        </is>
      </c>
      <c r="B141" t="inlineStr">
        <is>
          <t>34 (5).tif</t>
        </is>
      </c>
      <c r="C141" t="inlineStr">
        <is>
          <t>34(5)-V01</t>
        </is>
      </c>
      <c r="D141">
        <f>导管母表_1781!F1498</f>
        <v/>
      </c>
      <c r="E141">
        <f>导管母表_1781!G1498</f>
        <v/>
      </c>
      <c r="F141" t="inlineStr">
        <is>
          <t>34(5)-V02</t>
        </is>
      </c>
      <c r="G141">
        <f>导管母表_1781!F1499</f>
        <v/>
      </c>
      <c r="H141">
        <f>导管母表_1781!G1499</f>
        <v/>
      </c>
      <c r="I141" t="inlineStr">
        <is>
          <t>J314:J314</t>
        </is>
      </c>
      <c r="J141">
        <f>COUNT(TVW线测量明细!J314:J314)</f>
        <v/>
      </c>
      <c r="K141">
        <f>AVERAGE(TVW线测量明细!J314:J314)</f>
        <v/>
      </c>
      <c r="L141">
        <f>MEDIAN(TVW线测量明细!J314:J314)</f>
        <v/>
      </c>
      <c r="M141">
        <f>IF(J141&gt;1,STDEV(TVW线测量明细!J314:J314),0)</f>
        <v/>
      </c>
      <c r="N141">
        <f>IF(K141=0,"",M141/K141*100)</f>
        <v/>
      </c>
      <c r="O141" t="n">
        <v>6.668635500077377</v>
      </c>
      <c r="P141">
        <f>IF(O141=0,"",(K141/O141-1)*100)</f>
        <v/>
      </c>
      <c r="Q141">
        <f>(K141/E141)^2</f>
        <v/>
      </c>
      <c r="R141">
        <f>(K141/H141)^2</f>
        <v/>
      </c>
      <c r="S141">
        <f>AVERAGE(Q141,R141)</f>
        <v/>
      </c>
      <c r="T141">
        <f>AVERAGE((O141/E141)^2,(O141/H141)^2)</f>
        <v/>
      </c>
      <c r="U141">
        <f>IF(T141=0,"",(S141/T141-1)*100)</f>
        <v/>
      </c>
      <c r="V141">
        <f>AVERAGE((L141/E141)^2,(L141/H141)^2)</f>
        <v/>
      </c>
      <c r="W141">
        <f>IF(ABS(E141-汇总!B25)&lt;=ABS(H141-汇总!B25),E141,H141)</f>
        <v/>
      </c>
      <c r="X141">
        <f>(K141/W141)^2</f>
        <v/>
      </c>
      <c r="Y141">
        <f>IF(N141&gt;10,"HIGH_TVW_CV",IF(J141&lt;3,"SHORT_INTERFACE","PASS"))</f>
        <v/>
      </c>
      <c r="Z141" t="inlineStr">
        <is>
          <t>Di1、TVW均值、Di2均来自本Pair_ID；TVW=3–5法线平均</t>
        </is>
      </c>
      <c r="AA141" t="inlineStr">
        <is>
          <t>样品34</t>
        </is>
      </c>
    </row>
    <row r="142">
      <c r="A142" t="inlineStr">
        <is>
          <t>34(6)-P01</t>
        </is>
      </c>
      <c r="B142" t="inlineStr">
        <is>
          <t>34 (6).tif</t>
        </is>
      </c>
      <c r="C142" t="inlineStr">
        <is>
          <t>34(6)-V01</t>
        </is>
      </c>
      <c r="D142">
        <f>导管母表_1781!F1505</f>
        <v/>
      </c>
      <c r="E142">
        <f>导管母表_1781!G1505</f>
        <v/>
      </c>
      <c r="F142" t="inlineStr">
        <is>
          <t>34(6)-V02</t>
        </is>
      </c>
      <c r="G142">
        <f>导管母表_1781!F1506</f>
        <v/>
      </c>
      <c r="H142">
        <f>导管母表_1781!G1506</f>
        <v/>
      </c>
      <c r="I142" t="inlineStr">
        <is>
          <t>J315:J316</t>
        </is>
      </c>
      <c r="J142">
        <f>COUNT(TVW线测量明细!J315:J316)</f>
        <v/>
      </c>
      <c r="K142">
        <f>AVERAGE(TVW线测量明细!J315:J316)</f>
        <v/>
      </c>
      <c r="L142">
        <f>MEDIAN(TVW线测量明细!J315:J316)</f>
        <v/>
      </c>
      <c r="M142">
        <f>IF(J142&gt;1,STDEV(TVW线测量明细!J315:J316),0)</f>
        <v/>
      </c>
      <c r="N142">
        <f>IF(K142=0,"",M142/K142*100)</f>
        <v/>
      </c>
      <c r="O142" t="n">
        <v>7.024128009305874</v>
      </c>
      <c r="P142">
        <f>IF(O142=0,"",(K142/O142-1)*100)</f>
        <v/>
      </c>
      <c r="Q142">
        <f>(K142/E142)^2</f>
        <v/>
      </c>
      <c r="R142">
        <f>(K142/H142)^2</f>
        <v/>
      </c>
      <c r="S142">
        <f>AVERAGE(Q142,R142)</f>
        <v/>
      </c>
      <c r="T142">
        <f>AVERAGE((O142/E142)^2,(O142/H142)^2)</f>
        <v/>
      </c>
      <c r="U142">
        <f>IF(T142=0,"",(S142/T142-1)*100)</f>
        <v/>
      </c>
      <c r="V142">
        <f>AVERAGE((L142/E142)^2,(L142/H142)^2)</f>
        <v/>
      </c>
      <c r="W142">
        <f>IF(ABS(E142-汇总!B25)&lt;=ABS(H142-汇总!B25),E142,H142)</f>
        <v/>
      </c>
      <c r="X142">
        <f>(K142/W142)^2</f>
        <v/>
      </c>
      <c r="Y142">
        <f>IF(N142&gt;10,"HIGH_TVW_CV",IF(J142&lt;3,"SHORT_INTERFACE","PASS"))</f>
        <v/>
      </c>
      <c r="Z142" t="inlineStr">
        <is>
          <t>Di1、TVW均值、Di2均来自本Pair_ID；TVW=3–5法线平均</t>
        </is>
      </c>
      <c r="AA142" t="inlineStr">
        <is>
          <t>样品34</t>
        </is>
      </c>
    </row>
    <row r="143">
      <c r="A143" t="inlineStr">
        <is>
          <t>34(7)-P01</t>
        </is>
      </c>
      <c r="B143" t="inlineStr">
        <is>
          <t>34 (7).tif</t>
        </is>
      </c>
      <c r="C143" t="inlineStr">
        <is>
          <t>34(7)-V01</t>
        </is>
      </c>
      <c r="D143">
        <f>导管母表_1781!F1509</f>
        <v/>
      </c>
      <c r="E143">
        <f>导管母表_1781!G1509</f>
        <v/>
      </c>
      <c r="F143" t="inlineStr">
        <is>
          <t>34(7)-V02</t>
        </is>
      </c>
      <c r="G143">
        <f>导管母表_1781!F1510</f>
        <v/>
      </c>
      <c r="H143">
        <f>导管母表_1781!G1510</f>
        <v/>
      </c>
      <c r="I143" t="inlineStr">
        <is>
          <t>J317:J319</t>
        </is>
      </c>
      <c r="J143">
        <f>COUNT(TVW线测量明细!J317:J319)</f>
        <v/>
      </c>
      <c r="K143">
        <f>AVERAGE(TVW线测量明细!J317:J319)</f>
        <v/>
      </c>
      <c r="L143">
        <f>MEDIAN(TVW线测量明细!J317:J319)</f>
        <v/>
      </c>
      <c r="M143">
        <f>IF(J143&gt;1,STDEV(TVW线测量明细!J317:J319),0)</f>
        <v/>
      </c>
      <c r="N143">
        <f>IF(K143=0,"",M143/K143*100)</f>
        <v/>
      </c>
      <c r="O143" t="n">
        <v>5.369169145751508</v>
      </c>
      <c r="P143">
        <f>IF(O143=0,"",(K143/O143-1)*100)</f>
        <v/>
      </c>
      <c r="Q143">
        <f>(K143/E143)^2</f>
        <v/>
      </c>
      <c r="R143">
        <f>(K143/H143)^2</f>
        <v/>
      </c>
      <c r="S143">
        <f>AVERAGE(Q143,R143)</f>
        <v/>
      </c>
      <c r="T143">
        <f>AVERAGE((O143/E143)^2,(O143/H143)^2)</f>
        <v/>
      </c>
      <c r="U143">
        <f>IF(T143=0,"",(S143/T143-1)*100)</f>
        <v/>
      </c>
      <c r="V143">
        <f>AVERAGE((L143/E143)^2,(L143/H143)^2)</f>
        <v/>
      </c>
      <c r="W143">
        <f>IF(ABS(E143-汇总!B25)&lt;=ABS(H143-汇总!B25),E143,H143)</f>
        <v/>
      </c>
      <c r="X143">
        <f>(K143/W143)^2</f>
        <v/>
      </c>
      <c r="Y143">
        <f>IF(N143&gt;10,"HIGH_TVW_CV",IF(J143&lt;3,"SHORT_INTERFACE","PASS"))</f>
        <v/>
      </c>
      <c r="Z143" t="inlineStr">
        <is>
          <t>Di1、TVW均值、Di2均来自本Pair_ID；TVW=3–5法线平均</t>
        </is>
      </c>
      <c r="AA143" t="inlineStr">
        <is>
          <t>样品34</t>
        </is>
      </c>
    </row>
    <row r="144">
      <c r="A144" t="inlineStr">
        <is>
          <t>34(8)-P01</t>
        </is>
      </c>
      <c r="B144" t="inlineStr">
        <is>
          <t>34 (8).tif</t>
        </is>
      </c>
      <c r="C144" t="inlineStr">
        <is>
          <t>34(8)-V02</t>
        </is>
      </c>
      <c r="D144">
        <f>导管母表_1781!F1517</f>
        <v/>
      </c>
      <c r="E144">
        <f>导管母表_1781!G1517</f>
        <v/>
      </c>
      <c r="F144" t="inlineStr">
        <is>
          <t>34(8)-V03</t>
        </is>
      </c>
      <c r="G144">
        <f>导管母表_1781!F1518</f>
        <v/>
      </c>
      <c r="H144">
        <f>导管母表_1781!G1518</f>
        <v/>
      </c>
      <c r="I144" t="inlineStr">
        <is>
          <t>J320:J320</t>
        </is>
      </c>
      <c r="J144">
        <f>COUNT(TVW线测量明细!J320:J320)</f>
        <v/>
      </c>
      <c r="K144">
        <f>AVERAGE(TVW线测量明细!J320:J320)</f>
        <v/>
      </c>
      <c r="L144">
        <f>MEDIAN(TVW线测量明细!J320:J320)</f>
        <v/>
      </c>
      <c r="M144">
        <f>IF(J144&gt;1,STDEV(TVW线测量明细!J320:J320),0)</f>
        <v/>
      </c>
      <c r="N144">
        <f>IF(K144=0,"",M144/K144*100)</f>
        <v/>
      </c>
      <c r="O144" t="n">
        <v>4.220975617162521</v>
      </c>
      <c r="P144">
        <f>IF(O144=0,"",(K144/O144-1)*100)</f>
        <v/>
      </c>
      <c r="Q144">
        <f>(K144/E144)^2</f>
        <v/>
      </c>
      <c r="R144">
        <f>(K144/H144)^2</f>
        <v/>
      </c>
      <c r="S144">
        <f>AVERAGE(Q144,R144)</f>
        <v/>
      </c>
      <c r="T144">
        <f>AVERAGE((O144/E144)^2,(O144/H144)^2)</f>
        <v/>
      </c>
      <c r="U144">
        <f>IF(T144=0,"",(S144/T144-1)*100)</f>
        <v/>
      </c>
      <c r="V144">
        <f>AVERAGE((L144/E144)^2,(L144/H144)^2)</f>
        <v/>
      </c>
      <c r="W144">
        <f>IF(ABS(E144-汇总!B25)&lt;=ABS(H144-汇总!B25),E144,H144)</f>
        <v/>
      </c>
      <c r="X144">
        <f>(K144/W144)^2</f>
        <v/>
      </c>
      <c r="Y144">
        <f>IF(N144&gt;10,"HIGH_TVW_CV",IF(J144&lt;3,"SHORT_INTERFACE","PASS"))</f>
        <v/>
      </c>
      <c r="Z144" t="inlineStr">
        <is>
          <t>Di1、TVW均值、Di2均来自本Pair_ID；TVW=3–5法线平均</t>
        </is>
      </c>
      <c r="AA144" t="inlineStr">
        <is>
          <t>样品34</t>
        </is>
      </c>
    </row>
    <row r="145">
      <c r="A145" t="inlineStr">
        <is>
          <t>35(2)-P01</t>
        </is>
      </c>
      <c r="B145" t="inlineStr">
        <is>
          <t>35 (2).tif</t>
        </is>
      </c>
      <c r="C145" t="inlineStr">
        <is>
          <t>35(2)-V01</t>
        </is>
      </c>
      <c r="D145">
        <f>导管母表_1781!F1525</f>
        <v/>
      </c>
      <c r="E145">
        <f>导管母表_1781!G1525</f>
        <v/>
      </c>
      <c r="F145" t="inlineStr">
        <is>
          <t>35(2)-V02</t>
        </is>
      </c>
      <c r="G145">
        <f>导管母表_1781!F1526</f>
        <v/>
      </c>
      <c r="H145">
        <f>导管母表_1781!G1526</f>
        <v/>
      </c>
      <c r="I145" t="inlineStr">
        <is>
          <t>J321:J322</t>
        </is>
      </c>
      <c r="J145">
        <f>COUNT(TVW线测量明细!J321:J322)</f>
        <v/>
      </c>
      <c r="K145">
        <f>AVERAGE(TVW线测量明细!J321:J322)</f>
        <v/>
      </c>
      <c r="L145">
        <f>MEDIAN(TVW线测量明细!J321:J322)</f>
        <v/>
      </c>
      <c r="M145">
        <f>IF(J145&gt;1,STDEV(TVW线测量明细!J321:J322),0)</f>
        <v/>
      </c>
      <c r="N145">
        <f>IF(K145=0,"",M145/K145*100)</f>
        <v/>
      </c>
      <c r="O145" t="n">
        <v>3.796575912298473</v>
      </c>
      <c r="P145">
        <f>IF(O145=0,"",(K145/O145-1)*100)</f>
        <v/>
      </c>
      <c r="Q145">
        <f>(K145/E145)^2</f>
        <v/>
      </c>
      <c r="R145">
        <f>(K145/H145)^2</f>
        <v/>
      </c>
      <c r="S145">
        <f>AVERAGE(Q145,R145)</f>
        <v/>
      </c>
      <c r="T145">
        <f>AVERAGE((O145/E145)^2,(O145/H145)^2)</f>
        <v/>
      </c>
      <c r="U145">
        <f>IF(T145=0,"",(S145/T145-1)*100)</f>
        <v/>
      </c>
      <c r="V145">
        <f>AVERAGE((L145/E145)^2,(L145/H145)^2)</f>
        <v/>
      </c>
      <c r="W145">
        <f>IF(ABS(E145-汇总!B25)&lt;=ABS(H145-汇总!B25),E145,H145)</f>
        <v/>
      </c>
      <c r="X145">
        <f>(K145/W145)^2</f>
        <v/>
      </c>
      <c r="Y145">
        <f>IF(N145&gt;10,"HIGH_TVW_CV",IF(J145&lt;3,"SHORT_INTERFACE","PASS"))</f>
        <v/>
      </c>
      <c r="Z145" t="inlineStr">
        <is>
          <t>Di1、TVW均值、Di2均来自本Pair_ID；TVW=3–5法线平均</t>
        </is>
      </c>
      <c r="AA145" t="inlineStr">
        <is>
          <t>样品35</t>
        </is>
      </c>
    </row>
    <row r="146">
      <c r="A146" t="inlineStr">
        <is>
          <t>35(3)-P01</t>
        </is>
      </c>
      <c r="B146" t="inlineStr">
        <is>
          <t>35 (3).tif</t>
        </is>
      </c>
      <c r="C146" t="inlineStr">
        <is>
          <t>35(3)-V01</t>
        </is>
      </c>
      <c r="D146">
        <f>导管母表_1781!F1531</f>
        <v/>
      </c>
      <c r="E146">
        <f>导管母表_1781!G1531</f>
        <v/>
      </c>
      <c r="F146" t="inlineStr">
        <is>
          <t>35(3)-V02</t>
        </is>
      </c>
      <c r="G146">
        <f>导管母表_1781!F1532</f>
        <v/>
      </c>
      <c r="H146">
        <f>导管母表_1781!G1532</f>
        <v/>
      </c>
      <c r="I146" t="inlineStr">
        <is>
          <t>J323:J324</t>
        </is>
      </c>
      <c r="J146">
        <f>COUNT(TVW线测量明细!J323:J324)</f>
        <v/>
      </c>
      <c r="K146">
        <f>AVERAGE(TVW线测量明细!J323:J324)</f>
        <v/>
      </c>
      <c r="L146">
        <f>MEDIAN(TVW线测量明细!J323:J324)</f>
        <v/>
      </c>
      <c r="M146">
        <f>IF(J146&gt;1,STDEV(TVW线测量明细!J323:J324),0)</f>
        <v/>
      </c>
      <c r="N146">
        <f>IF(K146=0,"",M146/K146*100)</f>
        <v/>
      </c>
      <c r="O146" t="n">
        <v>3.051232358177869</v>
      </c>
      <c r="P146">
        <f>IF(O146=0,"",(K146/O146-1)*100)</f>
        <v/>
      </c>
      <c r="Q146">
        <f>(K146/E146)^2</f>
        <v/>
      </c>
      <c r="R146">
        <f>(K146/H146)^2</f>
        <v/>
      </c>
      <c r="S146">
        <f>AVERAGE(Q146,R146)</f>
        <v/>
      </c>
      <c r="T146">
        <f>AVERAGE((O146/E146)^2,(O146/H146)^2)</f>
        <v/>
      </c>
      <c r="U146">
        <f>IF(T146=0,"",(S146/T146-1)*100)</f>
        <v/>
      </c>
      <c r="V146">
        <f>AVERAGE((L146/E146)^2,(L146/H146)^2)</f>
        <v/>
      </c>
      <c r="W146">
        <f>IF(ABS(E146-汇总!B25)&lt;=ABS(H146-汇总!B25),E146,H146)</f>
        <v/>
      </c>
      <c r="X146">
        <f>(K146/W146)^2</f>
        <v/>
      </c>
      <c r="Y146">
        <f>IF(N146&gt;10,"HIGH_TVW_CV",IF(J146&lt;3,"SHORT_INTERFACE","PASS"))</f>
        <v/>
      </c>
      <c r="Z146" t="inlineStr">
        <is>
          <t>Di1、TVW均值、Di2均来自本Pair_ID；TVW=3–5法线平均</t>
        </is>
      </c>
      <c r="AA146" t="inlineStr">
        <is>
          <t>样品35</t>
        </is>
      </c>
    </row>
    <row r="147">
      <c r="A147" t="inlineStr">
        <is>
          <t>35(4)-P01</t>
        </is>
      </c>
      <c r="B147" t="inlineStr">
        <is>
          <t>35 (4).tif</t>
        </is>
      </c>
      <c r="C147" t="inlineStr">
        <is>
          <t>35(4)-V01</t>
        </is>
      </c>
      <c r="D147">
        <f>导管母表_1781!F1539</f>
        <v/>
      </c>
      <c r="E147">
        <f>导管母表_1781!G1539</f>
        <v/>
      </c>
      <c r="F147" t="inlineStr">
        <is>
          <t>35(4)-V02</t>
        </is>
      </c>
      <c r="G147">
        <f>导管母表_1781!F1540</f>
        <v/>
      </c>
      <c r="H147">
        <f>导管母表_1781!G1540</f>
        <v/>
      </c>
      <c r="I147" t="inlineStr">
        <is>
          <t>J325:J326</t>
        </is>
      </c>
      <c r="J147">
        <f>COUNT(TVW线测量明细!J325:J326)</f>
        <v/>
      </c>
      <c r="K147">
        <f>AVERAGE(TVW线测量明细!J325:J326)</f>
        <v/>
      </c>
      <c r="L147">
        <f>MEDIAN(TVW线测量明细!J325:J326)</f>
        <v/>
      </c>
      <c r="M147">
        <f>IF(J147&gt;1,STDEV(TVW线测量明细!J325:J326),0)</f>
        <v/>
      </c>
      <c r="N147">
        <f>IF(K147=0,"",M147/K147*100)</f>
        <v/>
      </c>
      <c r="O147" t="n">
        <v>8.203461853962263</v>
      </c>
      <c r="P147">
        <f>IF(O147=0,"",(K147/O147-1)*100)</f>
        <v/>
      </c>
      <c r="Q147">
        <f>(K147/E147)^2</f>
        <v/>
      </c>
      <c r="R147">
        <f>(K147/H147)^2</f>
        <v/>
      </c>
      <c r="S147">
        <f>AVERAGE(Q147,R147)</f>
        <v/>
      </c>
      <c r="T147">
        <f>AVERAGE((O147/E147)^2,(O147/H147)^2)</f>
        <v/>
      </c>
      <c r="U147">
        <f>IF(T147=0,"",(S147/T147-1)*100)</f>
        <v/>
      </c>
      <c r="V147">
        <f>AVERAGE((L147/E147)^2,(L147/H147)^2)</f>
        <v/>
      </c>
      <c r="W147">
        <f>IF(ABS(E147-汇总!B25)&lt;=ABS(H147-汇总!B25),E147,H147)</f>
        <v/>
      </c>
      <c r="X147">
        <f>(K147/W147)^2</f>
        <v/>
      </c>
      <c r="Y147">
        <f>IF(N147&gt;10,"HIGH_TVW_CV",IF(J147&lt;3,"SHORT_INTERFACE","PASS"))</f>
        <v/>
      </c>
      <c r="Z147" t="inlineStr">
        <is>
          <t>Di1、TVW均值、Di2均来自本Pair_ID；TVW=3–5法线平均</t>
        </is>
      </c>
      <c r="AA147" t="inlineStr">
        <is>
          <t>样品35</t>
        </is>
      </c>
    </row>
    <row r="148">
      <c r="A148" t="inlineStr">
        <is>
          <t>35(6)-P01</t>
        </is>
      </c>
      <c r="B148" t="inlineStr">
        <is>
          <t>35 (6).tif</t>
        </is>
      </c>
      <c r="C148" t="inlineStr">
        <is>
          <t>35(6)-V01</t>
        </is>
      </c>
      <c r="D148">
        <f>导管母表_1781!F1549</f>
        <v/>
      </c>
      <c r="E148">
        <f>导管母表_1781!G1549</f>
        <v/>
      </c>
      <c r="F148" t="inlineStr">
        <is>
          <t>35(6)-V03</t>
        </is>
      </c>
      <c r="G148">
        <f>导管母表_1781!F1551</f>
        <v/>
      </c>
      <c r="H148">
        <f>导管母表_1781!G1551</f>
        <v/>
      </c>
      <c r="I148" t="inlineStr">
        <is>
          <t>J327:J328</t>
        </is>
      </c>
      <c r="J148">
        <f>COUNT(TVW线测量明细!J327:J328)</f>
        <v/>
      </c>
      <c r="K148">
        <f>AVERAGE(TVW线测量明细!J327:J328)</f>
        <v/>
      </c>
      <c r="L148">
        <f>MEDIAN(TVW线测量明细!J327:J328)</f>
        <v/>
      </c>
      <c r="M148">
        <f>IF(J148&gt;1,STDEV(TVW线测量明细!J327:J328),0)</f>
        <v/>
      </c>
      <c r="N148">
        <f>IF(K148=0,"",M148/K148*100)</f>
        <v/>
      </c>
      <c r="O148" t="n">
        <v>3.32544750886486</v>
      </c>
      <c r="P148">
        <f>IF(O148=0,"",(K148/O148-1)*100)</f>
        <v/>
      </c>
      <c r="Q148">
        <f>(K148/E148)^2</f>
        <v/>
      </c>
      <c r="R148">
        <f>(K148/H148)^2</f>
        <v/>
      </c>
      <c r="S148">
        <f>AVERAGE(Q148,R148)</f>
        <v/>
      </c>
      <c r="T148">
        <f>AVERAGE((O148/E148)^2,(O148/H148)^2)</f>
        <v/>
      </c>
      <c r="U148">
        <f>IF(T148=0,"",(S148/T148-1)*100)</f>
        <v/>
      </c>
      <c r="V148">
        <f>AVERAGE((L148/E148)^2,(L148/H148)^2)</f>
        <v/>
      </c>
      <c r="W148">
        <f>IF(ABS(E148-汇总!B25)&lt;=ABS(H148-汇总!B25),E148,H148)</f>
        <v/>
      </c>
      <c r="X148">
        <f>(K148/W148)^2</f>
        <v/>
      </c>
      <c r="Y148">
        <f>IF(N148&gt;10,"HIGH_TVW_CV",IF(J148&lt;3,"SHORT_INTERFACE","PASS"))</f>
        <v/>
      </c>
      <c r="Z148" t="inlineStr">
        <is>
          <t>Di1、TVW均值、Di2均来自本Pair_ID；TVW=3–5法线平均</t>
        </is>
      </c>
      <c r="AA148" t="inlineStr">
        <is>
          <t>样品35</t>
        </is>
      </c>
    </row>
    <row r="149">
      <c r="A149" t="inlineStr">
        <is>
          <t>35(7)-P01</t>
        </is>
      </c>
      <c r="B149" t="inlineStr">
        <is>
          <t>35 (7).tif</t>
        </is>
      </c>
      <c r="C149" t="inlineStr">
        <is>
          <t>35(7)-V01</t>
        </is>
      </c>
      <c r="D149">
        <f>导管母表_1781!F1554</f>
        <v/>
      </c>
      <c r="E149">
        <f>导管母表_1781!G1554</f>
        <v/>
      </c>
      <c r="F149" t="inlineStr">
        <is>
          <t>35(7)-V02</t>
        </is>
      </c>
      <c r="G149">
        <f>导管母表_1781!F1555</f>
        <v/>
      </c>
      <c r="H149">
        <f>导管母表_1781!G1555</f>
        <v/>
      </c>
      <c r="I149" t="inlineStr">
        <is>
          <t>J329:J330</t>
        </is>
      </c>
      <c r="J149">
        <f>COUNT(TVW线测量明细!J329:J330)</f>
        <v/>
      </c>
      <c r="K149">
        <f>AVERAGE(TVW线测量明细!J329:J330)</f>
        <v/>
      </c>
      <c r="L149">
        <f>MEDIAN(TVW线测量明细!J329:J330)</f>
        <v/>
      </c>
      <c r="M149">
        <f>IF(J149&gt;1,STDEV(TVW线测量明细!J329:J330),0)</f>
        <v/>
      </c>
      <c r="N149">
        <f>IF(K149=0,"",M149/K149*100)</f>
        <v/>
      </c>
      <c r="O149" t="n">
        <v>2.626749124694472</v>
      </c>
      <c r="P149">
        <f>IF(O149=0,"",(K149/O149-1)*100)</f>
        <v/>
      </c>
      <c r="Q149">
        <f>(K149/E149)^2</f>
        <v/>
      </c>
      <c r="R149">
        <f>(K149/H149)^2</f>
        <v/>
      </c>
      <c r="S149">
        <f>AVERAGE(Q149,R149)</f>
        <v/>
      </c>
      <c r="T149">
        <f>AVERAGE((O149/E149)^2,(O149/H149)^2)</f>
        <v/>
      </c>
      <c r="U149">
        <f>IF(T149=0,"",(S149/T149-1)*100)</f>
        <v/>
      </c>
      <c r="V149">
        <f>AVERAGE((L149/E149)^2,(L149/H149)^2)</f>
        <v/>
      </c>
      <c r="W149">
        <f>IF(ABS(E149-汇总!B25)&lt;=ABS(H149-汇总!B25),E149,H149)</f>
        <v/>
      </c>
      <c r="X149">
        <f>(K149/W149)^2</f>
        <v/>
      </c>
      <c r="Y149">
        <f>IF(N149&gt;10,"HIGH_TVW_CV",IF(J149&lt;3,"SHORT_INTERFACE","PASS"))</f>
        <v/>
      </c>
      <c r="Z149" t="inlineStr">
        <is>
          <t>Di1、TVW均值、Di2均来自本Pair_ID；TVW=3–5法线平均</t>
        </is>
      </c>
      <c r="AA149" t="inlineStr">
        <is>
          <t>样品35</t>
        </is>
      </c>
    </row>
    <row r="150">
      <c r="A150" t="inlineStr">
        <is>
          <t>35(8)-P01</t>
        </is>
      </c>
      <c r="B150" t="inlineStr">
        <is>
          <t>35 (8).tif</t>
        </is>
      </c>
      <c r="C150" t="inlineStr">
        <is>
          <t>35(8)-V01</t>
        </is>
      </c>
      <c r="D150">
        <f>导管母表_1781!F1562</f>
        <v/>
      </c>
      <c r="E150">
        <f>导管母表_1781!G1562</f>
        <v/>
      </c>
      <c r="F150" t="inlineStr">
        <is>
          <t>35(8)-V02</t>
        </is>
      </c>
      <c r="G150">
        <f>导管母表_1781!F1563</f>
        <v/>
      </c>
      <c r="H150">
        <f>导管母表_1781!G1563</f>
        <v/>
      </c>
      <c r="I150" t="inlineStr">
        <is>
          <t>J331:J332</t>
        </is>
      </c>
      <c r="J150">
        <f>COUNT(TVW线测量明细!J331:J332)</f>
        <v/>
      </c>
      <c r="K150">
        <f>AVERAGE(TVW线测量明细!J331:J332)</f>
        <v/>
      </c>
      <c r="L150">
        <f>MEDIAN(TVW线测量明细!J331:J332)</f>
        <v/>
      </c>
      <c r="M150">
        <f>IF(J150&gt;1,STDEV(TVW线测量明细!J331:J332),0)</f>
        <v/>
      </c>
      <c r="N150">
        <f>IF(K150=0,"",M150/K150*100)</f>
        <v/>
      </c>
      <c r="O150" t="n">
        <v>3.268107908341936</v>
      </c>
      <c r="P150">
        <f>IF(O150=0,"",(K150/O150-1)*100)</f>
        <v/>
      </c>
      <c r="Q150">
        <f>(K150/E150)^2</f>
        <v/>
      </c>
      <c r="R150">
        <f>(K150/H150)^2</f>
        <v/>
      </c>
      <c r="S150">
        <f>AVERAGE(Q150,R150)</f>
        <v/>
      </c>
      <c r="T150">
        <f>AVERAGE((O150/E150)^2,(O150/H150)^2)</f>
        <v/>
      </c>
      <c r="U150">
        <f>IF(T150=0,"",(S150/T150-1)*100)</f>
        <v/>
      </c>
      <c r="V150">
        <f>AVERAGE((L150/E150)^2,(L150/H150)^2)</f>
        <v/>
      </c>
      <c r="W150">
        <f>IF(ABS(E150-汇总!B25)&lt;=ABS(H150-汇总!B25),E150,H150)</f>
        <v/>
      </c>
      <c r="X150">
        <f>(K150/W150)^2</f>
        <v/>
      </c>
      <c r="Y150">
        <f>IF(N150&gt;10,"HIGH_TVW_CV",IF(J150&lt;3,"SHORT_INTERFACE","PASS"))</f>
        <v/>
      </c>
      <c r="Z150" t="inlineStr">
        <is>
          <t>Di1、TVW均值、Di2均来自本Pair_ID；TVW=3–5法线平均</t>
        </is>
      </c>
      <c r="AA150" t="inlineStr">
        <is>
          <t>样品35</t>
        </is>
      </c>
    </row>
    <row r="151">
      <c r="A151" t="inlineStr">
        <is>
          <t>36(1)-P01</t>
        </is>
      </c>
      <c r="B151" t="inlineStr">
        <is>
          <t>36 (1).tif</t>
        </is>
      </c>
      <c r="C151" t="inlineStr">
        <is>
          <t>36(1)-V03</t>
        </is>
      </c>
      <c r="D151">
        <f>导管母表_1781!F1567</f>
        <v/>
      </c>
      <c r="E151">
        <f>导管母表_1781!G1567</f>
        <v/>
      </c>
      <c r="F151" t="inlineStr">
        <is>
          <t>36(1)-V04</t>
        </is>
      </c>
      <c r="G151">
        <f>导管母表_1781!F1568</f>
        <v/>
      </c>
      <c r="H151">
        <f>导管母表_1781!G1568</f>
        <v/>
      </c>
      <c r="I151" t="inlineStr">
        <is>
          <t>J333:J335</t>
        </is>
      </c>
      <c r="J151">
        <f>COUNT(TVW线测量明细!J333:J335)</f>
        <v/>
      </c>
      <c r="K151">
        <f>AVERAGE(TVW线测量明细!J333:J335)</f>
        <v/>
      </c>
      <c r="L151">
        <f>MEDIAN(TVW线测量明细!J333:J335)</f>
        <v/>
      </c>
      <c r="M151">
        <f>IF(J151&gt;1,STDEV(TVW线测量明细!J333:J335),0)</f>
        <v/>
      </c>
      <c r="N151">
        <f>IF(K151=0,"",M151/K151*100)</f>
        <v/>
      </c>
      <c r="O151" t="n">
        <v>6.959917649383531</v>
      </c>
      <c r="P151">
        <f>IF(O151=0,"",(K151/O151-1)*100)</f>
        <v/>
      </c>
      <c r="Q151">
        <f>(K151/E151)^2</f>
        <v/>
      </c>
      <c r="R151">
        <f>(K151/H151)^2</f>
        <v/>
      </c>
      <c r="S151">
        <f>AVERAGE(Q151,R151)</f>
        <v/>
      </c>
      <c r="T151">
        <f>AVERAGE((O151/E151)^2,(O151/H151)^2)</f>
        <v/>
      </c>
      <c r="U151">
        <f>IF(T151=0,"",(S151/T151-1)*100)</f>
        <v/>
      </c>
      <c r="V151">
        <f>AVERAGE((L151/E151)^2,(L151/H151)^2)</f>
        <v/>
      </c>
      <c r="W151">
        <f>IF(ABS(E151-汇总!B25)&lt;=ABS(H151-汇总!B25),E151,H151)</f>
        <v/>
      </c>
      <c r="X151">
        <f>(K151/W151)^2</f>
        <v/>
      </c>
      <c r="Y151">
        <f>IF(N151&gt;10,"HIGH_TVW_CV",IF(J151&lt;3,"SHORT_INTERFACE","PASS"))</f>
        <v/>
      </c>
      <c r="Z151" t="inlineStr">
        <is>
          <t>Di1、TVW均值、Di2均来自本Pair_ID；TVW=3–5法线平均</t>
        </is>
      </c>
      <c r="AA151" t="inlineStr">
        <is>
          <t>样品36</t>
        </is>
      </c>
    </row>
    <row r="152">
      <c r="A152" t="inlineStr">
        <is>
          <t>36(2)-P01</t>
        </is>
      </c>
      <c r="B152" t="inlineStr">
        <is>
          <t>36 (2).tif</t>
        </is>
      </c>
      <c r="C152" t="inlineStr">
        <is>
          <t>36(2)-V02</t>
        </is>
      </c>
      <c r="D152">
        <f>导管母表_1781!F1574</f>
        <v/>
      </c>
      <c r="E152">
        <f>导管母表_1781!G1574</f>
        <v/>
      </c>
      <c r="F152" t="inlineStr">
        <is>
          <t>36(2)-V03</t>
        </is>
      </c>
      <c r="G152">
        <f>导管母表_1781!F1575</f>
        <v/>
      </c>
      <c r="H152">
        <f>导管母表_1781!G1575</f>
        <v/>
      </c>
      <c r="I152" t="inlineStr">
        <is>
          <t>J336:J339</t>
        </is>
      </c>
      <c r="J152">
        <f>COUNT(TVW线测量明细!J336:J339)</f>
        <v/>
      </c>
      <c r="K152">
        <f>AVERAGE(TVW线测量明细!J336:J339)</f>
        <v/>
      </c>
      <c r="L152">
        <f>MEDIAN(TVW线测量明细!J336:J339)</f>
        <v/>
      </c>
      <c r="M152">
        <f>IF(J152&gt;1,STDEV(TVW线测量明细!J336:J339),0)</f>
        <v/>
      </c>
      <c r="N152">
        <f>IF(K152=0,"",M152/K152*100)</f>
        <v/>
      </c>
      <c r="O152" t="n">
        <v>7.000540081784616</v>
      </c>
      <c r="P152">
        <f>IF(O152=0,"",(K152/O152-1)*100)</f>
        <v/>
      </c>
      <c r="Q152">
        <f>(K152/E152)^2</f>
        <v/>
      </c>
      <c r="R152">
        <f>(K152/H152)^2</f>
        <v/>
      </c>
      <c r="S152">
        <f>AVERAGE(Q152,R152)</f>
        <v/>
      </c>
      <c r="T152">
        <f>AVERAGE((O152/E152)^2,(O152/H152)^2)</f>
        <v/>
      </c>
      <c r="U152">
        <f>IF(T152=0,"",(S152/T152-1)*100)</f>
        <v/>
      </c>
      <c r="V152">
        <f>AVERAGE((L152/E152)^2,(L152/H152)^2)</f>
        <v/>
      </c>
      <c r="W152">
        <f>IF(ABS(E152-汇总!B25)&lt;=ABS(H152-汇总!B25),E152,H152)</f>
        <v/>
      </c>
      <c r="X152">
        <f>(K152/W152)^2</f>
        <v/>
      </c>
      <c r="Y152">
        <f>IF(N152&gt;10,"HIGH_TVW_CV",IF(J152&lt;3,"SHORT_INTERFACE","PASS"))</f>
        <v/>
      </c>
      <c r="Z152" t="inlineStr">
        <is>
          <t>Di1、TVW均值、Di2均来自本Pair_ID；TVW=3–5法线平均</t>
        </is>
      </c>
      <c r="AA152" t="inlineStr">
        <is>
          <t>样品36</t>
        </is>
      </c>
    </row>
    <row r="153">
      <c r="A153" t="inlineStr">
        <is>
          <t>36(3)-P01</t>
        </is>
      </c>
      <c r="B153" t="inlineStr">
        <is>
          <t>36 (3).tif</t>
        </is>
      </c>
      <c r="C153" t="inlineStr">
        <is>
          <t>36(3)-V01</t>
        </is>
      </c>
      <c r="D153">
        <f>导管母表_1781!F1577</f>
        <v/>
      </c>
      <c r="E153">
        <f>导管母表_1781!G1577</f>
        <v/>
      </c>
      <c r="F153" t="inlineStr">
        <is>
          <t>36(3)-V05</t>
        </is>
      </c>
      <c r="G153">
        <f>导管母表_1781!F1581</f>
        <v/>
      </c>
      <c r="H153">
        <f>导管母表_1781!G1581</f>
        <v/>
      </c>
      <c r="I153" t="inlineStr">
        <is>
          <t>J340:J342</t>
        </is>
      </c>
      <c r="J153">
        <f>COUNT(TVW线测量明细!J340:J342)</f>
        <v/>
      </c>
      <c r="K153">
        <f>AVERAGE(TVW线测量明细!J340:J342)</f>
        <v/>
      </c>
      <c r="L153">
        <f>MEDIAN(TVW线测量明细!J340:J342)</f>
        <v/>
      </c>
      <c r="M153">
        <f>IF(J153&gt;1,STDEV(TVW线测量明细!J340:J342),0)</f>
        <v/>
      </c>
      <c r="N153">
        <f>IF(K153=0,"",M153/K153*100)</f>
        <v/>
      </c>
      <c r="O153" t="n">
        <v>5.434782608695652</v>
      </c>
      <c r="P153">
        <f>IF(O153=0,"",(K153/O153-1)*100)</f>
        <v/>
      </c>
      <c r="Q153">
        <f>(K153/E153)^2</f>
        <v/>
      </c>
      <c r="R153">
        <f>(K153/H153)^2</f>
        <v/>
      </c>
      <c r="S153">
        <f>AVERAGE(Q153,R153)</f>
        <v/>
      </c>
      <c r="T153">
        <f>AVERAGE((O153/E153)^2,(O153/H153)^2)</f>
        <v/>
      </c>
      <c r="U153">
        <f>IF(T153=0,"",(S153/T153-1)*100)</f>
        <v/>
      </c>
      <c r="V153">
        <f>AVERAGE((L153/E153)^2,(L153/H153)^2)</f>
        <v/>
      </c>
      <c r="W153">
        <f>IF(ABS(E153-汇总!B25)&lt;=ABS(H153-汇总!B25),E153,H153)</f>
        <v/>
      </c>
      <c r="X153">
        <f>(K153/W153)^2</f>
        <v/>
      </c>
      <c r="Y153">
        <f>IF(N153&gt;10,"HIGH_TVW_CV",IF(J153&lt;3,"SHORT_INTERFACE","PASS"))</f>
        <v/>
      </c>
      <c r="Z153" t="inlineStr">
        <is>
          <t>Di1、TVW均值、Di2均来自本Pair_ID；TVW=3–5法线平均</t>
        </is>
      </c>
      <c r="AA153" t="inlineStr">
        <is>
          <t>样品36</t>
        </is>
      </c>
    </row>
    <row r="154">
      <c r="A154" t="inlineStr">
        <is>
          <t>36(5)-P01</t>
        </is>
      </c>
      <c r="B154" t="inlineStr">
        <is>
          <t>36 (5).tif</t>
        </is>
      </c>
      <c r="C154" t="inlineStr">
        <is>
          <t>36(5)-V01</t>
        </is>
      </c>
      <c r="D154">
        <f>导管母表_1781!F1588</f>
        <v/>
      </c>
      <c r="E154">
        <f>导管母表_1781!G1588</f>
        <v/>
      </c>
      <c r="F154" t="inlineStr">
        <is>
          <t>36(5)-V02</t>
        </is>
      </c>
      <c r="G154">
        <f>导管母表_1781!F1589</f>
        <v/>
      </c>
      <c r="H154">
        <f>导管母表_1781!G1589</f>
        <v/>
      </c>
      <c r="I154" t="inlineStr">
        <is>
          <t>J343:J344</t>
        </is>
      </c>
      <c r="J154">
        <f>COUNT(TVW线测量明细!J343:J344)</f>
        <v/>
      </c>
      <c r="K154">
        <f>AVERAGE(TVW线测量明细!J343:J344)</f>
        <v/>
      </c>
      <c r="L154">
        <f>MEDIAN(TVW线测量明细!J343:J344)</f>
        <v/>
      </c>
      <c r="M154">
        <f>IF(J154&gt;1,STDEV(TVW线测量明细!J343:J344),0)</f>
        <v/>
      </c>
      <c r="N154">
        <f>IF(K154=0,"",M154/K154*100)</f>
        <v/>
      </c>
      <c r="O154" t="n">
        <v>7.200215287686607</v>
      </c>
      <c r="P154">
        <f>IF(O154=0,"",(K154/O154-1)*100)</f>
        <v/>
      </c>
      <c r="Q154">
        <f>(K154/E154)^2</f>
        <v/>
      </c>
      <c r="R154">
        <f>(K154/H154)^2</f>
        <v/>
      </c>
      <c r="S154">
        <f>AVERAGE(Q154,R154)</f>
        <v/>
      </c>
      <c r="T154">
        <f>AVERAGE((O154/E154)^2,(O154/H154)^2)</f>
        <v/>
      </c>
      <c r="U154">
        <f>IF(T154=0,"",(S154/T154-1)*100)</f>
        <v/>
      </c>
      <c r="V154">
        <f>AVERAGE((L154/E154)^2,(L154/H154)^2)</f>
        <v/>
      </c>
      <c r="W154">
        <f>IF(ABS(E154-汇总!B25)&lt;=ABS(H154-汇总!B25),E154,H154)</f>
        <v/>
      </c>
      <c r="X154">
        <f>(K154/W154)^2</f>
        <v/>
      </c>
      <c r="Y154">
        <f>IF(N154&gt;10,"HIGH_TVW_CV",IF(J154&lt;3,"SHORT_INTERFACE","PASS"))</f>
        <v/>
      </c>
      <c r="Z154" t="inlineStr">
        <is>
          <t>Di1、TVW均值、Di2均来自本Pair_ID；TVW=3–5法线平均</t>
        </is>
      </c>
      <c r="AA154" t="inlineStr">
        <is>
          <t>样品36</t>
        </is>
      </c>
    </row>
    <row r="155">
      <c r="A155" t="inlineStr">
        <is>
          <t>36(8)-P01</t>
        </is>
      </c>
      <c r="B155" t="inlineStr">
        <is>
          <t>36 (8).tif</t>
        </is>
      </c>
      <c r="C155" t="inlineStr">
        <is>
          <t>36(8)-V02</t>
        </is>
      </c>
      <c r="D155">
        <f>导管母表_1781!F1602</f>
        <v/>
      </c>
      <c r="E155">
        <f>导管母表_1781!G1602</f>
        <v/>
      </c>
      <c r="F155" t="inlineStr">
        <is>
          <t>36(8)-V03</t>
        </is>
      </c>
      <c r="G155">
        <f>导管母表_1781!F1603</f>
        <v/>
      </c>
      <c r="H155">
        <f>导管母表_1781!G1603</f>
        <v/>
      </c>
      <c r="I155" t="inlineStr">
        <is>
          <t>J345:J346</t>
        </is>
      </c>
      <c r="J155">
        <f>COUNT(TVW线测量明细!J345:J346)</f>
        <v/>
      </c>
      <c r="K155">
        <f>AVERAGE(TVW线测量明细!J345:J346)</f>
        <v/>
      </c>
      <c r="L155">
        <f>MEDIAN(TVW线测量明细!J345:J346)</f>
        <v/>
      </c>
      <c r="M155">
        <f>IF(J155&gt;1,STDEV(TVW线测量明细!J345:J346),0)</f>
        <v/>
      </c>
      <c r="N155">
        <f>IF(K155=0,"",M155/K155*100)</f>
        <v/>
      </c>
      <c r="O155" t="n">
        <v>5.499613322031964</v>
      </c>
      <c r="P155">
        <f>IF(O155=0,"",(K155/O155-1)*100)</f>
        <v/>
      </c>
      <c r="Q155">
        <f>(K155/E155)^2</f>
        <v/>
      </c>
      <c r="R155">
        <f>(K155/H155)^2</f>
        <v/>
      </c>
      <c r="S155">
        <f>AVERAGE(Q155,R155)</f>
        <v/>
      </c>
      <c r="T155">
        <f>AVERAGE((O155/E155)^2,(O155/H155)^2)</f>
        <v/>
      </c>
      <c r="U155">
        <f>IF(T155=0,"",(S155/T155-1)*100)</f>
        <v/>
      </c>
      <c r="V155">
        <f>AVERAGE((L155/E155)^2,(L155/H155)^2)</f>
        <v/>
      </c>
      <c r="W155">
        <f>IF(ABS(E155-汇总!B25)&lt;=ABS(H155-汇总!B25),E155,H155)</f>
        <v/>
      </c>
      <c r="X155">
        <f>(K155/W155)^2</f>
        <v/>
      </c>
      <c r="Y155">
        <f>IF(N155&gt;10,"HIGH_TVW_CV",IF(J155&lt;3,"SHORT_INTERFACE","PASS"))</f>
        <v/>
      </c>
      <c r="Z155" t="inlineStr">
        <is>
          <t>Di1、TVW均值、Di2均来自本Pair_ID；TVW=3–5法线平均</t>
        </is>
      </c>
      <c r="AA155" t="inlineStr">
        <is>
          <t>样品36</t>
        </is>
      </c>
    </row>
    <row r="156">
      <c r="A156" t="inlineStr">
        <is>
          <t>37(4)-P01</t>
        </is>
      </c>
      <c r="B156" t="inlineStr">
        <is>
          <t>37 (4).tif</t>
        </is>
      </c>
      <c r="C156" t="inlineStr">
        <is>
          <t>37(4)-V01</t>
        </is>
      </c>
      <c r="D156">
        <f>导管母表_1781!F1624</f>
        <v/>
      </c>
      <c r="E156">
        <f>导管母表_1781!G1624</f>
        <v/>
      </c>
      <c r="F156" t="inlineStr">
        <is>
          <t>37(4)-V02</t>
        </is>
      </c>
      <c r="G156">
        <f>导管母表_1781!F1625</f>
        <v/>
      </c>
      <c r="H156">
        <f>导管母表_1781!G1625</f>
        <v/>
      </c>
      <c r="I156" t="inlineStr">
        <is>
          <t>J347:J347</t>
        </is>
      </c>
      <c r="J156">
        <f>COUNT(TVW线测量明细!J347:J347)</f>
        <v/>
      </c>
      <c r="K156">
        <f>AVERAGE(TVW线测量明细!J347:J347)</f>
        <v/>
      </c>
      <c r="L156">
        <f>MEDIAN(TVW线测量明细!J347:J347)</f>
        <v/>
      </c>
      <c r="M156">
        <f>IF(J156&gt;1,STDEV(TVW线测量明细!J347:J347),0)</f>
        <v/>
      </c>
      <c r="N156">
        <f>IF(K156=0,"",M156/K156*100)</f>
        <v/>
      </c>
      <c r="O156" t="n">
        <v>4.481636549584413</v>
      </c>
      <c r="P156">
        <f>IF(O156=0,"",(K156/O156-1)*100)</f>
        <v/>
      </c>
      <c r="Q156">
        <f>(K156/E156)^2</f>
        <v/>
      </c>
      <c r="R156">
        <f>(K156/H156)^2</f>
        <v/>
      </c>
      <c r="S156">
        <f>AVERAGE(Q156,R156)</f>
        <v/>
      </c>
      <c r="T156">
        <f>AVERAGE((O156/E156)^2,(O156/H156)^2)</f>
        <v/>
      </c>
      <c r="U156">
        <f>IF(T156=0,"",(S156/T156-1)*100)</f>
        <v/>
      </c>
      <c r="V156">
        <f>AVERAGE((L156/E156)^2,(L156/H156)^2)</f>
        <v/>
      </c>
      <c r="W156">
        <f>IF(ABS(E156-汇总!B25)&lt;=ABS(H156-汇总!B25),E156,H156)</f>
        <v/>
      </c>
      <c r="X156">
        <f>(K156/W156)^2</f>
        <v/>
      </c>
      <c r="Y156">
        <f>IF(N156&gt;10,"HIGH_TVW_CV",IF(J156&lt;3,"SHORT_INTERFACE","PASS"))</f>
        <v/>
      </c>
      <c r="Z156" t="inlineStr">
        <is>
          <t>Di1、TVW均值、Di2均来自本Pair_ID；TVW=3–5法线平均</t>
        </is>
      </c>
      <c r="AA156" t="inlineStr">
        <is>
          <t>样品37</t>
        </is>
      </c>
    </row>
    <row r="157">
      <c r="A157" t="inlineStr">
        <is>
          <t>37(6)-P01</t>
        </is>
      </c>
      <c r="B157" t="inlineStr">
        <is>
          <t>37 (6).tif</t>
        </is>
      </c>
      <c r="C157" t="inlineStr">
        <is>
          <t>37(6)-V02</t>
        </is>
      </c>
      <c r="D157">
        <f>导管母表_1781!F1633</f>
        <v/>
      </c>
      <c r="E157">
        <f>导管母表_1781!G1633</f>
        <v/>
      </c>
      <c r="F157" t="inlineStr">
        <is>
          <t>37(6)-V03</t>
        </is>
      </c>
      <c r="G157">
        <f>导管母表_1781!F1634</f>
        <v/>
      </c>
      <c r="H157">
        <f>导管母表_1781!G1634</f>
        <v/>
      </c>
      <c r="I157" t="inlineStr">
        <is>
          <t>J348:J349</t>
        </is>
      </c>
      <c r="J157">
        <f>COUNT(TVW线测量明细!J348:J349)</f>
        <v/>
      </c>
      <c r="K157">
        <f>AVERAGE(TVW线测量明细!J348:J349)</f>
        <v/>
      </c>
      <c r="L157">
        <f>MEDIAN(TVW线测量明细!J348:J349)</f>
        <v/>
      </c>
      <c r="M157">
        <f>IF(J157&gt;1,STDEV(TVW线测量明细!J348:J349),0)</f>
        <v/>
      </c>
      <c r="N157">
        <f>IF(K157=0,"",M157/K157*100)</f>
        <v/>
      </c>
      <c r="O157" t="n">
        <v>3.505329455781978</v>
      </c>
      <c r="P157">
        <f>IF(O157=0,"",(K157/O157-1)*100)</f>
        <v/>
      </c>
      <c r="Q157">
        <f>(K157/E157)^2</f>
        <v/>
      </c>
      <c r="R157">
        <f>(K157/H157)^2</f>
        <v/>
      </c>
      <c r="S157">
        <f>AVERAGE(Q157,R157)</f>
        <v/>
      </c>
      <c r="T157">
        <f>AVERAGE((O157/E157)^2,(O157/H157)^2)</f>
        <v/>
      </c>
      <c r="U157">
        <f>IF(T157=0,"",(S157/T157-1)*100)</f>
        <v/>
      </c>
      <c r="V157">
        <f>AVERAGE((L157/E157)^2,(L157/H157)^2)</f>
        <v/>
      </c>
      <c r="W157">
        <f>IF(ABS(E157-汇总!B25)&lt;=ABS(H157-汇总!B25),E157,H157)</f>
        <v/>
      </c>
      <c r="X157">
        <f>(K157/W157)^2</f>
        <v/>
      </c>
      <c r="Y157">
        <f>IF(N157&gt;10,"HIGH_TVW_CV",IF(J157&lt;3,"SHORT_INTERFACE","PASS"))</f>
        <v/>
      </c>
      <c r="Z157" t="inlineStr">
        <is>
          <t>Di1、TVW均值、Di2均来自本Pair_ID；TVW=3–5法线平均</t>
        </is>
      </c>
      <c r="AA157" t="inlineStr">
        <is>
          <t>样品37</t>
        </is>
      </c>
    </row>
    <row r="158">
      <c r="A158" t="inlineStr">
        <is>
          <t>37(7)-P01</t>
        </is>
      </c>
      <c r="B158" t="inlineStr">
        <is>
          <t>37 (7).tif</t>
        </is>
      </c>
      <c r="C158" t="inlineStr">
        <is>
          <t>37(7)-V01</t>
        </is>
      </c>
      <c r="D158">
        <f>导管母表_1781!F1638</f>
        <v/>
      </c>
      <c r="E158">
        <f>导管母表_1781!G1638</f>
        <v/>
      </c>
      <c r="F158" t="inlineStr">
        <is>
          <t>37(7)-V02</t>
        </is>
      </c>
      <c r="G158">
        <f>导管母表_1781!F1639</f>
        <v/>
      </c>
      <c r="H158">
        <f>导管母表_1781!G1639</f>
        <v/>
      </c>
      <c r="I158" t="inlineStr">
        <is>
          <t>J350:J352</t>
        </is>
      </c>
      <c r="J158">
        <f>COUNT(TVW线测量明细!J350:J352)</f>
        <v/>
      </c>
      <c r="K158">
        <f>AVERAGE(TVW线测量明细!J350:J352)</f>
        <v/>
      </c>
      <c r="L158">
        <f>MEDIAN(TVW线测量明细!J350:J352)</f>
        <v/>
      </c>
      <c r="M158">
        <f>IF(J158&gt;1,STDEV(TVW线测量明细!J350:J352),0)</f>
        <v/>
      </c>
      <c r="N158">
        <f>IF(K158=0,"",M158/K158*100)</f>
        <v/>
      </c>
      <c r="O158" t="n">
        <v>6.791521457310134</v>
      </c>
      <c r="P158">
        <f>IF(O158=0,"",(K158/O158-1)*100)</f>
        <v/>
      </c>
      <c r="Q158">
        <f>(K158/E158)^2</f>
        <v/>
      </c>
      <c r="R158">
        <f>(K158/H158)^2</f>
        <v/>
      </c>
      <c r="S158">
        <f>AVERAGE(Q158,R158)</f>
        <v/>
      </c>
      <c r="T158">
        <f>AVERAGE((O158/E158)^2,(O158/H158)^2)</f>
        <v/>
      </c>
      <c r="U158">
        <f>IF(T158=0,"",(S158/T158-1)*100)</f>
        <v/>
      </c>
      <c r="V158">
        <f>AVERAGE((L158/E158)^2,(L158/H158)^2)</f>
        <v/>
      </c>
      <c r="W158">
        <f>IF(ABS(E158-汇总!B25)&lt;=ABS(H158-汇总!B25),E158,H158)</f>
        <v/>
      </c>
      <c r="X158">
        <f>(K158/W158)^2</f>
        <v/>
      </c>
      <c r="Y158">
        <f>IF(N158&gt;10,"HIGH_TVW_CV",IF(J158&lt;3,"SHORT_INTERFACE","PASS"))</f>
        <v/>
      </c>
      <c r="Z158" t="inlineStr">
        <is>
          <t>Di1、TVW均值、Di2均来自本Pair_ID；TVW=3–5法线平均</t>
        </is>
      </c>
      <c r="AA158" t="inlineStr">
        <is>
          <t>样品37</t>
        </is>
      </c>
    </row>
    <row r="159">
      <c r="A159" t="inlineStr">
        <is>
          <t>37(8)-P01</t>
        </is>
      </c>
      <c r="B159" t="inlineStr">
        <is>
          <t>37 (8).tif</t>
        </is>
      </c>
      <c r="C159" t="inlineStr">
        <is>
          <t>37(8)-V01</t>
        </is>
      </c>
      <c r="D159">
        <f>导管母表_1781!F1642</f>
        <v/>
      </c>
      <c r="E159">
        <f>导管母表_1781!G1642</f>
        <v/>
      </c>
      <c r="F159" t="inlineStr">
        <is>
          <t>37(8)-V02</t>
        </is>
      </c>
      <c r="G159">
        <f>导管母表_1781!F1643</f>
        <v/>
      </c>
      <c r="H159">
        <f>导管母表_1781!G1643</f>
        <v/>
      </c>
      <c r="I159" t="inlineStr">
        <is>
          <t>J353:J353</t>
        </is>
      </c>
      <c r="J159">
        <f>COUNT(TVW线测量明细!J353:J353)</f>
        <v/>
      </c>
      <c r="K159">
        <f>AVERAGE(TVW线测量明细!J353:J353)</f>
        <v/>
      </c>
      <c r="L159">
        <f>MEDIAN(TVW线测量明细!J353:J353)</f>
        <v/>
      </c>
      <c r="M159">
        <f>IF(J159&gt;1,STDEV(TVW线测量明细!J353:J353),0)</f>
        <v/>
      </c>
      <c r="N159">
        <f>IF(K159=0,"",M159/K159*100)</f>
        <v/>
      </c>
      <c r="O159" t="n">
        <v>2.391304347826087</v>
      </c>
      <c r="P159">
        <f>IF(O159=0,"",(K159/O159-1)*100)</f>
        <v/>
      </c>
      <c r="Q159">
        <f>(K159/E159)^2</f>
        <v/>
      </c>
      <c r="R159">
        <f>(K159/H159)^2</f>
        <v/>
      </c>
      <c r="S159">
        <f>AVERAGE(Q159,R159)</f>
        <v/>
      </c>
      <c r="T159">
        <f>AVERAGE((O159/E159)^2,(O159/H159)^2)</f>
        <v/>
      </c>
      <c r="U159">
        <f>IF(T159=0,"",(S159/T159-1)*100)</f>
        <v/>
      </c>
      <c r="V159">
        <f>AVERAGE((L159/E159)^2,(L159/H159)^2)</f>
        <v/>
      </c>
      <c r="W159">
        <f>IF(ABS(E159-汇总!B25)&lt;=ABS(H159-汇总!B25),E159,H159)</f>
        <v/>
      </c>
      <c r="X159">
        <f>(K159/W159)^2</f>
        <v/>
      </c>
      <c r="Y159">
        <f>IF(N159&gt;10,"HIGH_TVW_CV",IF(J159&lt;3,"SHORT_INTERFACE","PASS"))</f>
        <v/>
      </c>
      <c r="Z159" t="inlineStr">
        <is>
          <t>Di1、TVW均值、Di2均来自本Pair_ID；TVW=3–5法线平均</t>
        </is>
      </c>
      <c r="AA159" t="inlineStr">
        <is>
          <t>样品37</t>
        </is>
      </c>
    </row>
    <row r="160">
      <c r="A160" t="inlineStr">
        <is>
          <t>38(1)-P01</t>
        </is>
      </c>
      <c r="B160" t="inlineStr">
        <is>
          <t>38 (1).tif</t>
        </is>
      </c>
      <c r="C160" t="inlineStr">
        <is>
          <t>38(1)-V02</t>
        </is>
      </c>
      <c r="D160">
        <f>导管母表_1781!F1645</f>
        <v/>
      </c>
      <c r="E160">
        <f>导管母表_1781!G1645</f>
        <v/>
      </c>
      <c r="F160" t="inlineStr">
        <is>
          <t>38(1)-V04</t>
        </is>
      </c>
      <c r="G160">
        <f>导管母表_1781!F1647</f>
        <v/>
      </c>
      <c r="H160">
        <f>导管母表_1781!G1647</f>
        <v/>
      </c>
      <c r="I160" t="inlineStr">
        <is>
          <t>J354:J355</t>
        </is>
      </c>
      <c r="J160">
        <f>COUNT(TVW线测量明细!J354:J355)</f>
        <v/>
      </c>
      <c r="K160">
        <f>AVERAGE(TVW线测量明细!J354:J355)</f>
        <v/>
      </c>
      <c r="L160">
        <f>MEDIAN(TVW线测量明细!J354:J355)</f>
        <v/>
      </c>
      <c r="M160">
        <f>IF(J160&gt;1,STDEV(TVW线测量明细!J354:J355),0)</f>
        <v/>
      </c>
      <c r="N160">
        <f>IF(K160=0,"",M160/K160*100)</f>
        <v/>
      </c>
      <c r="O160" t="n">
        <v>3.990773858844743</v>
      </c>
      <c r="P160">
        <f>IF(O160=0,"",(K160/O160-1)*100)</f>
        <v/>
      </c>
      <c r="Q160">
        <f>(K160/E160)^2</f>
        <v/>
      </c>
      <c r="R160">
        <f>(K160/H160)^2</f>
        <v/>
      </c>
      <c r="S160">
        <f>AVERAGE(Q160,R160)</f>
        <v/>
      </c>
      <c r="T160">
        <f>AVERAGE((O160/E160)^2,(O160/H160)^2)</f>
        <v/>
      </c>
      <c r="U160">
        <f>IF(T160=0,"",(S160/T160-1)*100)</f>
        <v/>
      </c>
      <c r="V160">
        <f>AVERAGE((L160/E160)^2,(L160/H160)^2)</f>
        <v/>
      </c>
      <c r="W160">
        <f>IF(ABS(E160-汇总!B25)&lt;=ABS(H160-汇总!B25),E160,H160)</f>
        <v/>
      </c>
      <c r="X160">
        <f>(K160/W160)^2</f>
        <v/>
      </c>
      <c r="Y160">
        <f>IF(N160&gt;10,"HIGH_TVW_CV",IF(J160&lt;3,"SHORT_INTERFACE","PASS"))</f>
        <v/>
      </c>
      <c r="Z160" t="inlineStr">
        <is>
          <t>Di1、TVW均值、Di2均来自本Pair_ID；TVW=3–5法线平均</t>
        </is>
      </c>
      <c r="AA160" t="inlineStr">
        <is>
          <t>样品38</t>
        </is>
      </c>
    </row>
    <row r="161">
      <c r="A161" t="inlineStr">
        <is>
          <t>38(3)-P01</t>
        </is>
      </c>
      <c r="B161" t="inlineStr">
        <is>
          <t>38 (3).tif</t>
        </is>
      </c>
      <c r="C161" t="inlineStr">
        <is>
          <t>38(3)-V01</t>
        </is>
      </c>
      <c r="D161">
        <f>导管母表_1781!F1655</f>
        <v/>
      </c>
      <c r="E161">
        <f>导管母表_1781!G1655</f>
        <v/>
      </c>
      <c r="F161" t="inlineStr">
        <is>
          <t>38(3)-V02</t>
        </is>
      </c>
      <c r="G161">
        <f>导管母表_1781!F1656</f>
        <v/>
      </c>
      <c r="H161">
        <f>导管母表_1781!G1656</f>
        <v/>
      </c>
      <c r="I161" t="inlineStr">
        <is>
          <t>J356:J358</t>
        </is>
      </c>
      <c r="J161">
        <f>COUNT(TVW线测量明细!J356:J358)</f>
        <v/>
      </c>
      <c r="K161">
        <f>AVERAGE(TVW线测量明细!J356:J358)</f>
        <v/>
      </c>
      <c r="L161">
        <f>MEDIAN(TVW线测量明细!J356:J358)</f>
        <v/>
      </c>
      <c r="M161">
        <f>IF(J161&gt;1,STDEV(TVW线测量明细!J356:J358),0)</f>
        <v/>
      </c>
      <c r="N161">
        <f>IF(K161=0,"",M161/K161*100)</f>
        <v/>
      </c>
      <c r="O161" t="n">
        <v>2.184755569808889</v>
      </c>
      <c r="P161">
        <f>IF(O161=0,"",(K161/O161-1)*100)</f>
        <v/>
      </c>
      <c r="Q161">
        <f>(K161/E161)^2</f>
        <v/>
      </c>
      <c r="R161">
        <f>(K161/H161)^2</f>
        <v/>
      </c>
      <c r="S161">
        <f>AVERAGE(Q161,R161)</f>
        <v/>
      </c>
      <c r="T161">
        <f>AVERAGE((O161/E161)^2,(O161/H161)^2)</f>
        <v/>
      </c>
      <c r="U161">
        <f>IF(T161=0,"",(S161/T161-1)*100)</f>
        <v/>
      </c>
      <c r="V161">
        <f>AVERAGE((L161/E161)^2,(L161/H161)^2)</f>
        <v/>
      </c>
      <c r="W161">
        <f>IF(ABS(E161-汇总!B25)&lt;=ABS(H161-汇总!B25),E161,H161)</f>
        <v/>
      </c>
      <c r="X161">
        <f>(K161/W161)^2</f>
        <v/>
      </c>
      <c r="Y161">
        <f>IF(N161&gt;10,"HIGH_TVW_CV",IF(J161&lt;3,"SHORT_INTERFACE","PASS"))</f>
        <v/>
      </c>
      <c r="Z161" t="inlineStr">
        <is>
          <t>Di1、TVW均值、Di2均来自本Pair_ID；TVW=3–5法线平均</t>
        </is>
      </c>
      <c r="AA161" t="inlineStr">
        <is>
          <t>样品38</t>
        </is>
      </c>
    </row>
    <row r="162">
      <c r="A162" t="inlineStr">
        <is>
          <t>38(6)-P01</t>
        </is>
      </c>
      <c r="B162" t="inlineStr">
        <is>
          <t>38 (6).tif</t>
        </is>
      </c>
      <c r="C162" t="inlineStr">
        <is>
          <t>38(6)-V01</t>
        </is>
      </c>
      <c r="D162">
        <f>导管母表_1781!F1674</f>
        <v/>
      </c>
      <c r="E162">
        <f>导管母表_1781!G1674</f>
        <v/>
      </c>
      <c r="F162" t="inlineStr">
        <is>
          <t>38(6)-V02</t>
        </is>
      </c>
      <c r="G162">
        <f>导管母表_1781!F1675</f>
        <v/>
      </c>
      <c r="H162">
        <f>导管母表_1781!G1675</f>
        <v/>
      </c>
      <c r="I162" t="inlineStr">
        <is>
          <t>J359:J361</t>
        </is>
      </c>
      <c r="J162">
        <f>COUNT(TVW线测量明细!J359:J361)</f>
        <v/>
      </c>
      <c r="K162">
        <f>AVERAGE(TVW线测量明细!J359:J361)</f>
        <v/>
      </c>
      <c r="L162">
        <f>MEDIAN(TVW线测量明细!J359:J361)</f>
        <v/>
      </c>
      <c r="M162">
        <f>IF(J162&gt;1,STDEV(TVW线测量明细!J359:J361),0)</f>
        <v/>
      </c>
      <c r="N162">
        <f>IF(K162=0,"",M162/K162*100)</f>
        <v/>
      </c>
      <c r="O162" t="n">
        <v>1.956521739130435</v>
      </c>
      <c r="P162">
        <f>IF(O162=0,"",(K162/O162-1)*100)</f>
        <v/>
      </c>
      <c r="Q162">
        <f>(K162/E162)^2</f>
        <v/>
      </c>
      <c r="R162">
        <f>(K162/H162)^2</f>
        <v/>
      </c>
      <c r="S162">
        <f>AVERAGE(Q162,R162)</f>
        <v/>
      </c>
      <c r="T162">
        <f>AVERAGE((O162/E162)^2,(O162/H162)^2)</f>
        <v/>
      </c>
      <c r="U162">
        <f>IF(T162=0,"",(S162/T162-1)*100)</f>
        <v/>
      </c>
      <c r="V162">
        <f>AVERAGE((L162/E162)^2,(L162/H162)^2)</f>
        <v/>
      </c>
      <c r="W162">
        <f>IF(ABS(E162-汇总!B25)&lt;=ABS(H162-汇总!B25),E162,H162)</f>
        <v/>
      </c>
      <c r="X162">
        <f>(K162/W162)^2</f>
        <v/>
      </c>
      <c r="Y162">
        <f>IF(N162&gt;10,"HIGH_TVW_CV",IF(J162&lt;3,"SHORT_INTERFACE","PASS"))</f>
        <v/>
      </c>
      <c r="Z162" t="inlineStr">
        <is>
          <t>Di1、TVW均值、Di2均来自本Pair_ID；TVW=3–5法线平均</t>
        </is>
      </c>
      <c r="AA162" t="inlineStr">
        <is>
          <t>样品38</t>
        </is>
      </c>
    </row>
    <row r="163">
      <c r="A163" t="inlineStr">
        <is>
          <t>39(2)-P01</t>
        </is>
      </c>
      <c r="B163" t="inlineStr">
        <is>
          <t>39 (2).tif</t>
        </is>
      </c>
      <c r="C163" t="inlineStr">
        <is>
          <t>39(2)-V01</t>
        </is>
      </c>
      <c r="D163">
        <f>导管母表_1781!F1700</f>
        <v/>
      </c>
      <c r="E163">
        <f>导管母表_1781!G1700</f>
        <v/>
      </c>
      <c r="F163" t="inlineStr">
        <is>
          <t>39(2)-V02</t>
        </is>
      </c>
      <c r="G163">
        <f>导管母表_1781!F1701</f>
        <v/>
      </c>
      <c r="H163">
        <f>导管母表_1781!G1701</f>
        <v/>
      </c>
      <c r="I163" t="inlineStr">
        <is>
          <t>J362:J364</t>
        </is>
      </c>
      <c r="J163">
        <f>COUNT(TVW线测量明细!J362:J364)</f>
        <v/>
      </c>
      <c r="K163">
        <f>AVERAGE(TVW线测量明细!J362:J364)</f>
        <v/>
      </c>
      <c r="L163">
        <f>MEDIAN(TVW线测量明细!J362:J364)</f>
        <v/>
      </c>
      <c r="M163">
        <f>IF(J163&gt;1,STDEV(TVW线测量明细!J362:J364),0)</f>
        <v/>
      </c>
      <c r="N163">
        <f>IF(K163=0,"",M163/K163*100)</f>
        <v/>
      </c>
      <c r="O163" t="n">
        <v>4.287626722460004</v>
      </c>
      <c r="P163">
        <f>IF(O163=0,"",(K163/O163-1)*100)</f>
        <v/>
      </c>
      <c r="Q163">
        <f>(K163/E163)^2</f>
        <v/>
      </c>
      <c r="R163">
        <f>(K163/H163)^2</f>
        <v/>
      </c>
      <c r="S163">
        <f>AVERAGE(Q163,R163)</f>
        <v/>
      </c>
      <c r="T163">
        <f>AVERAGE((O163/E163)^2,(O163/H163)^2)</f>
        <v/>
      </c>
      <c r="U163">
        <f>IF(T163=0,"",(S163/T163-1)*100)</f>
        <v/>
      </c>
      <c r="V163">
        <f>AVERAGE((L163/E163)^2,(L163/H163)^2)</f>
        <v/>
      </c>
      <c r="W163">
        <f>IF(ABS(E163-汇总!B25)&lt;=ABS(H163-汇总!B25),E163,H163)</f>
        <v/>
      </c>
      <c r="X163">
        <f>(K163/W163)^2</f>
        <v/>
      </c>
      <c r="Y163">
        <f>IF(N163&gt;10,"HIGH_TVW_CV",IF(J163&lt;3,"SHORT_INTERFACE","PASS"))</f>
        <v/>
      </c>
      <c r="Z163" t="inlineStr">
        <is>
          <t>Di1、TVW均值、Di2均来自本Pair_ID；TVW=3–5法线平均</t>
        </is>
      </c>
      <c r="AA163" t="inlineStr">
        <is>
          <t>样品39</t>
        </is>
      </c>
    </row>
    <row r="164">
      <c r="A164" t="inlineStr">
        <is>
          <t>39(4)-P01</t>
        </is>
      </c>
      <c r="B164" t="inlineStr">
        <is>
          <t>39 (4).tif</t>
        </is>
      </c>
      <c r="C164" t="inlineStr">
        <is>
          <t>39(4)-V02</t>
        </is>
      </c>
      <c r="D164">
        <f>导管母表_1781!F1710</f>
        <v/>
      </c>
      <c r="E164">
        <f>导管母表_1781!G1710</f>
        <v/>
      </c>
      <c r="F164" t="inlineStr">
        <is>
          <t>39(4)-V03</t>
        </is>
      </c>
      <c r="G164">
        <f>导管母表_1781!F1711</f>
        <v/>
      </c>
      <c r="H164">
        <f>导管母表_1781!G1711</f>
        <v/>
      </c>
      <c r="I164" t="inlineStr">
        <is>
          <t>J365:J367</t>
        </is>
      </c>
      <c r="J164">
        <f>COUNT(TVW线测量明细!J365:J367)</f>
        <v/>
      </c>
      <c r="K164">
        <f>AVERAGE(TVW线测量明细!J365:J367)</f>
        <v/>
      </c>
      <c r="L164">
        <f>MEDIAN(TVW线测量明细!J365:J367)</f>
        <v/>
      </c>
      <c r="M164">
        <f>IF(J164&gt;1,STDEV(TVW线测量明细!J365:J367),0)</f>
        <v/>
      </c>
      <c r="N164">
        <f>IF(K164=0,"",M164/K164*100)</f>
        <v/>
      </c>
      <c r="O164" t="n">
        <v>10.33466462956932</v>
      </c>
      <c r="P164">
        <f>IF(O164=0,"",(K164/O164-1)*100)</f>
        <v/>
      </c>
      <c r="Q164">
        <f>(K164/E164)^2</f>
        <v/>
      </c>
      <c r="R164">
        <f>(K164/H164)^2</f>
        <v/>
      </c>
      <c r="S164">
        <f>AVERAGE(Q164,R164)</f>
        <v/>
      </c>
      <c r="T164">
        <f>AVERAGE((O164/E164)^2,(O164/H164)^2)</f>
        <v/>
      </c>
      <c r="U164">
        <f>IF(T164=0,"",(S164/T164-1)*100)</f>
        <v/>
      </c>
      <c r="V164">
        <f>AVERAGE((L164/E164)^2,(L164/H164)^2)</f>
        <v/>
      </c>
      <c r="W164">
        <f>IF(ABS(E164-汇总!B25)&lt;=ABS(H164-汇总!B25),E164,H164)</f>
        <v/>
      </c>
      <c r="X164">
        <f>(K164/W164)^2</f>
        <v/>
      </c>
      <c r="Y164">
        <f>IF(N164&gt;10,"HIGH_TVW_CV",IF(J164&lt;3,"SHORT_INTERFACE","PASS"))</f>
        <v/>
      </c>
      <c r="Z164" t="inlineStr">
        <is>
          <t>Di1、TVW均值、Di2均来自本Pair_ID；TVW=3–5法线平均</t>
        </is>
      </c>
      <c r="AA164" t="inlineStr">
        <is>
          <t>样品39</t>
        </is>
      </c>
    </row>
    <row r="165">
      <c r="A165" t="inlineStr">
        <is>
          <t>39(7)-P01</t>
        </is>
      </c>
      <c r="B165" t="inlineStr">
        <is>
          <t>39 (7).tif</t>
        </is>
      </c>
      <c r="C165" t="inlineStr">
        <is>
          <t>39(7)-V02</t>
        </is>
      </c>
      <c r="D165">
        <f>导管母表_1781!F1727</f>
        <v/>
      </c>
      <c r="E165">
        <f>导管母表_1781!G1727</f>
        <v/>
      </c>
      <c r="F165" t="inlineStr">
        <is>
          <t>39(7)-V04</t>
        </is>
      </c>
      <c r="G165">
        <f>导管母表_1781!F1729</f>
        <v/>
      </c>
      <c r="H165">
        <f>导管母表_1781!G1729</f>
        <v/>
      </c>
      <c r="I165" t="inlineStr">
        <is>
          <t>J368:J370</t>
        </is>
      </c>
      <c r="J165">
        <f>COUNT(TVW线测量明细!J368:J370)</f>
        <v/>
      </c>
      <c r="K165">
        <f>AVERAGE(TVW线测量明细!J368:J370)</f>
        <v/>
      </c>
      <c r="L165">
        <f>MEDIAN(TVW线测量明细!J368:J370)</f>
        <v/>
      </c>
      <c r="M165">
        <f>IF(J165&gt;1,STDEV(TVW线测量明细!J368:J370),0)</f>
        <v/>
      </c>
      <c r="N165">
        <f>IF(K165=0,"",M165/K165*100)</f>
        <v/>
      </c>
      <c r="O165" t="n">
        <v>6.452531338980795</v>
      </c>
      <c r="P165">
        <f>IF(O165=0,"",(K165/O165-1)*100)</f>
        <v/>
      </c>
      <c r="Q165">
        <f>(K165/E165)^2</f>
        <v/>
      </c>
      <c r="R165">
        <f>(K165/H165)^2</f>
        <v/>
      </c>
      <c r="S165">
        <f>AVERAGE(Q165,R165)</f>
        <v/>
      </c>
      <c r="T165">
        <f>AVERAGE((O165/E165)^2,(O165/H165)^2)</f>
        <v/>
      </c>
      <c r="U165">
        <f>IF(T165=0,"",(S165/T165-1)*100)</f>
        <v/>
      </c>
      <c r="V165">
        <f>AVERAGE((L165/E165)^2,(L165/H165)^2)</f>
        <v/>
      </c>
      <c r="W165">
        <f>IF(ABS(E165-汇总!B25)&lt;=ABS(H165-汇总!B25),E165,H165)</f>
        <v/>
      </c>
      <c r="X165">
        <f>(K165/W165)^2</f>
        <v/>
      </c>
      <c r="Y165">
        <f>IF(N165&gt;10,"HIGH_TVW_CV",IF(J165&lt;3,"SHORT_INTERFACE","PASS"))</f>
        <v/>
      </c>
      <c r="Z165" t="inlineStr">
        <is>
          <t>Di1、TVW均值、Di2均来自本Pair_ID；TVW=3–5法线平均</t>
        </is>
      </c>
      <c r="AA165" t="inlineStr">
        <is>
          <t>样品39</t>
        </is>
      </c>
    </row>
    <row r="166">
      <c r="A166" t="inlineStr">
        <is>
          <t>40(1)-P01</t>
        </is>
      </c>
      <c r="B166" t="inlineStr">
        <is>
          <t>40 (1).tif</t>
        </is>
      </c>
      <c r="C166" t="inlineStr">
        <is>
          <t>40(1)-V01</t>
        </is>
      </c>
      <c r="D166">
        <f>导管母表_1781!F1739</f>
        <v/>
      </c>
      <c r="E166">
        <f>导管母表_1781!G1739</f>
        <v/>
      </c>
      <c r="F166" t="inlineStr">
        <is>
          <t>40(1)-V02</t>
        </is>
      </c>
      <c r="G166">
        <f>导管母表_1781!F1740</f>
        <v/>
      </c>
      <c r="H166">
        <f>导管母表_1781!G1740</f>
        <v/>
      </c>
      <c r="I166" t="inlineStr">
        <is>
          <t>J371:J373</t>
        </is>
      </c>
      <c r="J166">
        <f>COUNT(TVW线测量明细!J371:J373)</f>
        <v/>
      </c>
      <c r="K166">
        <f>AVERAGE(TVW线测量明细!J371:J373)</f>
        <v/>
      </c>
      <c r="L166">
        <f>MEDIAN(TVW线测量明细!J371:J373)</f>
        <v/>
      </c>
      <c r="M166">
        <f>IF(J166&gt;1,STDEV(TVW线测量明细!J371:J373),0)</f>
        <v/>
      </c>
      <c r="N166">
        <f>IF(K166=0,"",M166/K166*100)</f>
        <v/>
      </c>
      <c r="O166" t="n">
        <v>7.913162923130998</v>
      </c>
      <c r="P166">
        <f>IF(O166=0,"",(K166/O166-1)*100)</f>
        <v/>
      </c>
      <c r="Q166">
        <f>(K166/E166)^2</f>
        <v/>
      </c>
      <c r="R166">
        <f>(K166/H166)^2</f>
        <v/>
      </c>
      <c r="S166">
        <f>AVERAGE(Q166,R166)</f>
        <v/>
      </c>
      <c r="T166">
        <f>AVERAGE((O166/E166)^2,(O166/H166)^2)</f>
        <v/>
      </c>
      <c r="U166">
        <f>IF(T166=0,"",(S166/T166-1)*100)</f>
        <v/>
      </c>
      <c r="V166">
        <f>AVERAGE((L166/E166)^2,(L166/H166)^2)</f>
        <v/>
      </c>
      <c r="W166">
        <f>IF(ABS(E166-汇总!B25)&lt;=ABS(H166-汇总!B25),E166,H166)</f>
        <v/>
      </c>
      <c r="X166">
        <f>(K166/W166)^2</f>
        <v/>
      </c>
      <c r="Y166">
        <f>IF(N166&gt;10,"HIGH_TVW_CV",IF(J166&lt;3,"SHORT_INTERFACE","PASS"))</f>
        <v/>
      </c>
      <c r="Z166" t="inlineStr">
        <is>
          <t>Di1、TVW均值、Di2均来自本Pair_ID；TVW=3–5法线平均</t>
        </is>
      </c>
      <c r="AA166" t="inlineStr">
        <is>
          <t>样品40</t>
        </is>
      </c>
    </row>
    <row r="167">
      <c r="A167" t="inlineStr">
        <is>
          <t>40(3)-P01</t>
        </is>
      </c>
      <c r="B167" t="inlineStr">
        <is>
          <t>40 (3).tif</t>
        </is>
      </c>
      <c r="C167" t="inlineStr">
        <is>
          <t>40(3)-V01</t>
        </is>
      </c>
      <c r="D167">
        <f>导管母表_1781!F1748</f>
        <v/>
      </c>
      <c r="E167">
        <f>导管母表_1781!G1748</f>
        <v/>
      </c>
      <c r="F167" t="inlineStr">
        <is>
          <t>40(3)-V02</t>
        </is>
      </c>
      <c r="G167">
        <f>导管母表_1781!F1749</f>
        <v/>
      </c>
      <c r="H167">
        <f>导管母表_1781!G1749</f>
        <v/>
      </c>
      <c r="I167" t="inlineStr">
        <is>
          <t>J374:J375</t>
        </is>
      </c>
      <c r="J167">
        <f>COUNT(TVW线测量明细!J374:J375)</f>
        <v/>
      </c>
      <c r="K167">
        <f>AVERAGE(TVW线测量明细!J374:J375)</f>
        <v/>
      </c>
      <c r="L167">
        <f>MEDIAN(TVW线测量明细!J374:J375)</f>
        <v/>
      </c>
      <c r="M167">
        <f>IF(J167&gt;1,STDEV(TVW线测量明细!J374:J375),0)</f>
        <v/>
      </c>
      <c r="N167">
        <f>IF(K167=0,"",M167/K167*100)</f>
        <v/>
      </c>
      <c r="O167" t="n">
        <v>2.826086956521739</v>
      </c>
      <c r="P167">
        <f>IF(O167=0,"",(K167/O167-1)*100)</f>
        <v/>
      </c>
      <c r="Q167">
        <f>(K167/E167)^2</f>
        <v/>
      </c>
      <c r="R167">
        <f>(K167/H167)^2</f>
        <v/>
      </c>
      <c r="S167">
        <f>AVERAGE(Q167,R167)</f>
        <v/>
      </c>
      <c r="T167">
        <f>AVERAGE((O167/E167)^2,(O167/H167)^2)</f>
        <v/>
      </c>
      <c r="U167">
        <f>IF(T167=0,"",(S167/T167-1)*100)</f>
        <v/>
      </c>
      <c r="V167">
        <f>AVERAGE((L167/E167)^2,(L167/H167)^2)</f>
        <v/>
      </c>
      <c r="W167">
        <f>IF(ABS(E167-汇总!B25)&lt;=ABS(H167-汇总!B25),E167,H167)</f>
        <v/>
      </c>
      <c r="X167">
        <f>(K167/W167)^2</f>
        <v/>
      </c>
      <c r="Y167">
        <f>IF(N167&gt;10,"HIGH_TVW_CV",IF(J167&lt;3,"SHORT_INTERFACE","PASS"))</f>
        <v/>
      </c>
      <c r="Z167" t="inlineStr">
        <is>
          <t>Di1、TVW均值、Di2均来自本Pair_ID；TVW=3–5法线平均</t>
        </is>
      </c>
      <c r="AA167" t="inlineStr">
        <is>
          <t>样品40</t>
        </is>
      </c>
    </row>
    <row r="168">
      <c r="A168" t="inlineStr">
        <is>
          <t>40(4)-P01</t>
        </is>
      </c>
      <c r="B168" t="inlineStr">
        <is>
          <t>40 (4).tif</t>
        </is>
      </c>
      <c r="C168" t="inlineStr">
        <is>
          <t>40(4)-V01</t>
        </is>
      </c>
      <c r="D168">
        <f>导管母表_1781!F1756</f>
        <v/>
      </c>
      <c r="E168">
        <f>导管母表_1781!G1756</f>
        <v/>
      </c>
      <c r="F168" t="inlineStr">
        <is>
          <t>40(4)-V04</t>
        </is>
      </c>
      <c r="G168">
        <f>导管母表_1781!F1759</f>
        <v/>
      </c>
      <c r="H168">
        <f>导管母表_1781!G1759</f>
        <v/>
      </c>
      <c r="I168" t="inlineStr">
        <is>
          <t>J376:J378</t>
        </is>
      </c>
      <c r="J168">
        <f>COUNT(TVW线测量明细!J376:J378)</f>
        <v/>
      </c>
      <c r="K168">
        <f>AVERAGE(TVW线测量明细!J376:J378)</f>
        <v/>
      </c>
      <c r="L168">
        <f>MEDIAN(TVW线测量明细!J376:J378)</f>
        <v/>
      </c>
      <c r="M168">
        <f>IF(J168&gt;1,STDEV(TVW线测量明细!J376:J378),0)</f>
        <v/>
      </c>
      <c r="N168">
        <f>IF(K168=0,"",M168/K168*100)</f>
        <v/>
      </c>
      <c r="O168" t="n">
        <v>9.782608695652174</v>
      </c>
      <c r="P168">
        <f>IF(O168=0,"",(K168/O168-1)*100)</f>
        <v/>
      </c>
      <c r="Q168">
        <f>(K168/E168)^2</f>
        <v/>
      </c>
      <c r="R168">
        <f>(K168/H168)^2</f>
        <v/>
      </c>
      <c r="S168">
        <f>AVERAGE(Q168,R168)</f>
        <v/>
      </c>
      <c r="T168">
        <f>AVERAGE((O168/E168)^2,(O168/H168)^2)</f>
        <v/>
      </c>
      <c r="U168">
        <f>IF(T168=0,"",(S168/T168-1)*100)</f>
        <v/>
      </c>
      <c r="V168">
        <f>AVERAGE((L168/E168)^2,(L168/H168)^2)</f>
        <v/>
      </c>
      <c r="W168">
        <f>IF(ABS(E168-汇总!B25)&lt;=ABS(H168-汇总!B25),E168,H168)</f>
        <v/>
      </c>
      <c r="X168">
        <f>(K168/W168)^2</f>
        <v/>
      </c>
      <c r="Y168">
        <f>IF(N168&gt;10,"HIGH_TVW_CV",IF(J168&lt;3,"SHORT_INTERFACE","PASS"))</f>
        <v/>
      </c>
      <c r="Z168" t="inlineStr">
        <is>
          <t>Di1、TVW均值、Di2均来自本Pair_ID；TVW=3–5法线平均</t>
        </is>
      </c>
      <c r="AA168" t="inlineStr">
        <is>
          <t>样品40</t>
        </is>
      </c>
    </row>
    <row r="169">
      <c r="A169" t="inlineStr">
        <is>
          <t>40(5)-P01</t>
        </is>
      </c>
      <c r="B169" t="inlineStr">
        <is>
          <t>40 (5).tif</t>
        </is>
      </c>
      <c r="C169" t="inlineStr">
        <is>
          <t>40(5)-V01</t>
        </is>
      </c>
      <c r="D169">
        <f>导管母表_1781!F1762</f>
        <v/>
      </c>
      <c r="E169">
        <f>导管母表_1781!G1762</f>
        <v/>
      </c>
      <c r="F169" t="inlineStr">
        <is>
          <t>40(5)-V03</t>
        </is>
      </c>
      <c r="G169">
        <f>导管母表_1781!F1764</f>
        <v/>
      </c>
      <c r="H169">
        <f>导管母表_1781!G1764</f>
        <v/>
      </c>
      <c r="I169" t="inlineStr">
        <is>
          <t>J379:J380</t>
        </is>
      </c>
      <c r="J169">
        <f>COUNT(TVW线测量明细!J379:J380)</f>
        <v/>
      </c>
      <c r="K169">
        <f>AVERAGE(TVW线测量明细!J379:J380)</f>
        <v/>
      </c>
      <c r="L169">
        <f>MEDIAN(TVW线测量明细!J379:J380)</f>
        <v/>
      </c>
      <c r="M169">
        <f>IF(J169&gt;1,STDEV(TVW线测量明细!J379:J380),0)</f>
        <v/>
      </c>
      <c r="N169">
        <f>IF(K169=0,"",M169/K169*100)</f>
        <v/>
      </c>
      <c r="O169" t="n">
        <v>8.323560747424629</v>
      </c>
      <c r="P169">
        <f>IF(O169=0,"",(K169/O169-1)*100)</f>
        <v/>
      </c>
      <c r="Q169">
        <f>(K169/E169)^2</f>
        <v/>
      </c>
      <c r="R169">
        <f>(K169/H169)^2</f>
        <v/>
      </c>
      <c r="S169">
        <f>AVERAGE(Q169,R169)</f>
        <v/>
      </c>
      <c r="T169">
        <f>AVERAGE((O169/E169)^2,(O169/H169)^2)</f>
        <v/>
      </c>
      <c r="U169">
        <f>IF(T169=0,"",(S169/T169-1)*100)</f>
        <v/>
      </c>
      <c r="V169">
        <f>AVERAGE((L169/E169)^2,(L169/H169)^2)</f>
        <v/>
      </c>
      <c r="W169">
        <f>IF(ABS(E169-汇总!B25)&lt;=ABS(H169-汇总!B25),E169,H169)</f>
        <v/>
      </c>
      <c r="X169">
        <f>(K169/W169)^2</f>
        <v/>
      </c>
      <c r="Y169">
        <f>IF(N169&gt;10,"HIGH_TVW_CV",IF(J169&lt;3,"SHORT_INTERFACE","PASS"))</f>
        <v/>
      </c>
      <c r="Z169" t="inlineStr">
        <is>
          <t>Di1、TVW均值、Di2均来自本Pair_ID；TVW=3–5法线平均</t>
        </is>
      </c>
      <c r="AA169" t="inlineStr">
        <is>
          <t>样品40</t>
        </is>
      </c>
    </row>
    <row r="170">
      <c r="A170" t="inlineStr">
        <is>
          <t>40(6)-P01</t>
        </is>
      </c>
      <c r="B170" t="inlineStr">
        <is>
          <t>40 (6).tif</t>
        </is>
      </c>
      <c r="C170" t="inlineStr">
        <is>
          <t>40(6)-V02</t>
        </is>
      </c>
      <c r="D170">
        <f>导管母表_1781!F1767</f>
        <v/>
      </c>
      <c r="E170">
        <f>导管母表_1781!G1767</f>
        <v/>
      </c>
      <c r="F170" t="inlineStr">
        <is>
          <t>40(6)-V03</t>
        </is>
      </c>
      <c r="G170">
        <f>导管母表_1781!F1768</f>
        <v/>
      </c>
      <c r="H170">
        <f>导管母表_1781!G1768</f>
        <v/>
      </c>
      <c r="I170" t="inlineStr">
        <is>
          <t>J381:J381</t>
        </is>
      </c>
      <c r="J170">
        <f>COUNT(TVW线测量明细!J381:J381)</f>
        <v/>
      </c>
      <c r="K170">
        <f>AVERAGE(TVW线测量明细!J381:J381)</f>
        <v/>
      </c>
      <c r="L170">
        <f>MEDIAN(TVW线测量明细!J381:J381)</f>
        <v/>
      </c>
      <c r="M170">
        <f>IF(J170&gt;1,STDEV(TVW线测量明细!J381:J381),0)</f>
        <v/>
      </c>
      <c r="N170">
        <f>IF(K170=0,"",M170/K170*100)</f>
        <v/>
      </c>
      <c r="O170" t="n">
        <v>5.434782608695652</v>
      </c>
      <c r="P170">
        <f>IF(O170=0,"",(K170/O170-1)*100)</f>
        <v/>
      </c>
      <c r="Q170">
        <f>(K170/E170)^2</f>
        <v/>
      </c>
      <c r="R170">
        <f>(K170/H170)^2</f>
        <v/>
      </c>
      <c r="S170">
        <f>AVERAGE(Q170,R170)</f>
        <v/>
      </c>
      <c r="T170">
        <f>AVERAGE((O170/E170)^2,(O170/H170)^2)</f>
        <v/>
      </c>
      <c r="U170">
        <f>IF(T170=0,"",(S170/T170-1)*100)</f>
        <v/>
      </c>
      <c r="V170">
        <f>AVERAGE((L170/E170)^2,(L170/H170)^2)</f>
        <v/>
      </c>
      <c r="W170">
        <f>IF(ABS(E170-汇总!B25)&lt;=ABS(H170-汇总!B25),E170,H170)</f>
        <v/>
      </c>
      <c r="X170">
        <f>(K170/W170)^2</f>
        <v/>
      </c>
      <c r="Y170">
        <f>IF(N170&gt;10,"HIGH_TVW_CV",IF(J170&lt;3,"SHORT_INTERFACE","PASS"))</f>
        <v/>
      </c>
      <c r="Z170" t="inlineStr">
        <is>
          <t>Di1、TVW均值、Di2均来自本Pair_ID；TVW=3–5法线平均</t>
        </is>
      </c>
      <c r="AA170" t="inlineStr">
        <is>
          <t>样品40</t>
        </is>
      </c>
    </row>
    <row r="171">
      <c r="A171" t="inlineStr">
        <is>
          <t>40(7)-P01</t>
        </is>
      </c>
      <c r="B171" t="inlineStr">
        <is>
          <t>40 (7).tif</t>
        </is>
      </c>
      <c r="C171" t="inlineStr">
        <is>
          <t>40(7)-V01</t>
        </is>
      </c>
      <c r="D171">
        <f>导管母表_1781!F1771</f>
        <v/>
      </c>
      <c r="E171">
        <f>导管母表_1781!G1771</f>
        <v/>
      </c>
      <c r="F171" t="inlineStr">
        <is>
          <t>40(7)-V02</t>
        </is>
      </c>
      <c r="G171">
        <f>导管母表_1781!F1772</f>
        <v/>
      </c>
      <c r="H171">
        <f>导管母表_1781!G1772</f>
        <v/>
      </c>
      <c r="I171" t="inlineStr">
        <is>
          <t>J382:J384</t>
        </is>
      </c>
      <c r="J171">
        <f>COUNT(TVW线测量明细!J382:J384)</f>
        <v/>
      </c>
      <c r="K171">
        <f>AVERAGE(TVW线测量明细!J382:J384)</f>
        <v/>
      </c>
      <c r="L171">
        <f>MEDIAN(TVW线测量明细!J382:J384)</f>
        <v/>
      </c>
      <c r="M171">
        <f>IF(J171&gt;1,STDEV(TVW线测量明细!J382:J384),0)</f>
        <v/>
      </c>
      <c r="N171">
        <f>IF(K171=0,"",M171/K171*100)</f>
        <v/>
      </c>
      <c r="O171" t="n">
        <v>5.873589602654911</v>
      </c>
      <c r="P171">
        <f>IF(O171=0,"",(K171/O171-1)*100)</f>
        <v/>
      </c>
      <c r="Q171">
        <f>(K171/E171)^2</f>
        <v/>
      </c>
      <c r="R171">
        <f>(K171/H171)^2</f>
        <v/>
      </c>
      <c r="S171">
        <f>AVERAGE(Q171,R171)</f>
        <v/>
      </c>
      <c r="T171">
        <f>AVERAGE((O171/E171)^2,(O171/H171)^2)</f>
        <v/>
      </c>
      <c r="U171">
        <f>IF(T171=0,"",(S171/T171-1)*100)</f>
        <v/>
      </c>
      <c r="V171">
        <f>AVERAGE((L171/E171)^2,(L171/H171)^2)</f>
        <v/>
      </c>
      <c r="W171">
        <f>IF(ABS(E171-汇总!B25)&lt;=ABS(H171-汇总!B25),E171,H171)</f>
        <v/>
      </c>
      <c r="X171">
        <f>(K171/W171)^2</f>
        <v/>
      </c>
      <c r="Y171">
        <f>IF(N171&gt;10,"HIGH_TVW_CV",IF(J171&lt;3,"SHORT_INTERFACE","PASS"))</f>
        <v/>
      </c>
      <c r="Z171" t="inlineStr">
        <is>
          <t>Di1、TVW均值、Di2均来自本Pair_ID；TVW=3–5法线平均</t>
        </is>
      </c>
      <c r="AA171" t="inlineStr">
        <is>
          <t>样品40</t>
        </is>
      </c>
    </row>
    <row r="172">
      <c r="A172" t="inlineStr">
        <is>
          <t>40(8)-P01</t>
        </is>
      </c>
      <c r="B172" t="inlineStr">
        <is>
          <t>40 (8).tif</t>
        </is>
      </c>
      <c r="C172" t="inlineStr">
        <is>
          <t>40(8)-V01</t>
        </is>
      </c>
      <c r="D172">
        <f>导管母表_1781!F1776</f>
        <v/>
      </c>
      <c r="E172">
        <f>导管母表_1781!G1776</f>
        <v/>
      </c>
      <c r="F172" t="inlineStr">
        <is>
          <t>40(8)-V03</t>
        </is>
      </c>
      <c r="G172">
        <f>导管母表_1781!F1778</f>
        <v/>
      </c>
      <c r="H172">
        <f>导管母表_1781!G1778</f>
        <v/>
      </c>
      <c r="I172" t="inlineStr">
        <is>
          <t>J385:J387</t>
        </is>
      </c>
      <c r="J172">
        <f>COUNT(TVW线测量明细!J385:J387)</f>
        <v/>
      </c>
      <c r="K172">
        <f>AVERAGE(TVW线测量明细!J385:J387)</f>
        <v/>
      </c>
      <c r="L172">
        <f>MEDIAN(TVW线测量明细!J385:J387)</f>
        <v/>
      </c>
      <c r="M172">
        <f>IF(J172&gt;1,STDEV(TVW线测量明细!J385:J387),0)</f>
        <v/>
      </c>
      <c r="N172">
        <f>IF(K172=0,"",M172/K172*100)</f>
        <v/>
      </c>
      <c r="O172" t="n">
        <v>5.452146175645415</v>
      </c>
      <c r="P172">
        <f>IF(O172=0,"",(K172/O172-1)*100)</f>
        <v/>
      </c>
      <c r="Q172">
        <f>(K172/E172)^2</f>
        <v/>
      </c>
      <c r="R172">
        <f>(K172/H172)^2</f>
        <v/>
      </c>
      <c r="S172">
        <f>AVERAGE(Q172,R172)</f>
        <v/>
      </c>
      <c r="T172">
        <f>AVERAGE((O172/E172)^2,(O172/H172)^2)</f>
        <v/>
      </c>
      <c r="U172">
        <f>IF(T172=0,"",(S172/T172-1)*100)</f>
        <v/>
      </c>
      <c r="V172">
        <f>AVERAGE((L172/E172)^2,(L172/H172)^2)</f>
        <v/>
      </c>
      <c r="W172">
        <f>IF(ABS(E172-汇总!B25)&lt;=ABS(H172-汇总!B25),E172,H172)</f>
        <v/>
      </c>
      <c r="X172">
        <f>(K172/W172)^2</f>
        <v/>
      </c>
      <c r="Y172">
        <f>IF(N172&gt;10,"HIGH_TVW_CV",IF(J172&lt;3,"SHORT_INTERFACE","PASS"))</f>
        <v/>
      </c>
      <c r="Z172" t="inlineStr">
        <is>
          <t>Di1、TVW均值、Di2均来自本Pair_ID；TVW=3–5法线平均</t>
        </is>
      </c>
      <c r="AA172" t="inlineStr">
        <is>
          <t>样品40</t>
        </is>
      </c>
    </row>
    <row r="173">
      <c r="A173" t="inlineStr">
        <is>
          <t>40(9)-P01</t>
        </is>
      </c>
      <c r="B173" t="inlineStr">
        <is>
          <t>40 (9).tif</t>
        </is>
      </c>
      <c r="C173" t="inlineStr">
        <is>
          <t>40(9)-V01</t>
        </is>
      </c>
      <c r="D173">
        <f>导管母表_1781!F1781</f>
        <v/>
      </c>
      <c r="E173">
        <f>导管母表_1781!G1781</f>
        <v/>
      </c>
      <c r="F173" t="inlineStr">
        <is>
          <t>40(9)-V02</t>
        </is>
      </c>
      <c r="G173">
        <f>导管母表_1781!F1782</f>
        <v/>
      </c>
      <c r="H173">
        <f>导管母表_1781!G1782</f>
        <v/>
      </c>
      <c r="I173" t="inlineStr">
        <is>
          <t>J388:J388</t>
        </is>
      </c>
      <c r="J173">
        <f>COUNT(TVW线测量明细!J388:J388)</f>
        <v/>
      </c>
      <c r="K173">
        <f>AVERAGE(TVW线测量明细!J388:J388)</f>
        <v/>
      </c>
      <c r="L173">
        <f>MEDIAN(TVW线测量明细!J388:J388)</f>
        <v/>
      </c>
      <c r="M173">
        <f>IF(J173&gt;1,STDEV(TVW线测量明细!J388:J388),0)</f>
        <v/>
      </c>
      <c r="N173">
        <f>IF(K173=0,"",M173/K173*100)</f>
        <v/>
      </c>
      <c r="O173" t="n">
        <v>4.481636549584413</v>
      </c>
      <c r="P173">
        <f>IF(O173=0,"",(K173/O173-1)*100)</f>
        <v/>
      </c>
      <c r="Q173">
        <f>(K173/E173)^2</f>
        <v/>
      </c>
      <c r="R173">
        <f>(K173/H173)^2</f>
        <v/>
      </c>
      <c r="S173">
        <f>AVERAGE(Q173,R173)</f>
        <v/>
      </c>
      <c r="T173">
        <f>AVERAGE((O173/E173)^2,(O173/H173)^2)</f>
        <v/>
      </c>
      <c r="U173">
        <f>IF(T173=0,"",(S173/T173-1)*100)</f>
        <v/>
      </c>
      <c r="V173">
        <f>AVERAGE((L173/E173)^2,(L173/H173)^2)</f>
        <v/>
      </c>
      <c r="W173">
        <f>IF(ABS(E173-汇总!B25)&lt;=ABS(H173-汇总!B25),E173,H173)</f>
        <v/>
      </c>
      <c r="X173">
        <f>(K173/W173)^2</f>
        <v/>
      </c>
      <c r="Y173">
        <f>IF(N173&gt;10,"HIGH_TVW_CV",IF(J173&lt;3,"SHORT_INTERFACE","PASS"))</f>
        <v/>
      </c>
      <c r="Z173" t="inlineStr">
        <is>
          <t>Di1、TVW均值、Di2均来自本Pair_ID；TVW=3–5法线平均</t>
        </is>
      </c>
      <c r="AA173" t="inlineStr">
        <is>
          <t>样品40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图像文件</t>
        </is>
      </c>
      <c r="C1" t="inlineStr">
        <is>
          <t>Line_ID</t>
        </is>
      </c>
      <c r="D1" t="inlineStr">
        <is>
          <t>起点X (px)</t>
        </is>
      </c>
      <c r="E1" t="inlineStr">
        <is>
          <t>起点Y (px)</t>
        </is>
      </c>
      <c r="F1" t="inlineStr">
        <is>
          <t>终点X (px)</t>
        </is>
      </c>
      <c r="G1" t="inlineStr">
        <is>
          <t>终点Y (px)</t>
        </is>
      </c>
      <c r="H1" t="inlineStr">
        <is>
          <t>长度 (px)</t>
        </is>
      </c>
      <c r="I1" t="inlineStr">
        <is>
          <t>标定 (μm/px)</t>
        </is>
      </c>
      <c r="J1" t="inlineStr">
        <is>
          <t>TVW (μm)</t>
        </is>
      </c>
      <c r="K1" t="inlineStr">
        <is>
          <t>与导管1局部法线偏差 (°)</t>
        </is>
      </c>
      <c r="L1" t="inlineStr">
        <is>
          <t>与导管2局部法线偏差 (°)</t>
        </is>
      </c>
      <c r="M1" t="inlineStr">
        <is>
          <t>最大法线偏差 (°)</t>
        </is>
      </c>
      <c r="N1" t="inlineStr">
        <is>
          <t>共同壁位置分位</t>
        </is>
      </c>
      <c r="O1" t="inlineStr">
        <is>
          <t>纳入</t>
        </is>
      </c>
      <c r="P1" t="inlineStr">
        <is>
          <t>线级质控</t>
        </is>
      </c>
      <c r="Q1" t="inlineStr">
        <is>
          <t>样品</t>
        </is>
      </c>
    </row>
    <row r="2">
      <c r="A2" t="inlineStr">
        <is>
          <t>1(1)-P01</t>
        </is>
      </c>
      <c r="B2" t="inlineStr">
        <is>
          <t>1 (1).tif</t>
        </is>
      </c>
      <c r="C2" t="inlineStr">
        <is>
          <t>L1</t>
        </is>
      </c>
      <c r="D2" t="n">
        <v>906</v>
      </c>
      <c r="E2" t="n">
        <v>207</v>
      </c>
      <c r="F2" t="n">
        <v>913</v>
      </c>
      <c r="G2" t="n">
        <v>239</v>
      </c>
      <c r="H2">
        <f>SQRT((F2-D2)^2+(G2-E2)^2)</f>
        <v/>
      </c>
      <c r="I2" t="n">
        <v>0.2173913043478261</v>
      </c>
      <c r="J2">
        <f>H2*I2</f>
        <v/>
      </c>
      <c r="M2">
        <f>IF(OR(K2="",L2=""),"",MAX(K2,L2))</f>
        <v/>
      </c>
      <c r="N2" t="n">
        <v>0.5</v>
      </c>
      <c r="O2" t="inlineStr">
        <is>
          <t>是</t>
        </is>
      </c>
      <c r="P2">
        <f>IF(OR(M2="",M2&lt;=18),"PASS","ANGLE_ALERT")</f>
        <v/>
      </c>
      <c r="Q2" t="inlineStr">
        <is>
          <t>样品1</t>
        </is>
      </c>
    </row>
    <row r="3">
      <c r="A3" t="inlineStr">
        <is>
          <t>1(2)-P01</t>
        </is>
      </c>
      <c r="B3" t="inlineStr">
        <is>
          <t>1 (2).tif</t>
        </is>
      </c>
      <c r="C3" t="inlineStr">
        <is>
          <t>L1</t>
        </is>
      </c>
      <c r="D3" t="n">
        <v>483</v>
      </c>
      <c r="E3" t="n">
        <v>344</v>
      </c>
      <c r="F3" t="n">
        <v>528</v>
      </c>
      <c r="G3" t="n">
        <v>346</v>
      </c>
      <c r="H3">
        <f>SQRT((F3-D3)^2+(G3-E3)^2)</f>
        <v/>
      </c>
      <c r="I3" t="n">
        <v>0.2173913043478261</v>
      </c>
      <c r="J3">
        <f>H3*I3</f>
        <v/>
      </c>
      <c r="M3">
        <f>IF(OR(K3="",L3=""),"",MAX(K3,L3))</f>
        <v/>
      </c>
      <c r="N3" t="n">
        <v>0.5</v>
      </c>
      <c r="O3" t="inlineStr">
        <is>
          <t>是</t>
        </is>
      </c>
      <c r="P3">
        <f>IF(OR(M3="",M3&lt;=18),"PASS","ANGLE_ALERT")</f>
        <v/>
      </c>
      <c r="Q3" t="inlineStr">
        <is>
          <t>样品1</t>
        </is>
      </c>
    </row>
    <row r="4">
      <c r="A4" t="inlineStr">
        <is>
          <t>1(2)-P01</t>
        </is>
      </c>
      <c r="B4" t="inlineStr">
        <is>
          <t>1 (2).tif</t>
        </is>
      </c>
      <c r="C4" t="inlineStr">
        <is>
          <t>L2</t>
        </is>
      </c>
      <c r="D4" t="n">
        <v>478</v>
      </c>
      <c r="E4" t="n">
        <v>358</v>
      </c>
      <c r="F4" t="n">
        <v>495</v>
      </c>
      <c r="G4" t="n">
        <v>367</v>
      </c>
      <c r="H4">
        <f>SQRT((F4-D4)^2+(G4-E4)^2)</f>
        <v/>
      </c>
      <c r="I4" t="n">
        <v>0.2173913043478261</v>
      </c>
      <c r="J4">
        <f>H4*I4</f>
        <v/>
      </c>
      <c r="M4">
        <f>IF(OR(K4="",L4=""),"",MAX(K4,L4))</f>
        <v/>
      </c>
      <c r="N4" t="n">
        <v>0.5</v>
      </c>
      <c r="O4" t="inlineStr">
        <is>
          <t>是</t>
        </is>
      </c>
      <c r="P4">
        <f>IF(OR(M4="",M4&lt;=18),"PASS","ANGLE_ALERT")</f>
        <v/>
      </c>
      <c r="Q4" t="inlineStr">
        <is>
          <t>样品1</t>
        </is>
      </c>
    </row>
    <row r="5">
      <c r="A5" t="inlineStr">
        <is>
          <t>1(3)-P01</t>
        </is>
      </c>
      <c r="B5" t="inlineStr">
        <is>
          <t>1 (3).tif</t>
        </is>
      </c>
      <c r="C5" t="inlineStr">
        <is>
          <t>L1</t>
        </is>
      </c>
      <c r="D5" t="n">
        <v>537</v>
      </c>
      <c r="E5" t="n">
        <v>381</v>
      </c>
      <c r="F5" t="n">
        <v>516</v>
      </c>
      <c r="G5" t="n">
        <v>343</v>
      </c>
      <c r="H5">
        <f>SQRT((F5-D5)^2+(G5-E5)^2)</f>
        <v/>
      </c>
      <c r="I5" t="n">
        <v>0.2173913043478261</v>
      </c>
      <c r="J5">
        <f>H5*I5</f>
        <v/>
      </c>
      <c r="M5">
        <f>IF(OR(K5="",L5=""),"",MAX(K5,L5))</f>
        <v/>
      </c>
      <c r="N5" t="n">
        <v>0.5</v>
      </c>
      <c r="O5" t="inlineStr">
        <is>
          <t>是</t>
        </is>
      </c>
      <c r="P5">
        <f>IF(OR(M5="",M5&lt;=18),"PASS","ANGLE_ALERT")</f>
        <v/>
      </c>
      <c r="Q5" t="inlineStr">
        <is>
          <t>样品1</t>
        </is>
      </c>
    </row>
    <row r="6">
      <c r="A6" t="inlineStr">
        <is>
          <t>1(3)-P01</t>
        </is>
      </c>
      <c r="B6" t="inlineStr">
        <is>
          <t>1 (3).tif</t>
        </is>
      </c>
      <c r="C6" t="inlineStr">
        <is>
          <t>L2</t>
        </is>
      </c>
      <c r="D6" t="n">
        <v>529</v>
      </c>
      <c r="E6" t="n">
        <v>387</v>
      </c>
      <c r="F6" t="n">
        <v>504</v>
      </c>
      <c r="G6" t="n">
        <v>357</v>
      </c>
      <c r="H6">
        <f>SQRT((F6-D6)^2+(G6-E6)^2)</f>
        <v/>
      </c>
      <c r="I6" t="n">
        <v>0.2173913043478261</v>
      </c>
      <c r="J6">
        <f>H6*I6</f>
        <v/>
      </c>
      <c r="M6">
        <f>IF(OR(K6="",L6=""),"",MAX(K6,L6))</f>
        <v/>
      </c>
      <c r="N6" t="n">
        <v>0.5</v>
      </c>
      <c r="O6" t="inlineStr">
        <is>
          <t>是</t>
        </is>
      </c>
      <c r="P6">
        <f>IF(OR(M6="",M6&lt;=18),"PASS","ANGLE_ALERT")</f>
        <v/>
      </c>
      <c r="Q6" t="inlineStr">
        <is>
          <t>样品1</t>
        </is>
      </c>
    </row>
    <row r="7">
      <c r="A7" t="inlineStr">
        <is>
          <t>1(3)-P01</t>
        </is>
      </c>
      <c r="B7" t="inlineStr">
        <is>
          <t>1 (3).tif</t>
        </is>
      </c>
      <c r="C7" t="inlineStr">
        <is>
          <t>L3</t>
        </is>
      </c>
      <c r="D7" t="n">
        <v>541</v>
      </c>
      <c r="E7" t="n">
        <v>379</v>
      </c>
      <c r="F7" t="n">
        <v>514</v>
      </c>
      <c r="G7" t="n">
        <v>347</v>
      </c>
      <c r="H7">
        <f>SQRT((F7-D7)^2+(G7-E7)^2)</f>
        <v/>
      </c>
      <c r="I7" t="n">
        <v>0.2173913043478261</v>
      </c>
      <c r="J7">
        <f>H7*I7</f>
        <v/>
      </c>
      <c r="M7">
        <f>IF(OR(K7="",L7=""),"",MAX(K7,L7))</f>
        <v/>
      </c>
      <c r="N7" t="n">
        <v>0.5</v>
      </c>
      <c r="O7" t="inlineStr">
        <is>
          <t>是</t>
        </is>
      </c>
      <c r="P7">
        <f>IF(OR(M7="",M7&lt;=18),"PASS","ANGLE_ALERT")</f>
        <v/>
      </c>
      <c r="Q7" t="inlineStr">
        <is>
          <t>样品1</t>
        </is>
      </c>
    </row>
    <row r="8">
      <c r="A8" t="inlineStr">
        <is>
          <t>1(4)-P01</t>
        </is>
      </c>
      <c r="B8" t="inlineStr">
        <is>
          <t>1 (4).tif</t>
        </is>
      </c>
      <c r="C8" t="inlineStr">
        <is>
          <t>L1</t>
        </is>
      </c>
      <c r="D8" t="n">
        <v>504</v>
      </c>
      <c r="E8" t="n">
        <v>362</v>
      </c>
      <c r="F8" t="n">
        <v>517</v>
      </c>
      <c r="G8" t="n">
        <v>363</v>
      </c>
      <c r="H8">
        <f>SQRT((F8-D8)^2+(G8-E8)^2)</f>
        <v/>
      </c>
      <c r="I8" t="n">
        <v>0.2173913043478261</v>
      </c>
      <c r="J8">
        <f>H8*I8</f>
        <v/>
      </c>
      <c r="M8">
        <f>IF(OR(K8="",L8=""),"",MAX(K8,L8))</f>
        <v/>
      </c>
      <c r="N8" t="n">
        <v>0.5</v>
      </c>
      <c r="O8" t="inlineStr">
        <is>
          <t>是</t>
        </is>
      </c>
      <c r="P8">
        <f>IF(OR(M8="",M8&lt;=18),"PASS","ANGLE_ALERT")</f>
        <v/>
      </c>
      <c r="Q8" t="inlineStr">
        <is>
          <t>样品1</t>
        </is>
      </c>
    </row>
    <row r="9">
      <c r="A9" t="inlineStr">
        <is>
          <t>1(4)-P01</t>
        </is>
      </c>
      <c r="B9" t="inlineStr">
        <is>
          <t>1 (4).tif</t>
        </is>
      </c>
      <c r="C9" t="inlineStr">
        <is>
          <t>L2</t>
        </is>
      </c>
      <c r="D9" t="n">
        <v>503</v>
      </c>
      <c r="E9" t="n">
        <v>371</v>
      </c>
      <c r="F9" t="n">
        <v>517</v>
      </c>
      <c r="G9" t="n">
        <v>375</v>
      </c>
      <c r="H9">
        <f>SQRT((F9-D9)^2+(G9-E9)^2)</f>
        <v/>
      </c>
      <c r="I9" t="n">
        <v>0.2173913043478261</v>
      </c>
      <c r="J9">
        <f>H9*I9</f>
        <v/>
      </c>
      <c r="M9">
        <f>IF(OR(K9="",L9=""),"",MAX(K9,L9))</f>
        <v/>
      </c>
      <c r="N9" t="n">
        <v>0.5</v>
      </c>
      <c r="O9" t="inlineStr">
        <is>
          <t>是</t>
        </is>
      </c>
      <c r="P9">
        <f>IF(OR(M9="",M9&lt;=18),"PASS","ANGLE_ALERT")</f>
        <v/>
      </c>
      <c r="Q9" t="inlineStr">
        <is>
          <t>样品1</t>
        </is>
      </c>
    </row>
    <row r="10">
      <c r="A10" t="inlineStr">
        <is>
          <t>1(5)-P01</t>
        </is>
      </c>
      <c r="B10" t="inlineStr">
        <is>
          <t>1 (5).tif</t>
        </is>
      </c>
      <c r="C10" t="inlineStr">
        <is>
          <t>L1</t>
        </is>
      </c>
      <c r="D10" t="n">
        <v>546</v>
      </c>
      <c r="E10" t="n">
        <v>379</v>
      </c>
      <c r="F10" t="n">
        <v>517</v>
      </c>
      <c r="G10" t="n">
        <v>394</v>
      </c>
      <c r="H10">
        <f>SQRT((F10-D10)^2+(G10-E10)^2)</f>
        <v/>
      </c>
      <c r="I10" t="n">
        <v>0.2173913043478261</v>
      </c>
      <c r="J10">
        <f>H10*I10</f>
        <v/>
      </c>
      <c r="M10">
        <f>IF(OR(K10="",L10=""),"",MAX(K10,L10))</f>
        <v/>
      </c>
      <c r="N10" t="n">
        <v>0.5</v>
      </c>
      <c r="O10" t="inlineStr">
        <is>
          <t>是</t>
        </is>
      </c>
      <c r="P10">
        <f>IF(OR(M10="",M10&lt;=18),"PASS","ANGLE_ALERT")</f>
        <v/>
      </c>
      <c r="Q10" t="inlineStr">
        <is>
          <t>样品1</t>
        </is>
      </c>
    </row>
    <row r="11">
      <c r="A11" t="inlineStr">
        <is>
          <t>1(6)-P01</t>
        </is>
      </c>
      <c r="B11" t="inlineStr">
        <is>
          <t>1 (6).tif</t>
        </is>
      </c>
      <c r="C11" t="inlineStr">
        <is>
          <t>L1</t>
        </is>
      </c>
      <c r="D11" t="n">
        <v>489</v>
      </c>
      <c r="E11" t="n">
        <v>379</v>
      </c>
      <c r="F11" t="n">
        <v>505</v>
      </c>
      <c r="G11" t="n">
        <v>365</v>
      </c>
      <c r="H11">
        <f>SQRT((F11-D11)^2+(G11-E11)^2)</f>
        <v/>
      </c>
      <c r="I11" t="n">
        <v>0.2173913043478261</v>
      </c>
      <c r="J11">
        <f>H11*I11</f>
        <v/>
      </c>
      <c r="M11">
        <f>IF(OR(K11="",L11=""),"",MAX(K11,L11))</f>
        <v/>
      </c>
      <c r="N11" t="n">
        <v>0.5</v>
      </c>
      <c r="O11" t="inlineStr">
        <is>
          <t>是</t>
        </is>
      </c>
      <c r="P11">
        <f>IF(OR(M11="",M11&lt;=18),"PASS","ANGLE_ALERT")</f>
        <v/>
      </c>
      <c r="Q11" t="inlineStr">
        <is>
          <t>样品1</t>
        </is>
      </c>
    </row>
    <row r="12">
      <c r="A12" t="inlineStr">
        <is>
          <t>1(6)-P01</t>
        </is>
      </c>
      <c r="B12" t="inlineStr">
        <is>
          <t>1 (6).tif</t>
        </is>
      </c>
      <c r="C12" t="inlineStr">
        <is>
          <t>L2</t>
        </is>
      </c>
      <c r="D12" t="n">
        <v>482</v>
      </c>
      <c r="E12" t="n">
        <v>372</v>
      </c>
      <c r="F12" t="n">
        <v>496</v>
      </c>
      <c r="G12" t="n">
        <v>343</v>
      </c>
      <c r="H12">
        <f>SQRT((F12-D12)^2+(G12-E12)^2)</f>
        <v/>
      </c>
      <c r="I12" t="n">
        <v>0.2173913043478261</v>
      </c>
      <c r="J12">
        <f>H12*I12</f>
        <v/>
      </c>
      <c r="M12">
        <f>IF(OR(K12="",L12=""),"",MAX(K12,L12))</f>
        <v/>
      </c>
      <c r="N12" t="n">
        <v>0.5</v>
      </c>
      <c r="O12" t="inlineStr">
        <is>
          <t>是</t>
        </is>
      </c>
      <c r="P12">
        <f>IF(OR(M12="",M12&lt;=18),"PASS","ANGLE_ALERT")</f>
        <v/>
      </c>
      <c r="Q12" t="inlineStr">
        <is>
          <t>样品1</t>
        </is>
      </c>
    </row>
    <row r="13">
      <c r="A13" t="inlineStr">
        <is>
          <t>2(3)-P01</t>
        </is>
      </c>
      <c r="B13" t="inlineStr">
        <is>
          <t>2 (3).tif</t>
        </is>
      </c>
      <c r="C13" t="inlineStr">
        <is>
          <t>L1</t>
        </is>
      </c>
      <c r="D13" t="n">
        <v>504</v>
      </c>
      <c r="E13" t="n">
        <v>352</v>
      </c>
      <c r="F13" t="n">
        <v>520</v>
      </c>
      <c r="G13" t="n">
        <v>365</v>
      </c>
      <c r="H13">
        <f>SQRT((F13-D13)^2+(G13-E13)^2)</f>
        <v/>
      </c>
      <c r="I13" t="n">
        <v>0.2173913043478261</v>
      </c>
      <c r="J13">
        <f>H13*I13</f>
        <v/>
      </c>
      <c r="M13">
        <f>IF(OR(K13="",L13=""),"",MAX(K13,L13))</f>
        <v/>
      </c>
      <c r="N13" t="n">
        <v>0.5</v>
      </c>
      <c r="O13" t="inlineStr">
        <is>
          <t>是</t>
        </is>
      </c>
      <c r="P13">
        <f>IF(OR(M13="",M13&lt;=18),"PASS","ANGLE_ALERT")</f>
        <v/>
      </c>
      <c r="Q13" t="inlineStr">
        <is>
          <t>样品2</t>
        </is>
      </c>
    </row>
    <row r="14">
      <c r="A14" t="inlineStr">
        <is>
          <t>2(3)-P01</t>
        </is>
      </c>
      <c r="B14" t="inlineStr">
        <is>
          <t>2 (3).tif</t>
        </is>
      </c>
      <c r="C14" t="inlineStr">
        <is>
          <t>L2</t>
        </is>
      </c>
      <c r="D14" t="n">
        <v>464</v>
      </c>
      <c r="E14" t="n">
        <v>378</v>
      </c>
      <c r="F14" t="n">
        <v>508</v>
      </c>
      <c r="G14" t="n">
        <v>386</v>
      </c>
      <c r="H14">
        <f>SQRT((F14-D14)^2+(G14-E14)^2)</f>
        <v/>
      </c>
      <c r="I14" t="n">
        <v>0.2173913043478261</v>
      </c>
      <c r="J14">
        <f>H14*I14</f>
        <v/>
      </c>
      <c r="M14">
        <f>IF(OR(K14="",L14=""),"",MAX(K14,L14))</f>
        <v/>
      </c>
      <c r="N14" t="n">
        <v>0.5</v>
      </c>
      <c r="O14" t="inlineStr">
        <is>
          <t>是</t>
        </is>
      </c>
      <c r="P14">
        <f>IF(OR(M14="",M14&lt;=18),"PASS","ANGLE_ALERT")</f>
        <v/>
      </c>
      <c r="Q14" t="inlineStr">
        <is>
          <t>样品2</t>
        </is>
      </c>
    </row>
    <row r="15">
      <c r="A15" t="inlineStr">
        <is>
          <t>2(3)-P01</t>
        </is>
      </c>
      <c r="B15" t="inlineStr">
        <is>
          <t>2 (3).tif</t>
        </is>
      </c>
      <c r="C15" t="inlineStr">
        <is>
          <t>L3</t>
        </is>
      </c>
      <c r="D15" t="n">
        <v>495</v>
      </c>
      <c r="E15" t="n">
        <v>363</v>
      </c>
      <c r="F15" t="n">
        <v>507</v>
      </c>
      <c r="G15" t="n">
        <v>398</v>
      </c>
      <c r="H15">
        <f>SQRT((F15-D15)^2+(G15-E15)^2)</f>
        <v/>
      </c>
      <c r="I15" t="n">
        <v>0.2173913043478261</v>
      </c>
      <c r="J15">
        <f>H15*I15</f>
        <v/>
      </c>
      <c r="M15">
        <f>IF(OR(K15="",L15=""),"",MAX(K15,L15))</f>
        <v/>
      </c>
      <c r="N15" t="n">
        <v>0.5</v>
      </c>
      <c r="O15" t="inlineStr">
        <is>
          <t>是</t>
        </is>
      </c>
      <c r="P15">
        <f>IF(OR(M15="",M15&lt;=18),"PASS","ANGLE_ALERT")</f>
        <v/>
      </c>
      <c r="Q15" t="inlineStr">
        <is>
          <t>样品2</t>
        </is>
      </c>
    </row>
    <row r="16">
      <c r="A16" t="inlineStr">
        <is>
          <t>2(3)-P01</t>
        </is>
      </c>
      <c r="B16" t="inlineStr">
        <is>
          <t>2 (3).tif</t>
        </is>
      </c>
      <c r="C16" t="inlineStr">
        <is>
          <t>L4</t>
        </is>
      </c>
      <c r="D16" t="n">
        <v>498</v>
      </c>
      <c r="E16" t="n">
        <v>360</v>
      </c>
      <c r="F16" t="n">
        <v>513</v>
      </c>
      <c r="G16" t="n">
        <v>374</v>
      </c>
      <c r="H16">
        <f>SQRT((F16-D16)^2+(G16-E16)^2)</f>
        <v/>
      </c>
      <c r="I16" t="n">
        <v>0.2173913043478261</v>
      </c>
      <c r="J16">
        <f>H16*I16</f>
        <v/>
      </c>
      <c r="M16">
        <f>IF(OR(K16="",L16=""),"",MAX(K16,L16))</f>
        <v/>
      </c>
      <c r="N16" t="n">
        <v>0.5</v>
      </c>
      <c r="O16" t="inlineStr">
        <is>
          <t>是</t>
        </is>
      </c>
      <c r="P16">
        <f>IF(OR(M16="",M16&lt;=18),"PASS","ANGLE_ALERT")</f>
        <v/>
      </c>
      <c r="Q16" t="inlineStr">
        <is>
          <t>样品2</t>
        </is>
      </c>
    </row>
    <row r="17">
      <c r="A17" t="inlineStr">
        <is>
          <t>2(4)-P01</t>
        </is>
      </c>
      <c r="B17" t="inlineStr">
        <is>
          <t>2 (4).tif</t>
        </is>
      </c>
      <c r="C17" t="inlineStr">
        <is>
          <t>L1</t>
        </is>
      </c>
      <c r="D17" t="n">
        <v>514</v>
      </c>
      <c r="E17" t="n">
        <v>335</v>
      </c>
      <c r="F17" t="n">
        <v>540</v>
      </c>
      <c r="G17" t="n">
        <v>343</v>
      </c>
      <c r="H17">
        <f>SQRT((F17-D17)^2+(G17-E17)^2)</f>
        <v/>
      </c>
      <c r="I17" t="n">
        <v>0.2173913043478261</v>
      </c>
      <c r="J17">
        <f>H17*I17</f>
        <v/>
      </c>
      <c r="M17">
        <f>IF(OR(K17="",L17=""),"",MAX(K17,L17))</f>
        <v/>
      </c>
      <c r="N17" t="n">
        <v>0.5</v>
      </c>
      <c r="O17" t="inlineStr">
        <is>
          <t>是</t>
        </is>
      </c>
      <c r="P17">
        <f>IF(OR(M17="",M17&lt;=18),"PASS","ANGLE_ALERT")</f>
        <v/>
      </c>
      <c r="Q17" t="inlineStr">
        <is>
          <t>样品2</t>
        </is>
      </c>
    </row>
    <row r="18">
      <c r="A18" t="inlineStr">
        <is>
          <t>2(4)-P01</t>
        </is>
      </c>
      <c r="B18" t="inlineStr">
        <is>
          <t>2 (4).tif</t>
        </is>
      </c>
      <c r="C18" t="inlineStr">
        <is>
          <t>L2</t>
        </is>
      </c>
      <c r="D18" t="n">
        <v>511</v>
      </c>
      <c r="E18" t="n">
        <v>342</v>
      </c>
      <c r="F18" t="n">
        <v>538</v>
      </c>
      <c r="G18" t="n">
        <v>349</v>
      </c>
      <c r="H18">
        <f>SQRT((F18-D18)^2+(G18-E18)^2)</f>
        <v/>
      </c>
      <c r="I18" t="n">
        <v>0.2173913043478261</v>
      </c>
      <c r="J18">
        <f>H18*I18</f>
        <v/>
      </c>
      <c r="M18">
        <f>IF(OR(K18="",L18=""),"",MAX(K18,L18))</f>
        <v/>
      </c>
      <c r="N18" t="n">
        <v>0.5</v>
      </c>
      <c r="O18" t="inlineStr">
        <is>
          <t>是</t>
        </is>
      </c>
      <c r="P18">
        <f>IF(OR(M18="",M18&lt;=18),"PASS","ANGLE_ALERT")</f>
        <v/>
      </c>
      <c r="Q18" t="inlineStr">
        <is>
          <t>样品2</t>
        </is>
      </c>
    </row>
    <row r="19">
      <c r="A19" t="inlineStr">
        <is>
          <t>2(5)-P01</t>
        </is>
      </c>
      <c r="B19" t="inlineStr">
        <is>
          <t>2 (5).tif</t>
        </is>
      </c>
      <c r="C19" t="inlineStr">
        <is>
          <t>L1</t>
        </is>
      </c>
      <c r="D19" t="n">
        <v>763</v>
      </c>
      <c r="E19" t="n">
        <v>163</v>
      </c>
      <c r="F19" t="n">
        <v>763</v>
      </c>
      <c r="G19" t="n">
        <v>163</v>
      </c>
      <c r="H19">
        <f>SQRT((F19-D19)^2+(G19-E19)^2)</f>
        <v/>
      </c>
      <c r="I19" t="n">
        <v>0.2173913043478261</v>
      </c>
      <c r="J19">
        <f>H19*I19</f>
        <v/>
      </c>
      <c r="M19">
        <f>IF(OR(K19="",L19=""),"",MAX(K19,L19))</f>
        <v/>
      </c>
      <c r="N19" t="n">
        <v>0.5</v>
      </c>
      <c r="O19" t="inlineStr">
        <is>
          <t>是</t>
        </is>
      </c>
      <c r="P19">
        <f>IF(OR(M19="",M19&lt;=18),"PASS","ANGLE_ALERT")</f>
        <v/>
      </c>
      <c r="Q19" t="inlineStr">
        <is>
          <t>样品2</t>
        </is>
      </c>
    </row>
    <row r="20">
      <c r="A20" t="inlineStr">
        <is>
          <t>2(6)-P01</t>
        </is>
      </c>
      <c r="B20" t="inlineStr">
        <is>
          <t>2 (6).tif</t>
        </is>
      </c>
      <c r="C20" t="inlineStr">
        <is>
          <t>L1</t>
        </is>
      </c>
      <c r="D20" t="n">
        <v>494</v>
      </c>
      <c r="E20" t="n">
        <v>331</v>
      </c>
      <c r="F20" t="n">
        <v>472</v>
      </c>
      <c r="G20" t="n">
        <v>335</v>
      </c>
      <c r="H20">
        <f>SQRT((F20-D20)^2+(G20-E20)^2)</f>
        <v/>
      </c>
      <c r="I20" t="n">
        <v>0.2173913043478261</v>
      </c>
      <c r="J20">
        <f>H20*I20</f>
        <v/>
      </c>
      <c r="M20">
        <f>IF(OR(K20="",L20=""),"",MAX(K20,L20))</f>
        <v/>
      </c>
      <c r="N20" t="n">
        <v>0.5</v>
      </c>
      <c r="O20" t="inlineStr">
        <is>
          <t>是</t>
        </is>
      </c>
      <c r="P20">
        <f>IF(OR(M20="",M20&lt;=18),"PASS","ANGLE_ALERT")</f>
        <v/>
      </c>
      <c r="Q20" t="inlineStr">
        <is>
          <t>样品2</t>
        </is>
      </c>
    </row>
    <row r="21">
      <c r="A21" t="inlineStr">
        <is>
          <t>2(6)-P01</t>
        </is>
      </c>
      <c r="B21" t="inlineStr">
        <is>
          <t>2 (6).tif</t>
        </is>
      </c>
      <c r="C21" t="inlineStr">
        <is>
          <t>L2</t>
        </is>
      </c>
      <c r="D21" t="n">
        <v>491</v>
      </c>
      <c r="E21" t="n">
        <v>321</v>
      </c>
      <c r="F21" t="n">
        <v>469</v>
      </c>
      <c r="G21" t="n">
        <v>326</v>
      </c>
      <c r="H21">
        <f>SQRT((F21-D21)^2+(G21-E21)^2)</f>
        <v/>
      </c>
      <c r="I21" t="n">
        <v>0.2173913043478261</v>
      </c>
      <c r="J21">
        <f>H21*I21</f>
        <v/>
      </c>
      <c r="M21">
        <f>IF(OR(K21="",L21=""),"",MAX(K21,L21))</f>
        <v/>
      </c>
      <c r="N21" t="n">
        <v>0.5</v>
      </c>
      <c r="O21" t="inlineStr">
        <is>
          <t>是</t>
        </is>
      </c>
      <c r="P21">
        <f>IF(OR(M21="",M21&lt;=18),"PASS","ANGLE_ALERT")</f>
        <v/>
      </c>
      <c r="Q21" t="inlineStr">
        <is>
          <t>样品2</t>
        </is>
      </c>
    </row>
    <row r="22">
      <c r="A22" t="inlineStr">
        <is>
          <t>2(7)-P01</t>
        </is>
      </c>
      <c r="B22" t="inlineStr">
        <is>
          <t>2 (7).tif</t>
        </is>
      </c>
      <c r="C22" t="inlineStr">
        <is>
          <t>L1</t>
        </is>
      </c>
      <c r="D22" t="n">
        <v>491</v>
      </c>
      <c r="E22" t="n">
        <v>354</v>
      </c>
      <c r="F22" t="n">
        <v>487</v>
      </c>
      <c r="G22" t="n">
        <v>367</v>
      </c>
      <c r="H22">
        <f>SQRT((F22-D22)^2+(G22-E22)^2)</f>
        <v/>
      </c>
      <c r="I22" t="n">
        <v>0.2173913043478261</v>
      </c>
      <c r="J22">
        <f>H22*I22</f>
        <v/>
      </c>
      <c r="M22">
        <f>IF(OR(K22="",L22=""),"",MAX(K22,L22))</f>
        <v/>
      </c>
      <c r="N22" t="n">
        <v>0.5</v>
      </c>
      <c r="O22" t="inlineStr">
        <is>
          <t>是</t>
        </is>
      </c>
      <c r="P22">
        <f>IF(OR(M22="",M22&lt;=18),"PASS","ANGLE_ALERT")</f>
        <v/>
      </c>
      <c r="Q22" t="inlineStr">
        <is>
          <t>样品2</t>
        </is>
      </c>
    </row>
    <row r="23">
      <c r="A23" t="inlineStr">
        <is>
          <t>2(7)-P01</t>
        </is>
      </c>
      <c r="B23" t="inlineStr">
        <is>
          <t>2 (7).tif</t>
        </is>
      </c>
      <c r="C23" t="inlineStr">
        <is>
          <t>L2</t>
        </is>
      </c>
      <c r="D23" t="n">
        <v>509</v>
      </c>
      <c r="E23" t="n">
        <v>356</v>
      </c>
      <c r="F23" t="n">
        <v>519</v>
      </c>
      <c r="G23" t="n">
        <v>417</v>
      </c>
      <c r="H23">
        <f>SQRT((F23-D23)^2+(G23-E23)^2)</f>
        <v/>
      </c>
      <c r="I23" t="n">
        <v>0.2173913043478261</v>
      </c>
      <c r="J23">
        <f>H23*I23</f>
        <v/>
      </c>
      <c r="M23">
        <f>IF(OR(K23="",L23=""),"",MAX(K23,L23))</f>
        <v/>
      </c>
      <c r="N23" t="n">
        <v>0.5</v>
      </c>
      <c r="O23" t="inlineStr">
        <is>
          <t>是</t>
        </is>
      </c>
      <c r="P23">
        <f>IF(OR(M23="",M23&lt;=18),"PASS","ANGLE_ALERT")</f>
        <v/>
      </c>
      <c r="Q23" t="inlineStr">
        <is>
          <t>样品2</t>
        </is>
      </c>
    </row>
    <row r="24">
      <c r="A24" t="inlineStr">
        <is>
          <t>2(8)-P01</t>
        </is>
      </c>
      <c r="B24" t="inlineStr">
        <is>
          <t>2 (8).tif</t>
        </is>
      </c>
      <c r="C24" t="inlineStr">
        <is>
          <t>L1</t>
        </is>
      </c>
      <c r="D24" t="n">
        <v>481</v>
      </c>
      <c r="E24" t="n">
        <v>353</v>
      </c>
      <c r="F24" t="n">
        <v>503</v>
      </c>
      <c r="G24" t="n">
        <v>354</v>
      </c>
      <c r="H24">
        <f>SQRT((F24-D24)^2+(G24-E24)^2)</f>
        <v/>
      </c>
      <c r="I24" t="n">
        <v>0.2173913043478261</v>
      </c>
      <c r="J24">
        <f>H24*I24</f>
        <v/>
      </c>
      <c r="M24">
        <f>IF(OR(K24="",L24=""),"",MAX(K24,L24))</f>
        <v/>
      </c>
      <c r="N24" t="n">
        <v>0.5</v>
      </c>
      <c r="O24" t="inlineStr">
        <is>
          <t>是</t>
        </is>
      </c>
      <c r="P24">
        <f>IF(OR(M24="",M24&lt;=18),"PASS","ANGLE_ALERT")</f>
        <v/>
      </c>
      <c r="Q24" t="inlineStr">
        <is>
          <t>样品2</t>
        </is>
      </c>
    </row>
    <row r="25">
      <c r="A25" t="inlineStr">
        <is>
          <t>2(8)-P01</t>
        </is>
      </c>
      <c r="B25" t="inlineStr">
        <is>
          <t>2 (8).tif</t>
        </is>
      </c>
      <c r="C25" t="inlineStr">
        <is>
          <t>L2</t>
        </is>
      </c>
      <c r="D25" t="n">
        <v>479</v>
      </c>
      <c r="E25" t="n">
        <v>364</v>
      </c>
      <c r="F25" t="n">
        <v>503</v>
      </c>
      <c r="G25" t="n">
        <v>366</v>
      </c>
      <c r="H25">
        <f>SQRT((F25-D25)^2+(G25-E25)^2)</f>
        <v/>
      </c>
      <c r="I25" t="n">
        <v>0.2173913043478261</v>
      </c>
      <c r="J25">
        <f>H25*I25</f>
        <v/>
      </c>
      <c r="M25">
        <f>IF(OR(K25="",L25=""),"",MAX(K25,L25))</f>
        <v/>
      </c>
      <c r="N25" t="n">
        <v>0.5</v>
      </c>
      <c r="O25" t="inlineStr">
        <is>
          <t>是</t>
        </is>
      </c>
      <c r="P25">
        <f>IF(OR(M25="",M25&lt;=18),"PASS","ANGLE_ALERT")</f>
        <v/>
      </c>
      <c r="Q25" t="inlineStr">
        <is>
          <t>样品2</t>
        </is>
      </c>
    </row>
    <row r="26">
      <c r="A26" t="inlineStr">
        <is>
          <t>2(9)-P01</t>
        </is>
      </c>
      <c r="B26" t="inlineStr">
        <is>
          <t>2 (9).tif</t>
        </is>
      </c>
      <c r="C26" t="inlineStr">
        <is>
          <t>L1</t>
        </is>
      </c>
      <c r="D26" t="n">
        <v>496</v>
      </c>
      <c r="E26" t="n">
        <v>377</v>
      </c>
      <c r="F26" t="n">
        <v>458</v>
      </c>
      <c r="G26" t="n">
        <v>398</v>
      </c>
      <c r="H26">
        <f>SQRT((F26-D26)^2+(G26-E26)^2)</f>
        <v/>
      </c>
      <c r="I26" t="n">
        <v>0.2173913043478261</v>
      </c>
      <c r="J26">
        <f>H26*I26</f>
        <v/>
      </c>
      <c r="M26">
        <f>IF(OR(K26="",L26=""),"",MAX(K26,L26))</f>
        <v/>
      </c>
      <c r="N26" t="n">
        <v>0.5</v>
      </c>
      <c r="O26" t="inlineStr">
        <is>
          <t>是</t>
        </is>
      </c>
      <c r="P26">
        <f>IF(OR(M26="",M26&lt;=18),"PASS","ANGLE_ALERT")</f>
        <v/>
      </c>
      <c r="Q26" t="inlineStr">
        <is>
          <t>样品2</t>
        </is>
      </c>
    </row>
    <row r="27">
      <c r="A27" t="inlineStr">
        <is>
          <t>2(9)-P01</t>
        </is>
      </c>
      <c r="B27" t="inlineStr">
        <is>
          <t>2 (9).tif</t>
        </is>
      </c>
      <c r="C27" t="inlineStr">
        <is>
          <t>L2</t>
        </is>
      </c>
      <c r="D27" t="n">
        <v>490</v>
      </c>
      <c r="E27" t="n">
        <v>363</v>
      </c>
      <c r="F27" t="n">
        <v>462</v>
      </c>
      <c r="G27" t="n">
        <v>370</v>
      </c>
      <c r="H27">
        <f>SQRT((F27-D27)^2+(G27-E27)^2)</f>
        <v/>
      </c>
      <c r="I27" t="n">
        <v>0.2173913043478261</v>
      </c>
      <c r="J27">
        <f>H27*I27</f>
        <v/>
      </c>
      <c r="M27">
        <f>IF(OR(K27="",L27=""),"",MAX(K27,L27))</f>
        <v/>
      </c>
      <c r="N27" t="n">
        <v>0.5</v>
      </c>
      <c r="O27" t="inlineStr">
        <is>
          <t>是</t>
        </is>
      </c>
      <c r="P27">
        <f>IF(OR(M27="",M27&lt;=18),"PASS","ANGLE_ALERT")</f>
        <v/>
      </c>
      <c r="Q27" t="inlineStr">
        <is>
          <t>样品2</t>
        </is>
      </c>
    </row>
    <row r="28">
      <c r="A28" t="inlineStr">
        <is>
          <t>2(13)-P01</t>
        </is>
      </c>
      <c r="B28" t="inlineStr">
        <is>
          <t>2 (13).tif</t>
        </is>
      </c>
      <c r="C28" t="inlineStr">
        <is>
          <t>L1</t>
        </is>
      </c>
      <c r="D28" t="n">
        <v>507</v>
      </c>
      <c r="E28" t="n">
        <v>384</v>
      </c>
      <c r="F28" t="n">
        <v>510</v>
      </c>
      <c r="G28" t="n">
        <v>435</v>
      </c>
      <c r="H28">
        <f>SQRT((F28-D28)^2+(G28-E28)^2)</f>
        <v/>
      </c>
      <c r="I28" t="n">
        <v>0.2173913043478261</v>
      </c>
      <c r="J28">
        <f>H28*I28</f>
        <v/>
      </c>
      <c r="M28">
        <f>IF(OR(K28="",L28=""),"",MAX(K28,L28))</f>
        <v/>
      </c>
      <c r="N28" t="n">
        <v>0.5</v>
      </c>
      <c r="O28" t="inlineStr">
        <is>
          <t>是</t>
        </is>
      </c>
      <c r="P28">
        <f>IF(OR(M28="",M28&lt;=18),"PASS","ANGLE_ALERT")</f>
        <v/>
      </c>
      <c r="Q28" t="inlineStr">
        <is>
          <t>样品2</t>
        </is>
      </c>
    </row>
    <row r="29">
      <c r="A29" t="inlineStr">
        <is>
          <t>2(13)-P01</t>
        </is>
      </c>
      <c r="B29" t="inlineStr">
        <is>
          <t>2 (13).tif</t>
        </is>
      </c>
      <c r="C29" t="inlineStr">
        <is>
          <t>L2</t>
        </is>
      </c>
      <c r="D29" t="n">
        <v>495</v>
      </c>
      <c r="E29" t="n">
        <v>385</v>
      </c>
      <c r="F29" t="n">
        <v>525</v>
      </c>
      <c r="G29" t="n">
        <v>405</v>
      </c>
      <c r="H29">
        <f>SQRT((F29-D29)^2+(G29-E29)^2)</f>
        <v/>
      </c>
      <c r="I29" t="n">
        <v>0.2173913043478261</v>
      </c>
      <c r="J29">
        <f>H29*I29</f>
        <v/>
      </c>
      <c r="M29">
        <f>IF(OR(K29="",L29=""),"",MAX(K29,L29))</f>
        <v/>
      </c>
      <c r="N29" t="n">
        <v>0.5</v>
      </c>
      <c r="O29" t="inlineStr">
        <is>
          <t>是</t>
        </is>
      </c>
      <c r="P29">
        <f>IF(OR(M29="",M29&lt;=18),"PASS","ANGLE_ALERT")</f>
        <v/>
      </c>
      <c r="Q29" t="inlineStr">
        <is>
          <t>样品2</t>
        </is>
      </c>
    </row>
    <row r="30">
      <c r="A30" t="inlineStr">
        <is>
          <t>2(13)-P01</t>
        </is>
      </c>
      <c r="B30" t="inlineStr">
        <is>
          <t>2 (13).tif</t>
        </is>
      </c>
      <c r="C30" t="inlineStr">
        <is>
          <t>L3</t>
        </is>
      </c>
      <c r="D30" t="n">
        <v>527</v>
      </c>
      <c r="E30" t="n">
        <v>375</v>
      </c>
      <c r="F30" t="n">
        <v>536</v>
      </c>
      <c r="G30" t="n">
        <v>396</v>
      </c>
      <c r="H30">
        <f>SQRT((F30-D30)^2+(G30-E30)^2)</f>
        <v/>
      </c>
      <c r="I30" t="n">
        <v>0.2173913043478261</v>
      </c>
      <c r="J30">
        <f>H30*I30</f>
        <v/>
      </c>
      <c r="M30">
        <f>IF(OR(K30="",L30=""),"",MAX(K30,L30))</f>
        <v/>
      </c>
      <c r="N30" t="n">
        <v>0.5</v>
      </c>
      <c r="O30" t="inlineStr">
        <is>
          <t>是</t>
        </is>
      </c>
      <c r="P30">
        <f>IF(OR(M30="",M30&lt;=18),"PASS","ANGLE_ALERT")</f>
        <v/>
      </c>
      <c r="Q30" t="inlineStr">
        <is>
          <t>样品2</t>
        </is>
      </c>
    </row>
    <row r="31">
      <c r="A31" t="inlineStr">
        <is>
          <t>2(13)-P01</t>
        </is>
      </c>
      <c r="B31" t="inlineStr">
        <is>
          <t>2 (13).tif</t>
        </is>
      </c>
      <c r="C31" t="inlineStr">
        <is>
          <t>L4</t>
        </is>
      </c>
      <c r="D31" t="n">
        <v>518</v>
      </c>
      <c r="E31" t="n">
        <v>380</v>
      </c>
      <c r="F31" t="n">
        <v>530</v>
      </c>
      <c r="G31" t="n">
        <v>400</v>
      </c>
      <c r="H31">
        <f>SQRT((F31-D31)^2+(G31-E31)^2)</f>
        <v/>
      </c>
      <c r="I31" t="n">
        <v>0.2173913043478261</v>
      </c>
      <c r="J31">
        <f>H31*I31</f>
        <v/>
      </c>
      <c r="M31">
        <f>IF(OR(K31="",L31=""),"",MAX(K31,L31))</f>
        <v/>
      </c>
      <c r="N31" t="n">
        <v>0.5</v>
      </c>
      <c r="O31" t="inlineStr">
        <is>
          <t>是</t>
        </is>
      </c>
      <c r="P31">
        <f>IF(OR(M31="",M31&lt;=18),"PASS","ANGLE_ALERT")</f>
        <v/>
      </c>
      <c r="Q31" t="inlineStr">
        <is>
          <t>样品2</t>
        </is>
      </c>
    </row>
    <row r="32">
      <c r="A32" t="inlineStr">
        <is>
          <t>2(14)-P01</t>
        </is>
      </c>
      <c r="B32" t="inlineStr">
        <is>
          <t>2 (14).tif</t>
        </is>
      </c>
      <c r="C32" t="inlineStr">
        <is>
          <t>L1</t>
        </is>
      </c>
      <c r="D32" t="n">
        <v>519</v>
      </c>
      <c r="E32" t="n">
        <v>393</v>
      </c>
      <c r="F32" t="n">
        <v>513</v>
      </c>
      <c r="G32" t="n">
        <v>378</v>
      </c>
      <c r="H32">
        <f>SQRT((F32-D32)^2+(G32-E32)^2)</f>
        <v/>
      </c>
      <c r="I32" t="n">
        <v>0.2173913043478261</v>
      </c>
      <c r="J32">
        <f>H32*I32</f>
        <v/>
      </c>
      <c r="M32">
        <f>IF(OR(K32="",L32=""),"",MAX(K32,L32))</f>
        <v/>
      </c>
      <c r="N32" t="n">
        <v>0.5</v>
      </c>
      <c r="O32" t="inlineStr">
        <is>
          <t>是</t>
        </is>
      </c>
      <c r="P32">
        <f>IF(OR(M32="",M32&lt;=18),"PASS","ANGLE_ALERT")</f>
        <v/>
      </c>
      <c r="Q32" t="inlineStr">
        <is>
          <t>样品2</t>
        </is>
      </c>
    </row>
    <row r="33">
      <c r="A33" t="inlineStr">
        <is>
          <t>2(14)-P01</t>
        </is>
      </c>
      <c r="B33" t="inlineStr">
        <is>
          <t>2 (14).tif</t>
        </is>
      </c>
      <c r="C33" t="inlineStr">
        <is>
          <t>L2</t>
        </is>
      </c>
      <c r="D33" t="n">
        <v>531</v>
      </c>
      <c r="E33" t="n">
        <v>391</v>
      </c>
      <c r="F33" t="n">
        <v>526</v>
      </c>
      <c r="G33" t="n">
        <v>375</v>
      </c>
      <c r="H33">
        <f>SQRT((F33-D33)^2+(G33-E33)^2)</f>
        <v/>
      </c>
      <c r="I33" t="n">
        <v>0.2173913043478261</v>
      </c>
      <c r="J33">
        <f>H33*I33</f>
        <v/>
      </c>
      <c r="M33">
        <f>IF(OR(K33="",L33=""),"",MAX(K33,L33))</f>
        <v/>
      </c>
      <c r="N33" t="n">
        <v>0.5</v>
      </c>
      <c r="O33" t="inlineStr">
        <is>
          <t>是</t>
        </is>
      </c>
      <c r="P33">
        <f>IF(OR(M33="",M33&lt;=18),"PASS","ANGLE_ALERT")</f>
        <v/>
      </c>
      <c r="Q33" t="inlineStr">
        <is>
          <t>样品2</t>
        </is>
      </c>
    </row>
    <row r="34">
      <c r="A34" t="inlineStr">
        <is>
          <t>3(1)-P01</t>
        </is>
      </c>
      <c r="B34" t="inlineStr">
        <is>
          <t>3 (1).tif</t>
        </is>
      </c>
      <c r="C34" t="inlineStr">
        <is>
          <t>L1</t>
        </is>
      </c>
      <c r="D34" t="n">
        <v>526</v>
      </c>
      <c r="E34" t="n">
        <v>386</v>
      </c>
      <c r="F34" t="n">
        <v>553</v>
      </c>
      <c r="G34" t="n">
        <v>316</v>
      </c>
      <c r="H34">
        <f>SQRT((F34-D34)^2+(G34-E34)^2)</f>
        <v/>
      </c>
      <c r="I34" t="n">
        <v>0.2173913043478261</v>
      </c>
      <c r="J34">
        <f>H34*I34</f>
        <v/>
      </c>
      <c r="M34">
        <f>IF(OR(K34="",L34=""),"",MAX(K34,L34))</f>
        <v/>
      </c>
      <c r="N34" t="n">
        <v>0.5</v>
      </c>
      <c r="O34" t="inlineStr">
        <is>
          <t>是</t>
        </is>
      </c>
      <c r="P34">
        <f>IF(OR(M34="",M34&lt;=18),"PASS","ANGLE_ALERT")</f>
        <v/>
      </c>
      <c r="Q34" t="inlineStr">
        <is>
          <t>样品3</t>
        </is>
      </c>
    </row>
    <row r="35">
      <c r="A35" t="inlineStr">
        <is>
          <t>3(1)-P01</t>
        </is>
      </c>
      <c r="B35" t="inlineStr">
        <is>
          <t>3 (1).tif</t>
        </is>
      </c>
      <c r="C35" t="inlineStr">
        <is>
          <t>L2</t>
        </is>
      </c>
      <c r="D35" t="n">
        <v>507</v>
      </c>
      <c r="E35" t="n">
        <v>387</v>
      </c>
      <c r="F35" t="n">
        <v>505</v>
      </c>
      <c r="G35" t="n">
        <v>374</v>
      </c>
      <c r="H35">
        <f>SQRT((F35-D35)^2+(G35-E35)^2)</f>
        <v/>
      </c>
      <c r="I35" t="n">
        <v>0.2173913043478261</v>
      </c>
      <c r="J35">
        <f>H35*I35</f>
        <v/>
      </c>
      <c r="M35">
        <f>IF(OR(K35="",L35=""),"",MAX(K35,L35))</f>
        <v/>
      </c>
      <c r="N35" t="n">
        <v>0.5</v>
      </c>
      <c r="O35" t="inlineStr">
        <is>
          <t>是</t>
        </is>
      </c>
      <c r="P35">
        <f>IF(OR(M35="",M35&lt;=18),"PASS","ANGLE_ALERT")</f>
        <v/>
      </c>
      <c r="Q35" t="inlineStr">
        <is>
          <t>样品3</t>
        </is>
      </c>
    </row>
    <row r="36">
      <c r="A36" t="inlineStr">
        <is>
          <t>3(2)-P01</t>
        </is>
      </c>
      <c r="B36" t="inlineStr">
        <is>
          <t>3 (2).tif</t>
        </is>
      </c>
      <c r="C36" t="inlineStr">
        <is>
          <t>L1</t>
        </is>
      </c>
      <c r="D36" t="n">
        <v>460</v>
      </c>
      <c r="E36" t="n">
        <v>354</v>
      </c>
      <c r="F36" t="n">
        <v>458</v>
      </c>
      <c r="G36" t="n">
        <v>372</v>
      </c>
      <c r="H36">
        <f>SQRT((F36-D36)^2+(G36-E36)^2)</f>
        <v/>
      </c>
      <c r="I36" t="n">
        <v>0.2173913043478261</v>
      </c>
      <c r="J36">
        <f>H36*I36</f>
        <v/>
      </c>
      <c r="M36">
        <f>IF(OR(K36="",L36=""),"",MAX(K36,L36))</f>
        <v/>
      </c>
      <c r="N36" t="n">
        <v>0.5</v>
      </c>
      <c r="O36" t="inlineStr">
        <is>
          <t>是</t>
        </is>
      </c>
      <c r="P36">
        <f>IF(OR(M36="",M36&lt;=18),"PASS","ANGLE_ALERT")</f>
        <v/>
      </c>
      <c r="Q36" t="inlineStr">
        <is>
          <t>样品3</t>
        </is>
      </c>
    </row>
    <row r="37">
      <c r="A37" t="inlineStr">
        <is>
          <t>3(2)-P01</t>
        </is>
      </c>
      <c r="B37" t="inlineStr">
        <is>
          <t>3 (2).tif</t>
        </is>
      </c>
      <c r="C37" t="inlineStr">
        <is>
          <t>L2</t>
        </is>
      </c>
      <c r="D37" t="n">
        <v>448</v>
      </c>
      <c r="E37" t="n">
        <v>353</v>
      </c>
      <c r="F37" t="n">
        <v>445</v>
      </c>
      <c r="G37" t="n">
        <v>370</v>
      </c>
      <c r="H37">
        <f>SQRT((F37-D37)^2+(G37-E37)^2)</f>
        <v/>
      </c>
      <c r="I37" t="n">
        <v>0.2173913043478261</v>
      </c>
      <c r="J37">
        <f>H37*I37</f>
        <v/>
      </c>
      <c r="M37">
        <f>IF(OR(K37="",L37=""),"",MAX(K37,L37))</f>
        <v/>
      </c>
      <c r="N37" t="n">
        <v>0.5</v>
      </c>
      <c r="O37" t="inlineStr">
        <is>
          <t>是</t>
        </is>
      </c>
      <c r="P37">
        <f>IF(OR(M37="",M37&lt;=18),"PASS","ANGLE_ALERT")</f>
        <v/>
      </c>
      <c r="Q37" t="inlineStr">
        <is>
          <t>样品3</t>
        </is>
      </c>
    </row>
    <row r="38">
      <c r="A38" t="inlineStr">
        <is>
          <t>3(4)-P01</t>
        </is>
      </c>
      <c r="B38" t="inlineStr">
        <is>
          <t>3 (4).tif</t>
        </is>
      </c>
      <c r="C38" t="inlineStr">
        <is>
          <t>L1</t>
        </is>
      </c>
      <c r="D38" t="n">
        <v>492</v>
      </c>
      <c r="E38" t="n">
        <v>363</v>
      </c>
      <c r="F38" t="n">
        <v>499</v>
      </c>
      <c r="G38" t="n">
        <v>382</v>
      </c>
      <c r="H38">
        <f>SQRT((F38-D38)^2+(G38-E38)^2)</f>
        <v/>
      </c>
      <c r="I38" t="n">
        <v>0.2173913043478261</v>
      </c>
      <c r="J38">
        <f>H38*I38</f>
        <v/>
      </c>
      <c r="M38">
        <f>IF(OR(K38="",L38=""),"",MAX(K38,L38))</f>
        <v/>
      </c>
      <c r="N38" t="n">
        <v>0.5</v>
      </c>
      <c r="O38" t="inlineStr">
        <is>
          <t>是</t>
        </is>
      </c>
      <c r="P38">
        <f>IF(OR(M38="",M38&lt;=18),"PASS","ANGLE_ALERT")</f>
        <v/>
      </c>
      <c r="Q38" t="inlineStr">
        <is>
          <t>样品3</t>
        </is>
      </c>
    </row>
    <row r="39">
      <c r="A39" t="inlineStr">
        <is>
          <t>3(4)-P01</t>
        </is>
      </c>
      <c r="B39" t="inlineStr">
        <is>
          <t>3 (4).tif</t>
        </is>
      </c>
      <c r="C39" t="inlineStr">
        <is>
          <t>L2</t>
        </is>
      </c>
      <c r="D39" t="n">
        <v>480</v>
      </c>
      <c r="E39" t="n">
        <v>369</v>
      </c>
      <c r="F39" t="n">
        <v>486</v>
      </c>
      <c r="G39" t="n">
        <v>388</v>
      </c>
      <c r="H39">
        <f>SQRT((F39-D39)^2+(G39-E39)^2)</f>
        <v/>
      </c>
      <c r="I39" t="n">
        <v>0.2173913043478261</v>
      </c>
      <c r="J39">
        <f>H39*I39</f>
        <v/>
      </c>
      <c r="M39">
        <f>IF(OR(K39="",L39=""),"",MAX(K39,L39))</f>
        <v/>
      </c>
      <c r="N39" t="n">
        <v>0.5</v>
      </c>
      <c r="O39" t="inlineStr">
        <is>
          <t>是</t>
        </is>
      </c>
      <c r="P39">
        <f>IF(OR(M39="",M39&lt;=18),"PASS","ANGLE_ALERT")</f>
        <v/>
      </c>
      <c r="Q39" t="inlineStr">
        <is>
          <t>样品3</t>
        </is>
      </c>
    </row>
    <row r="40">
      <c r="A40" t="inlineStr">
        <is>
          <t>3(5)-P01</t>
        </is>
      </c>
      <c r="B40" t="inlineStr">
        <is>
          <t>3 (5).tif</t>
        </is>
      </c>
      <c r="C40" t="inlineStr">
        <is>
          <t>L1</t>
        </is>
      </c>
      <c r="D40" t="n">
        <v>491</v>
      </c>
      <c r="E40" t="n">
        <v>381</v>
      </c>
      <c r="F40" t="n">
        <v>480</v>
      </c>
      <c r="G40" t="n">
        <v>364</v>
      </c>
      <c r="H40">
        <f>SQRT((F40-D40)^2+(G40-E40)^2)</f>
        <v/>
      </c>
      <c r="I40" t="n">
        <v>0.2173913043478261</v>
      </c>
      <c r="J40">
        <f>H40*I40</f>
        <v/>
      </c>
      <c r="M40">
        <f>IF(OR(K40="",L40=""),"",MAX(K40,L40))</f>
        <v/>
      </c>
      <c r="N40" t="n">
        <v>0.5</v>
      </c>
      <c r="O40" t="inlineStr">
        <is>
          <t>是</t>
        </is>
      </c>
      <c r="P40">
        <f>IF(OR(M40="",M40&lt;=18),"PASS","ANGLE_ALERT")</f>
        <v/>
      </c>
      <c r="Q40" t="inlineStr">
        <is>
          <t>样品3</t>
        </is>
      </c>
    </row>
    <row r="41">
      <c r="A41" t="inlineStr">
        <is>
          <t>3(5)-P01</t>
        </is>
      </c>
      <c r="B41" t="inlineStr">
        <is>
          <t>3 (5).tif</t>
        </is>
      </c>
      <c r="C41" t="inlineStr">
        <is>
          <t>L2</t>
        </is>
      </c>
      <c r="D41" t="n">
        <v>498</v>
      </c>
      <c r="E41" t="n">
        <v>378</v>
      </c>
      <c r="F41" t="n">
        <v>491</v>
      </c>
      <c r="G41" t="n">
        <v>359</v>
      </c>
      <c r="H41">
        <f>SQRT((F41-D41)^2+(G41-E41)^2)</f>
        <v/>
      </c>
      <c r="I41" t="n">
        <v>0.2173913043478261</v>
      </c>
      <c r="J41">
        <f>H41*I41</f>
        <v/>
      </c>
      <c r="M41">
        <f>IF(OR(K41="",L41=""),"",MAX(K41,L41))</f>
        <v/>
      </c>
      <c r="N41" t="n">
        <v>0.5</v>
      </c>
      <c r="O41" t="inlineStr">
        <is>
          <t>是</t>
        </is>
      </c>
      <c r="P41">
        <f>IF(OR(M41="",M41&lt;=18),"PASS","ANGLE_ALERT")</f>
        <v/>
      </c>
      <c r="Q41" t="inlineStr">
        <is>
          <t>样品3</t>
        </is>
      </c>
    </row>
    <row r="42">
      <c r="A42" t="inlineStr">
        <is>
          <t>3(8)-P01</t>
        </is>
      </c>
      <c r="B42" t="inlineStr">
        <is>
          <t>3 (8).tif</t>
        </is>
      </c>
      <c r="C42" t="inlineStr">
        <is>
          <t>L1</t>
        </is>
      </c>
      <c r="D42" t="n">
        <v>522</v>
      </c>
      <c r="E42" t="n">
        <v>320</v>
      </c>
      <c r="F42" t="n">
        <v>536</v>
      </c>
      <c r="G42" t="n">
        <v>318</v>
      </c>
      <c r="H42">
        <f>SQRT((F42-D42)^2+(G42-E42)^2)</f>
        <v/>
      </c>
      <c r="I42" t="n">
        <v>0.2173913043478261</v>
      </c>
      <c r="J42">
        <f>H42*I42</f>
        <v/>
      </c>
      <c r="M42">
        <f>IF(OR(K42="",L42=""),"",MAX(K42,L42))</f>
        <v/>
      </c>
      <c r="N42" t="n">
        <v>0.5</v>
      </c>
      <c r="O42" t="inlineStr">
        <is>
          <t>是</t>
        </is>
      </c>
      <c r="P42">
        <f>IF(OR(M42="",M42&lt;=18),"PASS","ANGLE_ALERT")</f>
        <v/>
      </c>
      <c r="Q42" t="inlineStr">
        <is>
          <t>样品3</t>
        </is>
      </c>
    </row>
    <row r="43">
      <c r="A43" t="inlineStr">
        <is>
          <t>3(8)-P01</t>
        </is>
      </c>
      <c r="B43" t="inlineStr">
        <is>
          <t>3 (8).tif</t>
        </is>
      </c>
      <c r="C43" t="inlineStr">
        <is>
          <t>L2</t>
        </is>
      </c>
      <c r="D43" t="n">
        <v>524</v>
      </c>
      <c r="E43" t="n">
        <v>330</v>
      </c>
      <c r="F43" t="n">
        <v>537</v>
      </c>
      <c r="G43" t="n">
        <v>327</v>
      </c>
      <c r="H43">
        <f>SQRT((F43-D43)^2+(G43-E43)^2)</f>
        <v/>
      </c>
      <c r="I43" t="n">
        <v>0.2173913043478261</v>
      </c>
      <c r="J43">
        <f>H43*I43</f>
        <v/>
      </c>
      <c r="M43">
        <f>IF(OR(K43="",L43=""),"",MAX(K43,L43))</f>
        <v/>
      </c>
      <c r="N43" t="n">
        <v>0.5</v>
      </c>
      <c r="O43" t="inlineStr">
        <is>
          <t>是</t>
        </is>
      </c>
      <c r="P43">
        <f>IF(OR(M43="",M43&lt;=18),"PASS","ANGLE_ALERT")</f>
        <v/>
      </c>
      <c r="Q43" t="inlineStr">
        <is>
          <t>样品3</t>
        </is>
      </c>
    </row>
    <row r="44">
      <c r="A44" t="inlineStr">
        <is>
          <t>3(8)-P01</t>
        </is>
      </c>
      <c r="B44" t="inlineStr">
        <is>
          <t>3 (8).tif</t>
        </is>
      </c>
      <c r="C44" t="inlineStr">
        <is>
          <t>L3</t>
        </is>
      </c>
      <c r="D44" t="n">
        <v>524</v>
      </c>
      <c r="E44" t="n">
        <v>335</v>
      </c>
      <c r="F44" t="n">
        <v>538</v>
      </c>
      <c r="G44" t="n">
        <v>332</v>
      </c>
      <c r="H44">
        <f>SQRT((F44-D44)^2+(G44-E44)^2)</f>
        <v/>
      </c>
      <c r="I44" t="n">
        <v>0.2173913043478261</v>
      </c>
      <c r="J44">
        <f>H44*I44</f>
        <v/>
      </c>
      <c r="M44">
        <f>IF(OR(K44="",L44=""),"",MAX(K44,L44))</f>
        <v/>
      </c>
      <c r="N44" t="n">
        <v>0.5</v>
      </c>
      <c r="O44" t="inlineStr">
        <is>
          <t>是</t>
        </is>
      </c>
      <c r="P44">
        <f>IF(OR(M44="",M44&lt;=18),"PASS","ANGLE_ALERT")</f>
        <v/>
      </c>
      <c r="Q44" t="inlineStr">
        <is>
          <t>样品3</t>
        </is>
      </c>
    </row>
    <row r="45">
      <c r="A45" t="inlineStr">
        <is>
          <t>3(9)-P01</t>
        </is>
      </c>
      <c r="B45" t="inlineStr">
        <is>
          <t>3 (9).tif</t>
        </is>
      </c>
      <c r="C45" t="inlineStr">
        <is>
          <t>L1</t>
        </is>
      </c>
      <c r="D45" t="n">
        <v>492</v>
      </c>
      <c r="E45" t="n">
        <v>361</v>
      </c>
      <c r="F45" t="n">
        <v>470</v>
      </c>
      <c r="G45" t="n">
        <v>353</v>
      </c>
      <c r="H45">
        <f>SQRT((F45-D45)^2+(G45-E45)^2)</f>
        <v/>
      </c>
      <c r="I45" t="n">
        <v>0.2173913043478261</v>
      </c>
      <c r="J45">
        <f>H45*I45</f>
        <v/>
      </c>
      <c r="M45">
        <f>IF(OR(K45="",L45=""),"",MAX(K45,L45))</f>
        <v/>
      </c>
      <c r="N45" t="n">
        <v>0.5</v>
      </c>
      <c r="O45" t="inlineStr">
        <is>
          <t>是</t>
        </is>
      </c>
      <c r="P45">
        <f>IF(OR(M45="",M45&lt;=18),"PASS","ANGLE_ALERT")</f>
        <v/>
      </c>
      <c r="Q45" t="inlineStr">
        <is>
          <t>样品3</t>
        </is>
      </c>
    </row>
    <row r="46">
      <c r="A46" t="inlineStr">
        <is>
          <t>3(9)-P01</t>
        </is>
      </c>
      <c r="B46" t="inlineStr">
        <is>
          <t>3 (9).tif</t>
        </is>
      </c>
      <c r="C46" t="inlineStr">
        <is>
          <t>L2</t>
        </is>
      </c>
      <c r="D46" t="n">
        <v>493</v>
      </c>
      <c r="E46" t="n">
        <v>354</v>
      </c>
      <c r="F46" t="n">
        <v>471</v>
      </c>
      <c r="G46" t="n">
        <v>349</v>
      </c>
      <c r="H46">
        <f>SQRT((F46-D46)^2+(G46-E46)^2)</f>
        <v/>
      </c>
      <c r="I46" t="n">
        <v>0.2173913043478261</v>
      </c>
      <c r="J46">
        <f>H46*I46</f>
        <v/>
      </c>
      <c r="M46">
        <f>IF(OR(K46="",L46=""),"",MAX(K46,L46))</f>
        <v/>
      </c>
      <c r="N46" t="n">
        <v>0.5</v>
      </c>
      <c r="O46" t="inlineStr">
        <is>
          <t>是</t>
        </is>
      </c>
      <c r="P46">
        <f>IF(OR(M46="",M46&lt;=18),"PASS","ANGLE_ALERT")</f>
        <v/>
      </c>
      <c r="Q46" t="inlineStr">
        <is>
          <t>样品3</t>
        </is>
      </c>
    </row>
    <row r="47">
      <c r="A47" t="inlineStr">
        <is>
          <t>3(9)-P01</t>
        </is>
      </c>
      <c r="B47" t="inlineStr">
        <is>
          <t>3 (9).tif</t>
        </is>
      </c>
      <c r="C47" t="inlineStr">
        <is>
          <t>L3</t>
        </is>
      </c>
      <c r="D47" t="n">
        <v>495</v>
      </c>
      <c r="E47" t="n">
        <v>347</v>
      </c>
      <c r="F47" t="n">
        <v>472</v>
      </c>
      <c r="G47" t="n">
        <v>342</v>
      </c>
      <c r="H47">
        <f>SQRT((F47-D47)^2+(G47-E47)^2)</f>
        <v/>
      </c>
      <c r="I47" t="n">
        <v>0.2173913043478261</v>
      </c>
      <c r="J47">
        <f>H47*I47</f>
        <v/>
      </c>
      <c r="M47">
        <f>IF(OR(K47="",L47=""),"",MAX(K47,L47))</f>
        <v/>
      </c>
      <c r="N47" t="n">
        <v>0.5</v>
      </c>
      <c r="O47" t="inlineStr">
        <is>
          <t>是</t>
        </is>
      </c>
      <c r="P47">
        <f>IF(OR(M47="",M47&lt;=18),"PASS","ANGLE_ALERT")</f>
        <v/>
      </c>
      <c r="Q47" t="inlineStr">
        <is>
          <t>样品3</t>
        </is>
      </c>
    </row>
    <row r="48">
      <c r="A48" t="inlineStr">
        <is>
          <t>4(1)-P01</t>
        </is>
      </c>
      <c r="B48" t="inlineStr">
        <is>
          <t>4 (1).tif</t>
        </is>
      </c>
      <c r="C48" t="inlineStr">
        <is>
          <t>L1</t>
        </is>
      </c>
      <c r="D48" t="n">
        <v>496</v>
      </c>
      <c r="E48" t="n">
        <v>371</v>
      </c>
      <c r="F48" t="n">
        <v>508</v>
      </c>
      <c r="G48" t="n">
        <v>352</v>
      </c>
      <c r="H48">
        <f>SQRT((F48-D48)^2+(G48-E48)^2)</f>
        <v/>
      </c>
      <c r="I48" t="n">
        <v>0.2173913043478261</v>
      </c>
      <c r="J48">
        <f>H48*I48</f>
        <v/>
      </c>
      <c r="M48">
        <f>IF(OR(K48="",L48=""),"",MAX(K48,L48))</f>
        <v/>
      </c>
      <c r="N48" t="n">
        <v>0.5</v>
      </c>
      <c r="O48" t="inlineStr">
        <is>
          <t>是</t>
        </is>
      </c>
      <c r="P48">
        <f>IF(OR(M48="",M48&lt;=18),"PASS","ANGLE_ALERT")</f>
        <v/>
      </c>
      <c r="Q48" t="inlineStr">
        <is>
          <t>样品4</t>
        </is>
      </c>
    </row>
    <row r="49">
      <c r="A49" t="inlineStr">
        <is>
          <t>4(1)-P01</t>
        </is>
      </c>
      <c r="B49" t="inlineStr">
        <is>
          <t>4 (1).tif</t>
        </is>
      </c>
      <c r="C49" t="inlineStr">
        <is>
          <t>L2</t>
        </is>
      </c>
      <c r="D49" t="n">
        <v>508</v>
      </c>
      <c r="E49" t="n">
        <v>379</v>
      </c>
      <c r="F49" t="n">
        <v>518</v>
      </c>
      <c r="G49" t="n">
        <v>358</v>
      </c>
      <c r="H49">
        <f>SQRT((F49-D49)^2+(G49-E49)^2)</f>
        <v/>
      </c>
      <c r="I49" t="n">
        <v>0.2173913043478261</v>
      </c>
      <c r="J49">
        <f>H49*I49</f>
        <v/>
      </c>
      <c r="M49">
        <f>IF(OR(K49="",L49=""),"",MAX(K49,L49))</f>
        <v/>
      </c>
      <c r="N49" t="n">
        <v>0.5</v>
      </c>
      <c r="O49" t="inlineStr">
        <is>
          <t>是</t>
        </is>
      </c>
      <c r="P49">
        <f>IF(OR(M49="",M49&lt;=18),"PASS","ANGLE_ALERT")</f>
        <v/>
      </c>
      <c r="Q49" t="inlineStr">
        <is>
          <t>样品4</t>
        </is>
      </c>
    </row>
    <row r="50">
      <c r="A50" t="inlineStr">
        <is>
          <t>4(2)-P01</t>
        </is>
      </c>
      <c r="B50" t="inlineStr">
        <is>
          <t>4 (2).tif</t>
        </is>
      </c>
      <c r="C50" t="inlineStr">
        <is>
          <t>L1</t>
        </is>
      </c>
      <c r="D50" t="n">
        <v>495</v>
      </c>
      <c r="E50" t="n">
        <v>375</v>
      </c>
      <c r="F50" t="n">
        <v>508</v>
      </c>
      <c r="G50" t="n">
        <v>389</v>
      </c>
      <c r="H50">
        <f>SQRT((F50-D50)^2+(G50-E50)^2)</f>
        <v/>
      </c>
      <c r="I50" t="n">
        <v>0.2173913043478261</v>
      </c>
      <c r="J50">
        <f>H50*I50</f>
        <v/>
      </c>
      <c r="M50">
        <f>IF(OR(K50="",L50=""),"",MAX(K50,L50))</f>
        <v/>
      </c>
      <c r="N50" t="n">
        <v>0.5</v>
      </c>
      <c r="O50" t="inlineStr">
        <is>
          <t>是</t>
        </is>
      </c>
      <c r="P50">
        <f>IF(OR(M50="",M50&lt;=18),"PASS","ANGLE_ALERT")</f>
        <v/>
      </c>
      <c r="Q50" t="inlineStr">
        <is>
          <t>样品4</t>
        </is>
      </c>
    </row>
    <row r="51">
      <c r="A51" t="inlineStr">
        <is>
          <t>4(2)-P01</t>
        </is>
      </c>
      <c r="B51" t="inlineStr">
        <is>
          <t>4 (2).tif</t>
        </is>
      </c>
      <c r="C51" t="inlineStr">
        <is>
          <t>L2</t>
        </is>
      </c>
      <c r="D51" t="n">
        <v>504</v>
      </c>
      <c r="E51" t="n">
        <v>364</v>
      </c>
      <c r="F51" t="n">
        <v>540</v>
      </c>
      <c r="G51" t="n">
        <v>375</v>
      </c>
      <c r="H51">
        <f>SQRT((F51-D51)^2+(G51-E51)^2)</f>
        <v/>
      </c>
      <c r="I51" t="n">
        <v>0.2173913043478261</v>
      </c>
      <c r="J51">
        <f>H51*I51</f>
        <v/>
      </c>
      <c r="M51">
        <f>IF(OR(K51="",L51=""),"",MAX(K51,L51))</f>
        <v/>
      </c>
      <c r="N51" t="n">
        <v>0.5</v>
      </c>
      <c r="O51" t="inlineStr">
        <is>
          <t>是</t>
        </is>
      </c>
      <c r="P51">
        <f>IF(OR(M51="",M51&lt;=18),"PASS","ANGLE_ALERT")</f>
        <v/>
      </c>
      <c r="Q51" t="inlineStr">
        <is>
          <t>样品4</t>
        </is>
      </c>
    </row>
    <row r="52">
      <c r="A52" t="inlineStr">
        <is>
          <t>4(4)-P01</t>
        </is>
      </c>
      <c r="B52" t="inlineStr">
        <is>
          <t>4 (4).tif</t>
        </is>
      </c>
      <c r="C52" t="inlineStr">
        <is>
          <t>L1</t>
        </is>
      </c>
      <c r="D52" t="n">
        <v>535</v>
      </c>
      <c r="E52" t="n">
        <v>404</v>
      </c>
      <c r="F52" t="n">
        <v>546</v>
      </c>
      <c r="G52" t="n">
        <v>369</v>
      </c>
      <c r="H52">
        <f>SQRT((F52-D52)^2+(G52-E52)^2)</f>
        <v/>
      </c>
      <c r="I52" t="n">
        <v>0.2173913043478261</v>
      </c>
      <c r="J52">
        <f>H52*I52</f>
        <v/>
      </c>
      <c r="M52">
        <f>IF(OR(K52="",L52=""),"",MAX(K52,L52))</f>
        <v/>
      </c>
      <c r="N52" t="n">
        <v>0.5</v>
      </c>
      <c r="O52" t="inlineStr">
        <is>
          <t>是</t>
        </is>
      </c>
      <c r="P52">
        <f>IF(OR(M52="",M52&lt;=18),"PASS","ANGLE_ALERT")</f>
        <v/>
      </c>
      <c r="Q52" t="inlineStr">
        <is>
          <t>样品4</t>
        </is>
      </c>
    </row>
    <row r="53">
      <c r="A53" t="inlineStr">
        <is>
          <t>4(4)-P01</t>
        </is>
      </c>
      <c r="B53" t="inlineStr">
        <is>
          <t>4 (4).tif</t>
        </is>
      </c>
      <c r="C53" t="inlineStr">
        <is>
          <t>L2</t>
        </is>
      </c>
      <c r="D53" t="n">
        <v>550</v>
      </c>
      <c r="E53" t="n">
        <v>407</v>
      </c>
      <c r="F53" t="n">
        <v>557</v>
      </c>
      <c r="G53" t="n">
        <v>372</v>
      </c>
      <c r="H53">
        <f>SQRT((F53-D53)^2+(G53-E53)^2)</f>
        <v/>
      </c>
      <c r="I53" t="n">
        <v>0.2173913043478261</v>
      </c>
      <c r="J53">
        <f>H53*I53</f>
        <v/>
      </c>
      <c r="M53">
        <f>IF(OR(K53="",L53=""),"",MAX(K53,L53))</f>
        <v/>
      </c>
      <c r="N53" t="n">
        <v>0.5</v>
      </c>
      <c r="O53" t="inlineStr">
        <is>
          <t>是</t>
        </is>
      </c>
      <c r="P53">
        <f>IF(OR(M53="",M53&lt;=18),"PASS","ANGLE_ALERT")</f>
        <v/>
      </c>
      <c r="Q53" t="inlineStr">
        <is>
          <t>样品4</t>
        </is>
      </c>
    </row>
    <row r="54">
      <c r="A54" t="inlineStr">
        <is>
          <t>4(4)-P01</t>
        </is>
      </c>
      <c r="B54" t="inlineStr">
        <is>
          <t>4 (4).tif</t>
        </is>
      </c>
      <c r="C54" t="inlineStr">
        <is>
          <t>L3</t>
        </is>
      </c>
      <c r="D54" t="n">
        <v>560</v>
      </c>
      <c r="E54" t="n">
        <v>410</v>
      </c>
      <c r="F54" t="n">
        <v>564</v>
      </c>
      <c r="G54" t="n">
        <v>373</v>
      </c>
      <c r="H54">
        <f>SQRT((F54-D54)^2+(G54-E54)^2)</f>
        <v/>
      </c>
      <c r="I54" t="n">
        <v>0.2173913043478261</v>
      </c>
      <c r="J54">
        <f>H54*I54</f>
        <v/>
      </c>
      <c r="M54">
        <f>IF(OR(K54="",L54=""),"",MAX(K54,L54))</f>
        <v/>
      </c>
      <c r="N54" t="n">
        <v>0.5</v>
      </c>
      <c r="O54" t="inlineStr">
        <is>
          <t>是</t>
        </is>
      </c>
      <c r="P54">
        <f>IF(OR(M54="",M54&lt;=18),"PASS","ANGLE_ALERT")</f>
        <v/>
      </c>
      <c r="Q54" t="inlineStr">
        <is>
          <t>样品4</t>
        </is>
      </c>
    </row>
    <row r="55">
      <c r="A55" t="inlineStr">
        <is>
          <t>4(6)-P01</t>
        </is>
      </c>
      <c r="B55" t="inlineStr">
        <is>
          <t>4 (6).tif</t>
        </is>
      </c>
      <c r="C55" t="inlineStr">
        <is>
          <t>L1</t>
        </is>
      </c>
      <c r="D55" t="n">
        <v>512</v>
      </c>
      <c r="E55" t="n">
        <v>343</v>
      </c>
      <c r="F55" t="n">
        <v>499</v>
      </c>
      <c r="G55" t="n">
        <v>320</v>
      </c>
      <c r="H55">
        <f>SQRT((F55-D55)^2+(G55-E55)^2)</f>
        <v/>
      </c>
      <c r="I55" t="n">
        <v>0.2173913043478261</v>
      </c>
      <c r="J55">
        <f>H55*I55</f>
        <v/>
      </c>
      <c r="M55">
        <f>IF(OR(K55="",L55=""),"",MAX(K55,L55))</f>
        <v/>
      </c>
      <c r="N55" t="n">
        <v>0.5</v>
      </c>
      <c r="O55" t="inlineStr">
        <is>
          <t>是</t>
        </is>
      </c>
      <c r="P55">
        <f>IF(OR(M55="",M55&lt;=18),"PASS","ANGLE_ALERT")</f>
        <v/>
      </c>
      <c r="Q55" t="inlineStr">
        <is>
          <t>样品4</t>
        </is>
      </c>
    </row>
    <row r="56">
      <c r="A56" t="inlineStr">
        <is>
          <t>4(6)-P01</t>
        </is>
      </c>
      <c r="B56" t="inlineStr">
        <is>
          <t>4 (6).tif</t>
        </is>
      </c>
      <c r="C56" t="inlineStr">
        <is>
          <t>L2</t>
        </is>
      </c>
      <c r="D56" t="n">
        <v>522</v>
      </c>
      <c r="E56" t="n">
        <v>337</v>
      </c>
      <c r="F56" t="n">
        <v>510</v>
      </c>
      <c r="G56" t="n">
        <v>314</v>
      </c>
      <c r="H56">
        <f>SQRT((F56-D56)^2+(G56-E56)^2)</f>
        <v/>
      </c>
      <c r="I56" t="n">
        <v>0.2173913043478261</v>
      </c>
      <c r="J56">
        <f>H56*I56</f>
        <v/>
      </c>
      <c r="M56">
        <f>IF(OR(K56="",L56=""),"",MAX(K56,L56))</f>
        <v/>
      </c>
      <c r="N56" t="n">
        <v>0.5</v>
      </c>
      <c r="O56" t="inlineStr">
        <is>
          <t>是</t>
        </is>
      </c>
      <c r="P56">
        <f>IF(OR(M56="",M56&lt;=18),"PASS","ANGLE_ALERT")</f>
        <v/>
      </c>
      <c r="Q56" t="inlineStr">
        <is>
          <t>样品4</t>
        </is>
      </c>
    </row>
    <row r="57">
      <c r="A57" t="inlineStr">
        <is>
          <t>4(6)-P01</t>
        </is>
      </c>
      <c r="B57" t="inlineStr">
        <is>
          <t>4 (6).tif</t>
        </is>
      </c>
      <c r="C57" t="inlineStr">
        <is>
          <t>L3</t>
        </is>
      </c>
      <c r="D57" t="n">
        <v>529</v>
      </c>
      <c r="E57" t="n">
        <v>333</v>
      </c>
      <c r="F57" t="n">
        <v>515</v>
      </c>
      <c r="G57" t="n">
        <v>310</v>
      </c>
      <c r="H57">
        <f>SQRT((F57-D57)^2+(G57-E57)^2)</f>
        <v/>
      </c>
      <c r="I57" t="n">
        <v>0.2173913043478261</v>
      </c>
      <c r="J57">
        <f>H57*I57</f>
        <v/>
      </c>
      <c r="M57">
        <f>IF(OR(K57="",L57=""),"",MAX(K57,L57))</f>
        <v/>
      </c>
      <c r="N57" t="n">
        <v>0.5</v>
      </c>
      <c r="O57" t="inlineStr">
        <is>
          <t>是</t>
        </is>
      </c>
      <c r="P57">
        <f>IF(OR(M57="",M57&lt;=18),"PASS","ANGLE_ALERT")</f>
        <v/>
      </c>
      <c r="Q57" t="inlineStr">
        <is>
          <t>样品4</t>
        </is>
      </c>
    </row>
    <row r="58">
      <c r="A58" t="inlineStr">
        <is>
          <t>5(2)-P01</t>
        </is>
      </c>
      <c r="B58" t="inlineStr">
        <is>
          <t>5 (2).tif</t>
        </is>
      </c>
      <c r="C58" t="inlineStr">
        <is>
          <t>L1</t>
        </is>
      </c>
      <c r="D58" t="n">
        <v>532</v>
      </c>
      <c r="E58" t="n">
        <v>393</v>
      </c>
      <c r="F58" t="n">
        <v>516</v>
      </c>
      <c r="G58" t="n">
        <v>389</v>
      </c>
      <c r="H58">
        <f>SQRT((F58-D58)^2+(G58-E58)^2)</f>
        <v/>
      </c>
      <c r="I58" t="n">
        <v>0.2173913043478261</v>
      </c>
      <c r="J58">
        <f>H58*I58</f>
        <v/>
      </c>
      <c r="M58">
        <f>IF(OR(K58="",L58=""),"",MAX(K58,L58))</f>
        <v/>
      </c>
      <c r="N58" t="n">
        <v>0.5</v>
      </c>
      <c r="O58" t="inlineStr">
        <is>
          <t>是</t>
        </is>
      </c>
      <c r="P58">
        <f>IF(OR(M58="",M58&lt;=18),"PASS","ANGLE_ALERT")</f>
        <v/>
      </c>
      <c r="Q58" t="inlineStr">
        <is>
          <t>样品5</t>
        </is>
      </c>
    </row>
    <row r="59">
      <c r="A59" t="inlineStr">
        <is>
          <t>5(2)-P01</t>
        </is>
      </c>
      <c r="B59" t="inlineStr">
        <is>
          <t>5 (2).tif</t>
        </is>
      </c>
      <c r="C59" t="inlineStr">
        <is>
          <t>L2</t>
        </is>
      </c>
      <c r="D59" t="n">
        <v>533</v>
      </c>
      <c r="E59" t="n">
        <v>383</v>
      </c>
      <c r="F59" t="n">
        <v>518</v>
      </c>
      <c r="G59" t="n">
        <v>381</v>
      </c>
      <c r="H59">
        <f>SQRT((F59-D59)^2+(G59-E59)^2)</f>
        <v/>
      </c>
      <c r="I59" t="n">
        <v>0.2173913043478261</v>
      </c>
      <c r="J59">
        <f>H59*I59</f>
        <v/>
      </c>
      <c r="M59">
        <f>IF(OR(K59="",L59=""),"",MAX(K59,L59))</f>
        <v/>
      </c>
      <c r="N59" t="n">
        <v>0.5</v>
      </c>
      <c r="O59" t="inlineStr">
        <is>
          <t>是</t>
        </is>
      </c>
      <c r="P59">
        <f>IF(OR(M59="",M59&lt;=18),"PASS","ANGLE_ALERT")</f>
        <v/>
      </c>
      <c r="Q59" t="inlineStr">
        <is>
          <t>样品5</t>
        </is>
      </c>
    </row>
    <row r="60">
      <c r="A60" t="inlineStr">
        <is>
          <t>5(3)-P01</t>
        </is>
      </c>
      <c r="B60" t="inlineStr">
        <is>
          <t>5 (3).tif</t>
        </is>
      </c>
      <c r="C60" t="inlineStr">
        <is>
          <t>L1</t>
        </is>
      </c>
      <c r="D60" t="n">
        <v>496</v>
      </c>
      <c r="E60" t="n">
        <v>383</v>
      </c>
      <c r="F60" t="n">
        <v>475</v>
      </c>
      <c r="G60" t="n">
        <v>363</v>
      </c>
      <c r="H60">
        <f>SQRT((F60-D60)^2+(G60-E60)^2)</f>
        <v/>
      </c>
      <c r="I60" t="n">
        <v>0.2173913043478261</v>
      </c>
      <c r="J60">
        <f>H60*I60</f>
        <v/>
      </c>
      <c r="M60">
        <f>IF(OR(K60="",L60=""),"",MAX(K60,L60))</f>
        <v/>
      </c>
      <c r="N60" t="n">
        <v>0.5</v>
      </c>
      <c r="O60" t="inlineStr">
        <is>
          <t>是</t>
        </is>
      </c>
      <c r="P60">
        <f>IF(OR(M60="",M60&lt;=18),"PASS","ANGLE_ALERT")</f>
        <v/>
      </c>
      <c r="Q60" t="inlineStr">
        <is>
          <t>样品5</t>
        </is>
      </c>
    </row>
    <row r="61">
      <c r="A61" t="inlineStr">
        <is>
          <t>5(3)-P01</t>
        </is>
      </c>
      <c r="B61" t="inlineStr">
        <is>
          <t>5 (3).tif</t>
        </is>
      </c>
      <c r="C61" t="inlineStr">
        <is>
          <t>L2</t>
        </is>
      </c>
      <c r="D61" t="n">
        <v>505</v>
      </c>
      <c r="E61" t="n">
        <v>372</v>
      </c>
      <c r="F61" t="n">
        <v>485</v>
      </c>
      <c r="G61" t="n">
        <v>352</v>
      </c>
      <c r="H61">
        <f>SQRT((F61-D61)^2+(G61-E61)^2)</f>
        <v/>
      </c>
      <c r="I61" t="n">
        <v>0.2173913043478261</v>
      </c>
      <c r="J61">
        <f>H61*I61</f>
        <v/>
      </c>
      <c r="M61">
        <f>IF(OR(K61="",L61=""),"",MAX(K61,L61))</f>
        <v/>
      </c>
      <c r="N61" t="n">
        <v>0.5</v>
      </c>
      <c r="O61" t="inlineStr">
        <is>
          <t>是</t>
        </is>
      </c>
      <c r="P61">
        <f>IF(OR(M61="",M61&lt;=18),"PASS","ANGLE_ALERT")</f>
        <v/>
      </c>
      <c r="Q61" t="inlineStr">
        <is>
          <t>样品5</t>
        </is>
      </c>
    </row>
    <row r="62">
      <c r="A62" t="inlineStr">
        <is>
          <t>6(1)-P01</t>
        </is>
      </c>
      <c r="B62" t="inlineStr">
        <is>
          <t>6 (1).tif</t>
        </is>
      </c>
      <c r="C62" t="inlineStr">
        <is>
          <t>L1</t>
        </is>
      </c>
      <c r="D62" t="n">
        <v>381</v>
      </c>
      <c r="E62" t="n">
        <v>509</v>
      </c>
      <c r="F62" t="n">
        <v>372</v>
      </c>
      <c r="G62" t="n">
        <v>509</v>
      </c>
      <c r="H62">
        <f>SQRT((F62-D62)^2+(G62-E62)^2)</f>
        <v/>
      </c>
      <c r="I62" t="n">
        <v>0.2173913043478261</v>
      </c>
      <c r="J62">
        <f>H62*I62</f>
        <v/>
      </c>
      <c r="M62">
        <f>IF(OR(K62="",L62=""),"",MAX(K62,L62))</f>
        <v/>
      </c>
      <c r="N62" t="n">
        <v>0.5</v>
      </c>
      <c r="O62" t="inlineStr">
        <is>
          <t>是</t>
        </is>
      </c>
      <c r="P62">
        <f>IF(OR(M62="",M62&lt;=18),"PASS","ANGLE_ALERT")</f>
        <v/>
      </c>
      <c r="Q62" t="inlineStr">
        <is>
          <t>样品6</t>
        </is>
      </c>
    </row>
    <row r="63">
      <c r="A63" t="inlineStr">
        <is>
          <t>6(1)-P01</t>
        </is>
      </c>
      <c r="B63" t="inlineStr">
        <is>
          <t>6 (1).tif</t>
        </is>
      </c>
      <c r="C63" t="inlineStr">
        <is>
          <t>L2</t>
        </is>
      </c>
      <c r="D63" t="n">
        <v>381</v>
      </c>
      <c r="E63" t="n">
        <v>519</v>
      </c>
      <c r="F63" t="n">
        <v>371</v>
      </c>
      <c r="G63" t="n">
        <v>526</v>
      </c>
      <c r="H63">
        <f>SQRT((F63-D63)^2+(G63-E63)^2)</f>
        <v/>
      </c>
      <c r="I63" t="n">
        <v>0.2173913043478261</v>
      </c>
      <c r="J63">
        <f>H63*I63</f>
        <v/>
      </c>
      <c r="M63">
        <f>IF(OR(K63="",L63=""),"",MAX(K63,L63))</f>
        <v/>
      </c>
      <c r="N63" t="n">
        <v>0.5</v>
      </c>
      <c r="O63" t="inlineStr">
        <is>
          <t>是</t>
        </is>
      </c>
      <c r="P63">
        <f>IF(OR(M63="",M63&lt;=18),"PASS","ANGLE_ALERT")</f>
        <v/>
      </c>
      <c r="Q63" t="inlineStr">
        <is>
          <t>样品6</t>
        </is>
      </c>
    </row>
    <row r="64">
      <c r="A64" t="inlineStr">
        <is>
          <t>6(3)-P01</t>
        </is>
      </c>
      <c r="B64" t="inlineStr">
        <is>
          <t>6 (3).tif</t>
        </is>
      </c>
      <c r="C64" t="inlineStr">
        <is>
          <t>L1</t>
        </is>
      </c>
      <c r="D64" t="n">
        <v>390</v>
      </c>
      <c r="E64" t="n">
        <v>210</v>
      </c>
      <c r="F64" t="n">
        <v>390</v>
      </c>
      <c r="G64" t="n">
        <v>187</v>
      </c>
      <c r="H64">
        <f>SQRT((F64-D64)^2+(G64-E64)^2)</f>
        <v/>
      </c>
      <c r="I64" t="n">
        <v>0.2173913043478261</v>
      </c>
      <c r="J64">
        <f>H64*I64</f>
        <v/>
      </c>
      <c r="M64">
        <f>IF(OR(K64="",L64=""),"",MAX(K64,L64))</f>
        <v/>
      </c>
      <c r="N64" t="n">
        <v>0.5</v>
      </c>
      <c r="O64" t="inlineStr">
        <is>
          <t>是</t>
        </is>
      </c>
      <c r="P64">
        <f>IF(OR(M64="",M64&lt;=18),"PASS","ANGLE_ALERT")</f>
        <v/>
      </c>
      <c r="Q64" t="inlineStr">
        <is>
          <t>样品6</t>
        </is>
      </c>
    </row>
    <row r="65">
      <c r="A65" t="inlineStr">
        <is>
          <t>6(3)-P01</t>
        </is>
      </c>
      <c r="B65" t="inlineStr">
        <is>
          <t>6 (3).tif</t>
        </is>
      </c>
      <c r="C65" t="inlineStr">
        <is>
          <t>L2</t>
        </is>
      </c>
      <c r="D65" t="n">
        <v>401</v>
      </c>
      <c r="E65" t="n">
        <v>212</v>
      </c>
      <c r="F65" t="n">
        <v>404</v>
      </c>
      <c r="G65" t="n">
        <v>188</v>
      </c>
      <c r="H65">
        <f>SQRT((F65-D65)^2+(G65-E65)^2)</f>
        <v/>
      </c>
      <c r="I65" t="n">
        <v>0.2173913043478261</v>
      </c>
      <c r="J65">
        <f>H65*I65</f>
        <v/>
      </c>
      <c r="M65">
        <f>IF(OR(K65="",L65=""),"",MAX(K65,L65))</f>
        <v/>
      </c>
      <c r="N65" t="n">
        <v>0.5</v>
      </c>
      <c r="O65" t="inlineStr">
        <is>
          <t>是</t>
        </is>
      </c>
      <c r="P65">
        <f>IF(OR(M65="",M65&lt;=18),"PASS","ANGLE_ALERT")</f>
        <v/>
      </c>
      <c r="Q65" t="inlineStr">
        <is>
          <t>样品6</t>
        </is>
      </c>
    </row>
    <row r="66">
      <c r="A66" t="inlineStr">
        <is>
          <t>6(4)-P01</t>
        </is>
      </c>
      <c r="B66" t="inlineStr">
        <is>
          <t>6 (4).tif</t>
        </is>
      </c>
      <c r="C66" t="inlineStr">
        <is>
          <t>L1</t>
        </is>
      </c>
      <c r="D66" t="n">
        <v>490</v>
      </c>
      <c r="E66" t="n">
        <v>377</v>
      </c>
      <c r="F66" t="n">
        <v>471</v>
      </c>
      <c r="G66" t="n">
        <v>404</v>
      </c>
      <c r="H66">
        <f>SQRT((F66-D66)^2+(G66-E66)^2)</f>
        <v/>
      </c>
      <c r="I66" t="n">
        <v>0.2173913043478261</v>
      </c>
      <c r="J66">
        <f>H66*I66</f>
        <v/>
      </c>
      <c r="M66">
        <f>IF(OR(K66="",L66=""),"",MAX(K66,L66))</f>
        <v/>
      </c>
      <c r="N66" t="n">
        <v>0.5</v>
      </c>
      <c r="O66" t="inlineStr">
        <is>
          <t>是</t>
        </is>
      </c>
      <c r="P66">
        <f>IF(OR(M66="",M66&lt;=18),"PASS","ANGLE_ALERT")</f>
        <v/>
      </c>
      <c r="Q66" t="inlineStr">
        <is>
          <t>样品6</t>
        </is>
      </c>
    </row>
    <row r="67">
      <c r="A67" t="inlineStr">
        <is>
          <t>6(4)-P01</t>
        </is>
      </c>
      <c r="B67" t="inlineStr">
        <is>
          <t>6 (4).tif</t>
        </is>
      </c>
      <c r="C67" t="inlineStr">
        <is>
          <t>L2</t>
        </is>
      </c>
      <c r="D67" t="n">
        <v>483</v>
      </c>
      <c r="E67" t="n">
        <v>373</v>
      </c>
      <c r="F67" t="n">
        <v>463</v>
      </c>
      <c r="G67" t="n">
        <v>396</v>
      </c>
      <c r="H67">
        <f>SQRT((F67-D67)^2+(G67-E67)^2)</f>
        <v/>
      </c>
      <c r="I67" t="n">
        <v>0.2173913043478261</v>
      </c>
      <c r="J67">
        <f>H67*I67</f>
        <v/>
      </c>
      <c r="M67">
        <f>IF(OR(K67="",L67=""),"",MAX(K67,L67))</f>
        <v/>
      </c>
      <c r="N67" t="n">
        <v>0.5</v>
      </c>
      <c r="O67" t="inlineStr">
        <is>
          <t>是</t>
        </is>
      </c>
      <c r="P67">
        <f>IF(OR(M67="",M67&lt;=18),"PASS","ANGLE_ALERT")</f>
        <v/>
      </c>
      <c r="Q67" t="inlineStr">
        <is>
          <t>样品6</t>
        </is>
      </c>
    </row>
    <row r="68">
      <c r="A68" t="inlineStr">
        <is>
          <t>6(4)-P01</t>
        </is>
      </c>
      <c r="B68" t="inlineStr">
        <is>
          <t>6 (4).tif</t>
        </is>
      </c>
      <c r="C68" t="inlineStr">
        <is>
          <t>L3</t>
        </is>
      </c>
      <c r="D68" t="n">
        <v>477</v>
      </c>
      <c r="E68" t="n">
        <v>368</v>
      </c>
      <c r="F68" t="n">
        <v>457</v>
      </c>
      <c r="G68" t="n">
        <v>391</v>
      </c>
      <c r="H68">
        <f>SQRT((F68-D68)^2+(G68-E68)^2)</f>
        <v/>
      </c>
      <c r="I68" t="n">
        <v>0.2173913043478261</v>
      </c>
      <c r="J68">
        <f>H68*I68</f>
        <v/>
      </c>
      <c r="M68">
        <f>IF(OR(K68="",L68=""),"",MAX(K68,L68))</f>
        <v/>
      </c>
      <c r="N68" t="n">
        <v>0.5</v>
      </c>
      <c r="O68" t="inlineStr">
        <is>
          <t>是</t>
        </is>
      </c>
      <c r="P68">
        <f>IF(OR(M68="",M68&lt;=18),"PASS","ANGLE_ALERT")</f>
        <v/>
      </c>
      <c r="Q68" t="inlineStr">
        <is>
          <t>样品6</t>
        </is>
      </c>
    </row>
    <row r="69">
      <c r="A69" t="inlineStr">
        <is>
          <t>6(7)-P01</t>
        </is>
      </c>
      <c r="B69" t="inlineStr">
        <is>
          <t>6 (7).tif</t>
        </is>
      </c>
      <c r="C69" t="inlineStr">
        <is>
          <t>L1</t>
        </is>
      </c>
      <c r="D69" t="n">
        <v>495</v>
      </c>
      <c r="E69" t="n">
        <v>366</v>
      </c>
      <c r="F69" t="n">
        <v>509</v>
      </c>
      <c r="G69" t="n">
        <v>357</v>
      </c>
      <c r="H69">
        <f>SQRT((F69-D69)^2+(G69-E69)^2)</f>
        <v/>
      </c>
      <c r="I69" t="n">
        <v>0.2173913043478261</v>
      </c>
      <c r="J69">
        <f>H69*I69</f>
        <v/>
      </c>
      <c r="M69">
        <f>IF(OR(K69="",L69=""),"",MAX(K69,L69))</f>
        <v/>
      </c>
      <c r="N69" t="n">
        <v>0.5</v>
      </c>
      <c r="O69" t="inlineStr">
        <is>
          <t>是</t>
        </is>
      </c>
      <c r="P69">
        <f>IF(OR(M69="",M69&lt;=18),"PASS","ANGLE_ALERT")</f>
        <v/>
      </c>
      <c r="Q69" t="inlineStr">
        <is>
          <t>样品6</t>
        </is>
      </c>
    </row>
    <row r="70">
      <c r="A70" t="inlineStr">
        <is>
          <t>6(7)-P01</t>
        </is>
      </c>
      <c r="B70" t="inlineStr">
        <is>
          <t>6 (7).tif</t>
        </is>
      </c>
      <c r="C70" t="inlineStr">
        <is>
          <t>L2</t>
        </is>
      </c>
      <c r="D70" t="n">
        <v>496</v>
      </c>
      <c r="E70" t="n">
        <v>375</v>
      </c>
      <c r="F70" t="n">
        <v>509</v>
      </c>
      <c r="G70" t="n">
        <v>370</v>
      </c>
      <c r="H70">
        <f>SQRT((F70-D70)^2+(G70-E70)^2)</f>
        <v/>
      </c>
      <c r="I70" t="n">
        <v>0.2173913043478261</v>
      </c>
      <c r="J70">
        <f>H70*I70</f>
        <v/>
      </c>
      <c r="M70">
        <f>IF(OR(K70="",L70=""),"",MAX(K70,L70))</f>
        <v/>
      </c>
      <c r="N70" t="n">
        <v>0.5</v>
      </c>
      <c r="O70" t="inlineStr">
        <is>
          <t>是</t>
        </is>
      </c>
      <c r="P70">
        <f>IF(OR(M70="",M70&lt;=18),"PASS","ANGLE_ALERT")</f>
        <v/>
      </c>
      <c r="Q70" t="inlineStr">
        <is>
          <t>样品6</t>
        </is>
      </c>
    </row>
    <row r="71">
      <c r="A71" t="inlineStr">
        <is>
          <t>6(7)-P01</t>
        </is>
      </c>
      <c r="B71" t="inlineStr">
        <is>
          <t>6 (7).tif</t>
        </is>
      </c>
      <c r="C71" t="inlineStr">
        <is>
          <t>L3</t>
        </is>
      </c>
      <c r="D71" t="n">
        <v>497</v>
      </c>
      <c r="E71" t="n">
        <v>376</v>
      </c>
      <c r="F71" t="n">
        <v>510</v>
      </c>
      <c r="G71" t="n">
        <v>374</v>
      </c>
      <c r="H71">
        <f>SQRT((F71-D71)^2+(G71-E71)^2)</f>
        <v/>
      </c>
      <c r="I71" t="n">
        <v>0.2173913043478261</v>
      </c>
      <c r="J71">
        <f>H71*I71</f>
        <v/>
      </c>
      <c r="M71">
        <f>IF(OR(K71="",L71=""),"",MAX(K71,L71))</f>
        <v/>
      </c>
      <c r="N71" t="n">
        <v>0.5</v>
      </c>
      <c r="O71" t="inlineStr">
        <is>
          <t>是</t>
        </is>
      </c>
      <c r="P71">
        <f>IF(OR(M71="",M71&lt;=18),"PASS","ANGLE_ALERT")</f>
        <v/>
      </c>
      <c r="Q71" t="inlineStr">
        <is>
          <t>样品6</t>
        </is>
      </c>
    </row>
    <row r="72">
      <c r="A72" t="inlineStr">
        <is>
          <t>6(9)-P01</t>
        </is>
      </c>
      <c r="B72" t="inlineStr">
        <is>
          <t>6 (9).tif</t>
        </is>
      </c>
      <c r="C72" t="inlineStr">
        <is>
          <t>L1</t>
        </is>
      </c>
      <c r="D72" t="n">
        <v>803</v>
      </c>
      <c r="E72" t="n">
        <v>190</v>
      </c>
      <c r="F72" t="n">
        <v>781</v>
      </c>
      <c r="G72" t="n">
        <v>180</v>
      </c>
      <c r="H72">
        <f>SQRT((F72-D72)^2+(G72-E72)^2)</f>
        <v/>
      </c>
      <c r="I72" t="n">
        <v>0.2173913043478261</v>
      </c>
      <c r="J72">
        <f>H72*I72</f>
        <v/>
      </c>
      <c r="M72">
        <f>IF(OR(K72="",L72=""),"",MAX(K72,L72))</f>
        <v/>
      </c>
      <c r="N72" t="n">
        <v>0.5</v>
      </c>
      <c r="O72" t="inlineStr">
        <is>
          <t>是</t>
        </is>
      </c>
      <c r="P72">
        <f>IF(OR(M72="",M72&lt;=18),"PASS","ANGLE_ALERT")</f>
        <v/>
      </c>
      <c r="Q72" t="inlineStr">
        <is>
          <t>样品6</t>
        </is>
      </c>
    </row>
    <row r="73">
      <c r="A73" t="inlineStr">
        <is>
          <t>6(9)-P01</t>
        </is>
      </c>
      <c r="B73" t="inlineStr">
        <is>
          <t>6 (9).tif</t>
        </is>
      </c>
      <c r="C73" t="inlineStr">
        <is>
          <t>L2</t>
        </is>
      </c>
      <c r="D73" t="n">
        <v>800</v>
      </c>
      <c r="E73" t="n">
        <v>205</v>
      </c>
      <c r="F73" t="n">
        <v>739</v>
      </c>
      <c r="G73" t="n">
        <v>210</v>
      </c>
      <c r="H73">
        <f>SQRT((F73-D73)^2+(G73-E73)^2)</f>
        <v/>
      </c>
      <c r="I73" t="n">
        <v>0.2173913043478261</v>
      </c>
      <c r="J73">
        <f>H73*I73</f>
        <v/>
      </c>
      <c r="M73">
        <f>IF(OR(K73="",L73=""),"",MAX(K73,L73))</f>
        <v/>
      </c>
      <c r="N73" t="n">
        <v>0.5</v>
      </c>
      <c r="O73" t="inlineStr">
        <is>
          <t>是</t>
        </is>
      </c>
      <c r="P73">
        <f>IF(OR(M73="",M73&lt;=18),"PASS","ANGLE_ALERT")</f>
        <v/>
      </c>
      <c r="Q73" t="inlineStr">
        <is>
          <t>样品6</t>
        </is>
      </c>
    </row>
    <row r="74">
      <c r="A74" t="inlineStr">
        <is>
          <t>6(9)-P01</t>
        </is>
      </c>
      <c r="B74" t="inlineStr">
        <is>
          <t>6 (9).tif</t>
        </is>
      </c>
      <c r="C74" t="inlineStr">
        <is>
          <t>L3</t>
        </is>
      </c>
      <c r="D74" t="n">
        <v>808</v>
      </c>
      <c r="E74" t="n">
        <v>180</v>
      </c>
      <c r="F74" t="n">
        <v>785</v>
      </c>
      <c r="G74" t="n">
        <v>171</v>
      </c>
      <c r="H74">
        <f>SQRT((F74-D74)^2+(G74-E74)^2)</f>
        <v/>
      </c>
      <c r="I74" t="n">
        <v>0.2173913043478261</v>
      </c>
      <c r="J74">
        <f>H74*I74</f>
        <v/>
      </c>
      <c r="M74">
        <f>IF(OR(K74="",L74=""),"",MAX(K74,L74))</f>
        <v/>
      </c>
      <c r="N74" t="n">
        <v>0.5</v>
      </c>
      <c r="O74" t="inlineStr">
        <is>
          <t>是</t>
        </is>
      </c>
      <c r="P74">
        <f>IF(OR(M74="",M74&lt;=18),"PASS","ANGLE_ALERT")</f>
        <v/>
      </c>
      <c r="Q74" t="inlineStr">
        <is>
          <t>样品6</t>
        </is>
      </c>
    </row>
    <row r="75">
      <c r="A75" t="inlineStr">
        <is>
          <t>6(10)-P01</t>
        </is>
      </c>
      <c r="B75" t="inlineStr">
        <is>
          <t>6 (10).tif</t>
        </is>
      </c>
      <c r="C75" t="inlineStr">
        <is>
          <t>L1</t>
        </is>
      </c>
      <c r="D75" t="n">
        <v>528</v>
      </c>
      <c r="E75" t="n">
        <v>370</v>
      </c>
      <c r="F75" t="n">
        <v>499</v>
      </c>
      <c r="G75" t="n">
        <v>381</v>
      </c>
      <c r="H75">
        <f>SQRT((F75-D75)^2+(G75-E75)^2)</f>
        <v/>
      </c>
      <c r="I75" t="n">
        <v>0.2173913043478261</v>
      </c>
      <c r="J75">
        <f>H75*I75</f>
        <v/>
      </c>
      <c r="M75">
        <f>IF(OR(K75="",L75=""),"",MAX(K75,L75))</f>
        <v/>
      </c>
      <c r="N75" t="n">
        <v>0.5</v>
      </c>
      <c r="O75" t="inlineStr">
        <is>
          <t>是</t>
        </is>
      </c>
      <c r="P75">
        <f>IF(OR(M75="",M75&lt;=18),"PASS","ANGLE_ALERT")</f>
        <v/>
      </c>
      <c r="Q75" t="inlineStr">
        <is>
          <t>样品6</t>
        </is>
      </c>
    </row>
    <row r="76">
      <c r="A76" t="inlineStr">
        <is>
          <t>6(10)-P01</t>
        </is>
      </c>
      <c r="B76" t="inlineStr">
        <is>
          <t>6 (10).tif</t>
        </is>
      </c>
      <c r="C76" t="inlineStr">
        <is>
          <t>L2</t>
        </is>
      </c>
      <c r="D76" t="n">
        <v>524</v>
      </c>
      <c r="E76" t="n">
        <v>362</v>
      </c>
      <c r="F76" t="n">
        <v>497</v>
      </c>
      <c r="G76" t="n">
        <v>374</v>
      </c>
      <c r="H76">
        <f>SQRT((F76-D76)^2+(G76-E76)^2)</f>
        <v/>
      </c>
      <c r="I76" t="n">
        <v>0.2173913043478261</v>
      </c>
      <c r="J76">
        <f>H76*I76</f>
        <v/>
      </c>
      <c r="M76">
        <f>IF(OR(K76="",L76=""),"",MAX(K76,L76))</f>
        <v/>
      </c>
      <c r="N76" t="n">
        <v>0.5</v>
      </c>
      <c r="O76" t="inlineStr">
        <is>
          <t>是</t>
        </is>
      </c>
      <c r="P76">
        <f>IF(OR(M76="",M76&lt;=18),"PASS","ANGLE_ALERT")</f>
        <v/>
      </c>
      <c r="Q76" t="inlineStr">
        <is>
          <t>样品6</t>
        </is>
      </c>
    </row>
    <row r="77">
      <c r="A77" t="inlineStr">
        <is>
          <t>6(10)-P01</t>
        </is>
      </c>
      <c r="B77" t="inlineStr">
        <is>
          <t>6 (10).tif</t>
        </is>
      </c>
      <c r="C77" t="inlineStr">
        <is>
          <t>L3</t>
        </is>
      </c>
      <c r="D77" t="n">
        <v>520</v>
      </c>
      <c r="E77" t="n">
        <v>353</v>
      </c>
      <c r="F77" t="n">
        <v>492</v>
      </c>
      <c r="G77" t="n">
        <v>363</v>
      </c>
      <c r="H77">
        <f>SQRT((F77-D77)^2+(G77-E77)^2)</f>
        <v/>
      </c>
      <c r="I77" t="n">
        <v>0.2173913043478261</v>
      </c>
      <c r="J77">
        <f>H77*I77</f>
        <v/>
      </c>
      <c r="M77">
        <f>IF(OR(K77="",L77=""),"",MAX(K77,L77))</f>
        <v/>
      </c>
      <c r="N77" t="n">
        <v>0.5</v>
      </c>
      <c r="O77" t="inlineStr">
        <is>
          <t>是</t>
        </is>
      </c>
      <c r="P77">
        <f>IF(OR(M77="",M77&lt;=18),"PASS","ANGLE_ALERT")</f>
        <v/>
      </c>
      <c r="Q77" t="inlineStr">
        <is>
          <t>样品6</t>
        </is>
      </c>
    </row>
    <row r="78">
      <c r="A78" t="inlineStr">
        <is>
          <t>6(11)-P01</t>
        </is>
      </c>
      <c r="B78" t="inlineStr">
        <is>
          <t>6 (11).tif</t>
        </is>
      </c>
      <c r="C78" t="inlineStr">
        <is>
          <t>L1</t>
        </is>
      </c>
      <c r="D78" t="n">
        <v>512</v>
      </c>
      <c r="E78" t="n">
        <v>388</v>
      </c>
      <c r="F78" t="n">
        <v>493</v>
      </c>
      <c r="G78" t="n">
        <v>386</v>
      </c>
      <c r="H78">
        <f>SQRT((F78-D78)^2+(G78-E78)^2)</f>
        <v/>
      </c>
      <c r="I78" t="n">
        <v>0.2173913043478261</v>
      </c>
      <c r="J78">
        <f>H78*I78</f>
        <v/>
      </c>
      <c r="M78">
        <f>IF(OR(K78="",L78=""),"",MAX(K78,L78))</f>
        <v/>
      </c>
      <c r="N78" t="n">
        <v>0.5</v>
      </c>
      <c r="O78" t="inlineStr">
        <is>
          <t>是</t>
        </is>
      </c>
      <c r="P78">
        <f>IF(OR(M78="",M78&lt;=18),"PASS","ANGLE_ALERT")</f>
        <v/>
      </c>
      <c r="Q78" t="inlineStr">
        <is>
          <t>样品6</t>
        </is>
      </c>
    </row>
    <row r="79">
      <c r="A79" t="inlineStr">
        <is>
          <t>6(11)-P01</t>
        </is>
      </c>
      <c r="B79" t="inlineStr">
        <is>
          <t>6 (11).tif</t>
        </is>
      </c>
      <c r="C79" t="inlineStr">
        <is>
          <t>L2</t>
        </is>
      </c>
      <c r="D79" t="n">
        <v>512</v>
      </c>
      <c r="E79" t="n">
        <v>379</v>
      </c>
      <c r="F79" t="n">
        <v>494</v>
      </c>
      <c r="G79" t="n">
        <v>379</v>
      </c>
      <c r="H79">
        <f>SQRT((F79-D79)^2+(G79-E79)^2)</f>
        <v/>
      </c>
      <c r="I79" t="n">
        <v>0.2173913043478261</v>
      </c>
      <c r="J79">
        <f>H79*I79</f>
        <v/>
      </c>
      <c r="M79">
        <f>IF(OR(K79="",L79=""),"",MAX(K79,L79))</f>
        <v/>
      </c>
      <c r="N79" t="n">
        <v>0.5</v>
      </c>
      <c r="O79" t="inlineStr">
        <is>
          <t>是</t>
        </is>
      </c>
      <c r="P79">
        <f>IF(OR(M79="",M79&lt;=18),"PASS","ANGLE_ALERT")</f>
        <v/>
      </c>
      <c r="Q79" t="inlineStr">
        <is>
          <t>样品6</t>
        </is>
      </c>
    </row>
    <row r="80">
      <c r="A80" t="inlineStr">
        <is>
          <t>6(11)-P01</t>
        </is>
      </c>
      <c r="B80" t="inlineStr">
        <is>
          <t>6 (11).tif</t>
        </is>
      </c>
      <c r="C80" t="inlineStr">
        <is>
          <t>L3</t>
        </is>
      </c>
      <c r="D80" t="n">
        <v>512</v>
      </c>
      <c r="E80" t="n">
        <v>389</v>
      </c>
      <c r="F80" t="n">
        <v>430</v>
      </c>
      <c r="G80" t="n">
        <v>419</v>
      </c>
      <c r="H80">
        <f>SQRT((F80-D80)^2+(G80-E80)^2)</f>
        <v/>
      </c>
      <c r="I80" t="n">
        <v>0.2173913043478261</v>
      </c>
      <c r="J80">
        <f>H80*I80</f>
        <v/>
      </c>
      <c r="M80">
        <f>IF(OR(K80="",L80=""),"",MAX(K80,L80))</f>
        <v/>
      </c>
      <c r="N80" t="n">
        <v>0.5</v>
      </c>
      <c r="O80" t="inlineStr">
        <is>
          <t>是</t>
        </is>
      </c>
      <c r="P80">
        <f>IF(OR(M80="",M80&lt;=18),"PASS","ANGLE_ALERT")</f>
        <v/>
      </c>
      <c r="Q80" t="inlineStr">
        <is>
          <t>样品6</t>
        </is>
      </c>
    </row>
    <row r="81">
      <c r="A81" t="inlineStr">
        <is>
          <t>6(12)-P01</t>
        </is>
      </c>
      <c r="B81" t="inlineStr">
        <is>
          <t>6 (12).tif</t>
        </is>
      </c>
      <c r="C81" t="inlineStr">
        <is>
          <t>L1</t>
        </is>
      </c>
      <c r="D81" t="n">
        <v>512</v>
      </c>
      <c r="E81" t="n">
        <v>373</v>
      </c>
      <c r="F81" t="n">
        <v>532</v>
      </c>
      <c r="G81" t="n">
        <v>367</v>
      </c>
      <c r="H81">
        <f>SQRT((F81-D81)^2+(G81-E81)^2)</f>
        <v/>
      </c>
      <c r="I81" t="n">
        <v>0.2173913043478261</v>
      </c>
      <c r="J81">
        <f>H81*I81</f>
        <v/>
      </c>
      <c r="M81">
        <f>IF(OR(K81="",L81=""),"",MAX(K81,L81))</f>
        <v/>
      </c>
      <c r="N81" t="n">
        <v>0.5</v>
      </c>
      <c r="O81" t="inlineStr">
        <is>
          <t>是</t>
        </is>
      </c>
      <c r="P81">
        <f>IF(OR(M81="",M81&lt;=18),"PASS","ANGLE_ALERT")</f>
        <v/>
      </c>
      <c r="Q81" t="inlineStr">
        <is>
          <t>样品6</t>
        </is>
      </c>
    </row>
    <row r="82">
      <c r="A82" t="inlineStr">
        <is>
          <t>6(12)-P01</t>
        </is>
      </c>
      <c r="B82" t="inlineStr">
        <is>
          <t>6 (12).tif</t>
        </is>
      </c>
      <c r="C82" t="inlineStr">
        <is>
          <t>L2</t>
        </is>
      </c>
      <c r="D82" t="n">
        <v>512</v>
      </c>
      <c r="E82" t="n">
        <v>373</v>
      </c>
      <c r="F82" t="n">
        <v>530</v>
      </c>
      <c r="G82" t="n">
        <v>353</v>
      </c>
      <c r="H82">
        <f>SQRT((F82-D82)^2+(G82-E82)^2)</f>
        <v/>
      </c>
      <c r="I82" t="n">
        <v>0.2173913043478261</v>
      </c>
      <c r="J82">
        <f>H82*I82</f>
        <v/>
      </c>
      <c r="M82">
        <f>IF(OR(K82="",L82=""),"",MAX(K82,L82))</f>
        <v/>
      </c>
      <c r="N82" t="n">
        <v>0.5</v>
      </c>
      <c r="O82" t="inlineStr">
        <is>
          <t>是</t>
        </is>
      </c>
      <c r="P82">
        <f>IF(OR(M82="",M82&lt;=18),"PASS","ANGLE_ALERT")</f>
        <v/>
      </c>
      <c r="Q82" t="inlineStr">
        <is>
          <t>样品6</t>
        </is>
      </c>
    </row>
    <row r="83">
      <c r="A83" t="inlineStr">
        <is>
          <t>6(12)-P01</t>
        </is>
      </c>
      <c r="B83" t="inlineStr">
        <is>
          <t>6 (12).tif</t>
        </is>
      </c>
      <c r="C83" t="inlineStr">
        <is>
          <t>L3</t>
        </is>
      </c>
      <c r="D83" t="n">
        <v>518</v>
      </c>
      <c r="E83" t="n">
        <v>388</v>
      </c>
      <c r="F83" t="n">
        <v>537</v>
      </c>
      <c r="G83" t="n">
        <v>378</v>
      </c>
      <c r="H83">
        <f>SQRT((F83-D83)^2+(G83-E83)^2)</f>
        <v/>
      </c>
      <c r="I83" t="n">
        <v>0.2173913043478261</v>
      </c>
      <c r="J83">
        <f>H83*I83</f>
        <v/>
      </c>
      <c r="M83">
        <f>IF(OR(K83="",L83=""),"",MAX(K83,L83))</f>
        <v/>
      </c>
      <c r="N83" t="n">
        <v>0.5</v>
      </c>
      <c r="O83" t="inlineStr">
        <is>
          <t>是</t>
        </is>
      </c>
      <c r="P83">
        <f>IF(OR(M83="",M83&lt;=18),"PASS","ANGLE_ALERT")</f>
        <v/>
      </c>
      <c r="Q83" t="inlineStr">
        <is>
          <t>样品6</t>
        </is>
      </c>
    </row>
    <row r="84">
      <c r="A84" t="inlineStr">
        <is>
          <t>7(1)-P01</t>
        </is>
      </c>
      <c r="B84" t="inlineStr">
        <is>
          <t>7 (1).tif</t>
        </is>
      </c>
      <c r="C84" t="inlineStr">
        <is>
          <t>L1</t>
        </is>
      </c>
      <c r="D84" t="n">
        <v>490</v>
      </c>
      <c r="E84" t="n">
        <v>302</v>
      </c>
      <c r="F84" t="n">
        <v>509</v>
      </c>
      <c r="G84" t="n">
        <v>302</v>
      </c>
      <c r="H84">
        <f>SQRT((F84-D84)^2+(G84-E84)^2)</f>
        <v/>
      </c>
      <c r="I84" t="n">
        <v>0.2173913043478261</v>
      </c>
      <c r="J84">
        <f>H84*I84</f>
        <v/>
      </c>
      <c r="M84">
        <f>IF(OR(K84="",L84=""),"",MAX(K84,L84))</f>
        <v/>
      </c>
      <c r="N84" t="n">
        <v>0.5</v>
      </c>
      <c r="O84" t="inlineStr">
        <is>
          <t>是</t>
        </is>
      </c>
      <c r="P84">
        <f>IF(OR(M84="",M84&lt;=18),"PASS","ANGLE_ALERT")</f>
        <v/>
      </c>
      <c r="Q84" t="inlineStr">
        <is>
          <t>样品7</t>
        </is>
      </c>
    </row>
    <row r="85">
      <c r="A85" t="inlineStr">
        <is>
          <t>7(1)-P01</t>
        </is>
      </c>
      <c r="B85" t="inlineStr">
        <is>
          <t>7 (1).tif</t>
        </is>
      </c>
      <c r="C85" t="inlineStr">
        <is>
          <t>L2</t>
        </is>
      </c>
      <c r="D85" t="n">
        <v>492</v>
      </c>
      <c r="E85" t="n">
        <v>319</v>
      </c>
      <c r="F85" t="n">
        <v>510</v>
      </c>
      <c r="G85" t="n">
        <v>315</v>
      </c>
      <c r="H85">
        <f>SQRT((F85-D85)^2+(G85-E85)^2)</f>
        <v/>
      </c>
      <c r="I85" t="n">
        <v>0.2173913043478261</v>
      </c>
      <c r="J85">
        <f>H85*I85</f>
        <v/>
      </c>
      <c r="M85">
        <f>IF(OR(K85="",L85=""),"",MAX(K85,L85))</f>
        <v/>
      </c>
      <c r="N85" t="n">
        <v>0.5</v>
      </c>
      <c r="O85" t="inlineStr">
        <is>
          <t>是</t>
        </is>
      </c>
      <c r="P85">
        <f>IF(OR(M85="",M85&lt;=18),"PASS","ANGLE_ALERT")</f>
        <v/>
      </c>
      <c r="Q85" t="inlineStr">
        <is>
          <t>样品7</t>
        </is>
      </c>
    </row>
    <row r="86">
      <c r="A86" t="inlineStr">
        <is>
          <t>7(4)-P01</t>
        </is>
      </c>
      <c r="B86" t="inlineStr">
        <is>
          <t>7 (4).tif</t>
        </is>
      </c>
      <c r="C86" t="inlineStr">
        <is>
          <t>L1</t>
        </is>
      </c>
      <c r="D86" t="n">
        <v>522</v>
      </c>
      <c r="E86" t="n">
        <v>338</v>
      </c>
      <c r="F86" t="n">
        <v>494</v>
      </c>
      <c r="G86" t="n">
        <v>312</v>
      </c>
      <c r="H86">
        <f>SQRT((F86-D86)^2+(G86-E86)^2)</f>
        <v/>
      </c>
      <c r="I86" t="n">
        <v>0.2173913043478261</v>
      </c>
      <c r="J86">
        <f>H86*I86</f>
        <v/>
      </c>
      <c r="M86">
        <f>IF(OR(K86="",L86=""),"",MAX(K86,L86))</f>
        <v/>
      </c>
      <c r="N86" t="n">
        <v>0.5</v>
      </c>
      <c r="O86" t="inlineStr">
        <is>
          <t>是</t>
        </is>
      </c>
      <c r="P86">
        <f>IF(OR(M86="",M86&lt;=18),"PASS","ANGLE_ALERT")</f>
        <v/>
      </c>
      <c r="Q86" t="inlineStr">
        <is>
          <t>样品7</t>
        </is>
      </c>
    </row>
    <row r="87">
      <c r="A87" t="inlineStr">
        <is>
          <t>7(4)-P01</t>
        </is>
      </c>
      <c r="B87" t="inlineStr">
        <is>
          <t>7 (4).tif</t>
        </is>
      </c>
      <c r="C87" t="inlineStr">
        <is>
          <t>L2</t>
        </is>
      </c>
      <c r="D87" t="n">
        <v>531</v>
      </c>
      <c r="E87" t="n">
        <v>328</v>
      </c>
      <c r="F87" t="n">
        <v>505</v>
      </c>
      <c r="G87" t="n">
        <v>302</v>
      </c>
      <c r="H87">
        <f>SQRT((F87-D87)^2+(G87-E87)^2)</f>
        <v/>
      </c>
      <c r="I87" t="n">
        <v>0.2173913043478261</v>
      </c>
      <c r="J87">
        <f>H87*I87</f>
        <v/>
      </c>
      <c r="M87">
        <f>IF(OR(K87="",L87=""),"",MAX(K87,L87))</f>
        <v/>
      </c>
      <c r="N87" t="n">
        <v>0.5</v>
      </c>
      <c r="O87" t="inlineStr">
        <is>
          <t>是</t>
        </is>
      </c>
      <c r="P87">
        <f>IF(OR(M87="",M87&lt;=18),"PASS","ANGLE_ALERT")</f>
        <v/>
      </c>
      <c r="Q87" t="inlineStr">
        <is>
          <t>样品7</t>
        </is>
      </c>
    </row>
    <row r="88">
      <c r="A88" t="inlineStr">
        <is>
          <t>7(4)-P01</t>
        </is>
      </c>
      <c r="B88" t="inlineStr">
        <is>
          <t>7 (4).tif</t>
        </is>
      </c>
      <c r="C88" t="inlineStr">
        <is>
          <t>L3</t>
        </is>
      </c>
      <c r="D88" t="n">
        <v>538</v>
      </c>
      <c r="E88" t="n">
        <v>321</v>
      </c>
      <c r="F88" t="n">
        <v>510</v>
      </c>
      <c r="G88" t="n">
        <v>296</v>
      </c>
      <c r="H88">
        <f>SQRT((F88-D88)^2+(G88-E88)^2)</f>
        <v/>
      </c>
      <c r="I88" t="n">
        <v>0.2173913043478261</v>
      </c>
      <c r="J88">
        <f>H88*I88</f>
        <v/>
      </c>
      <c r="M88">
        <f>IF(OR(K88="",L88=""),"",MAX(K88,L88))</f>
        <v/>
      </c>
      <c r="N88" t="n">
        <v>0.5</v>
      </c>
      <c r="O88" t="inlineStr">
        <is>
          <t>是</t>
        </is>
      </c>
      <c r="P88">
        <f>IF(OR(M88="",M88&lt;=18),"PASS","ANGLE_ALERT")</f>
        <v/>
      </c>
      <c r="Q88" t="inlineStr">
        <is>
          <t>样品7</t>
        </is>
      </c>
    </row>
    <row r="89">
      <c r="A89" t="inlineStr">
        <is>
          <t>7(7)-P01</t>
        </is>
      </c>
      <c r="B89" t="inlineStr">
        <is>
          <t>7 (7).tif</t>
        </is>
      </c>
      <c r="C89" t="inlineStr">
        <is>
          <t>L1</t>
        </is>
      </c>
      <c r="D89" t="n">
        <v>448</v>
      </c>
      <c r="E89" t="n">
        <v>377</v>
      </c>
      <c r="F89" t="n">
        <v>465</v>
      </c>
      <c r="G89" t="n">
        <v>350</v>
      </c>
      <c r="H89">
        <f>SQRT((F89-D89)^2+(G89-E89)^2)</f>
        <v/>
      </c>
      <c r="I89" t="n">
        <v>0.2173913043478261</v>
      </c>
      <c r="J89">
        <f>H89*I89</f>
        <v/>
      </c>
      <c r="M89">
        <f>IF(OR(K89="",L89=""),"",MAX(K89,L89))</f>
        <v/>
      </c>
      <c r="N89" t="n">
        <v>0.5</v>
      </c>
      <c r="O89" t="inlineStr">
        <is>
          <t>是</t>
        </is>
      </c>
      <c r="P89">
        <f>IF(OR(M89="",M89&lt;=18),"PASS","ANGLE_ALERT")</f>
        <v/>
      </c>
      <c r="Q89" t="inlineStr">
        <is>
          <t>样品7</t>
        </is>
      </c>
    </row>
    <row r="90">
      <c r="A90" t="inlineStr">
        <is>
          <t>7(7)-P01</t>
        </is>
      </c>
      <c r="B90" t="inlineStr">
        <is>
          <t>7 (7).tif</t>
        </is>
      </c>
      <c r="C90" t="inlineStr">
        <is>
          <t>L2</t>
        </is>
      </c>
      <c r="D90" t="n">
        <v>459</v>
      </c>
      <c r="E90" t="n">
        <v>382</v>
      </c>
      <c r="F90" t="n">
        <v>471</v>
      </c>
      <c r="G90" t="n">
        <v>353</v>
      </c>
      <c r="H90">
        <f>SQRT((F90-D90)^2+(G90-E90)^2)</f>
        <v/>
      </c>
      <c r="I90" t="n">
        <v>0.2173913043478261</v>
      </c>
      <c r="J90">
        <f>H90*I90</f>
        <v/>
      </c>
      <c r="M90">
        <f>IF(OR(K90="",L90=""),"",MAX(K90,L90))</f>
        <v/>
      </c>
      <c r="N90" t="n">
        <v>0.5</v>
      </c>
      <c r="O90" t="inlineStr">
        <is>
          <t>是</t>
        </is>
      </c>
      <c r="P90">
        <f>IF(OR(M90="",M90&lt;=18),"PASS","ANGLE_ALERT")</f>
        <v/>
      </c>
      <c r="Q90" t="inlineStr">
        <is>
          <t>样品7</t>
        </is>
      </c>
    </row>
    <row r="91">
      <c r="A91" t="inlineStr">
        <is>
          <t>7(7)-P01</t>
        </is>
      </c>
      <c r="B91" t="inlineStr">
        <is>
          <t>7 (7).tif</t>
        </is>
      </c>
      <c r="C91" t="inlineStr">
        <is>
          <t>L3</t>
        </is>
      </c>
      <c r="D91" t="n">
        <v>467</v>
      </c>
      <c r="E91" t="n">
        <v>387</v>
      </c>
      <c r="F91" t="n">
        <v>481</v>
      </c>
      <c r="G91" t="n">
        <v>357</v>
      </c>
      <c r="H91">
        <f>SQRT((F91-D91)^2+(G91-E91)^2)</f>
        <v/>
      </c>
      <c r="I91" t="n">
        <v>0.2173913043478261</v>
      </c>
      <c r="J91">
        <f>H91*I91</f>
        <v/>
      </c>
      <c r="M91">
        <f>IF(OR(K91="",L91=""),"",MAX(K91,L91))</f>
        <v/>
      </c>
      <c r="N91" t="n">
        <v>0.5</v>
      </c>
      <c r="O91" t="inlineStr">
        <is>
          <t>是</t>
        </is>
      </c>
      <c r="P91">
        <f>IF(OR(M91="",M91&lt;=18),"PASS","ANGLE_ALERT")</f>
        <v/>
      </c>
      <c r="Q91" t="inlineStr">
        <is>
          <t>样品7</t>
        </is>
      </c>
    </row>
    <row r="92">
      <c r="A92" t="inlineStr">
        <is>
          <t>8(7)-P01</t>
        </is>
      </c>
      <c r="B92" t="inlineStr">
        <is>
          <t>8 (7).tif</t>
        </is>
      </c>
      <c r="C92" t="inlineStr">
        <is>
          <t>L1</t>
        </is>
      </c>
      <c r="D92" t="n">
        <v>516</v>
      </c>
      <c r="E92" t="n">
        <v>375</v>
      </c>
      <c r="F92" t="n">
        <v>536</v>
      </c>
      <c r="G92" t="n">
        <v>381</v>
      </c>
      <c r="H92">
        <f>SQRT((F92-D92)^2+(G92-E92)^2)</f>
        <v/>
      </c>
      <c r="I92" t="n">
        <v>0.2173913043478261</v>
      </c>
      <c r="J92">
        <f>H92*I92</f>
        <v/>
      </c>
      <c r="M92">
        <f>IF(OR(K92="",L92=""),"",MAX(K92,L92))</f>
        <v/>
      </c>
      <c r="N92" t="n">
        <v>0.5</v>
      </c>
      <c r="O92" t="inlineStr">
        <is>
          <t>是</t>
        </is>
      </c>
      <c r="P92">
        <f>IF(OR(M92="",M92&lt;=18),"PASS","ANGLE_ALERT")</f>
        <v/>
      </c>
      <c r="Q92" t="inlineStr">
        <is>
          <t>样品8</t>
        </is>
      </c>
    </row>
    <row r="93">
      <c r="A93" t="inlineStr">
        <is>
          <t>8(7)-P01</t>
        </is>
      </c>
      <c r="B93" t="inlineStr">
        <is>
          <t>8 (7).tif</t>
        </is>
      </c>
      <c r="C93" t="inlineStr">
        <is>
          <t>L2</t>
        </is>
      </c>
      <c r="D93" t="n">
        <v>512</v>
      </c>
      <c r="E93" t="n">
        <v>397</v>
      </c>
      <c r="F93" t="n">
        <v>534</v>
      </c>
      <c r="G93" t="n">
        <v>400</v>
      </c>
      <c r="H93">
        <f>SQRT((F93-D93)^2+(G93-E93)^2)</f>
        <v/>
      </c>
      <c r="I93" t="n">
        <v>0.2173913043478261</v>
      </c>
      <c r="J93">
        <f>H93*I93</f>
        <v/>
      </c>
      <c r="M93">
        <f>IF(OR(K93="",L93=""),"",MAX(K93,L93))</f>
        <v/>
      </c>
      <c r="N93" t="n">
        <v>0.5</v>
      </c>
      <c r="O93" t="inlineStr">
        <is>
          <t>是</t>
        </is>
      </c>
      <c r="P93">
        <f>IF(OR(M93="",M93&lt;=18),"PASS","ANGLE_ALERT")</f>
        <v/>
      </c>
      <c r="Q93" t="inlineStr">
        <is>
          <t>样品8</t>
        </is>
      </c>
    </row>
    <row r="94">
      <c r="A94" t="inlineStr">
        <is>
          <t>9(3)-P01</t>
        </is>
      </c>
      <c r="B94" t="inlineStr">
        <is>
          <t>9 (3).tif</t>
        </is>
      </c>
      <c r="C94" t="inlineStr">
        <is>
          <t>L1</t>
        </is>
      </c>
      <c r="D94" t="n">
        <v>495</v>
      </c>
      <c r="E94" t="n">
        <v>356</v>
      </c>
      <c r="F94" t="n">
        <v>520</v>
      </c>
      <c r="G94" t="n">
        <v>365</v>
      </c>
      <c r="H94">
        <f>SQRT((F94-D94)^2+(G94-E94)^2)</f>
        <v/>
      </c>
      <c r="I94" t="n">
        <v>0.2173913043478261</v>
      </c>
      <c r="J94">
        <f>H94*I94</f>
        <v/>
      </c>
      <c r="M94">
        <f>IF(OR(K94="",L94=""),"",MAX(K94,L94))</f>
        <v/>
      </c>
      <c r="N94" t="n">
        <v>0.5</v>
      </c>
      <c r="O94" t="inlineStr">
        <is>
          <t>是</t>
        </is>
      </c>
      <c r="P94">
        <f>IF(OR(M94="",M94&lt;=18),"PASS","ANGLE_ALERT")</f>
        <v/>
      </c>
      <c r="Q94" t="inlineStr">
        <is>
          <t>样品9</t>
        </is>
      </c>
    </row>
    <row r="95">
      <c r="A95" t="inlineStr">
        <is>
          <t>9(4)-P01</t>
        </is>
      </c>
      <c r="B95" t="inlineStr">
        <is>
          <t>9 (4).tif</t>
        </is>
      </c>
      <c r="C95" t="inlineStr">
        <is>
          <t>L1</t>
        </is>
      </c>
      <c r="D95" t="n">
        <v>332</v>
      </c>
      <c r="E95" t="n">
        <v>369</v>
      </c>
      <c r="F95" t="n">
        <v>314</v>
      </c>
      <c r="G95" t="n">
        <v>371</v>
      </c>
      <c r="H95">
        <f>SQRT((F95-D95)^2+(G95-E95)^2)</f>
        <v/>
      </c>
      <c r="I95" t="n">
        <v>0.2173913043478261</v>
      </c>
      <c r="J95">
        <f>H95*I95</f>
        <v/>
      </c>
      <c r="M95">
        <f>IF(OR(K95="",L95=""),"",MAX(K95,L95))</f>
        <v/>
      </c>
      <c r="N95" t="n">
        <v>0.5</v>
      </c>
      <c r="O95" t="inlineStr">
        <is>
          <t>是</t>
        </is>
      </c>
      <c r="P95">
        <f>IF(OR(M95="",M95&lt;=18),"PASS","ANGLE_ALERT")</f>
        <v/>
      </c>
      <c r="Q95" t="inlineStr">
        <is>
          <t>样品9</t>
        </is>
      </c>
    </row>
    <row r="96">
      <c r="A96" t="inlineStr">
        <is>
          <t>9(4)-P01</t>
        </is>
      </c>
      <c r="B96" t="inlineStr">
        <is>
          <t>9 (4).tif</t>
        </is>
      </c>
      <c r="C96" t="inlineStr">
        <is>
          <t>L2</t>
        </is>
      </c>
      <c r="D96" t="n">
        <v>335</v>
      </c>
      <c r="E96" t="n">
        <v>344</v>
      </c>
      <c r="F96" t="n">
        <v>283</v>
      </c>
      <c r="G96" t="n">
        <v>325</v>
      </c>
      <c r="H96">
        <f>SQRT((F96-D96)^2+(G96-E96)^2)</f>
        <v/>
      </c>
      <c r="I96" t="n">
        <v>0.2173913043478261</v>
      </c>
      <c r="J96">
        <f>H96*I96</f>
        <v/>
      </c>
      <c r="M96">
        <f>IF(OR(K96="",L96=""),"",MAX(K96,L96))</f>
        <v/>
      </c>
      <c r="N96" t="n">
        <v>0.5</v>
      </c>
      <c r="O96" t="inlineStr">
        <is>
          <t>是</t>
        </is>
      </c>
      <c r="P96">
        <f>IF(OR(M96="",M96&lt;=18),"PASS","ANGLE_ALERT")</f>
        <v/>
      </c>
      <c r="Q96" t="inlineStr">
        <is>
          <t>样品9</t>
        </is>
      </c>
    </row>
    <row r="97">
      <c r="A97" t="inlineStr">
        <is>
          <t>9(4)-P01</t>
        </is>
      </c>
      <c r="B97" t="inlineStr">
        <is>
          <t>9 (4).tif</t>
        </is>
      </c>
      <c r="C97" t="inlineStr">
        <is>
          <t>L3</t>
        </is>
      </c>
      <c r="D97" t="n">
        <v>332</v>
      </c>
      <c r="E97" t="n">
        <v>362</v>
      </c>
      <c r="F97" t="n">
        <v>313</v>
      </c>
      <c r="G97" t="n">
        <v>359</v>
      </c>
      <c r="H97">
        <f>SQRT((F97-D97)^2+(G97-E97)^2)</f>
        <v/>
      </c>
      <c r="I97" t="n">
        <v>0.2173913043478261</v>
      </c>
      <c r="J97">
        <f>H97*I97</f>
        <v/>
      </c>
      <c r="M97">
        <f>IF(OR(K97="",L97=""),"",MAX(K97,L97))</f>
        <v/>
      </c>
      <c r="N97" t="n">
        <v>0.5</v>
      </c>
      <c r="O97" t="inlineStr">
        <is>
          <t>是</t>
        </is>
      </c>
      <c r="P97">
        <f>IF(OR(M97="",M97&lt;=18),"PASS","ANGLE_ALERT")</f>
        <v/>
      </c>
      <c r="Q97" t="inlineStr">
        <is>
          <t>样品9</t>
        </is>
      </c>
    </row>
    <row r="98">
      <c r="A98" t="inlineStr">
        <is>
          <t>9(5)-P01</t>
        </is>
      </c>
      <c r="B98" t="inlineStr">
        <is>
          <t>9 (5).tif</t>
        </is>
      </c>
      <c r="C98" t="inlineStr">
        <is>
          <t>L1</t>
        </is>
      </c>
      <c r="D98" t="n">
        <v>483</v>
      </c>
      <c r="E98" t="n">
        <v>360</v>
      </c>
      <c r="F98" t="n">
        <v>509</v>
      </c>
      <c r="G98" t="n">
        <v>346</v>
      </c>
      <c r="H98">
        <f>SQRT((F98-D98)^2+(G98-E98)^2)</f>
        <v/>
      </c>
      <c r="I98" t="n">
        <v>0.2173913043478261</v>
      </c>
      <c r="J98">
        <f>H98*I98</f>
        <v/>
      </c>
      <c r="M98">
        <f>IF(OR(K98="",L98=""),"",MAX(K98,L98))</f>
        <v/>
      </c>
      <c r="N98" t="n">
        <v>0.5</v>
      </c>
      <c r="O98" t="inlineStr">
        <is>
          <t>是</t>
        </is>
      </c>
      <c r="P98">
        <f>IF(OR(M98="",M98&lt;=18),"PASS","ANGLE_ALERT")</f>
        <v/>
      </c>
      <c r="Q98" t="inlineStr">
        <is>
          <t>样品9</t>
        </is>
      </c>
    </row>
    <row r="99">
      <c r="A99" t="inlineStr">
        <is>
          <t>9(5)-P01</t>
        </is>
      </c>
      <c r="B99" t="inlineStr">
        <is>
          <t>9 (5).tif</t>
        </is>
      </c>
      <c r="C99" t="inlineStr">
        <is>
          <t>L2</t>
        </is>
      </c>
      <c r="D99" t="n">
        <v>488</v>
      </c>
      <c r="E99" t="n">
        <v>368</v>
      </c>
      <c r="F99" t="n">
        <v>514</v>
      </c>
      <c r="G99" t="n">
        <v>355</v>
      </c>
      <c r="H99">
        <f>SQRT((F99-D99)^2+(G99-E99)^2)</f>
        <v/>
      </c>
      <c r="I99" t="n">
        <v>0.2173913043478261</v>
      </c>
      <c r="J99">
        <f>H99*I99</f>
        <v/>
      </c>
      <c r="M99">
        <f>IF(OR(K99="",L99=""),"",MAX(K99,L99))</f>
        <v/>
      </c>
      <c r="N99" t="n">
        <v>0.5</v>
      </c>
      <c r="O99" t="inlineStr">
        <is>
          <t>是</t>
        </is>
      </c>
      <c r="P99">
        <f>IF(OR(M99="",M99&lt;=18),"PASS","ANGLE_ALERT")</f>
        <v/>
      </c>
      <c r="Q99" t="inlineStr">
        <is>
          <t>样品9</t>
        </is>
      </c>
    </row>
    <row r="100">
      <c r="A100" t="inlineStr">
        <is>
          <t>9(5)-P01</t>
        </is>
      </c>
      <c r="B100" t="inlineStr">
        <is>
          <t>9 (5).tif</t>
        </is>
      </c>
      <c r="C100" t="inlineStr">
        <is>
          <t>L3</t>
        </is>
      </c>
      <c r="D100" t="n">
        <v>493</v>
      </c>
      <c r="E100" t="n">
        <v>378</v>
      </c>
      <c r="F100" t="n">
        <v>519</v>
      </c>
      <c r="G100" t="n">
        <v>363</v>
      </c>
      <c r="H100">
        <f>SQRT((F100-D100)^2+(G100-E100)^2)</f>
        <v/>
      </c>
      <c r="I100" t="n">
        <v>0.2173913043478261</v>
      </c>
      <c r="J100">
        <f>H100*I100</f>
        <v/>
      </c>
      <c r="M100">
        <f>IF(OR(K100="",L100=""),"",MAX(K100,L100))</f>
        <v/>
      </c>
      <c r="N100" t="n">
        <v>0.5</v>
      </c>
      <c r="O100" t="inlineStr">
        <is>
          <t>是</t>
        </is>
      </c>
      <c r="P100">
        <f>IF(OR(M100="",M100&lt;=18),"PASS","ANGLE_ALERT")</f>
        <v/>
      </c>
      <c r="Q100" t="inlineStr">
        <is>
          <t>样品9</t>
        </is>
      </c>
    </row>
    <row r="101">
      <c r="A101" t="inlineStr">
        <is>
          <t>9(6)-P01</t>
        </is>
      </c>
      <c r="B101" t="inlineStr">
        <is>
          <t>9 (6).tif</t>
        </is>
      </c>
      <c r="C101" t="inlineStr">
        <is>
          <t>L1</t>
        </is>
      </c>
      <c r="D101" t="n">
        <v>502</v>
      </c>
      <c r="E101" t="n">
        <v>351</v>
      </c>
      <c r="F101" t="n">
        <v>488</v>
      </c>
      <c r="G101" t="n">
        <v>378</v>
      </c>
      <c r="H101">
        <f>SQRT((F101-D101)^2+(G101-E101)^2)</f>
        <v/>
      </c>
      <c r="I101" t="n">
        <v>0.2173913043478261</v>
      </c>
      <c r="J101">
        <f>H101*I101</f>
        <v/>
      </c>
      <c r="M101">
        <f>IF(OR(K101="",L101=""),"",MAX(K101,L101))</f>
        <v/>
      </c>
      <c r="N101" t="n">
        <v>0.5</v>
      </c>
      <c r="O101" t="inlineStr">
        <is>
          <t>是</t>
        </is>
      </c>
      <c r="P101">
        <f>IF(OR(M101="",M101&lt;=18),"PASS","ANGLE_ALERT")</f>
        <v/>
      </c>
      <c r="Q101" t="inlineStr">
        <is>
          <t>样品9</t>
        </is>
      </c>
    </row>
    <row r="102">
      <c r="A102" t="inlineStr">
        <is>
          <t>9(6)-P01</t>
        </is>
      </c>
      <c r="B102" t="inlineStr">
        <is>
          <t>9 (6).tif</t>
        </is>
      </c>
      <c r="C102" t="inlineStr">
        <is>
          <t>L2</t>
        </is>
      </c>
      <c r="D102" t="n">
        <v>488</v>
      </c>
      <c r="E102" t="n">
        <v>344</v>
      </c>
      <c r="F102" t="n">
        <v>474</v>
      </c>
      <c r="G102" t="n">
        <v>372</v>
      </c>
      <c r="H102">
        <f>SQRT((F102-D102)^2+(G102-E102)^2)</f>
        <v/>
      </c>
      <c r="I102" t="n">
        <v>0.2173913043478261</v>
      </c>
      <c r="J102">
        <f>H102*I102</f>
        <v/>
      </c>
      <c r="M102">
        <f>IF(OR(K102="",L102=""),"",MAX(K102,L102))</f>
        <v/>
      </c>
      <c r="N102" t="n">
        <v>0.5</v>
      </c>
      <c r="O102" t="inlineStr">
        <is>
          <t>是</t>
        </is>
      </c>
      <c r="P102">
        <f>IF(OR(M102="",M102&lt;=18),"PASS","ANGLE_ALERT")</f>
        <v/>
      </c>
      <c r="Q102" t="inlineStr">
        <is>
          <t>样品9</t>
        </is>
      </c>
    </row>
    <row r="103">
      <c r="A103" t="inlineStr">
        <is>
          <t>10(3)-P01</t>
        </is>
      </c>
      <c r="B103" t="inlineStr">
        <is>
          <t>10 (3).tif</t>
        </is>
      </c>
      <c r="C103" t="inlineStr">
        <is>
          <t>L1</t>
        </is>
      </c>
      <c r="D103" t="n">
        <v>508</v>
      </c>
      <c r="E103" t="n">
        <v>387</v>
      </c>
      <c r="F103" t="n">
        <v>507</v>
      </c>
      <c r="G103" t="n">
        <v>372</v>
      </c>
      <c r="H103">
        <f>SQRT((F103-D103)^2+(G103-E103)^2)</f>
        <v/>
      </c>
      <c r="I103" t="n">
        <v>0.2173913043478261</v>
      </c>
      <c r="J103">
        <f>H103*I103</f>
        <v/>
      </c>
      <c r="M103">
        <f>IF(OR(K103="",L103=""),"",MAX(K103,L103))</f>
        <v/>
      </c>
      <c r="N103" t="n">
        <v>0.5</v>
      </c>
      <c r="O103" t="inlineStr">
        <is>
          <t>是</t>
        </is>
      </c>
      <c r="P103">
        <f>IF(OR(M103="",M103&lt;=18),"PASS","ANGLE_ALERT")</f>
        <v/>
      </c>
      <c r="Q103" t="inlineStr">
        <is>
          <t>样品10</t>
        </is>
      </c>
    </row>
    <row r="104">
      <c r="A104" t="inlineStr">
        <is>
          <t>10(3)-P01</t>
        </is>
      </c>
      <c r="B104" t="inlineStr">
        <is>
          <t>10 (3).tif</t>
        </is>
      </c>
      <c r="C104" t="inlineStr">
        <is>
          <t>L2</t>
        </is>
      </c>
      <c r="D104" t="n">
        <v>501</v>
      </c>
      <c r="E104" t="n">
        <v>389</v>
      </c>
      <c r="F104" t="n">
        <v>494</v>
      </c>
      <c r="G104" t="n">
        <v>374</v>
      </c>
      <c r="H104">
        <f>SQRT((F104-D104)^2+(G104-E104)^2)</f>
        <v/>
      </c>
      <c r="I104" t="n">
        <v>0.2173913043478261</v>
      </c>
      <c r="J104">
        <f>H104*I104</f>
        <v/>
      </c>
      <c r="M104">
        <f>IF(OR(K104="",L104=""),"",MAX(K104,L104))</f>
        <v/>
      </c>
      <c r="N104" t="n">
        <v>0.5</v>
      </c>
      <c r="O104" t="inlineStr">
        <is>
          <t>是</t>
        </is>
      </c>
      <c r="P104">
        <f>IF(OR(M104="",M104&lt;=18),"PASS","ANGLE_ALERT")</f>
        <v/>
      </c>
      <c r="Q104" t="inlineStr">
        <is>
          <t>样品10</t>
        </is>
      </c>
    </row>
    <row r="105">
      <c r="A105" t="inlineStr">
        <is>
          <t>11(2)-P01</t>
        </is>
      </c>
      <c r="B105" t="inlineStr">
        <is>
          <t>11 (2).tif</t>
        </is>
      </c>
      <c r="C105" t="inlineStr">
        <is>
          <t>L1</t>
        </is>
      </c>
      <c r="D105" t="n">
        <v>480</v>
      </c>
      <c r="E105" t="n">
        <v>362</v>
      </c>
      <c r="F105" t="n">
        <v>456</v>
      </c>
      <c r="G105" t="n">
        <v>363</v>
      </c>
      <c r="H105">
        <f>SQRT((F105-D105)^2+(G105-E105)^2)</f>
        <v/>
      </c>
      <c r="I105" t="n">
        <v>0.2173913043478261</v>
      </c>
      <c r="J105">
        <f>H105*I105</f>
        <v/>
      </c>
      <c r="M105">
        <f>IF(OR(K105="",L105=""),"",MAX(K105,L105))</f>
        <v/>
      </c>
      <c r="N105" t="n">
        <v>0.5</v>
      </c>
      <c r="O105" t="inlineStr">
        <is>
          <t>是</t>
        </is>
      </c>
      <c r="P105">
        <f>IF(OR(M105="",M105&lt;=18),"PASS","ANGLE_ALERT")</f>
        <v/>
      </c>
      <c r="Q105" t="inlineStr">
        <is>
          <t>样品11</t>
        </is>
      </c>
    </row>
    <row r="106">
      <c r="A106" t="inlineStr">
        <is>
          <t>11(2)-P01</t>
        </is>
      </c>
      <c r="B106" t="inlineStr">
        <is>
          <t>11 (2).tif</t>
        </is>
      </c>
      <c r="C106" t="inlineStr">
        <is>
          <t>L2</t>
        </is>
      </c>
      <c r="D106" t="n">
        <v>479</v>
      </c>
      <c r="E106" t="n">
        <v>352</v>
      </c>
      <c r="F106" t="n">
        <v>456</v>
      </c>
      <c r="G106" t="n">
        <v>354</v>
      </c>
      <c r="H106">
        <f>SQRT((F106-D106)^2+(G106-E106)^2)</f>
        <v/>
      </c>
      <c r="I106" t="n">
        <v>0.2173913043478261</v>
      </c>
      <c r="J106">
        <f>H106*I106</f>
        <v/>
      </c>
      <c r="M106">
        <f>IF(OR(K106="",L106=""),"",MAX(K106,L106))</f>
        <v/>
      </c>
      <c r="N106" t="n">
        <v>0.5</v>
      </c>
      <c r="O106" t="inlineStr">
        <is>
          <t>是</t>
        </is>
      </c>
      <c r="P106">
        <f>IF(OR(M106="",M106&lt;=18),"PASS","ANGLE_ALERT")</f>
        <v/>
      </c>
      <c r="Q106" t="inlineStr">
        <is>
          <t>样品11</t>
        </is>
      </c>
    </row>
    <row r="107">
      <c r="A107" t="inlineStr">
        <is>
          <t>11(2)-P01</t>
        </is>
      </c>
      <c r="B107" t="inlineStr">
        <is>
          <t>11 (2).tif</t>
        </is>
      </c>
      <c r="C107" t="inlineStr">
        <is>
          <t>L3</t>
        </is>
      </c>
      <c r="D107" t="n">
        <v>479</v>
      </c>
      <c r="E107" t="n">
        <v>345</v>
      </c>
      <c r="F107" t="n">
        <v>455</v>
      </c>
      <c r="G107" t="n">
        <v>348</v>
      </c>
      <c r="H107">
        <f>SQRT((F107-D107)^2+(G107-E107)^2)</f>
        <v/>
      </c>
      <c r="I107" t="n">
        <v>0.2173913043478261</v>
      </c>
      <c r="J107">
        <f>H107*I107</f>
        <v/>
      </c>
      <c r="M107">
        <f>IF(OR(K107="",L107=""),"",MAX(K107,L107))</f>
        <v/>
      </c>
      <c r="N107" t="n">
        <v>0.5</v>
      </c>
      <c r="O107" t="inlineStr">
        <is>
          <t>是</t>
        </is>
      </c>
      <c r="P107">
        <f>IF(OR(M107="",M107&lt;=18),"PASS","ANGLE_ALERT")</f>
        <v/>
      </c>
      <c r="Q107" t="inlineStr">
        <is>
          <t>样品11</t>
        </is>
      </c>
    </row>
    <row r="108">
      <c r="A108" t="inlineStr">
        <is>
          <t>11(7)-P01</t>
        </is>
      </c>
      <c r="B108" t="inlineStr">
        <is>
          <t>11 (7).tif</t>
        </is>
      </c>
      <c r="C108" t="inlineStr">
        <is>
          <t>L1</t>
        </is>
      </c>
      <c r="D108" t="n">
        <v>451</v>
      </c>
      <c r="E108" t="n">
        <v>279</v>
      </c>
      <c r="F108" t="n">
        <v>493</v>
      </c>
      <c r="G108" t="n">
        <v>364</v>
      </c>
      <c r="H108">
        <f>SQRT((F108-D108)^2+(G108-E108)^2)</f>
        <v/>
      </c>
      <c r="I108" t="n">
        <v>0.2173913043478261</v>
      </c>
      <c r="J108">
        <f>H108*I108</f>
        <v/>
      </c>
      <c r="M108">
        <f>IF(OR(K108="",L108=""),"",MAX(K108,L108))</f>
        <v/>
      </c>
      <c r="N108" t="n">
        <v>0.5</v>
      </c>
      <c r="O108" t="inlineStr">
        <is>
          <t>是</t>
        </is>
      </c>
      <c r="P108">
        <f>IF(OR(M108="",M108&lt;=18),"PASS","ANGLE_ALERT")</f>
        <v/>
      </c>
      <c r="Q108" t="inlineStr">
        <is>
          <t>样品11</t>
        </is>
      </c>
    </row>
    <row r="109">
      <c r="A109" t="inlineStr">
        <is>
          <t>11(7)-P01</t>
        </is>
      </c>
      <c r="B109" t="inlineStr">
        <is>
          <t>11 (7).tif</t>
        </is>
      </c>
      <c r="C109" t="inlineStr">
        <is>
          <t>L2</t>
        </is>
      </c>
      <c r="D109" t="n">
        <v>504</v>
      </c>
      <c r="E109" t="n">
        <v>337</v>
      </c>
      <c r="F109" t="n">
        <v>504</v>
      </c>
      <c r="G109" t="n">
        <v>364</v>
      </c>
      <c r="H109">
        <f>SQRT((F109-D109)^2+(G109-E109)^2)</f>
        <v/>
      </c>
      <c r="I109" t="n">
        <v>0.2173913043478261</v>
      </c>
      <c r="J109">
        <f>H109*I109</f>
        <v/>
      </c>
      <c r="M109">
        <f>IF(OR(K109="",L109=""),"",MAX(K109,L109))</f>
        <v/>
      </c>
      <c r="N109" t="n">
        <v>0.5</v>
      </c>
      <c r="O109" t="inlineStr">
        <is>
          <t>是</t>
        </is>
      </c>
      <c r="P109">
        <f>IF(OR(M109="",M109&lt;=18),"PASS","ANGLE_ALERT")</f>
        <v/>
      </c>
      <c r="Q109" t="inlineStr">
        <is>
          <t>样品11</t>
        </is>
      </c>
    </row>
    <row r="110">
      <c r="A110" t="inlineStr">
        <is>
          <t>11(7)-P01</t>
        </is>
      </c>
      <c r="B110" t="inlineStr">
        <is>
          <t>11 (7).tif</t>
        </is>
      </c>
      <c r="C110" t="inlineStr">
        <is>
          <t>L3</t>
        </is>
      </c>
      <c r="D110" t="n">
        <v>494</v>
      </c>
      <c r="E110" t="n">
        <v>337</v>
      </c>
      <c r="F110" t="n">
        <v>493</v>
      </c>
      <c r="G110" t="n">
        <v>364</v>
      </c>
      <c r="H110">
        <f>SQRT((F110-D110)^2+(G110-E110)^2)</f>
        <v/>
      </c>
      <c r="I110" t="n">
        <v>0.2173913043478261</v>
      </c>
      <c r="J110">
        <f>H110*I110</f>
        <v/>
      </c>
      <c r="M110">
        <f>IF(OR(K110="",L110=""),"",MAX(K110,L110))</f>
        <v/>
      </c>
      <c r="N110" t="n">
        <v>0.5</v>
      </c>
      <c r="O110" t="inlineStr">
        <is>
          <t>是</t>
        </is>
      </c>
      <c r="P110">
        <f>IF(OR(M110="",M110&lt;=18),"PASS","ANGLE_ALERT")</f>
        <v/>
      </c>
      <c r="Q110" t="inlineStr">
        <is>
          <t>样品11</t>
        </is>
      </c>
    </row>
    <row r="111">
      <c r="A111" t="inlineStr">
        <is>
          <t>11(8)-P01</t>
        </is>
      </c>
      <c r="B111" t="inlineStr">
        <is>
          <t>11 (8).tif</t>
        </is>
      </c>
      <c r="C111" t="inlineStr">
        <is>
          <t>L1</t>
        </is>
      </c>
      <c r="D111" t="n">
        <v>457</v>
      </c>
      <c r="E111" t="n">
        <v>396</v>
      </c>
      <c r="F111" t="n">
        <v>433</v>
      </c>
      <c r="G111" t="n">
        <v>379</v>
      </c>
      <c r="H111">
        <f>SQRT((F111-D111)^2+(G111-E111)^2)</f>
        <v/>
      </c>
      <c r="I111" t="n">
        <v>0.2173913043478261</v>
      </c>
      <c r="J111">
        <f>H111*I111</f>
        <v/>
      </c>
      <c r="M111">
        <f>IF(OR(K111="",L111=""),"",MAX(K111,L111))</f>
        <v/>
      </c>
      <c r="N111" t="n">
        <v>0.5</v>
      </c>
      <c r="O111" t="inlineStr">
        <is>
          <t>是</t>
        </is>
      </c>
      <c r="P111">
        <f>IF(OR(M111="",M111&lt;=18),"PASS","ANGLE_ALERT")</f>
        <v/>
      </c>
      <c r="Q111" t="inlineStr">
        <is>
          <t>样品11</t>
        </is>
      </c>
    </row>
    <row r="112">
      <c r="A112" t="inlineStr">
        <is>
          <t>11(8)-P01</t>
        </is>
      </c>
      <c r="B112" t="inlineStr">
        <is>
          <t>11 (8).tif</t>
        </is>
      </c>
      <c r="C112" t="inlineStr">
        <is>
          <t>L2</t>
        </is>
      </c>
      <c r="D112" t="n">
        <v>492</v>
      </c>
      <c r="E112" t="n">
        <v>366</v>
      </c>
      <c r="F112" t="n">
        <v>442</v>
      </c>
      <c r="G112" t="n">
        <v>357</v>
      </c>
      <c r="H112">
        <f>SQRT((F112-D112)^2+(G112-E112)^2)</f>
        <v/>
      </c>
      <c r="I112" t="n">
        <v>0.2173913043478261</v>
      </c>
      <c r="J112">
        <f>H112*I112</f>
        <v/>
      </c>
      <c r="M112">
        <f>IF(OR(K112="",L112=""),"",MAX(K112,L112))</f>
        <v/>
      </c>
      <c r="N112" t="n">
        <v>0.5</v>
      </c>
      <c r="O112" t="inlineStr">
        <is>
          <t>是</t>
        </is>
      </c>
      <c r="P112">
        <f>IF(OR(M112="",M112&lt;=18),"PASS","ANGLE_ALERT")</f>
        <v/>
      </c>
      <c r="Q112" t="inlineStr">
        <is>
          <t>样品11</t>
        </is>
      </c>
    </row>
    <row r="113">
      <c r="A113" t="inlineStr">
        <is>
          <t>11(8)-P01</t>
        </is>
      </c>
      <c r="B113" t="inlineStr">
        <is>
          <t>11 (8).tif</t>
        </is>
      </c>
      <c r="C113" t="inlineStr">
        <is>
          <t>L3</t>
        </is>
      </c>
      <c r="D113" t="n">
        <v>450</v>
      </c>
      <c r="E113" t="n">
        <v>409</v>
      </c>
      <c r="F113" t="n">
        <v>402</v>
      </c>
      <c r="G113" t="n">
        <v>397</v>
      </c>
      <c r="H113">
        <f>SQRT((F113-D113)^2+(G113-E113)^2)</f>
        <v/>
      </c>
      <c r="I113" t="n">
        <v>0.2173913043478261</v>
      </c>
      <c r="J113">
        <f>H113*I113</f>
        <v/>
      </c>
      <c r="M113">
        <f>IF(OR(K113="",L113=""),"",MAX(K113,L113))</f>
        <v/>
      </c>
      <c r="N113" t="n">
        <v>0.5</v>
      </c>
      <c r="O113" t="inlineStr">
        <is>
          <t>是</t>
        </is>
      </c>
      <c r="P113">
        <f>IF(OR(M113="",M113&lt;=18),"PASS","ANGLE_ALERT")</f>
        <v/>
      </c>
      <c r="Q113" t="inlineStr">
        <is>
          <t>样品11</t>
        </is>
      </c>
    </row>
    <row r="114">
      <c r="A114" t="inlineStr">
        <is>
          <t>12(1)-P01</t>
        </is>
      </c>
      <c r="B114" t="inlineStr">
        <is>
          <t>12 (1).tif</t>
        </is>
      </c>
      <c r="C114" t="inlineStr">
        <is>
          <t>L1</t>
        </is>
      </c>
      <c r="D114" t="n">
        <v>946</v>
      </c>
      <c r="E114" t="n">
        <v>296</v>
      </c>
      <c r="F114" t="n">
        <v>934</v>
      </c>
      <c r="G114" t="n">
        <v>283</v>
      </c>
      <c r="H114">
        <f>SQRT((F114-D114)^2+(G114-E114)^2)</f>
        <v/>
      </c>
      <c r="I114" t="n">
        <v>0.2173913043478261</v>
      </c>
      <c r="J114">
        <f>H114*I114</f>
        <v/>
      </c>
      <c r="M114">
        <f>IF(OR(K114="",L114=""),"",MAX(K114,L114))</f>
        <v/>
      </c>
      <c r="N114" t="n">
        <v>0.5</v>
      </c>
      <c r="O114" t="inlineStr">
        <is>
          <t>是</t>
        </is>
      </c>
      <c r="P114">
        <f>IF(OR(M114="",M114&lt;=18),"PASS","ANGLE_ALERT")</f>
        <v/>
      </c>
      <c r="Q114" t="inlineStr">
        <is>
          <t>样品12</t>
        </is>
      </c>
    </row>
    <row r="115">
      <c r="A115" t="inlineStr">
        <is>
          <t>12(4)-P01</t>
        </is>
      </c>
      <c r="B115" t="inlineStr">
        <is>
          <t>12 (4).tif</t>
        </is>
      </c>
      <c r="C115" t="inlineStr">
        <is>
          <t>L1</t>
        </is>
      </c>
      <c r="D115" t="n">
        <v>458</v>
      </c>
      <c r="E115" t="n">
        <v>390</v>
      </c>
      <c r="F115" t="n">
        <v>457</v>
      </c>
      <c r="G115" t="n">
        <v>410</v>
      </c>
      <c r="H115">
        <f>SQRT((F115-D115)^2+(G115-E115)^2)</f>
        <v/>
      </c>
      <c r="I115" t="n">
        <v>0.2173913043478261</v>
      </c>
      <c r="J115">
        <f>H115*I115</f>
        <v/>
      </c>
      <c r="M115">
        <f>IF(OR(K115="",L115=""),"",MAX(K115,L115))</f>
        <v/>
      </c>
      <c r="N115" t="n">
        <v>0.5</v>
      </c>
      <c r="O115" t="inlineStr">
        <is>
          <t>是</t>
        </is>
      </c>
      <c r="P115">
        <f>IF(OR(M115="",M115&lt;=18),"PASS","ANGLE_ALERT")</f>
        <v/>
      </c>
      <c r="Q115" t="inlineStr">
        <is>
          <t>样品12</t>
        </is>
      </c>
    </row>
    <row r="116">
      <c r="A116" t="inlineStr">
        <is>
          <t>12(4)-P01</t>
        </is>
      </c>
      <c r="B116" t="inlineStr">
        <is>
          <t>12 (4).tif</t>
        </is>
      </c>
      <c r="C116" t="inlineStr">
        <is>
          <t>L2</t>
        </is>
      </c>
      <c r="D116" t="n">
        <v>443</v>
      </c>
      <c r="E116" t="n">
        <v>388</v>
      </c>
      <c r="F116" t="n">
        <v>441</v>
      </c>
      <c r="G116" t="n">
        <v>406</v>
      </c>
      <c r="H116">
        <f>SQRT((F116-D116)^2+(G116-E116)^2)</f>
        <v/>
      </c>
      <c r="I116" t="n">
        <v>0.2173913043478261</v>
      </c>
      <c r="J116">
        <f>H116*I116</f>
        <v/>
      </c>
      <c r="M116">
        <f>IF(OR(K116="",L116=""),"",MAX(K116,L116))</f>
        <v/>
      </c>
      <c r="N116" t="n">
        <v>0.5</v>
      </c>
      <c r="O116" t="inlineStr">
        <is>
          <t>是</t>
        </is>
      </c>
      <c r="P116">
        <f>IF(OR(M116="",M116&lt;=18),"PASS","ANGLE_ALERT")</f>
        <v/>
      </c>
      <c r="Q116" t="inlineStr">
        <is>
          <t>样品12</t>
        </is>
      </c>
    </row>
    <row r="117">
      <c r="A117" t="inlineStr">
        <is>
          <t>12(4)-P01</t>
        </is>
      </c>
      <c r="B117" t="inlineStr">
        <is>
          <t>12 (4).tif</t>
        </is>
      </c>
      <c r="C117" t="inlineStr">
        <is>
          <t>L3</t>
        </is>
      </c>
      <c r="D117" t="n">
        <v>476</v>
      </c>
      <c r="E117" t="n">
        <v>390</v>
      </c>
      <c r="F117" t="n">
        <v>506</v>
      </c>
      <c r="G117" t="n">
        <v>458</v>
      </c>
      <c r="H117">
        <f>SQRT((F117-D117)^2+(G117-E117)^2)</f>
        <v/>
      </c>
      <c r="I117" t="n">
        <v>0.2173913043478261</v>
      </c>
      <c r="J117">
        <f>H117*I117</f>
        <v/>
      </c>
      <c r="M117">
        <f>IF(OR(K117="",L117=""),"",MAX(K117,L117))</f>
        <v/>
      </c>
      <c r="N117" t="n">
        <v>0.5</v>
      </c>
      <c r="O117" t="inlineStr">
        <is>
          <t>是</t>
        </is>
      </c>
      <c r="P117">
        <f>IF(OR(M117="",M117&lt;=18),"PASS","ANGLE_ALERT")</f>
        <v/>
      </c>
      <c r="Q117" t="inlineStr">
        <is>
          <t>样品12</t>
        </is>
      </c>
    </row>
    <row r="118">
      <c r="A118" t="inlineStr">
        <is>
          <t>13(5)-P01</t>
        </is>
      </c>
      <c r="B118" t="inlineStr">
        <is>
          <t>13 (5).tif</t>
        </is>
      </c>
      <c r="C118" t="inlineStr">
        <is>
          <t>L1</t>
        </is>
      </c>
      <c r="D118" t="n">
        <v>504</v>
      </c>
      <c r="E118" t="n">
        <v>369</v>
      </c>
      <c r="F118" t="n">
        <v>525</v>
      </c>
      <c r="G118" t="n">
        <v>374</v>
      </c>
      <c r="H118">
        <f>SQRT((F118-D118)^2+(G118-E118)^2)</f>
        <v/>
      </c>
      <c r="I118" t="n">
        <v>0.2173913043478261</v>
      </c>
      <c r="J118">
        <f>H118*I118</f>
        <v/>
      </c>
      <c r="M118">
        <f>IF(OR(K118="",L118=""),"",MAX(K118,L118))</f>
        <v/>
      </c>
      <c r="N118" t="n">
        <v>0.5</v>
      </c>
      <c r="O118" t="inlineStr">
        <is>
          <t>是</t>
        </is>
      </c>
      <c r="P118">
        <f>IF(OR(M118="",M118&lt;=18),"PASS","ANGLE_ALERT")</f>
        <v/>
      </c>
      <c r="Q118" t="inlineStr">
        <is>
          <t>样品13</t>
        </is>
      </c>
    </row>
    <row r="119">
      <c r="A119" t="inlineStr">
        <is>
          <t>13(7)-P01</t>
        </is>
      </c>
      <c r="B119" t="inlineStr">
        <is>
          <t>13 (7).tif</t>
        </is>
      </c>
      <c r="C119" t="inlineStr">
        <is>
          <t>L1</t>
        </is>
      </c>
      <c r="D119" t="n">
        <v>504</v>
      </c>
      <c r="E119" t="n">
        <v>365</v>
      </c>
      <c r="F119" t="n">
        <v>506</v>
      </c>
      <c r="G119" t="n">
        <v>374</v>
      </c>
      <c r="H119">
        <f>SQRT((F119-D119)^2+(G119-E119)^2)</f>
        <v/>
      </c>
      <c r="I119" t="n">
        <v>0.2173913043478261</v>
      </c>
      <c r="J119">
        <f>H119*I119</f>
        <v/>
      </c>
      <c r="M119">
        <f>IF(OR(K119="",L119=""),"",MAX(K119,L119))</f>
        <v/>
      </c>
      <c r="N119" t="n">
        <v>0.5</v>
      </c>
      <c r="O119" t="inlineStr">
        <is>
          <t>是</t>
        </is>
      </c>
      <c r="P119">
        <f>IF(OR(M119="",M119&lt;=18),"PASS","ANGLE_ALERT")</f>
        <v/>
      </c>
      <c r="Q119" t="inlineStr">
        <is>
          <t>样品13</t>
        </is>
      </c>
    </row>
    <row r="120">
      <c r="A120" t="inlineStr">
        <is>
          <t>14(8)-P01</t>
        </is>
      </c>
      <c r="B120" t="inlineStr">
        <is>
          <t>14 (8).tif</t>
        </is>
      </c>
      <c r="C120" t="inlineStr">
        <is>
          <t>L1</t>
        </is>
      </c>
      <c r="D120" t="n">
        <v>494</v>
      </c>
      <c r="E120" t="n">
        <v>379</v>
      </c>
      <c r="F120" t="n">
        <v>522</v>
      </c>
      <c r="G120" t="n">
        <v>370</v>
      </c>
      <c r="H120">
        <f>SQRT((F120-D120)^2+(G120-E120)^2)</f>
        <v/>
      </c>
      <c r="I120" t="n">
        <v>0.2173913043478261</v>
      </c>
      <c r="J120">
        <f>H120*I120</f>
        <v/>
      </c>
      <c r="M120">
        <f>IF(OR(K120="",L120=""),"",MAX(K120,L120))</f>
        <v/>
      </c>
      <c r="N120" t="n">
        <v>0.5</v>
      </c>
      <c r="O120" t="inlineStr">
        <is>
          <t>是</t>
        </is>
      </c>
      <c r="P120">
        <f>IF(OR(M120="",M120&lt;=18),"PASS","ANGLE_ALERT")</f>
        <v/>
      </c>
      <c r="Q120" t="inlineStr">
        <is>
          <t>样品14</t>
        </is>
      </c>
    </row>
    <row r="121">
      <c r="A121" t="inlineStr">
        <is>
          <t>14(8)-P01</t>
        </is>
      </c>
      <c r="B121" t="inlineStr">
        <is>
          <t>14 (8).tif</t>
        </is>
      </c>
      <c r="C121" t="inlineStr">
        <is>
          <t>L2</t>
        </is>
      </c>
      <c r="D121" t="n">
        <v>462</v>
      </c>
      <c r="E121" t="n">
        <v>340</v>
      </c>
      <c r="F121" t="n">
        <v>520</v>
      </c>
      <c r="G121" t="n">
        <v>361</v>
      </c>
      <c r="H121">
        <f>SQRT((F121-D121)^2+(G121-E121)^2)</f>
        <v/>
      </c>
      <c r="I121" t="n">
        <v>0.2173913043478261</v>
      </c>
      <c r="J121">
        <f>H121*I121</f>
        <v/>
      </c>
      <c r="M121">
        <f>IF(OR(K121="",L121=""),"",MAX(K121,L121))</f>
        <v/>
      </c>
      <c r="N121" t="n">
        <v>0.5</v>
      </c>
      <c r="O121" t="inlineStr">
        <is>
          <t>是</t>
        </is>
      </c>
      <c r="P121">
        <f>IF(OR(M121="",M121&lt;=18),"PASS","ANGLE_ALERT")</f>
        <v/>
      </c>
      <c r="Q121" t="inlineStr">
        <is>
          <t>样品14</t>
        </is>
      </c>
    </row>
    <row r="122">
      <c r="A122" t="inlineStr">
        <is>
          <t>15(8)-P01</t>
        </is>
      </c>
      <c r="B122" t="inlineStr">
        <is>
          <t>15 (8).tif</t>
        </is>
      </c>
      <c r="C122" t="inlineStr">
        <is>
          <t>L1</t>
        </is>
      </c>
      <c r="D122" t="n">
        <v>516</v>
      </c>
      <c r="E122" t="n">
        <v>337</v>
      </c>
      <c r="F122" t="n">
        <v>530</v>
      </c>
      <c r="G122" t="n">
        <v>368</v>
      </c>
      <c r="H122">
        <f>SQRT((F122-D122)^2+(G122-E122)^2)</f>
        <v/>
      </c>
      <c r="I122" t="n">
        <v>0.2173913043478261</v>
      </c>
      <c r="J122">
        <f>H122*I122</f>
        <v/>
      </c>
      <c r="M122">
        <f>IF(OR(K122="",L122=""),"",MAX(K122,L122))</f>
        <v/>
      </c>
      <c r="N122" t="n">
        <v>0.5</v>
      </c>
      <c r="O122" t="inlineStr">
        <is>
          <t>是</t>
        </is>
      </c>
      <c r="P122">
        <f>IF(OR(M122="",M122&lt;=18),"PASS","ANGLE_ALERT")</f>
        <v/>
      </c>
      <c r="Q122" t="inlineStr">
        <is>
          <t>样品15</t>
        </is>
      </c>
    </row>
    <row r="123">
      <c r="A123" t="inlineStr">
        <is>
          <t>15(8)-P01</t>
        </is>
      </c>
      <c r="B123" t="inlineStr">
        <is>
          <t>15 (8).tif</t>
        </is>
      </c>
      <c r="C123" t="inlineStr">
        <is>
          <t>L2</t>
        </is>
      </c>
      <c r="D123" t="n">
        <v>510</v>
      </c>
      <c r="E123" t="n">
        <v>340</v>
      </c>
      <c r="F123" t="n">
        <v>524</v>
      </c>
      <c r="G123" t="n">
        <v>370</v>
      </c>
      <c r="H123">
        <f>SQRT((F123-D123)^2+(G123-E123)^2)</f>
        <v/>
      </c>
      <c r="I123" t="n">
        <v>0.2173913043478261</v>
      </c>
      <c r="J123">
        <f>H123*I123</f>
        <v/>
      </c>
      <c r="M123">
        <f>IF(OR(K123="",L123=""),"",MAX(K123,L123))</f>
        <v/>
      </c>
      <c r="N123" t="n">
        <v>0.5</v>
      </c>
      <c r="O123" t="inlineStr">
        <is>
          <t>是</t>
        </is>
      </c>
      <c r="P123">
        <f>IF(OR(M123="",M123&lt;=18),"PASS","ANGLE_ALERT")</f>
        <v/>
      </c>
      <c r="Q123" t="inlineStr">
        <is>
          <t>样品15</t>
        </is>
      </c>
    </row>
    <row r="124">
      <c r="A124" t="inlineStr">
        <is>
          <t>15(8)-P01</t>
        </is>
      </c>
      <c r="B124" t="inlineStr">
        <is>
          <t>15 (8).tif</t>
        </is>
      </c>
      <c r="C124" t="inlineStr">
        <is>
          <t>L3</t>
        </is>
      </c>
      <c r="D124" t="n">
        <v>502</v>
      </c>
      <c r="E124" t="n">
        <v>343</v>
      </c>
      <c r="F124" t="n">
        <v>515</v>
      </c>
      <c r="G124" t="n">
        <v>374</v>
      </c>
      <c r="H124">
        <f>SQRT((F124-D124)^2+(G124-E124)^2)</f>
        <v/>
      </c>
      <c r="I124" t="n">
        <v>0.2173913043478261</v>
      </c>
      <c r="J124">
        <f>H124*I124</f>
        <v/>
      </c>
      <c r="M124">
        <f>IF(OR(K124="",L124=""),"",MAX(K124,L124))</f>
        <v/>
      </c>
      <c r="N124" t="n">
        <v>0.5</v>
      </c>
      <c r="O124" t="inlineStr">
        <is>
          <t>是</t>
        </is>
      </c>
      <c r="P124">
        <f>IF(OR(M124="",M124&lt;=18),"PASS","ANGLE_ALERT")</f>
        <v/>
      </c>
      <c r="Q124" t="inlineStr">
        <is>
          <t>样品15</t>
        </is>
      </c>
    </row>
    <row r="125">
      <c r="A125" t="inlineStr">
        <is>
          <t>16(3)-P01</t>
        </is>
      </c>
      <c r="B125" t="inlineStr">
        <is>
          <t>16 (3).tif</t>
        </is>
      </c>
      <c r="C125" t="inlineStr">
        <is>
          <t>L1</t>
        </is>
      </c>
      <c r="D125" t="n">
        <v>525</v>
      </c>
      <c r="E125" t="n">
        <v>348</v>
      </c>
      <c r="F125" t="n">
        <v>541</v>
      </c>
      <c r="G125" t="n">
        <v>355</v>
      </c>
      <c r="H125">
        <f>SQRT((F125-D125)^2+(G125-E125)^2)</f>
        <v/>
      </c>
      <c r="I125" t="n">
        <v>0.2173913043478261</v>
      </c>
      <c r="J125">
        <f>H125*I125</f>
        <v/>
      </c>
      <c r="M125">
        <f>IF(OR(K125="",L125=""),"",MAX(K125,L125))</f>
        <v/>
      </c>
      <c r="N125" t="n">
        <v>0.5</v>
      </c>
      <c r="O125" t="inlineStr">
        <is>
          <t>是</t>
        </is>
      </c>
      <c r="P125">
        <f>IF(OR(M125="",M125&lt;=18),"PASS","ANGLE_ALERT")</f>
        <v/>
      </c>
      <c r="Q125" t="inlineStr">
        <is>
          <t>样品16</t>
        </is>
      </c>
    </row>
    <row r="126">
      <c r="A126" t="inlineStr">
        <is>
          <t>16(3)-P01</t>
        </is>
      </c>
      <c r="B126" t="inlineStr">
        <is>
          <t>16 (3).tif</t>
        </is>
      </c>
      <c r="C126" t="inlineStr">
        <is>
          <t>L2</t>
        </is>
      </c>
      <c r="D126" t="n">
        <v>529</v>
      </c>
      <c r="E126" t="n">
        <v>331</v>
      </c>
      <c r="F126" t="n">
        <v>587</v>
      </c>
      <c r="G126" t="n">
        <v>328</v>
      </c>
      <c r="H126">
        <f>SQRT((F126-D126)^2+(G126-E126)^2)</f>
        <v/>
      </c>
      <c r="I126" t="n">
        <v>0.2173913043478261</v>
      </c>
      <c r="J126">
        <f>H126*I126</f>
        <v/>
      </c>
      <c r="M126">
        <f>IF(OR(K126="",L126=""),"",MAX(K126,L126))</f>
        <v/>
      </c>
      <c r="N126" t="n">
        <v>0.5</v>
      </c>
      <c r="O126" t="inlineStr">
        <is>
          <t>是</t>
        </is>
      </c>
      <c r="P126">
        <f>IF(OR(M126="",M126&lt;=18),"PASS","ANGLE_ALERT")</f>
        <v/>
      </c>
      <c r="Q126" t="inlineStr">
        <is>
          <t>样品16</t>
        </is>
      </c>
    </row>
    <row r="127">
      <c r="A127" t="inlineStr">
        <is>
          <t>16(3)-P01</t>
        </is>
      </c>
      <c r="B127" t="inlineStr">
        <is>
          <t>16 (3).tif</t>
        </is>
      </c>
      <c r="C127" t="inlineStr">
        <is>
          <t>L3</t>
        </is>
      </c>
      <c r="D127" t="n">
        <v>519</v>
      </c>
      <c r="E127" t="n">
        <v>362</v>
      </c>
      <c r="F127" t="n">
        <v>535</v>
      </c>
      <c r="G127" t="n">
        <v>368</v>
      </c>
      <c r="H127">
        <f>SQRT((F127-D127)^2+(G127-E127)^2)</f>
        <v/>
      </c>
      <c r="I127" t="n">
        <v>0.2173913043478261</v>
      </c>
      <c r="J127">
        <f>H127*I127</f>
        <v/>
      </c>
      <c r="M127">
        <f>IF(OR(K127="",L127=""),"",MAX(K127,L127))</f>
        <v/>
      </c>
      <c r="N127" t="n">
        <v>0.5</v>
      </c>
      <c r="O127" t="inlineStr">
        <is>
          <t>是</t>
        </is>
      </c>
      <c r="P127">
        <f>IF(OR(M127="",M127&lt;=18),"PASS","ANGLE_ALERT")</f>
        <v/>
      </c>
      <c r="Q127" t="inlineStr">
        <is>
          <t>样品16</t>
        </is>
      </c>
    </row>
    <row r="128">
      <c r="A128" t="inlineStr">
        <is>
          <t>16(4)-P01</t>
        </is>
      </c>
      <c r="B128" t="inlineStr">
        <is>
          <t>16 (4).tif</t>
        </is>
      </c>
      <c r="C128" t="inlineStr">
        <is>
          <t>L1</t>
        </is>
      </c>
      <c r="D128" t="n">
        <v>508</v>
      </c>
      <c r="E128" t="n">
        <v>385</v>
      </c>
      <c r="F128" t="n">
        <v>500</v>
      </c>
      <c r="G128" t="n">
        <v>368</v>
      </c>
      <c r="H128">
        <f>SQRT((F128-D128)^2+(G128-E128)^2)</f>
        <v/>
      </c>
      <c r="I128" t="n">
        <v>0.2173913043478261</v>
      </c>
      <c r="J128">
        <f>H128*I128</f>
        <v/>
      </c>
      <c r="M128">
        <f>IF(OR(K128="",L128=""),"",MAX(K128,L128))</f>
        <v/>
      </c>
      <c r="N128" t="n">
        <v>0.5</v>
      </c>
      <c r="O128" t="inlineStr">
        <is>
          <t>是</t>
        </is>
      </c>
      <c r="P128">
        <f>IF(OR(M128="",M128&lt;=18),"PASS","ANGLE_ALERT")</f>
        <v/>
      </c>
      <c r="Q128" t="inlineStr">
        <is>
          <t>样品16</t>
        </is>
      </c>
    </row>
    <row r="129">
      <c r="A129" t="inlineStr">
        <is>
          <t>16(5)-P01</t>
        </is>
      </c>
      <c r="B129" t="inlineStr">
        <is>
          <t>16 (5).tif</t>
        </is>
      </c>
      <c r="C129" t="inlineStr">
        <is>
          <t>L1</t>
        </is>
      </c>
      <c r="D129" t="n">
        <v>481</v>
      </c>
      <c r="E129" t="n">
        <v>354</v>
      </c>
      <c r="F129" t="n">
        <v>473</v>
      </c>
      <c r="G129" t="n">
        <v>385</v>
      </c>
      <c r="H129">
        <f>SQRT((F129-D129)^2+(G129-E129)^2)</f>
        <v/>
      </c>
      <c r="I129" t="n">
        <v>0.2173913043478261</v>
      </c>
      <c r="J129">
        <f>H129*I129</f>
        <v/>
      </c>
      <c r="M129">
        <f>IF(OR(K129="",L129=""),"",MAX(K129,L129))</f>
        <v/>
      </c>
      <c r="N129" t="n">
        <v>0.5</v>
      </c>
      <c r="O129" t="inlineStr">
        <is>
          <t>是</t>
        </is>
      </c>
      <c r="P129">
        <f>IF(OR(M129="",M129&lt;=18),"PASS","ANGLE_ALERT")</f>
        <v/>
      </c>
      <c r="Q129" t="inlineStr">
        <is>
          <t>样品16</t>
        </is>
      </c>
    </row>
    <row r="130">
      <c r="A130" t="inlineStr">
        <is>
          <t>16(5)-P01</t>
        </is>
      </c>
      <c r="B130" t="inlineStr">
        <is>
          <t>16 (5).tif</t>
        </is>
      </c>
      <c r="C130" t="inlineStr">
        <is>
          <t>L2</t>
        </is>
      </c>
      <c r="D130" t="n">
        <v>474</v>
      </c>
      <c r="E130" t="n">
        <v>352</v>
      </c>
      <c r="F130" t="n">
        <v>463</v>
      </c>
      <c r="G130" t="n">
        <v>380</v>
      </c>
      <c r="H130">
        <f>SQRT((F130-D130)^2+(G130-E130)^2)</f>
        <v/>
      </c>
      <c r="I130" t="n">
        <v>0.2173913043478261</v>
      </c>
      <c r="J130">
        <f>H130*I130</f>
        <v/>
      </c>
      <c r="M130">
        <f>IF(OR(K130="",L130=""),"",MAX(K130,L130))</f>
        <v/>
      </c>
      <c r="N130" t="n">
        <v>0.5</v>
      </c>
      <c r="O130" t="inlineStr">
        <is>
          <t>是</t>
        </is>
      </c>
      <c r="P130">
        <f>IF(OR(M130="",M130&lt;=18),"PASS","ANGLE_ALERT")</f>
        <v/>
      </c>
      <c r="Q130" t="inlineStr">
        <is>
          <t>样品16</t>
        </is>
      </c>
    </row>
    <row r="131">
      <c r="A131" t="inlineStr">
        <is>
          <t>16(5)-P01</t>
        </is>
      </c>
      <c r="B131" t="inlineStr">
        <is>
          <t>16 (5).tif</t>
        </is>
      </c>
      <c r="C131" t="inlineStr">
        <is>
          <t>L3</t>
        </is>
      </c>
      <c r="D131" t="n">
        <v>467</v>
      </c>
      <c r="E131" t="n">
        <v>349</v>
      </c>
      <c r="F131" t="n">
        <v>454</v>
      </c>
      <c r="G131" t="n">
        <v>377</v>
      </c>
      <c r="H131">
        <f>SQRT((F131-D131)^2+(G131-E131)^2)</f>
        <v/>
      </c>
      <c r="I131" t="n">
        <v>0.2173913043478261</v>
      </c>
      <c r="J131">
        <f>H131*I131</f>
        <v/>
      </c>
      <c r="M131">
        <f>IF(OR(K131="",L131=""),"",MAX(K131,L131))</f>
        <v/>
      </c>
      <c r="N131" t="n">
        <v>0.5</v>
      </c>
      <c r="O131" t="inlineStr">
        <is>
          <t>是</t>
        </is>
      </c>
      <c r="P131">
        <f>IF(OR(M131="",M131&lt;=18),"PASS","ANGLE_ALERT")</f>
        <v/>
      </c>
      <c r="Q131" t="inlineStr">
        <is>
          <t>样品16</t>
        </is>
      </c>
    </row>
    <row r="132">
      <c r="A132" t="inlineStr">
        <is>
          <t>16(6)-P01</t>
        </is>
      </c>
      <c r="B132" t="inlineStr">
        <is>
          <t>16 (6).tif</t>
        </is>
      </c>
      <c r="C132" t="inlineStr">
        <is>
          <t>L1</t>
        </is>
      </c>
      <c r="D132" t="n">
        <v>525</v>
      </c>
      <c r="E132" t="n">
        <v>343</v>
      </c>
      <c r="F132" t="n">
        <v>532</v>
      </c>
      <c r="G132" t="n">
        <v>381</v>
      </c>
      <c r="H132">
        <f>SQRT((F132-D132)^2+(G132-E132)^2)</f>
        <v/>
      </c>
      <c r="I132" t="n">
        <v>0.2173913043478261</v>
      </c>
      <c r="J132">
        <f>H132*I132</f>
        <v/>
      </c>
      <c r="M132">
        <f>IF(OR(K132="",L132=""),"",MAX(K132,L132))</f>
        <v/>
      </c>
      <c r="N132" t="n">
        <v>0.5</v>
      </c>
      <c r="O132" t="inlineStr">
        <is>
          <t>是</t>
        </is>
      </c>
      <c r="P132">
        <f>IF(OR(M132="",M132&lt;=18),"PASS","ANGLE_ALERT")</f>
        <v/>
      </c>
      <c r="Q132" t="inlineStr">
        <is>
          <t>样品16</t>
        </is>
      </c>
    </row>
    <row r="133">
      <c r="A133" t="inlineStr">
        <is>
          <t>16(6)-P01</t>
        </is>
      </c>
      <c r="B133" t="inlineStr">
        <is>
          <t>16 (6).tif</t>
        </is>
      </c>
      <c r="C133" t="inlineStr">
        <is>
          <t>L2</t>
        </is>
      </c>
      <c r="D133" t="n">
        <v>519</v>
      </c>
      <c r="E133" t="n">
        <v>344</v>
      </c>
      <c r="F133" t="n">
        <v>524</v>
      </c>
      <c r="G133" t="n">
        <v>382</v>
      </c>
      <c r="H133">
        <f>SQRT((F133-D133)^2+(G133-E133)^2)</f>
        <v/>
      </c>
      <c r="I133" t="n">
        <v>0.2173913043478261</v>
      </c>
      <c r="J133">
        <f>H133*I133</f>
        <v/>
      </c>
      <c r="M133">
        <f>IF(OR(K133="",L133=""),"",MAX(K133,L133))</f>
        <v/>
      </c>
      <c r="N133" t="n">
        <v>0.5</v>
      </c>
      <c r="O133" t="inlineStr">
        <is>
          <t>是</t>
        </is>
      </c>
      <c r="P133">
        <f>IF(OR(M133="",M133&lt;=18),"PASS","ANGLE_ALERT")</f>
        <v/>
      </c>
      <c r="Q133" t="inlineStr">
        <is>
          <t>样品16</t>
        </is>
      </c>
    </row>
    <row r="134">
      <c r="A134" t="inlineStr">
        <is>
          <t>17(2)-P01</t>
        </is>
      </c>
      <c r="B134" t="inlineStr">
        <is>
          <t>17 (2).tif</t>
        </is>
      </c>
      <c r="C134" t="inlineStr">
        <is>
          <t>L1</t>
        </is>
      </c>
      <c r="D134" t="n">
        <v>501</v>
      </c>
      <c r="E134" t="n">
        <v>377</v>
      </c>
      <c r="F134" t="n">
        <v>507</v>
      </c>
      <c r="G134" t="n">
        <v>412</v>
      </c>
      <c r="H134">
        <f>SQRT((F134-D134)^2+(G134-E134)^2)</f>
        <v/>
      </c>
      <c r="I134" t="n">
        <v>0.2173913043478261</v>
      </c>
      <c r="J134">
        <f>H134*I134</f>
        <v/>
      </c>
      <c r="M134">
        <f>IF(OR(K134="",L134=""),"",MAX(K134,L134))</f>
        <v/>
      </c>
      <c r="N134" t="n">
        <v>0.5</v>
      </c>
      <c r="O134" t="inlineStr">
        <is>
          <t>是</t>
        </is>
      </c>
      <c r="P134">
        <f>IF(OR(M134="",M134&lt;=18),"PASS","ANGLE_ALERT")</f>
        <v/>
      </c>
      <c r="Q134" t="inlineStr">
        <is>
          <t>样品17</t>
        </is>
      </c>
    </row>
    <row r="135">
      <c r="A135" t="inlineStr">
        <is>
          <t>17(2)-P01</t>
        </is>
      </c>
      <c r="B135" t="inlineStr">
        <is>
          <t>17 (2).tif</t>
        </is>
      </c>
      <c r="C135" t="inlineStr">
        <is>
          <t>L2</t>
        </is>
      </c>
      <c r="D135" t="n">
        <v>468</v>
      </c>
      <c r="E135" t="n">
        <v>380</v>
      </c>
      <c r="F135" t="n">
        <v>457</v>
      </c>
      <c r="G135" t="n">
        <v>464</v>
      </c>
      <c r="H135">
        <f>SQRT((F135-D135)^2+(G135-E135)^2)</f>
        <v/>
      </c>
      <c r="I135" t="n">
        <v>0.2173913043478261</v>
      </c>
      <c r="J135">
        <f>H135*I135</f>
        <v/>
      </c>
      <c r="M135">
        <f>IF(OR(K135="",L135=""),"",MAX(K135,L135))</f>
        <v/>
      </c>
      <c r="N135" t="n">
        <v>0.5</v>
      </c>
      <c r="O135" t="inlineStr">
        <is>
          <t>是</t>
        </is>
      </c>
      <c r="P135">
        <f>IF(OR(M135="",M135&lt;=18),"PASS","ANGLE_ALERT")</f>
        <v/>
      </c>
      <c r="Q135" t="inlineStr">
        <is>
          <t>样品17</t>
        </is>
      </c>
    </row>
    <row r="136">
      <c r="A136" t="inlineStr">
        <is>
          <t>17(2)-P01</t>
        </is>
      </c>
      <c r="B136" t="inlineStr">
        <is>
          <t>17 (2).tif</t>
        </is>
      </c>
      <c r="C136" t="inlineStr">
        <is>
          <t>L3</t>
        </is>
      </c>
      <c r="D136" t="n">
        <v>492</v>
      </c>
      <c r="E136" t="n">
        <v>379</v>
      </c>
      <c r="F136" t="n">
        <v>496</v>
      </c>
      <c r="G136" t="n">
        <v>413</v>
      </c>
      <c r="H136">
        <f>SQRT((F136-D136)^2+(G136-E136)^2)</f>
        <v/>
      </c>
      <c r="I136" t="n">
        <v>0.2173913043478261</v>
      </c>
      <c r="J136">
        <f>H136*I136</f>
        <v/>
      </c>
      <c r="M136">
        <f>IF(OR(K136="",L136=""),"",MAX(K136,L136))</f>
        <v/>
      </c>
      <c r="N136" t="n">
        <v>0.5</v>
      </c>
      <c r="O136" t="inlineStr">
        <is>
          <t>是</t>
        </is>
      </c>
      <c r="P136">
        <f>IF(OR(M136="",M136&lt;=18),"PASS","ANGLE_ALERT")</f>
        <v/>
      </c>
      <c r="Q136" t="inlineStr">
        <is>
          <t>样品17</t>
        </is>
      </c>
    </row>
    <row r="137">
      <c r="A137" t="inlineStr">
        <is>
          <t>17(5)-P01</t>
        </is>
      </c>
      <c r="B137" t="inlineStr">
        <is>
          <t>17 (5).tif</t>
        </is>
      </c>
      <c r="C137" t="inlineStr">
        <is>
          <t>L1</t>
        </is>
      </c>
      <c r="D137" t="n">
        <v>517</v>
      </c>
      <c r="E137" t="n">
        <v>354</v>
      </c>
      <c r="F137" t="n">
        <v>484</v>
      </c>
      <c r="G137" t="n">
        <v>351</v>
      </c>
      <c r="H137">
        <f>SQRT((F137-D137)^2+(G137-E137)^2)</f>
        <v/>
      </c>
      <c r="I137" t="n">
        <v>0.2173913043478261</v>
      </c>
      <c r="J137">
        <f>H137*I137</f>
        <v/>
      </c>
      <c r="M137">
        <f>IF(OR(K137="",L137=""),"",MAX(K137,L137))</f>
        <v/>
      </c>
      <c r="N137" t="n">
        <v>0.5</v>
      </c>
      <c r="O137" t="inlineStr">
        <is>
          <t>是</t>
        </is>
      </c>
      <c r="P137">
        <f>IF(OR(M137="",M137&lt;=18),"PASS","ANGLE_ALERT")</f>
        <v/>
      </c>
      <c r="Q137" t="inlineStr">
        <is>
          <t>样品17</t>
        </is>
      </c>
    </row>
    <row r="138">
      <c r="A138" t="inlineStr">
        <is>
          <t>17(5)-P01</t>
        </is>
      </c>
      <c r="B138" t="inlineStr">
        <is>
          <t>17 (5).tif</t>
        </is>
      </c>
      <c r="C138" t="inlineStr">
        <is>
          <t>L2</t>
        </is>
      </c>
      <c r="D138" t="n">
        <v>517</v>
      </c>
      <c r="E138" t="n">
        <v>341</v>
      </c>
      <c r="F138" t="n">
        <v>485</v>
      </c>
      <c r="G138" t="n">
        <v>339</v>
      </c>
      <c r="H138">
        <f>SQRT((F138-D138)^2+(G138-E138)^2)</f>
        <v/>
      </c>
      <c r="I138" t="n">
        <v>0.2173913043478261</v>
      </c>
      <c r="J138">
        <f>H138*I138</f>
        <v/>
      </c>
      <c r="M138">
        <f>IF(OR(K138="",L138=""),"",MAX(K138,L138))</f>
        <v/>
      </c>
      <c r="N138" t="n">
        <v>0.5</v>
      </c>
      <c r="O138" t="inlineStr">
        <is>
          <t>是</t>
        </is>
      </c>
      <c r="P138">
        <f>IF(OR(M138="",M138&lt;=18),"PASS","ANGLE_ALERT")</f>
        <v/>
      </c>
      <c r="Q138" t="inlineStr">
        <is>
          <t>样品17</t>
        </is>
      </c>
    </row>
    <row r="139">
      <c r="A139" t="inlineStr">
        <is>
          <t>17(7)-P01</t>
        </is>
      </c>
      <c r="B139" t="inlineStr">
        <is>
          <t>17 (7).tif</t>
        </is>
      </c>
      <c r="C139" t="inlineStr">
        <is>
          <t>L1</t>
        </is>
      </c>
      <c r="D139" t="n">
        <v>529</v>
      </c>
      <c r="E139" t="n">
        <v>358</v>
      </c>
      <c r="F139" t="n">
        <v>500</v>
      </c>
      <c r="G139" t="n">
        <v>373</v>
      </c>
      <c r="H139">
        <f>SQRT((F139-D139)^2+(G139-E139)^2)</f>
        <v/>
      </c>
      <c r="I139" t="n">
        <v>0.2173913043478261</v>
      </c>
      <c r="J139">
        <f>H139*I139</f>
        <v/>
      </c>
      <c r="M139">
        <f>IF(OR(K139="",L139=""),"",MAX(K139,L139))</f>
        <v/>
      </c>
      <c r="N139" t="n">
        <v>0.5</v>
      </c>
      <c r="O139" t="inlineStr">
        <is>
          <t>是</t>
        </is>
      </c>
      <c r="P139">
        <f>IF(OR(M139="",M139&lt;=18),"PASS","ANGLE_ALERT")</f>
        <v/>
      </c>
      <c r="Q139" t="inlineStr">
        <is>
          <t>样品17</t>
        </is>
      </c>
    </row>
    <row r="140">
      <c r="A140" t="inlineStr">
        <is>
          <t>18(3)-P01</t>
        </is>
      </c>
      <c r="B140" t="inlineStr">
        <is>
          <t>18 (3).tif</t>
        </is>
      </c>
      <c r="C140" t="inlineStr">
        <is>
          <t>L1</t>
        </is>
      </c>
      <c r="D140" t="n">
        <v>566</v>
      </c>
      <c r="E140" t="n">
        <v>328</v>
      </c>
      <c r="F140" t="n">
        <v>533</v>
      </c>
      <c r="G140" t="n">
        <v>318</v>
      </c>
      <c r="H140">
        <f>SQRT((F140-D140)^2+(G140-E140)^2)</f>
        <v/>
      </c>
      <c r="I140" t="n">
        <v>0.2173913043478261</v>
      </c>
      <c r="J140">
        <f>H140*I140</f>
        <v/>
      </c>
      <c r="M140">
        <f>IF(OR(K140="",L140=""),"",MAX(K140,L140))</f>
        <v/>
      </c>
      <c r="N140" t="n">
        <v>0.5</v>
      </c>
      <c r="O140" t="inlineStr">
        <is>
          <t>是</t>
        </is>
      </c>
      <c r="P140">
        <f>IF(OR(M140="",M140&lt;=18),"PASS","ANGLE_ALERT")</f>
        <v/>
      </c>
      <c r="Q140" t="inlineStr">
        <is>
          <t>样品18</t>
        </is>
      </c>
    </row>
    <row r="141">
      <c r="A141" t="inlineStr">
        <is>
          <t>18(3)-P01</t>
        </is>
      </c>
      <c r="B141" t="inlineStr">
        <is>
          <t>18 (3).tif</t>
        </is>
      </c>
      <c r="C141" t="inlineStr">
        <is>
          <t>L2</t>
        </is>
      </c>
      <c r="D141" t="n">
        <v>573</v>
      </c>
      <c r="E141" t="n">
        <v>350</v>
      </c>
      <c r="F141" t="n">
        <v>561</v>
      </c>
      <c r="G141" t="n">
        <v>355</v>
      </c>
      <c r="H141">
        <f>SQRT((F141-D141)^2+(G141-E141)^2)</f>
        <v/>
      </c>
      <c r="I141" t="n">
        <v>0.2173913043478261</v>
      </c>
      <c r="J141">
        <f>H141*I141</f>
        <v/>
      </c>
      <c r="M141">
        <f>IF(OR(K141="",L141=""),"",MAX(K141,L141))</f>
        <v/>
      </c>
      <c r="N141" t="n">
        <v>0.5</v>
      </c>
      <c r="O141" t="inlineStr">
        <is>
          <t>是</t>
        </is>
      </c>
      <c r="P141">
        <f>IF(OR(M141="",M141&lt;=18),"PASS","ANGLE_ALERT")</f>
        <v/>
      </c>
      <c r="Q141" t="inlineStr">
        <is>
          <t>样品18</t>
        </is>
      </c>
    </row>
    <row r="142">
      <c r="A142" t="inlineStr">
        <is>
          <t>18(3)-P01</t>
        </is>
      </c>
      <c r="B142" t="inlineStr">
        <is>
          <t>18 (3).tif</t>
        </is>
      </c>
      <c r="C142" t="inlineStr">
        <is>
          <t>L3</t>
        </is>
      </c>
      <c r="D142" t="n">
        <v>569</v>
      </c>
      <c r="E142" t="n">
        <v>339</v>
      </c>
      <c r="F142" t="n">
        <v>557</v>
      </c>
      <c r="G142" t="n">
        <v>345</v>
      </c>
      <c r="H142">
        <f>SQRT((F142-D142)^2+(G142-E142)^2)</f>
        <v/>
      </c>
      <c r="I142" t="n">
        <v>0.2173913043478261</v>
      </c>
      <c r="J142">
        <f>H142*I142</f>
        <v/>
      </c>
      <c r="M142">
        <f>IF(OR(K142="",L142=""),"",MAX(K142,L142))</f>
        <v/>
      </c>
      <c r="N142" t="n">
        <v>0.5</v>
      </c>
      <c r="O142" t="inlineStr">
        <is>
          <t>是</t>
        </is>
      </c>
      <c r="P142">
        <f>IF(OR(M142="",M142&lt;=18),"PASS","ANGLE_ALERT")</f>
        <v/>
      </c>
      <c r="Q142" t="inlineStr">
        <is>
          <t>样品18</t>
        </is>
      </c>
    </row>
    <row r="143">
      <c r="A143" t="inlineStr">
        <is>
          <t>18(3)-P01</t>
        </is>
      </c>
      <c r="B143" t="inlineStr">
        <is>
          <t>18 (3).tif</t>
        </is>
      </c>
      <c r="C143" t="inlineStr">
        <is>
          <t>L4</t>
        </is>
      </c>
      <c r="D143" t="n">
        <v>568</v>
      </c>
      <c r="E143" t="n">
        <v>338</v>
      </c>
      <c r="F143" t="n">
        <v>556</v>
      </c>
      <c r="G143" t="n">
        <v>343</v>
      </c>
      <c r="H143">
        <f>SQRT((F143-D143)^2+(G143-E143)^2)</f>
        <v/>
      </c>
      <c r="I143" t="n">
        <v>0.2173913043478261</v>
      </c>
      <c r="J143">
        <f>H143*I143</f>
        <v/>
      </c>
      <c r="M143">
        <f>IF(OR(K143="",L143=""),"",MAX(K143,L143))</f>
        <v/>
      </c>
      <c r="N143" t="n">
        <v>0.5</v>
      </c>
      <c r="O143" t="inlineStr">
        <is>
          <t>是</t>
        </is>
      </c>
      <c r="P143">
        <f>IF(OR(M143="",M143&lt;=18),"PASS","ANGLE_ALERT")</f>
        <v/>
      </c>
      <c r="Q143" t="inlineStr">
        <is>
          <t>样品18</t>
        </is>
      </c>
    </row>
    <row r="144">
      <c r="A144" t="inlineStr">
        <is>
          <t>18(5)-P01</t>
        </is>
      </c>
      <c r="B144" t="inlineStr">
        <is>
          <t>18 (5).tif</t>
        </is>
      </c>
      <c r="C144" t="inlineStr">
        <is>
          <t>L1</t>
        </is>
      </c>
      <c r="D144" t="n">
        <v>537</v>
      </c>
      <c r="E144" t="n">
        <v>400</v>
      </c>
      <c r="F144" t="n">
        <v>518</v>
      </c>
      <c r="G144" t="n">
        <v>379</v>
      </c>
      <c r="H144">
        <f>SQRT((F144-D144)^2+(G144-E144)^2)</f>
        <v/>
      </c>
      <c r="I144" t="n">
        <v>0.2173913043478261</v>
      </c>
      <c r="J144">
        <f>H144*I144</f>
        <v/>
      </c>
      <c r="M144">
        <f>IF(OR(K144="",L144=""),"",MAX(K144,L144))</f>
        <v/>
      </c>
      <c r="N144" t="n">
        <v>0.5</v>
      </c>
      <c r="O144" t="inlineStr">
        <is>
          <t>是</t>
        </is>
      </c>
      <c r="P144">
        <f>IF(OR(M144="",M144&lt;=18),"PASS","ANGLE_ALERT")</f>
        <v/>
      </c>
      <c r="Q144" t="inlineStr">
        <is>
          <t>样品18</t>
        </is>
      </c>
    </row>
    <row r="145">
      <c r="A145" t="inlineStr">
        <is>
          <t>18(5)-P01</t>
        </is>
      </c>
      <c r="B145" t="inlineStr">
        <is>
          <t>18 (5).tif</t>
        </is>
      </c>
      <c r="C145" t="inlineStr">
        <is>
          <t>L2</t>
        </is>
      </c>
      <c r="D145" t="n">
        <v>551</v>
      </c>
      <c r="E145" t="n">
        <v>387</v>
      </c>
      <c r="F145" t="n">
        <v>539</v>
      </c>
      <c r="G145" t="n">
        <v>361</v>
      </c>
      <c r="H145">
        <f>SQRT((F145-D145)^2+(G145-E145)^2)</f>
        <v/>
      </c>
      <c r="I145" t="n">
        <v>0.2173913043478261</v>
      </c>
      <c r="J145">
        <f>H145*I145</f>
        <v/>
      </c>
      <c r="M145">
        <f>IF(OR(K145="",L145=""),"",MAX(K145,L145))</f>
        <v/>
      </c>
      <c r="N145" t="n">
        <v>0.5</v>
      </c>
      <c r="O145" t="inlineStr">
        <is>
          <t>是</t>
        </is>
      </c>
      <c r="P145">
        <f>IF(OR(M145="",M145&lt;=18),"PASS","ANGLE_ALERT")</f>
        <v/>
      </c>
      <c r="Q145" t="inlineStr">
        <is>
          <t>样品18</t>
        </is>
      </c>
    </row>
    <row r="146">
      <c r="A146" t="inlineStr">
        <is>
          <t>18(5)-P01</t>
        </is>
      </c>
      <c r="B146" t="inlineStr">
        <is>
          <t>18 (5).tif</t>
        </is>
      </c>
      <c r="C146" t="inlineStr">
        <is>
          <t>L3</t>
        </is>
      </c>
      <c r="D146" t="n">
        <v>544</v>
      </c>
      <c r="E146" t="n">
        <v>392</v>
      </c>
      <c r="F146" t="n">
        <v>528</v>
      </c>
      <c r="G146" t="n">
        <v>373</v>
      </c>
      <c r="H146">
        <f>SQRT((F146-D146)^2+(G146-E146)^2)</f>
        <v/>
      </c>
      <c r="I146" t="n">
        <v>0.2173913043478261</v>
      </c>
      <c r="J146">
        <f>H146*I146</f>
        <v/>
      </c>
      <c r="M146">
        <f>IF(OR(K146="",L146=""),"",MAX(K146,L146))</f>
        <v/>
      </c>
      <c r="N146" t="n">
        <v>0.5</v>
      </c>
      <c r="O146" t="inlineStr">
        <is>
          <t>是</t>
        </is>
      </c>
      <c r="P146">
        <f>IF(OR(M146="",M146&lt;=18),"PASS","ANGLE_ALERT")</f>
        <v/>
      </c>
      <c r="Q146" t="inlineStr">
        <is>
          <t>样品18</t>
        </is>
      </c>
    </row>
    <row r="147">
      <c r="A147" t="inlineStr">
        <is>
          <t>18(5)-P01</t>
        </is>
      </c>
      <c r="B147" t="inlineStr">
        <is>
          <t>18 (5).tif</t>
        </is>
      </c>
      <c r="C147" t="inlineStr">
        <is>
          <t>L4</t>
        </is>
      </c>
      <c r="D147" t="n">
        <v>556</v>
      </c>
      <c r="E147" t="n">
        <v>385</v>
      </c>
      <c r="F147" t="n">
        <v>537</v>
      </c>
      <c r="G147" t="n">
        <v>364</v>
      </c>
      <c r="H147">
        <f>SQRT((F147-D147)^2+(G147-E147)^2)</f>
        <v/>
      </c>
      <c r="I147" t="n">
        <v>0.2173913043478261</v>
      </c>
      <c r="J147">
        <f>H147*I147</f>
        <v/>
      </c>
      <c r="M147">
        <f>IF(OR(K147="",L147=""),"",MAX(K147,L147))</f>
        <v/>
      </c>
      <c r="N147" t="n">
        <v>0.5</v>
      </c>
      <c r="O147" t="inlineStr">
        <is>
          <t>是</t>
        </is>
      </c>
      <c r="P147">
        <f>IF(OR(M147="",M147&lt;=18),"PASS","ANGLE_ALERT")</f>
        <v/>
      </c>
      <c r="Q147" t="inlineStr">
        <is>
          <t>样品18</t>
        </is>
      </c>
    </row>
    <row r="148">
      <c r="A148" t="inlineStr">
        <is>
          <t>18(6)-P01</t>
        </is>
      </c>
      <c r="B148" t="inlineStr">
        <is>
          <t>18 (6).tif</t>
        </is>
      </c>
      <c r="C148" t="inlineStr">
        <is>
          <t>L1</t>
        </is>
      </c>
      <c r="D148" t="n">
        <v>480</v>
      </c>
      <c r="E148" t="n">
        <v>396</v>
      </c>
      <c r="F148" t="n">
        <v>472</v>
      </c>
      <c r="G148" t="n">
        <v>370</v>
      </c>
      <c r="H148">
        <f>SQRT((F148-D148)^2+(G148-E148)^2)</f>
        <v/>
      </c>
      <c r="I148" t="n">
        <v>0.2173913043478261</v>
      </c>
      <c r="J148">
        <f>H148*I148</f>
        <v/>
      </c>
      <c r="M148">
        <f>IF(OR(K148="",L148=""),"",MAX(K148,L148))</f>
        <v/>
      </c>
      <c r="N148" t="n">
        <v>0.5</v>
      </c>
      <c r="O148" t="inlineStr">
        <is>
          <t>是</t>
        </is>
      </c>
      <c r="P148">
        <f>IF(OR(M148="",M148&lt;=18),"PASS","ANGLE_ALERT")</f>
        <v/>
      </c>
      <c r="Q148" t="inlineStr">
        <is>
          <t>样品18</t>
        </is>
      </c>
    </row>
    <row r="149">
      <c r="A149" t="inlineStr">
        <is>
          <t>18(6)-P01</t>
        </is>
      </c>
      <c r="B149" t="inlineStr">
        <is>
          <t>18 (6).tif</t>
        </is>
      </c>
      <c r="C149" t="inlineStr">
        <is>
          <t>L2</t>
        </is>
      </c>
      <c r="D149" t="n">
        <v>480</v>
      </c>
      <c r="E149" t="n">
        <v>396</v>
      </c>
      <c r="F149" t="n">
        <v>469</v>
      </c>
      <c r="G149" t="n">
        <v>370</v>
      </c>
      <c r="H149">
        <f>SQRT((F149-D149)^2+(G149-E149)^2)</f>
        <v/>
      </c>
      <c r="I149" t="n">
        <v>0.2173913043478261</v>
      </c>
      <c r="J149">
        <f>H149*I149</f>
        <v/>
      </c>
      <c r="M149">
        <f>IF(OR(K149="",L149=""),"",MAX(K149,L149))</f>
        <v/>
      </c>
      <c r="N149" t="n">
        <v>0.5</v>
      </c>
      <c r="O149" t="inlineStr">
        <is>
          <t>是</t>
        </is>
      </c>
      <c r="P149">
        <f>IF(OR(M149="",M149&lt;=18),"PASS","ANGLE_ALERT")</f>
        <v/>
      </c>
      <c r="Q149" t="inlineStr">
        <is>
          <t>样品18</t>
        </is>
      </c>
    </row>
    <row r="150">
      <c r="A150" t="inlineStr">
        <is>
          <t>18(6)-P01</t>
        </is>
      </c>
      <c r="B150" t="inlineStr">
        <is>
          <t>18 (6).tif</t>
        </is>
      </c>
      <c r="C150" t="inlineStr">
        <is>
          <t>L3</t>
        </is>
      </c>
      <c r="D150" t="n">
        <v>482</v>
      </c>
      <c r="E150" t="n">
        <v>396</v>
      </c>
      <c r="F150" t="n">
        <v>472</v>
      </c>
      <c r="G150" t="n">
        <v>370</v>
      </c>
      <c r="H150">
        <f>SQRT((F150-D150)^2+(G150-E150)^2)</f>
        <v/>
      </c>
      <c r="I150" t="n">
        <v>0.2173913043478261</v>
      </c>
      <c r="J150">
        <f>H150*I150</f>
        <v/>
      </c>
      <c r="M150">
        <f>IF(OR(K150="",L150=""),"",MAX(K150,L150))</f>
        <v/>
      </c>
      <c r="N150" t="n">
        <v>0.5</v>
      </c>
      <c r="O150" t="inlineStr">
        <is>
          <t>是</t>
        </is>
      </c>
      <c r="P150">
        <f>IF(OR(M150="",M150&lt;=18),"PASS","ANGLE_ALERT")</f>
        <v/>
      </c>
      <c r="Q150" t="inlineStr">
        <is>
          <t>样品18</t>
        </is>
      </c>
    </row>
    <row r="151">
      <c r="A151" t="inlineStr">
        <is>
          <t>18(6)-P01</t>
        </is>
      </c>
      <c r="B151" t="inlineStr">
        <is>
          <t>18 (6).tif</t>
        </is>
      </c>
      <c r="C151" t="inlineStr">
        <is>
          <t>L4</t>
        </is>
      </c>
      <c r="D151" t="n">
        <v>488</v>
      </c>
      <c r="E151" t="n">
        <v>394</v>
      </c>
      <c r="F151" t="n">
        <v>478</v>
      </c>
      <c r="G151" t="n">
        <v>367</v>
      </c>
      <c r="H151">
        <f>SQRT((F151-D151)^2+(G151-E151)^2)</f>
        <v/>
      </c>
      <c r="I151" t="n">
        <v>0.2173913043478261</v>
      </c>
      <c r="J151">
        <f>H151*I151</f>
        <v/>
      </c>
      <c r="M151">
        <f>IF(OR(K151="",L151=""),"",MAX(K151,L151))</f>
        <v/>
      </c>
      <c r="N151" t="n">
        <v>0.5</v>
      </c>
      <c r="O151" t="inlineStr">
        <is>
          <t>是</t>
        </is>
      </c>
      <c r="P151">
        <f>IF(OR(M151="",M151&lt;=18),"PASS","ANGLE_ALERT")</f>
        <v/>
      </c>
      <c r="Q151" t="inlineStr">
        <is>
          <t>样品18</t>
        </is>
      </c>
    </row>
    <row r="152">
      <c r="A152" t="inlineStr">
        <is>
          <t>18(7)-P01</t>
        </is>
      </c>
      <c r="B152" t="inlineStr">
        <is>
          <t>18 (7).tif</t>
        </is>
      </c>
      <c r="C152" t="inlineStr">
        <is>
          <t>L1</t>
        </is>
      </c>
      <c r="D152" t="n">
        <v>481</v>
      </c>
      <c r="E152" t="n">
        <v>362</v>
      </c>
      <c r="F152" t="n">
        <v>482</v>
      </c>
      <c r="G152" t="n">
        <v>353</v>
      </c>
      <c r="H152">
        <f>SQRT((F152-D152)^2+(G152-E152)^2)</f>
        <v/>
      </c>
      <c r="I152" t="n">
        <v>0.2173913043478261</v>
      </c>
      <c r="J152">
        <f>H152*I152</f>
        <v/>
      </c>
      <c r="M152">
        <f>IF(OR(K152="",L152=""),"",MAX(K152,L152))</f>
        <v/>
      </c>
      <c r="N152" t="n">
        <v>0.5</v>
      </c>
      <c r="O152" t="inlineStr">
        <is>
          <t>是</t>
        </is>
      </c>
      <c r="P152">
        <f>IF(OR(M152="",M152&lt;=18),"PASS","ANGLE_ALERT")</f>
        <v/>
      </c>
      <c r="Q152" t="inlineStr">
        <is>
          <t>样品18</t>
        </is>
      </c>
    </row>
    <row r="153">
      <c r="A153" t="inlineStr">
        <is>
          <t>18(7)-P01</t>
        </is>
      </c>
      <c r="B153" t="inlineStr">
        <is>
          <t>18 (7).tif</t>
        </is>
      </c>
      <c r="C153" t="inlineStr">
        <is>
          <t>L2</t>
        </is>
      </c>
      <c r="D153" t="n">
        <v>468</v>
      </c>
      <c r="E153" t="n">
        <v>359</v>
      </c>
      <c r="F153" t="n">
        <v>456</v>
      </c>
      <c r="G153" t="n">
        <v>309</v>
      </c>
      <c r="H153">
        <f>SQRT((F153-D153)^2+(G153-E153)^2)</f>
        <v/>
      </c>
      <c r="I153" t="n">
        <v>0.2173913043478261</v>
      </c>
      <c r="J153">
        <f>H153*I153</f>
        <v/>
      </c>
      <c r="M153">
        <f>IF(OR(K153="",L153=""),"",MAX(K153,L153))</f>
        <v/>
      </c>
      <c r="N153" t="n">
        <v>0.5</v>
      </c>
      <c r="O153" t="inlineStr">
        <is>
          <t>是</t>
        </is>
      </c>
      <c r="P153">
        <f>IF(OR(M153="",M153&lt;=18),"PASS","ANGLE_ALERT")</f>
        <v/>
      </c>
      <c r="Q153" t="inlineStr">
        <is>
          <t>样品18</t>
        </is>
      </c>
    </row>
    <row r="154">
      <c r="A154" t="inlineStr">
        <is>
          <t>18(7)-P01</t>
        </is>
      </c>
      <c r="B154" t="inlineStr">
        <is>
          <t>18 (7).tif</t>
        </is>
      </c>
      <c r="C154" t="inlineStr">
        <is>
          <t>L3</t>
        </is>
      </c>
      <c r="D154" t="n">
        <v>519</v>
      </c>
      <c r="E154" t="n">
        <v>416</v>
      </c>
      <c r="F154" t="n">
        <v>508</v>
      </c>
      <c r="G154" t="n">
        <v>355</v>
      </c>
      <c r="H154">
        <f>SQRT((F154-D154)^2+(G154-E154)^2)</f>
        <v/>
      </c>
      <c r="I154" t="n">
        <v>0.2173913043478261</v>
      </c>
      <c r="J154">
        <f>H154*I154</f>
        <v/>
      </c>
      <c r="M154">
        <f>IF(OR(K154="",L154=""),"",MAX(K154,L154))</f>
        <v/>
      </c>
      <c r="N154" t="n">
        <v>0.5</v>
      </c>
      <c r="O154" t="inlineStr">
        <is>
          <t>是</t>
        </is>
      </c>
      <c r="P154">
        <f>IF(OR(M154="",M154&lt;=18),"PASS","ANGLE_ALERT")</f>
        <v/>
      </c>
      <c r="Q154" t="inlineStr">
        <is>
          <t>样品18</t>
        </is>
      </c>
    </row>
    <row r="155">
      <c r="A155" t="inlineStr">
        <is>
          <t>18(9)-P01</t>
        </is>
      </c>
      <c r="B155" t="inlineStr">
        <is>
          <t>18 (9).tif</t>
        </is>
      </c>
      <c r="C155" t="inlineStr">
        <is>
          <t>L1</t>
        </is>
      </c>
      <c r="D155" t="n">
        <v>137</v>
      </c>
      <c r="E155" t="n">
        <v>72</v>
      </c>
      <c r="F155" t="n">
        <v>147</v>
      </c>
      <c r="G155" t="n">
        <v>61</v>
      </c>
      <c r="H155">
        <f>SQRT((F155-D155)^2+(G155-E155)^2)</f>
        <v/>
      </c>
      <c r="I155" t="n">
        <v>0.2173913043478261</v>
      </c>
      <c r="J155">
        <f>H155*I155</f>
        <v/>
      </c>
      <c r="M155">
        <f>IF(OR(K155="",L155=""),"",MAX(K155,L155))</f>
        <v/>
      </c>
      <c r="N155" t="n">
        <v>0.5</v>
      </c>
      <c r="O155" t="inlineStr">
        <is>
          <t>是</t>
        </is>
      </c>
      <c r="P155">
        <f>IF(OR(M155="",M155&lt;=18),"PASS","ANGLE_ALERT")</f>
        <v/>
      </c>
      <c r="Q155" t="inlineStr">
        <is>
          <t>样品18</t>
        </is>
      </c>
    </row>
    <row r="156">
      <c r="A156" t="inlineStr">
        <is>
          <t>18(9)-P01</t>
        </is>
      </c>
      <c r="B156" t="inlineStr">
        <is>
          <t>18 (9).tif</t>
        </is>
      </c>
      <c r="C156" t="inlineStr">
        <is>
          <t>L2</t>
        </is>
      </c>
      <c r="D156" t="n">
        <v>168</v>
      </c>
      <c r="E156" t="n">
        <v>128</v>
      </c>
      <c r="F156" t="n">
        <v>175</v>
      </c>
      <c r="G156" t="n">
        <v>85</v>
      </c>
      <c r="H156">
        <f>SQRT((F156-D156)^2+(G156-E156)^2)</f>
        <v/>
      </c>
      <c r="I156" t="n">
        <v>0.2173913043478261</v>
      </c>
      <c r="J156">
        <f>H156*I156</f>
        <v/>
      </c>
      <c r="M156">
        <f>IF(OR(K156="",L156=""),"",MAX(K156,L156))</f>
        <v/>
      </c>
      <c r="N156" t="n">
        <v>0.5</v>
      </c>
      <c r="O156" t="inlineStr">
        <is>
          <t>是</t>
        </is>
      </c>
      <c r="P156">
        <f>IF(OR(M156="",M156&lt;=18),"PASS","ANGLE_ALERT")</f>
        <v/>
      </c>
      <c r="Q156" t="inlineStr">
        <is>
          <t>样品18</t>
        </is>
      </c>
    </row>
    <row r="157">
      <c r="A157" t="inlineStr">
        <is>
          <t>18(9)-P02</t>
        </is>
      </c>
      <c r="B157" t="inlineStr">
        <is>
          <t>18 (9).tif</t>
        </is>
      </c>
      <c r="C157" t="inlineStr">
        <is>
          <t>L1</t>
        </is>
      </c>
      <c r="D157" t="n">
        <v>525</v>
      </c>
      <c r="E157" t="n">
        <v>351</v>
      </c>
      <c r="F157" t="n">
        <v>505</v>
      </c>
      <c r="G157" t="n">
        <v>370</v>
      </c>
      <c r="H157">
        <f>SQRT((F157-D157)^2+(G157-E157)^2)</f>
        <v/>
      </c>
      <c r="I157" t="n">
        <v>0.2173913043478261</v>
      </c>
      <c r="J157">
        <f>H157*I157</f>
        <v/>
      </c>
      <c r="M157">
        <f>IF(OR(K157="",L157=""),"",MAX(K157,L157))</f>
        <v/>
      </c>
      <c r="N157" t="n">
        <v>0.5</v>
      </c>
      <c r="O157" t="inlineStr">
        <is>
          <t>是</t>
        </is>
      </c>
      <c r="P157">
        <f>IF(OR(M157="",M157&lt;=18),"PASS","ANGLE_ALERT")</f>
        <v/>
      </c>
      <c r="Q157" t="inlineStr">
        <is>
          <t>样品18</t>
        </is>
      </c>
    </row>
    <row r="158">
      <c r="A158" t="inlineStr">
        <is>
          <t>18(9)-P02</t>
        </is>
      </c>
      <c r="B158" t="inlineStr">
        <is>
          <t>18 (9).tif</t>
        </is>
      </c>
      <c r="C158" t="inlineStr">
        <is>
          <t>L2</t>
        </is>
      </c>
      <c r="D158" t="n">
        <v>510</v>
      </c>
      <c r="E158" t="n">
        <v>324</v>
      </c>
      <c r="F158" t="n">
        <v>499</v>
      </c>
      <c r="G158" t="n">
        <v>365</v>
      </c>
      <c r="H158">
        <f>SQRT((F158-D158)^2+(G158-E158)^2)</f>
        <v/>
      </c>
      <c r="I158" t="n">
        <v>0.2173913043478261</v>
      </c>
      <c r="J158">
        <f>H158*I158</f>
        <v/>
      </c>
      <c r="M158">
        <f>IF(OR(K158="",L158=""),"",MAX(K158,L158))</f>
        <v/>
      </c>
      <c r="N158" t="n">
        <v>0.5</v>
      </c>
      <c r="O158" t="inlineStr">
        <is>
          <t>是</t>
        </is>
      </c>
      <c r="P158">
        <f>IF(OR(M158="",M158&lt;=18),"PASS","ANGLE_ALERT")</f>
        <v/>
      </c>
      <c r="Q158" t="inlineStr">
        <is>
          <t>样品18</t>
        </is>
      </c>
    </row>
    <row r="159">
      <c r="A159" t="inlineStr">
        <is>
          <t>18(9)-P02</t>
        </is>
      </c>
      <c r="B159" t="inlineStr">
        <is>
          <t>18 (9).tif</t>
        </is>
      </c>
      <c r="C159" t="inlineStr">
        <is>
          <t>L3</t>
        </is>
      </c>
      <c r="D159" t="n">
        <v>531</v>
      </c>
      <c r="E159" t="n">
        <v>356</v>
      </c>
      <c r="F159" t="n">
        <v>514</v>
      </c>
      <c r="G159" t="n">
        <v>395</v>
      </c>
      <c r="H159">
        <f>SQRT((F159-D159)^2+(G159-E159)^2)</f>
        <v/>
      </c>
      <c r="I159" t="n">
        <v>0.2173913043478261</v>
      </c>
      <c r="J159">
        <f>H159*I159</f>
        <v/>
      </c>
      <c r="M159">
        <f>IF(OR(K159="",L159=""),"",MAX(K159,L159))</f>
        <v/>
      </c>
      <c r="N159" t="n">
        <v>0.5</v>
      </c>
      <c r="O159" t="inlineStr">
        <is>
          <t>是</t>
        </is>
      </c>
      <c r="P159">
        <f>IF(OR(M159="",M159&lt;=18),"PASS","ANGLE_ALERT")</f>
        <v/>
      </c>
      <c r="Q159" t="inlineStr">
        <is>
          <t>样品18</t>
        </is>
      </c>
    </row>
    <row r="160">
      <c r="A160" t="inlineStr">
        <is>
          <t>18(10)-P01</t>
        </is>
      </c>
      <c r="B160" t="inlineStr">
        <is>
          <t>18 (10).tif</t>
        </is>
      </c>
      <c r="C160" t="inlineStr">
        <is>
          <t>L1</t>
        </is>
      </c>
      <c r="D160" t="n">
        <v>498</v>
      </c>
      <c r="E160" t="n">
        <v>352</v>
      </c>
      <c r="F160" t="n">
        <v>476</v>
      </c>
      <c r="G160" t="n">
        <v>371</v>
      </c>
      <c r="H160">
        <f>SQRT((F160-D160)^2+(G160-E160)^2)</f>
        <v/>
      </c>
      <c r="I160" t="n">
        <v>0.2173913043478261</v>
      </c>
      <c r="J160">
        <f>H160*I160</f>
        <v/>
      </c>
      <c r="M160">
        <f>IF(OR(K160="",L160=""),"",MAX(K160,L160))</f>
        <v/>
      </c>
      <c r="N160" t="n">
        <v>0.5</v>
      </c>
      <c r="O160" t="inlineStr">
        <is>
          <t>是</t>
        </is>
      </c>
      <c r="P160">
        <f>IF(OR(M160="",M160&lt;=18),"PASS","ANGLE_ALERT")</f>
        <v/>
      </c>
      <c r="Q160" t="inlineStr">
        <is>
          <t>样品18</t>
        </is>
      </c>
    </row>
    <row r="161">
      <c r="A161" t="inlineStr">
        <is>
          <t>19(3)-P01</t>
        </is>
      </c>
      <c r="B161" t="inlineStr">
        <is>
          <t>19 (3).tif</t>
        </is>
      </c>
      <c r="C161" t="inlineStr">
        <is>
          <t>L1</t>
        </is>
      </c>
      <c r="D161" t="n">
        <v>500</v>
      </c>
      <c r="E161" t="n">
        <v>405</v>
      </c>
      <c r="F161" t="n">
        <v>500</v>
      </c>
      <c r="G161" t="n">
        <v>392</v>
      </c>
      <c r="H161">
        <f>SQRT((F161-D161)^2+(G161-E161)^2)</f>
        <v/>
      </c>
      <c r="I161" t="n">
        <v>0.2173913043478261</v>
      </c>
      <c r="J161">
        <f>H161*I161</f>
        <v/>
      </c>
      <c r="M161">
        <f>IF(OR(K161="",L161=""),"",MAX(K161,L161))</f>
        <v/>
      </c>
      <c r="N161" t="n">
        <v>0.5</v>
      </c>
      <c r="O161" t="inlineStr">
        <is>
          <t>是</t>
        </is>
      </c>
      <c r="P161">
        <f>IF(OR(M161="",M161&lt;=18),"PASS","ANGLE_ALERT")</f>
        <v/>
      </c>
      <c r="Q161" t="inlineStr">
        <is>
          <t>样品19</t>
        </is>
      </c>
    </row>
    <row r="162">
      <c r="A162" t="inlineStr">
        <is>
          <t>19(3)-P01</t>
        </is>
      </c>
      <c r="B162" t="inlineStr">
        <is>
          <t>19 (3).tif</t>
        </is>
      </c>
      <c r="C162" t="inlineStr">
        <is>
          <t>L2</t>
        </is>
      </c>
      <c r="D162" t="n">
        <v>562</v>
      </c>
      <c r="E162" t="n">
        <v>449</v>
      </c>
      <c r="F162" t="n">
        <v>526</v>
      </c>
      <c r="G162" t="n">
        <v>390</v>
      </c>
      <c r="H162">
        <f>SQRT((F162-D162)^2+(G162-E162)^2)</f>
        <v/>
      </c>
      <c r="I162" t="n">
        <v>0.2173913043478261</v>
      </c>
      <c r="J162">
        <f>H162*I162</f>
        <v/>
      </c>
      <c r="M162">
        <f>IF(OR(K162="",L162=""),"",MAX(K162,L162))</f>
        <v/>
      </c>
      <c r="N162" t="n">
        <v>0.5</v>
      </c>
      <c r="O162" t="inlineStr">
        <is>
          <t>是</t>
        </is>
      </c>
      <c r="P162">
        <f>IF(OR(M162="",M162&lt;=18),"PASS","ANGLE_ALERT")</f>
        <v/>
      </c>
      <c r="Q162" t="inlineStr">
        <is>
          <t>样品19</t>
        </is>
      </c>
    </row>
    <row r="163">
      <c r="A163" t="inlineStr">
        <is>
          <t>19(3)-P01</t>
        </is>
      </c>
      <c r="B163" t="inlineStr">
        <is>
          <t>19 (3).tif</t>
        </is>
      </c>
      <c r="C163" t="inlineStr">
        <is>
          <t>L3</t>
        </is>
      </c>
      <c r="D163" t="n">
        <v>481</v>
      </c>
      <c r="E163" t="n">
        <v>405</v>
      </c>
      <c r="F163" t="n">
        <v>463</v>
      </c>
      <c r="G163" t="n">
        <v>349</v>
      </c>
      <c r="H163">
        <f>SQRT((F163-D163)^2+(G163-E163)^2)</f>
        <v/>
      </c>
      <c r="I163" t="n">
        <v>0.2173913043478261</v>
      </c>
      <c r="J163">
        <f>H163*I163</f>
        <v/>
      </c>
      <c r="M163">
        <f>IF(OR(K163="",L163=""),"",MAX(K163,L163))</f>
        <v/>
      </c>
      <c r="N163" t="n">
        <v>0.5</v>
      </c>
      <c r="O163" t="inlineStr">
        <is>
          <t>是</t>
        </is>
      </c>
      <c r="P163">
        <f>IF(OR(M163="",M163&lt;=18),"PASS","ANGLE_ALERT")</f>
        <v/>
      </c>
      <c r="Q163" t="inlineStr">
        <is>
          <t>样品19</t>
        </is>
      </c>
    </row>
    <row r="164">
      <c r="A164" t="inlineStr">
        <is>
          <t>19(4)-P01</t>
        </is>
      </c>
      <c r="B164" t="inlineStr">
        <is>
          <t>19 (4).tif</t>
        </is>
      </c>
      <c r="C164" t="inlineStr">
        <is>
          <t>L1</t>
        </is>
      </c>
      <c r="D164" t="n">
        <v>117</v>
      </c>
      <c r="E164" t="n">
        <v>506</v>
      </c>
      <c r="F164" t="n">
        <v>150</v>
      </c>
      <c r="G164" t="n">
        <v>568</v>
      </c>
      <c r="H164">
        <f>SQRT((F164-D164)^2+(G164-E164)^2)</f>
        <v/>
      </c>
      <c r="I164" t="n">
        <v>0.2173913043478261</v>
      </c>
      <c r="J164">
        <f>H164*I164</f>
        <v/>
      </c>
      <c r="M164">
        <f>IF(OR(K164="",L164=""),"",MAX(K164,L164))</f>
        <v/>
      </c>
      <c r="N164" t="n">
        <v>0.5</v>
      </c>
      <c r="O164" t="inlineStr">
        <is>
          <t>是</t>
        </is>
      </c>
      <c r="P164">
        <f>IF(OR(M164="",M164&lt;=18),"PASS","ANGLE_ALERT")</f>
        <v/>
      </c>
      <c r="Q164" t="inlineStr">
        <is>
          <t>样品19</t>
        </is>
      </c>
    </row>
    <row r="165">
      <c r="A165" t="inlineStr">
        <is>
          <t>19(4)-P01</t>
        </is>
      </c>
      <c r="B165" t="inlineStr">
        <is>
          <t>19 (4).tif</t>
        </is>
      </c>
      <c r="C165" t="inlineStr">
        <is>
          <t>L2</t>
        </is>
      </c>
      <c r="D165" t="n">
        <v>91</v>
      </c>
      <c r="E165" t="n">
        <v>507</v>
      </c>
      <c r="F165" t="n">
        <v>87</v>
      </c>
      <c r="G165" t="n">
        <v>523</v>
      </c>
      <c r="H165">
        <f>SQRT((F165-D165)^2+(G165-E165)^2)</f>
        <v/>
      </c>
      <c r="I165" t="n">
        <v>0.2173913043478261</v>
      </c>
      <c r="J165">
        <f>H165*I165</f>
        <v/>
      </c>
      <c r="M165">
        <f>IF(OR(K165="",L165=""),"",MAX(K165,L165))</f>
        <v/>
      </c>
      <c r="N165" t="n">
        <v>0.5</v>
      </c>
      <c r="O165" t="inlineStr">
        <is>
          <t>是</t>
        </is>
      </c>
      <c r="P165">
        <f>IF(OR(M165="",M165&lt;=18),"PASS","ANGLE_ALERT")</f>
        <v/>
      </c>
      <c r="Q165" t="inlineStr">
        <is>
          <t>样品19</t>
        </is>
      </c>
    </row>
    <row r="166">
      <c r="A166" t="inlineStr">
        <is>
          <t>19(4)-P01</t>
        </is>
      </c>
      <c r="B166" t="inlineStr">
        <is>
          <t>19 (4).tif</t>
        </is>
      </c>
      <c r="C166" t="inlineStr">
        <is>
          <t>L3</t>
        </is>
      </c>
      <c r="D166" t="n">
        <v>83</v>
      </c>
      <c r="E166" t="n">
        <v>506</v>
      </c>
      <c r="F166" t="n">
        <v>81</v>
      </c>
      <c r="G166" t="n">
        <v>522</v>
      </c>
      <c r="H166">
        <f>SQRT((F166-D166)^2+(G166-E166)^2)</f>
        <v/>
      </c>
      <c r="I166" t="n">
        <v>0.2173913043478261</v>
      </c>
      <c r="J166">
        <f>H166*I166</f>
        <v/>
      </c>
      <c r="M166">
        <f>IF(OR(K166="",L166=""),"",MAX(K166,L166))</f>
        <v/>
      </c>
      <c r="N166" t="n">
        <v>0.5</v>
      </c>
      <c r="O166" t="inlineStr">
        <is>
          <t>是</t>
        </is>
      </c>
      <c r="P166">
        <f>IF(OR(M166="",M166&lt;=18),"PASS","ANGLE_ALERT")</f>
        <v/>
      </c>
      <c r="Q166" t="inlineStr">
        <is>
          <t>样品19</t>
        </is>
      </c>
    </row>
    <row r="167">
      <c r="A167" t="inlineStr">
        <is>
          <t>19(4)-P02</t>
        </is>
      </c>
      <c r="B167" t="inlineStr">
        <is>
          <t>19 (4).tif</t>
        </is>
      </c>
      <c r="C167" t="inlineStr">
        <is>
          <t>L1</t>
        </is>
      </c>
      <c r="D167" t="n">
        <v>483</v>
      </c>
      <c r="E167" t="n">
        <v>382</v>
      </c>
      <c r="F167" t="n">
        <v>494</v>
      </c>
      <c r="G167" t="n">
        <v>366</v>
      </c>
      <c r="H167">
        <f>SQRT((F167-D167)^2+(G167-E167)^2)</f>
        <v/>
      </c>
      <c r="I167" t="n">
        <v>0.2173913043478261</v>
      </c>
      <c r="J167">
        <f>H167*I167</f>
        <v/>
      </c>
      <c r="M167">
        <f>IF(OR(K167="",L167=""),"",MAX(K167,L167))</f>
        <v/>
      </c>
      <c r="N167" t="n">
        <v>0.5</v>
      </c>
      <c r="O167" t="inlineStr">
        <is>
          <t>是</t>
        </is>
      </c>
      <c r="P167">
        <f>IF(OR(M167="",M167&lt;=18),"PASS","ANGLE_ALERT")</f>
        <v/>
      </c>
      <c r="Q167" t="inlineStr">
        <is>
          <t>样品19</t>
        </is>
      </c>
    </row>
    <row r="168">
      <c r="A168" t="inlineStr">
        <is>
          <t>19(4)-P02</t>
        </is>
      </c>
      <c r="B168" t="inlineStr">
        <is>
          <t>19 (4).tif</t>
        </is>
      </c>
      <c r="C168" t="inlineStr">
        <is>
          <t>L2</t>
        </is>
      </c>
      <c r="D168" t="n">
        <v>464</v>
      </c>
      <c r="E168" t="n">
        <v>377</v>
      </c>
      <c r="F168" t="n">
        <v>462</v>
      </c>
      <c r="G168" t="n">
        <v>316</v>
      </c>
      <c r="H168">
        <f>SQRT((F168-D168)^2+(G168-E168)^2)</f>
        <v/>
      </c>
      <c r="I168" t="n">
        <v>0.2173913043478261</v>
      </c>
      <c r="J168">
        <f>H168*I168</f>
        <v/>
      </c>
      <c r="M168">
        <f>IF(OR(K168="",L168=""),"",MAX(K168,L168))</f>
        <v/>
      </c>
      <c r="N168" t="n">
        <v>0.5</v>
      </c>
      <c r="O168" t="inlineStr">
        <is>
          <t>是</t>
        </is>
      </c>
      <c r="P168">
        <f>IF(OR(M168="",M168&lt;=18),"PASS","ANGLE_ALERT")</f>
        <v/>
      </c>
      <c r="Q168" t="inlineStr">
        <is>
          <t>样品19</t>
        </is>
      </c>
    </row>
    <row r="169">
      <c r="A169" t="inlineStr">
        <is>
          <t>19(5)-P01</t>
        </is>
      </c>
      <c r="B169" t="inlineStr">
        <is>
          <t>19 (5).tif</t>
        </is>
      </c>
      <c r="C169" t="inlineStr">
        <is>
          <t>L1</t>
        </is>
      </c>
      <c r="D169" t="n">
        <v>489</v>
      </c>
      <c r="E169" t="n">
        <v>367</v>
      </c>
      <c r="F169" t="n">
        <v>510</v>
      </c>
      <c r="G169" t="n">
        <v>343</v>
      </c>
      <c r="H169">
        <f>SQRT((F169-D169)^2+(G169-E169)^2)</f>
        <v/>
      </c>
      <c r="I169" t="n">
        <v>0.2173913043478261</v>
      </c>
      <c r="J169">
        <f>H169*I169</f>
        <v/>
      </c>
      <c r="M169">
        <f>IF(OR(K169="",L169=""),"",MAX(K169,L169))</f>
        <v/>
      </c>
      <c r="N169" t="n">
        <v>0.5</v>
      </c>
      <c r="O169" t="inlineStr">
        <is>
          <t>是</t>
        </is>
      </c>
      <c r="P169">
        <f>IF(OR(M169="",M169&lt;=18),"PASS","ANGLE_ALERT")</f>
        <v/>
      </c>
      <c r="Q169" t="inlineStr">
        <is>
          <t>样品19</t>
        </is>
      </c>
    </row>
    <row r="170">
      <c r="A170" t="inlineStr">
        <is>
          <t>19(5)-P01</t>
        </is>
      </c>
      <c r="B170" t="inlineStr">
        <is>
          <t>19 (5).tif</t>
        </is>
      </c>
      <c r="C170" t="inlineStr">
        <is>
          <t>L2</t>
        </is>
      </c>
      <c r="D170" t="n">
        <v>498</v>
      </c>
      <c r="E170" t="n">
        <v>374</v>
      </c>
      <c r="F170" t="n">
        <v>519</v>
      </c>
      <c r="G170" t="n">
        <v>350</v>
      </c>
      <c r="H170">
        <f>SQRT((F170-D170)^2+(G170-E170)^2)</f>
        <v/>
      </c>
      <c r="I170" t="n">
        <v>0.2173913043478261</v>
      </c>
      <c r="J170">
        <f>H170*I170</f>
        <v/>
      </c>
      <c r="M170">
        <f>IF(OR(K170="",L170=""),"",MAX(K170,L170))</f>
        <v/>
      </c>
      <c r="N170" t="n">
        <v>0.5</v>
      </c>
      <c r="O170" t="inlineStr">
        <is>
          <t>是</t>
        </is>
      </c>
      <c r="P170">
        <f>IF(OR(M170="",M170&lt;=18),"PASS","ANGLE_ALERT")</f>
        <v/>
      </c>
      <c r="Q170" t="inlineStr">
        <is>
          <t>样品19</t>
        </is>
      </c>
    </row>
    <row r="171">
      <c r="A171" t="inlineStr">
        <is>
          <t>19(6)-P01</t>
        </is>
      </c>
      <c r="B171" t="inlineStr">
        <is>
          <t>19 (6).tif</t>
        </is>
      </c>
      <c r="C171" t="inlineStr">
        <is>
          <t>L1</t>
        </is>
      </c>
      <c r="D171" t="n">
        <v>471</v>
      </c>
      <c r="E171" t="n">
        <v>384</v>
      </c>
      <c r="F171" t="n">
        <v>484</v>
      </c>
      <c r="G171" t="n">
        <v>371</v>
      </c>
      <c r="H171">
        <f>SQRT((F171-D171)^2+(G171-E171)^2)</f>
        <v/>
      </c>
      <c r="I171" t="n">
        <v>0.2173913043478261</v>
      </c>
      <c r="J171">
        <f>H171*I171</f>
        <v/>
      </c>
      <c r="M171">
        <f>IF(OR(K171="",L171=""),"",MAX(K171,L171))</f>
        <v/>
      </c>
      <c r="N171" t="n">
        <v>0.5</v>
      </c>
      <c r="O171" t="inlineStr">
        <is>
          <t>是</t>
        </is>
      </c>
      <c r="P171">
        <f>IF(OR(M171="",M171&lt;=18),"PASS","ANGLE_ALERT")</f>
        <v/>
      </c>
      <c r="Q171" t="inlineStr">
        <is>
          <t>样品19</t>
        </is>
      </c>
    </row>
    <row r="172">
      <c r="A172" t="inlineStr">
        <is>
          <t>19(7)-P01</t>
        </is>
      </c>
      <c r="B172" t="inlineStr">
        <is>
          <t>19 (7).tif</t>
        </is>
      </c>
      <c r="C172" t="inlineStr">
        <is>
          <t>L1</t>
        </is>
      </c>
      <c r="D172" t="n">
        <v>434</v>
      </c>
      <c r="E172" t="n">
        <v>374</v>
      </c>
      <c r="F172" t="n">
        <v>443</v>
      </c>
      <c r="G172" t="n">
        <v>372</v>
      </c>
      <c r="H172">
        <f>SQRT((F172-D172)^2+(G172-E172)^2)</f>
        <v/>
      </c>
      <c r="I172" t="n">
        <v>0.2173913043478261</v>
      </c>
      <c r="J172">
        <f>H172*I172</f>
        <v/>
      </c>
      <c r="M172">
        <f>IF(OR(K172="",L172=""),"",MAX(K172,L172))</f>
        <v/>
      </c>
      <c r="N172" t="n">
        <v>0.5</v>
      </c>
      <c r="O172" t="inlineStr">
        <is>
          <t>是</t>
        </is>
      </c>
      <c r="P172">
        <f>IF(OR(M172="",M172&lt;=18),"PASS","ANGLE_ALERT")</f>
        <v/>
      </c>
      <c r="Q172" t="inlineStr">
        <is>
          <t>样品19</t>
        </is>
      </c>
    </row>
    <row r="173">
      <c r="A173" t="inlineStr">
        <is>
          <t>19(7)-P01</t>
        </is>
      </c>
      <c r="B173" t="inlineStr">
        <is>
          <t>19 (7).tif</t>
        </is>
      </c>
      <c r="C173" t="inlineStr">
        <is>
          <t>L2</t>
        </is>
      </c>
      <c r="D173" t="n">
        <v>433</v>
      </c>
      <c r="E173" t="n">
        <v>398</v>
      </c>
      <c r="F173" t="n">
        <v>497</v>
      </c>
      <c r="G173" t="n">
        <v>424</v>
      </c>
      <c r="H173">
        <f>SQRT((F173-D173)^2+(G173-E173)^2)</f>
        <v/>
      </c>
      <c r="I173" t="n">
        <v>0.2173913043478261</v>
      </c>
      <c r="J173">
        <f>H173*I173</f>
        <v/>
      </c>
      <c r="M173">
        <f>IF(OR(K173="",L173=""),"",MAX(K173,L173))</f>
        <v/>
      </c>
      <c r="N173" t="n">
        <v>0.5</v>
      </c>
      <c r="O173" t="inlineStr">
        <is>
          <t>是</t>
        </is>
      </c>
      <c r="P173">
        <f>IF(OR(M173="",M173&lt;=18),"PASS","ANGLE_ALERT")</f>
        <v/>
      </c>
      <c r="Q173" t="inlineStr">
        <is>
          <t>样品19</t>
        </is>
      </c>
    </row>
    <row r="174">
      <c r="A174" t="inlineStr">
        <is>
          <t>19(7)-P01</t>
        </is>
      </c>
      <c r="B174" t="inlineStr">
        <is>
          <t>19 (7).tif</t>
        </is>
      </c>
      <c r="C174" t="inlineStr">
        <is>
          <t>L3</t>
        </is>
      </c>
      <c r="D174" t="n">
        <v>374</v>
      </c>
      <c r="E174" t="n">
        <v>316</v>
      </c>
      <c r="F174" t="n">
        <v>445</v>
      </c>
      <c r="G174" t="n">
        <v>349</v>
      </c>
      <c r="H174">
        <f>SQRT((F174-D174)^2+(G174-E174)^2)</f>
        <v/>
      </c>
      <c r="I174" t="n">
        <v>0.2173913043478261</v>
      </c>
      <c r="J174">
        <f>H174*I174</f>
        <v/>
      </c>
      <c r="M174">
        <f>IF(OR(K174="",L174=""),"",MAX(K174,L174))</f>
        <v/>
      </c>
      <c r="N174" t="n">
        <v>0.5</v>
      </c>
      <c r="O174" t="inlineStr">
        <is>
          <t>是</t>
        </is>
      </c>
      <c r="P174">
        <f>IF(OR(M174="",M174&lt;=18),"PASS","ANGLE_ALERT")</f>
        <v/>
      </c>
      <c r="Q174" t="inlineStr">
        <is>
          <t>样品19</t>
        </is>
      </c>
    </row>
    <row r="175">
      <c r="A175" t="inlineStr">
        <is>
          <t>19(9)-P01</t>
        </is>
      </c>
      <c r="B175" t="inlineStr">
        <is>
          <t>19 (9).tif</t>
        </is>
      </c>
      <c r="C175" t="inlineStr">
        <is>
          <t>L1</t>
        </is>
      </c>
      <c r="D175" t="n">
        <v>492</v>
      </c>
      <c r="E175" t="n">
        <v>343</v>
      </c>
      <c r="F175" t="n">
        <v>484</v>
      </c>
      <c r="G175" t="n">
        <v>341</v>
      </c>
      <c r="H175">
        <f>SQRT((F175-D175)^2+(G175-E175)^2)</f>
        <v/>
      </c>
      <c r="I175" t="n">
        <v>0.2173913043478261</v>
      </c>
      <c r="J175">
        <f>H175*I175</f>
        <v/>
      </c>
      <c r="M175">
        <f>IF(OR(K175="",L175=""),"",MAX(K175,L175))</f>
        <v/>
      </c>
      <c r="N175" t="n">
        <v>0.5</v>
      </c>
      <c r="O175" t="inlineStr">
        <is>
          <t>是</t>
        </is>
      </c>
      <c r="P175">
        <f>IF(OR(M175="",M175&lt;=18),"PASS","ANGLE_ALERT")</f>
        <v/>
      </c>
      <c r="Q175" t="inlineStr">
        <is>
          <t>样品19</t>
        </is>
      </c>
    </row>
    <row r="176">
      <c r="A176" t="inlineStr">
        <is>
          <t>19(11)-P01</t>
        </is>
      </c>
      <c r="B176" t="inlineStr">
        <is>
          <t>19 (11).tif</t>
        </is>
      </c>
      <c r="C176" t="inlineStr">
        <is>
          <t>L1</t>
        </is>
      </c>
      <c r="D176" t="n">
        <v>433</v>
      </c>
      <c r="E176" t="n">
        <v>308</v>
      </c>
      <c r="F176" t="n">
        <v>478</v>
      </c>
      <c r="G176" t="n">
        <v>311</v>
      </c>
      <c r="H176">
        <f>SQRT((F176-D176)^2+(G176-E176)^2)</f>
        <v/>
      </c>
      <c r="I176" t="n">
        <v>0.2173913043478261</v>
      </c>
      <c r="J176">
        <f>H176*I176</f>
        <v/>
      </c>
      <c r="M176">
        <f>IF(OR(K176="",L176=""),"",MAX(K176,L176))</f>
        <v/>
      </c>
      <c r="N176" t="n">
        <v>0.5</v>
      </c>
      <c r="O176" t="inlineStr">
        <is>
          <t>是</t>
        </is>
      </c>
      <c r="P176">
        <f>IF(OR(M176="",M176&lt;=18),"PASS","ANGLE_ALERT")</f>
        <v/>
      </c>
      <c r="Q176" t="inlineStr">
        <is>
          <t>样品19</t>
        </is>
      </c>
    </row>
    <row r="177">
      <c r="A177" t="inlineStr">
        <is>
          <t>19(11)-P01</t>
        </is>
      </c>
      <c r="B177" t="inlineStr">
        <is>
          <t>19 (11).tif</t>
        </is>
      </c>
      <c r="C177" t="inlineStr">
        <is>
          <t>L2</t>
        </is>
      </c>
      <c r="D177" t="n">
        <v>419</v>
      </c>
      <c r="E177" t="n">
        <v>342</v>
      </c>
      <c r="F177" t="n">
        <v>433</v>
      </c>
      <c r="G177" t="n">
        <v>350</v>
      </c>
      <c r="H177">
        <f>SQRT((F177-D177)^2+(G177-E177)^2)</f>
        <v/>
      </c>
      <c r="I177" t="n">
        <v>0.2173913043478261</v>
      </c>
      <c r="J177">
        <f>H177*I177</f>
        <v/>
      </c>
      <c r="M177">
        <f>IF(OR(K177="",L177=""),"",MAX(K177,L177))</f>
        <v/>
      </c>
      <c r="N177" t="n">
        <v>0.5</v>
      </c>
      <c r="O177" t="inlineStr">
        <is>
          <t>是</t>
        </is>
      </c>
      <c r="P177">
        <f>IF(OR(M177="",M177&lt;=18),"PASS","ANGLE_ALERT")</f>
        <v/>
      </c>
      <c r="Q177" t="inlineStr">
        <is>
          <t>样品19</t>
        </is>
      </c>
    </row>
    <row r="178">
      <c r="A178" t="inlineStr">
        <is>
          <t>19(14)-P01</t>
        </is>
      </c>
      <c r="B178" t="inlineStr">
        <is>
          <t>19 (14).tif</t>
        </is>
      </c>
      <c r="C178" t="inlineStr">
        <is>
          <t>L1</t>
        </is>
      </c>
      <c r="D178" t="n">
        <v>486</v>
      </c>
      <c r="E178" t="n">
        <v>390</v>
      </c>
      <c r="F178" t="n">
        <v>515</v>
      </c>
      <c r="G178" t="n">
        <v>412</v>
      </c>
      <c r="H178">
        <f>SQRT((F178-D178)^2+(G178-E178)^2)</f>
        <v/>
      </c>
      <c r="I178" t="n">
        <v>0.2173913043478261</v>
      </c>
      <c r="J178">
        <f>H178*I178</f>
        <v/>
      </c>
      <c r="M178">
        <f>IF(OR(K178="",L178=""),"",MAX(K178,L178))</f>
        <v/>
      </c>
      <c r="N178" t="n">
        <v>0.5</v>
      </c>
      <c r="O178" t="inlineStr">
        <is>
          <t>是</t>
        </is>
      </c>
      <c r="P178">
        <f>IF(OR(M178="",M178&lt;=18),"PASS","ANGLE_ALERT")</f>
        <v/>
      </c>
      <c r="Q178" t="inlineStr">
        <is>
          <t>样品19</t>
        </is>
      </c>
    </row>
    <row r="179">
      <c r="A179" t="inlineStr">
        <is>
          <t>19(14)-P01</t>
        </is>
      </c>
      <c r="B179" t="inlineStr">
        <is>
          <t>19 (14).tif</t>
        </is>
      </c>
      <c r="C179" t="inlineStr">
        <is>
          <t>L2</t>
        </is>
      </c>
      <c r="D179" t="n">
        <v>483</v>
      </c>
      <c r="E179" t="n">
        <v>396</v>
      </c>
      <c r="F179" t="n">
        <v>512</v>
      </c>
      <c r="G179" t="n">
        <v>416</v>
      </c>
      <c r="H179">
        <f>SQRT((F179-D179)^2+(G179-E179)^2)</f>
        <v/>
      </c>
      <c r="I179" t="n">
        <v>0.2173913043478261</v>
      </c>
      <c r="J179">
        <f>H179*I179</f>
        <v/>
      </c>
      <c r="M179">
        <f>IF(OR(K179="",L179=""),"",MAX(K179,L179))</f>
        <v/>
      </c>
      <c r="N179" t="n">
        <v>0.5</v>
      </c>
      <c r="O179" t="inlineStr">
        <is>
          <t>是</t>
        </is>
      </c>
      <c r="P179">
        <f>IF(OR(M179="",M179&lt;=18),"PASS","ANGLE_ALERT")</f>
        <v/>
      </c>
      <c r="Q179" t="inlineStr">
        <is>
          <t>样品19</t>
        </is>
      </c>
    </row>
    <row r="180">
      <c r="A180" t="inlineStr">
        <is>
          <t>19(14)-P01</t>
        </is>
      </c>
      <c r="B180" t="inlineStr">
        <is>
          <t>19 (14).tif</t>
        </is>
      </c>
      <c r="C180" t="inlineStr">
        <is>
          <t>L3</t>
        </is>
      </c>
      <c r="D180" t="n">
        <v>481</v>
      </c>
      <c r="E180" t="n">
        <v>399</v>
      </c>
      <c r="F180" t="n">
        <v>510</v>
      </c>
      <c r="G180" t="n">
        <v>420</v>
      </c>
      <c r="H180">
        <f>SQRT((F180-D180)^2+(G180-E180)^2)</f>
        <v/>
      </c>
      <c r="I180" t="n">
        <v>0.2173913043478261</v>
      </c>
      <c r="J180">
        <f>H180*I180</f>
        <v/>
      </c>
      <c r="M180">
        <f>IF(OR(K180="",L180=""),"",MAX(K180,L180))</f>
        <v/>
      </c>
      <c r="N180" t="n">
        <v>0.5</v>
      </c>
      <c r="O180" t="inlineStr">
        <is>
          <t>是</t>
        </is>
      </c>
      <c r="P180">
        <f>IF(OR(M180="",M180&lt;=18),"PASS","ANGLE_ALERT")</f>
        <v/>
      </c>
      <c r="Q180" t="inlineStr">
        <is>
          <t>样品19</t>
        </is>
      </c>
    </row>
    <row r="181">
      <c r="A181" t="inlineStr">
        <is>
          <t>19(16)-P01</t>
        </is>
      </c>
      <c r="B181" t="inlineStr">
        <is>
          <t>19 (16).tif</t>
        </is>
      </c>
      <c r="C181" t="inlineStr">
        <is>
          <t>L1</t>
        </is>
      </c>
      <c r="D181" t="n">
        <v>508</v>
      </c>
      <c r="E181" t="n">
        <v>381</v>
      </c>
      <c r="F181" t="n">
        <v>501</v>
      </c>
      <c r="G181" t="n">
        <v>362</v>
      </c>
      <c r="H181">
        <f>SQRT((F181-D181)^2+(G181-E181)^2)</f>
        <v/>
      </c>
      <c r="I181" t="n">
        <v>0.2173913043478261</v>
      </c>
      <c r="J181">
        <f>H181*I181</f>
        <v/>
      </c>
      <c r="M181">
        <f>IF(OR(K181="",L181=""),"",MAX(K181,L181))</f>
        <v/>
      </c>
      <c r="N181" t="n">
        <v>0.5</v>
      </c>
      <c r="O181" t="inlineStr">
        <is>
          <t>是</t>
        </is>
      </c>
      <c r="P181">
        <f>IF(OR(M181="",M181&lt;=18),"PASS","ANGLE_ALERT")</f>
        <v/>
      </c>
      <c r="Q181" t="inlineStr">
        <is>
          <t>样品19</t>
        </is>
      </c>
    </row>
    <row r="182">
      <c r="A182" t="inlineStr">
        <is>
          <t>19(16)-P01</t>
        </is>
      </c>
      <c r="B182" t="inlineStr">
        <is>
          <t>19 (16).tif</t>
        </is>
      </c>
      <c r="C182" t="inlineStr">
        <is>
          <t>L2</t>
        </is>
      </c>
      <c r="D182" t="n">
        <v>530</v>
      </c>
      <c r="E182" t="n">
        <v>372</v>
      </c>
      <c r="F182" t="n">
        <v>523</v>
      </c>
      <c r="G182" t="n">
        <v>352</v>
      </c>
      <c r="H182">
        <f>SQRT((F182-D182)^2+(G182-E182)^2)</f>
        <v/>
      </c>
      <c r="I182" t="n">
        <v>0.2173913043478261</v>
      </c>
      <c r="J182">
        <f>H182*I182</f>
        <v/>
      </c>
      <c r="M182">
        <f>IF(OR(K182="",L182=""),"",MAX(K182,L182))</f>
        <v/>
      </c>
      <c r="N182" t="n">
        <v>0.5</v>
      </c>
      <c r="O182" t="inlineStr">
        <is>
          <t>是</t>
        </is>
      </c>
      <c r="P182">
        <f>IF(OR(M182="",M182&lt;=18),"PASS","ANGLE_ALERT")</f>
        <v/>
      </c>
      <c r="Q182" t="inlineStr">
        <is>
          <t>样品19</t>
        </is>
      </c>
    </row>
    <row r="183">
      <c r="A183" t="inlineStr">
        <is>
          <t>19(17)-P01</t>
        </is>
      </c>
      <c r="B183" t="inlineStr">
        <is>
          <t>19 (17).tif</t>
        </is>
      </c>
      <c r="C183" t="inlineStr">
        <is>
          <t>L1</t>
        </is>
      </c>
      <c r="D183" t="n">
        <v>506</v>
      </c>
      <c r="E183" t="n">
        <v>375</v>
      </c>
      <c r="F183" t="n">
        <v>516</v>
      </c>
      <c r="G183" t="n">
        <v>394</v>
      </c>
      <c r="H183">
        <f>SQRT((F183-D183)^2+(G183-E183)^2)</f>
        <v/>
      </c>
      <c r="I183" t="n">
        <v>0.2173913043478261</v>
      </c>
      <c r="J183">
        <f>H183*I183</f>
        <v/>
      </c>
      <c r="M183">
        <f>IF(OR(K183="",L183=""),"",MAX(K183,L183))</f>
        <v/>
      </c>
      <c r="N183" t="n">
        <v>0.5</v>
      </c>
      <c r="O183" t="inlineStr">
        <is>
          <t>是</t>
        </is>
      </c>
      <c r="P183">
        <f>IF(OR(M183="",M183&lt;=18),"PASS","ANGLE_ALERT")</f>
        <v/>
      </c>
      <c r="Q183" t="inlineStr">
        <is>
          <t>样品19</t>
        </is>
      </c>
    </row>
    <row r="184">
      <c r="A184" t="inlineStr">
        <is>
          <t>19(17)-P01</t>
        </is>
      </c>
      <c r="B184" t="inlineStr">
        <is>
          <t>19 (17).tif</t>
        </is>
      </c>
      <c r="C184" t="inlineStr">
        <is>
          <t>L2</t>
        </is>
      </c>
      <c r="D184" t="n">
        <v>499</v>
      </c>
      <c r="E184" t="n">
        <v>379</v>
      </c>
      <c r="F184" t="n">
        <v>508</v>
      </c>
      <c r="G184" t="n">
        <v>397</v>
      </c>
      <c r="H184">
        <f>SQRT((F184-D184)^2+(G184-E184)^2)</f>
        <v/>
      </c>
      <c r="I184" t="n">
        <v>0.2173913043478261</v>
      </c>
      <c r="J184">
        <f>H184*I184</f>
        <v/>
      </c>
      <c r="M184">
        <f>IF(OR(K184="",L184=""),"",MAX(K184,L184))</f>
        <v/>
      </c>
      <c r="N184" t="n">
        <v>0.5</v>
      </c>
      <c r="O184" t="inlineStr">
        <is>
          <t>是</t>
        </is>
      </c>
      <c r="P184">
        <f>IF(OR(M184="",M184&lt;=18),"PASS","ANGLE_ALERT")</f>
        <v/>
      </c>
      <c r="Q184" t="inlineStr">
        <is>
          <t>样品19</t>
        </is>
      </c>
    </row>
    <row r="185">
      <c r="A185" t="inlineStr">
        <is>
          <t>19(17)-P01</t>
        </is>
      </c>
      <c r="B185" t="inlineStr">
        <is>
          <t>19 (17).tif</t>
        </is>
      </c>
      <c r="C185" t="inlineStr">
        <is>
          <t>L3</t>
        </is>
      </c>
      <c r="D185" t="n">
        <v>486</v>
      </c>
      <c r="E185" t="n">
        <v>385</v>
      </c>
      <c r="F185" t="n">
        <v>496</v>
      </c>
      <c r="G185" t="n">
        <v>403</v>
      </c>
      <c r="H185">
        <f>SQRT((F185-D185)^2+(G185-E185)^2)</f>
        <v/>
      </c>
      <c r="I185" t="n">
        <v>0.2173913043478261</v>
      </c>
      <c r="J185">
        <f>H185*I185</f>
        <v/>
      </c>
      <c r="M185">
        <f>IF(OR(K185="",L185=""),"",MAX(K185,L185))</f>
        <v/>
      </c>
      <c r="N185" t="n">
        <v>0.5</v>
      </c>
      <c r="O185" t="inlineStr">
        <is>
          <t>是</t>
        </is>
      </c>
      <c r="P185">
        <f>IF(OR(M185="",M185&lt;=18),"PASS","ANGLE_ALERT")</f>
        <v/>
      </c>
      <c r="Q185" t="inlineStr">
        <is>
          <t>样品19</t>
        </is>
      </c>
    </row>
    <row r="186">
      <c r="A186" t="inlineStr">
        <is>
          <t>20(4)-P01</t>
        </is>
      </c>
      <c r="B186" t="inlineStr">
        <is>
          <t>20 (4).tif</t>
        </is>
      </c>
      <c r="C186" t="inlineStr">
        <is>
          <t>L1</t>
        </is>
      </c>
      <c r="D186" t="n">
        <v>560</v>
      </c>
      <c r="E186" t="n">
        <v>350</v>
      </c>
      <c r="F186" t="n">
        <v>551</v>
      </c>
      <c r="G186" t="n">
        <v>369</v>
      </c>
      <c r="H186">
        <f>SQRT((F186-D186)^2+(G186-E186)^2)</f>
        <v/>
      </c>
      <c r="I186" t="n">
        <v>0.2173913043478261</v>
      </c>
      <c r="J186">
        <f>H186*I186</f>
        <v/>
      </c>
      <c r="M186">
        <f>IF(OR(K186="",L186=""),"",MAX(K186,L186))</f>
        <v/>
      </c>
      <c r="N186" t="n">
        <v>0.5</v>
      </c>
      <c r="O186" t="inlineStr">
        <is>
          <t>是</t>
        </is>
      </c>
      <c r="P186">
        <f>IF(OR(M186="",M186&lt;=18),"PASS","ANGLE_ALERT")</f>
        <v/>
      </c>
      <c r="Q186" t="inlineStr">
        <is>
          <t>样品20</t>
        </is>
      </c>
    </row>
    <row r="187">
      <c r="A187" t="inlineStr">
        <is>
          <t>20(7)-P01</t>
        </is>
      </c>
      <c r="B187" t="inlineStr">
        <is>
          <t>20 (7).tif</t>
        </is>
      </c>
      <c r="C187" t="inlineStr">
        <is>
          <t>L1</t>
        </is>
      </c>
      <c r="D187" t="n">
        <v>553</v>
      </c>
      <c r="E187" t="n">
        <v>357</v>
      </c>
      <c r="F187" t="n">
        <v>534</v>
      </c>
      <c r="G187" t="n">
        <v>350</v>
      </c>
      <c r="H187">
        <f>SQRT((F187-D187)^2+(G187-E187)^2)</f>
        <v/>
      </c>
      <c r="I187" t="n">
        <v>0.2173913043478261</v>
      </c>
      <c r="J187">
        <f>H187*I187</f>
        <v/>
      </c>
      <c r="M187">
        <f>IF(OR(K187="",L187=""),"",MAX(K187,L187))</f>
        <v/>
      </c>
      <c r="N187" t="n">
        <v>0.5</v>
      </c>
      <c r="O187" t="inlineStr">
        <is>
          <t>是</t>
        </is>
      </c>
      <c r="P187">
        <f>IF(OR(M187="",M187&lt;=18),"PASS","ANGLE_ALERT")</f>
        <v/>
      </c>
      <c r="Q187" t="inlineStr">
        <is>
          <t>样品20</t>
        </is>
      </c>
    </row>
    <row r="188">
      <c r="A188" t="inlineStr">
        <is>
          <t>21(1)-P01</t>
        </is>
      </c>
      <c r="B188" t="inlineStr">
        <is>
          <t>21 (1).tif</t>
        </is>
      </c>
      <c r="C188" t="inlineStr">
        <is>
          <t>L1</t>
        </is>
      </c>
      <c r="D188" t="n">
        <v>524</v>
      </c>
      <c r="E188" t="n">
        <v>375</v>
      </c>
      <c r="F188" t="n">
        <v>502</v>
      </c>
      <c r="G188" t="n">
        <v>364</v>
      </c>
      <c r="H188">
        <f>SQRT((F188-D188)^2+(G188-E188)^2)</f>
        <v/>
      </c>
      <c r="I188" t="n">
        <v>0.2173913043478261</v>
      </c>
      <c r="J188">
        <f>H188*I188</f>
        <v/>
      </c>
      <c r="M188">
        <f>IF(OR(K188="",L188=""),"",MAX(K188,L188))</f>
        <v/>
      </c>
      <c r="N188" t="n">
        <v>0.5</v>
      </c>
      <c r="O188" t="inlineStr">
        <is>
          <t>是</t>
        </is>
      </c>
      <c r="P188">
        <f>IF(OR(M188="",M188&lt;=18),"PASS","ANGLE_ALERT")</f>
        <v/>
      </c>
      <c r="Q188" t="inlineStr">
        <is>
          <t>样品21</t>
        </is>
      </c>
    </row>
    <row r="189">
      <c r="A189" t="inlineStr">
        <is>
          <t>21(1)-P01</t>
        </is>
      </c>
      <c r="B189" t="inlineStr">
        <is>
          <t>21 (1).tif</t>
        </is>
      </c>
      <c r="C189" t="inlineStr">
        <is>
          <t>L2</t>
        </is>
      </c>
      <c r="D189" t="n">
        <v>531</v>
      </c>
      <c r="E189" t="n">
        <v>360</v>
      </c>
      <c r="F189" t="n">
        <v>509</v>
      </c>
      <c r="G189" t="n">
        <v>349</v>
      </c>
      <c r="H189">
        <f>SQRT((F189-D189)^2+(G189-E189)^2)</f>
        <v/>
      </c>
      <c r="I189" t="n">
        <v>0.2173913043478261</v>
      </c>
      <c r="J189">
        <f>H189*I189</f>
        <v/>
      </c>
      <c r="M189">
        <f>IF(OR(K189="",L189=""),"",MAX(K189,L189))</f>
        <v/>
      </c>
      <c r="N189" t="n">
        <v>0.5</v>
      </c>
      <c r="O189" t="inlineStr">
        <is>
          <t>是</t>
        </is>
      </c>
      <c r="P189">
        <f>IF(OR(M189="",M189&lt;=18),"PASS","ANGLE_ALERT")</f>
        <v/>
      </c>
      <c r="Q189" t="inlineStr">
        <is>
          <t>样品21</t>
        </is>
      </c>
    </row>
    <row r="190">
      <c r="A190" t="inlineStr">
        <is>
          <t>21(2)-P01</t>
        </is>
      </c>
      <c r="B190" t="inlineStr">
        <is>
          <t>21 (2).tif</t>
        </is>
      </c>
      <c r="C190" t="inlineStr">
        <is>
          <t>L1</t>
        </is>
      </c>
      <c r="D190" t="n">
        <v>535</v>
      </c>
      <c r="E190" t="n">
        <v>392</v>
      </c>
      <c r="F190" t="n">
        <v>497</v>
      </c>
      <c r="G190" t="n">
        <v>399</v>
      </c>
      <c r="H190">
        <f>SQRT((F190-D190)^2+(G190-E190)^2)</f>
        <v/>
      </c>
      <c r="I190" t="n">
        <v>0.2173913043478261</v>
      </c>
      <c r="J190">
        <f>H190*I190</f>
        <v/>
      </c>
      <c r="M190">
        <f>IF(OR(K190="",L190=""),"",MAX(K190,L190))</f>
        <v/>
      </c>
      <c r="N190" t="n">
        <v>0.5</v>
      </c>
      <c r="O190" t="inlineStr">
        <is>
          <t>是</t>
        </is>
      </c>
      <c r="P190">
        <f>IF(OR(M190="",M190&lt;=18),"PASS","ANGLE_ALERT")</f>
        <v/>
      </c>
      <c r="Q190" t="inlineStr">
        <is>
          <t>样品21</t>
        </is>
      </c>
    </row>
    <row r="191">
      <c r="A191" t="inlineStr">
        <is>
          <t>21(2)-P01</t>
        </is>
      </c>
      <c r="B191" t="inlineStr">
        <is>
          <t>21 (2).tif</t>
        </is>
      </c>
      <c r="C191" t="inlineStr">
        <is>
          <t>L2</t>
        </is>
      </c>
      <c r="D191" t="n">
        <v>525</v>
      </c>
      <c r="E191" t="n">
        <v>344</v>
      </c>
      <c r="F191" t="n">
        <v>469</v>
      </c>
      <c r="G191" t="n">
        <v>327</v>
      </c>
      <c r="H191">
        <f>SQRT((F191-D191)^2+(G191-E191)^2)</f>
        <v/>
      </c>
      <c r="I191" t="n">
        <v>0.2173913043478261</v>
      </c>
      <c r="J191">
        <f>H191*I191</f>
        <v/>
      </c>
      <c r="M191">
        <f>IF(OR(K191="",L191=""),"",MAX(K191,L191))</f>
        <v/>
      </c>
      <c r="N191" t="n">
        <v>0.5</v>
      </c>
      <c r="O191" t="inlineStr">
        <is>
          <t>是</t>
        </is>
      </c>
      <c r="P191">
        <f>IF(OR(M191="",M191&lt;=18),"PASS","ANGLE_ALERT")</f>
        <v/>
      </c>
      <c r="Q191" t="inlineStr">
        <is>
          <t>样品21</t>
        </is>
      </c>
    </row>
    <row r="192">
      <c r="A192" t="inlineStr">
        <is>
          <t>21(3)-P01</t>
        </is>
      </c>
      <c r="B192" t="inlineStr">
        <is>
          <t>21 (3).tif</t>
        </is>
      </c>
      <c r="C192" t="inlineStr">
        <is>
          <t>L1</t>
        </is>
      </c>
      <c r="D192" t="n">
        <v>483</v>
      </c>
      <c r="E192" t="n">
        <v>351</v>
      </c>
      <c r="F192" t="n">
        <v>483</v>
      </c>
      <c r="G192" t="n">
        <v>379</v>
      </c>
      <c r="H192">
        <f>SQRT((F192-D192)^2+(G192-E192)^2)</f>
        <v/>
      </c>
      <c r="I192" t="n">
        <v>0.2173913043478261</v>
      </c>
      <c r="J192">
        <f>H192*I192</f>
        <v/>
      </c>
      <c r="M192">
        <f>IF(OR(K192="",L192=""),"",MAX(K192,L192))</f>
        <v/>
      </c>
      <c r="N192" t="n">
        <v>0.5</v>
      </c>
      <c r="O192" t="inlineStr">
        <is>
          <t>是</t>
        </is>
      </c>
      <c r="P192">
        <f>IF(OR(M192="",M192&lt;=18),"PASS","ANGLE_ALERT")</f>
        <v/>
      </c>
      <c r="Q192" t="inlineStr">
        <is>
          <t>样品21</t>
        </is>
      </c>
    </row>
    <row r="193">
      <c r="A193" t="inlineStr">
        <is>
          <t>21(3)-P01</t>
        </is>
      </c>
      <c r="B193" t="inlineStr">
        <is>
          <t>21 (3).tif</t>
        </is>
      </c>
      <c r="C193" t="inlineStr">
        <is>
          <t>L2</t>
        </is>
      </c>
      <c r="D193" t="n">
        <v>479</v>
      </c>
      <c r="E193" t="n">
        <v>351</v>
      </c>
      <c r="F193" t="n">
        <v>474</v>
      </c>
      <c r="G193" t="n">
        <v>381</v>
      </c>
      <c r="H193">
        <f>SQRT((F193-D193)^2+(G193-E193)^2)</f>
        <v/>
      </c>
      <c r="I193" t="n">
        <v>0.2173913043478261</v>
      </c>
      <c r="J193">
        <f>H193*I193</f>
        <v/>
      </c>
      <c r="M193">
        <f>IF(OR(K193="",L193=""),"",MAX(K193,L193))</f>
        <v/>
      </c>
      <c r="N193" t="n">
        <v>0.5</v>
      </c>
      <c r="O193" t="inlineStr">
        <is>
          <t>是</t>
        </is>
      </c>
      <c r="P193">
        <f>IF(OR(M193="",M193&lt;=18),"PASS","ANGLE_ALERT")</f>
        <v/>
      </c>
      <c r="Q193" t="inlineStr">
        <is>
          <t>样品21</t>
        </is>
      </c>
    </row>
    <row r="194">
      <c r="A194" t="inlineStr">
        <is>
          <t>21(7)-P01</t>
        </is>
      </c>
      <c r="B194" t="inlineStr">
        <is>
          <t>21 (7).tif</t>
        </is>
      </c>
      <c r="C194" t="inlineStr">
        <is>
          <t>L1</t>
        </is>
      </c>
      <c r="D194" t="n">
        <v>502</v>
      </c>
      <c r="E194" t="n">
        <v>429</v>
      </c>
      <c r="F194" t="n">
        <v>499</v>
      </c>
      <c r="G194" t="n">
        <v>371</v>
      </c>
      <c r="H194">
        <f>SQRT((F194-D194)^2+(G194-E194)^2)</f>
        <v/>
      </c>
      <c r="I194" t="n">
        <v>0.2173913043478261</v>
      </c>
      <c r="J194">
        <f>H194*I194</f>
        <v/>
      </c>
      <c r="M194">
        <f>IF(OR(K194="",L194=""),"",MAX(K194,L194))</f>
        <v/>
      </c>
      <c r="N194" t="n">
        <v>0.5</v>
      </c>
      <c r="O194" t="inlineStr">
        <is>
          <t>是</t>
        </is>
      </c>
      <c r="P194">
        <f>IF(OR(M194="",M194&lt;=18),"PASS","ANGLE_ALERT")</f>
        <v/>
      </c>
      <c r="Q194" t="inlineStr">
        <is>
          <t>样品21</t>
        </is>
      </c>
    </row>
    <row r="195">
      <c r="A195" t="inlineStr">
        <is>
          <t>21(7)-P01</t>
        </is>
      </c>
      <c r="B195" t="inlineStr">
        <is>
          <t>21 (7).tif</t>
        </is>
      </c>
      <c r="C195" t="inlineStr">
        <is>
          <t>L2</t>
        </is>
      </c>
      <c r="D195" t="n">
        <v>538</v>
      </c>
      <c r="E195" t="n">
        <v>377</v>
      </c>
      <c r="F195" t="n">
        <v>540</v>
      </c>
      <c r="G195" t="n">
        <v>336</v>
      </c>
      <c r="H195">
        <f>SQRT((F195-D195)^2+(G195-E195)^2)</f>
        <v/>
      </c>
      <c r="I195" t="n">
        <v>0.2173913043478261</v>
      </c>
      <c r="J195">
        <f>H195*I195</f>
        <v/>
      </c>
      <c r="M195">
        <f>IF(OR(K195="",L195=""),"",MAX(K195,L195))</f>
        <v/>
      </c>
      <c r="N195" t="n">
        <v>0.5</v>
      </c>
      <c r="O195" t="inlineStr">
        <is>
          <t>是</t>
        </is>
      </c>
      <c r="P195">
        <f>IF(OR(M195="",M195&lt;=18),"PASS","ANGLE_ALERT")</f>
        <v/>
      </c>
      <c r="Q195" t="inlineStr">
        <is>
          <t>样品21</t>
        </is>
      </c>
    </row>
    <row r="196">
      <c r="A196" t="inlineStr">
        <is>
          <t>21(7)-P01</t>
        </is>
      </c>
      <c r="B196" t="inlineStr">
        <is>
          <t>21 (7).tif</t>
        </is>
      </c>
      <c r="C196" t="inlineStr">
        <is>
          <t>L3</t>
        </is>
      </c>
      <c r="D196" t="n">
        <v>529</v>
      </c>
      <c r="E196" t="n">
        <v>381</v>
      </c>
      <c r="F196" t="n">
        <v>517</v>
      </c>
      <c r="G196" t="n">
        <v>364</v>
      </c>
      <c r="H196">
        <f>SQRT((F196-D196)^2+(G196-E196)^2)</f>
        <v/>
      </c>
      <c r="I196" t="n">
        <v>0.2173913043478261</v>
      </c>
      <c r="J196">
        <f>H196*I196</f>
        <v/>
      </c>
      <c r="M196">
        <f>IF(OR(K196="",L196=""),"",MAX(K196,L196))</f>
        <v/>
      </c>
      <c r="N196" t="n">
        <v>0.5</v>
      </c>
      <c r="O196" t="inlineStr">
        <is>
          <t>是</t>
        </is>
      </c>
      <c r="P196">
        <f>IF(OR(M196="",M196&lt;=18),"PASS","ANGLE_ALERT")</f>
        <v/>
      </c>
      <c r="Q196" t="inlineStr">
        <is>
          <t>样品21</t>
        </is>
      </c>
    </row>
    <row r="197">
      <c r="A197" t="inlineStr">
        <is>
          <t>22(5)-P01</t>
        </is>
      </c>
      <c r="B197" t="inlineStr">
        <is>
          <t>22 (5).tif</t>
        </is>
      </c>
      <c r="C197" t="inlineStr">
        <is>
          <t>L1</t>
        </is>
      </c>
      <c r="D197" t="n">
        <v>906</v>
      </c>
      <c r="E197" t="n">
        <v>311</v>
      </c>
      <c r="F197" t="n">
        <v>888</v>
      </c>
      <c r="G197" t="n">
        <v>344</v>
      </c>
      <c r="H197">
        <f>SQRT((F197-D197)^2+(G197-E197)^2)</f>
        <v/>
      </c>
      <c r="I197" t="n">
        <v>0.2173913043478261</v>
      </c>
      <c r="J197">
        <f>H197*I197</f>
        <v/>
      </c>
      <c r="M197">
        <f>IF(OR(K197="",L197=""),"",MAX(K197,L197))</f>
        <v/>
      </c>
      <c r="N197" t="n">
        <v>0.5</v>
      </c>
      <c r="O197" t="inlineStr">
        <is>
          <t>是</t>
        </is>
      </c>
      <c r="P197">
        <f>IF(OR(M197="",M197&lt;=18),"PASS","ANGLE_ALERT")</f>
        <v/>
      </c>
      <c r="Q197" t="inlineStr">
        <is>
          <t>样品22</t>
        </is>
      </c>
    </row>
    <row r="198">
      <c r="A198" t="inlineStr">
        <is>
          <t>22(5)-P01</t>
        </is>
      </c>
      <c r="B198" t="inlineStr">
        <is>
          <t>22 (5).tif</t>
        </is>
      </c>
      <c r="C198" t="inlineStr">
        <is>
          <t>L2</t>
        </is>
      </c>
      <c r="D198" t="n">
        <v>912</v>
      </c>
      <c r="E198" t="n">
        <v>314</v>
      </c>
      <c r="F198" t="n">
        <v>894</v>
      </c>
      <c r="G198" t="n">
        <v>346</v>
      </c>
      <c r="H198">
        <f>SQRT((F198-D198)^2+(G198-E198)^2)</f>
        <v/>
      </c>
      <c r="I198" t="n">
        <v>0.2173913043478261</v>
      </c>
      <c r="J198">
        <f>H198*I198</f>
        <v/>
      </c>
      <c r="M198">
        <f>IF(OR(K198="",L198=""),"",MAX(K198,L198))</f>
        <v/>
      </c>
      <c r="N198" t="n">
        <v>0.5</v>
      </c>
      <c r="O198" t="inlineStr">
        <is>
          <t>是</t>
        </is>
      </c>
      <c r="P198">
        <f>IF(OR(M198="",M198&lt;=18),"PASS","ANGLE_ALERT")</f>
        <v/>
      </c>
      <c r="Q198" t="inlineStr">
        <is>
          <t>样品22</t>
        </is>
      </c>
    </row>
    <row r="199">
      <c r="A199" t="inlineStr">
        <is>
          <t>22(7)-P01</t>
        </is>
      </c>
      <c r="B199" t="inlineStr">
        <is>
          <t>22 (7).tif</t>
        </is>
      </c>
      <c r="C199" t="inlineStr">
        <is>
          <t>L1</t>
        </is>
      </c>
      <c r="D199" t="n">
        <v>501</v>
      </c>
      <c r="E199" t="n">
        <v>337</v>
      </c>
      <c r="F199" t="n">
        <v>482</v>
      </c>
      <c r="G199" t="n">
        <v>322</v>
      </c>
      <c r="H199">
        <f>SQRT((F199-D199)^2+(G199-E199)^2)</f>
        <v/>
      </c>
      <c r="I199" t="n">
        <v>0.2173913043478261</v>
      </c>
      <c r="J199">
        <f>H199*I199</f>
        <v/>
      </c>
      <c r="M199">
        <f>IF(OR(K199="",L199=""),"",MAX(K199,L199))</f>
        <v/>
      </c>
      <c r="N199" t="n">
        <v>0.5</v>
      </c>
      <c r="O199" t="inlineStr">
        <is>
          <t>是</t>
        </is>
      </c>
      <c r="P199">
        <f>IF(OR(M199="",M199&lt;=18),"PASS","ANGLE_ALERT")</f>
        <v/>
      </c>
      <c r="Q199" t="inlineStr">
        <is>
          <t>样品22</t>
        </is>
      </c>
    </row>
    <row r="200">
      <c r="A200" t="inlineStr">
        <is>
          <t>22(7)-P01</t>
        </is>
      </c>
      <c r="B200" t="inlineStr">
        <is>
          <t>22 (7).tif</t>
        </is>
      </c>
      <c r="C200" t="inlineStr">
        <is>
          <t>L2</t>
        </is>
      </c>
      <c r="D200" t="n">
        <v>545</v>
      </c>
      <c r="E200" t="n">
        <v>307</v>
      </c>
      <c r="F200" t="n">
        <v>495</v>
      </c>
      <c r="G200" t="n">
        <v>300</v>
      </c>
      <c r="H200">
        <f>SQRT((F200-D200)^2+(G200-E200)^2)</f>
        <v/>
      </c>
      <c r="I200" t="n">
        <v>0.2173913043478261</v>
      </c>
      <c r="J200">
        <f>H200*I200</f>
        <v/>
      </c>
      <c r="M200">
        <f>IF(OR(K200="",L200=""),"",MAX(K200,L200))</f>
        <v/>
      </c>
      <c r="N200" t="n">
        <v>0.5</v>
      </c>
      <c r="O200" t="inlineStr">
        <is>
          <t>是</t>
        </is>
      </c>
      <c r="P200">
        <f>IF(OR(M200="",M200&lt;=18),"PASS","ANGLE_ALERT")</f>
        <v/>
      </c>
      <c r="Q200" t="inlineStr">
        <is>
          <t>样品22</t>
        </is>
      </c>
    </row>
    <row r="201">
      <c r="A201" t="inlineStr">
        <is>
          <t>22(7)-P01</t>
        </is>
      </c>
      <c r="B201" t="inlineStr">
        <is>
          <t>22 (7).tif</t>
        </is>
      </c>
      <c r="C201" t="inlineStr">
        <is>
          <t>L3</t>
        </is>
      </c>
      <c r="D201" t="n">
        <v>496</v>
      </c>
      <c r="E201" t="n">
        <v>349</v>
      </c>
      <c r="F201" t="n">
        <v>455</v>
      </c>
      <c r="G201" t="n">
        <v>338</v>
      </c>
      <c r="H201">
        <f>SQRT((F201-D201)^2+(G201-E201)^2)</f>
        <v/>
      </c>
      <c r="I201" t="n">
        <v>0.2173913043478261</v>
      </c>
      <c r="J201">
        <f>H201*I201</f>
        <v/>
      </c>
      <c r="M201">
        <f>IF(OR(K201="",L201=""),"",MAX(K201,L201))</f>
        <v/>
      </c>
      <c r="N201" t="n">
        <v>0.5</v>
      </c>
      <c r="O201" t="inlineStr">
        <is>
          <t>是</t>
        </is>
      </c>
      <c r="P201">
        <f>IF(OR(M201="",M201&lt;=18),"PASS","ANGLE_ALERT")</f>
        <v/>
      </c>
      <c r="Q201" t="inlineStr">
        <is>
          <t>样品22</t>
        </is>
      </c>
    </row>
    <row r="202">
      <c r="A202" t="inlineStr">
        <is>
          <t>22(7)-P01</t>
        </is>
      </c>
      <c r="B202" t="inlineStr">
        <is>
          <t>22 (7).tif</t>
        </is>
      </c>
      <c r="C202" t="inlineStr">
        <is>
          <t>L4</t>
        </is>
      </c>
      <c r="D202" t="n">
        <v>508</v>
      </c>
      <c r="E202" t="n">
        <v>327</v>
      </c>
      <c r="F202" t="n">
        <v>488</v>
      </c>
      <c r="G202" t="n">
        <v>314</v>
      </c>
      <c r="H202">
        <f>SQRT((F202-D202)^2+(G202-E202)^2)</f>
        <v/>
      </c>
      <c r="I202" t="n">
        <v>0.2173913043478261</v>
      </c>
      <c r="J202">
        <f>H202*I202</f>
        <v/>
      </c>
      <c r="M202">
        <f>IF(OR(K202="",L202=""),"",MAX(K202,L202))</f>
        <v/>
      </c>
      <c r="N202" t="n">
        <v>0.5</v>
      </c>
      <c r="O202" t="inlineStr">
        <is>
          <t>是</t>
        </is>
      </c>
      <c r="P202">
        <f>IF(OR(M202="",M202&lt;=18),"PASS","ANGLE_ALERT")</f>
        <v/>
      </c>
      <c r="Q202" t="inlineStr">
        <is>
          <t>样品22</t>
        </is>
      </c>
    </row>
    <row r="203">
      <c r="A203" t="inlineStr">
        <is>
          <t>22(8)-P01</t>
        </is>
      </c>
      <c r="B203" t="inlineStr">
        <is>
          <t>22 (8).tif</t>
        </is>
      </c>
      <c r="C203" t="inlineStr">
        <is>
          <t>L1</t>
        </is>
      </c>
      <c r="D203" t="n">
        <v>485</v>
      </c>
      <c r="E203" t="n">
        <v>359</v>
      </c>
      <c r="F203" t="n">
        <v>494</v>
      </c>
      <c r="G203" t="n">
        <v>349</v>
      </c>
      <c r="H203">
        <f>SQRT((F203-D203)^2+(G203-E203)^2)</f>
        <v/>
      </c>
      <c r="I203" t="n">
        <v>0.2173913043478261</v>
      </c>
      <c r="J203">
        <f>H203*I203</f>
        <v/>
      </c>
      <c r="M203">
        <f>IF(OR(K203="",L203=""),"",MAX(K203,L203))</f>
        <v/>
      </c>
      <c r="N203" t="n">
        <v>0.5</v>
      </c>
      <c r="O203" t="inlineStr">
        <is>
          <t>是</t>
        </is>
      </c>
      <c r="P203">
        <f>IF(OR(M203="",M203&lt;=18),"PASS","ANGLE_ALERT")</f>
        <v/>
      </c>
      <c r="Q203" t="inlineStr">
        <is>
          <t>样品22</t>
        </is>
      </c>
    </row>
    <row r="204">
      <c r="A204" t="inlineStr">
        <is>
          <t>22(8)-P01</t>
        </is>
      </c>
      <c r="B204" t="inlineStr">
        <is>
          <t>22 (8).tif</t>
        </is>
      </c>
      <c r="C204" t="inlineStr">
        <is>
          <t>L2</t>
        </is>
      </c>
      <c r="D204" t="n">
        <v>498</v>
      </c>
      <c r="E204" t="n">
        <v>375</v>
      </c>
      <c r="F204" t="n">
        <v>529</v>
      </c>
      <c r="G204" t="n">
        <v>368</v>
      </c>
      <c r="H204">
        <f>SQRT((F204-D204)^2+(G204-E204)^2)</f>
        <v/>
      </c>
      <c r="I204" t="n">
        <v>0.2173913043478261</v>
      </c>
      <c r="J204">
        <f>H204*I204</f>
        <v/>
      </c>
      <c r="M204">
        <f>IF(OR(K204="",L204=""),"",MAX(K204,L204))</f>
        <v/>
      </c>
      <c r="N204" t="n">
        <v>0.5</v>
      </c>
      <c r="O204" t="inlineStr">
        <is>
          <t>是</t>
        </is>
      </c>
      <c r="P204">
        <f>IF(OR(M204="",M204&lt;=18),"PASS","ANGLE_ALERT")</f>
        <v/>
      </c>
      <c r="Q204" t="inlineStr">
        <is>
          <t>样品22</t>
        </is>
      </c>
    </row>
    <row r="205">
      <c r="A205" t="inlineStr">
        <is>
          <t>23(3)-P01</t>
        </is>
      </c>
      <c r="B205" t="inlineStr">
        <is>
          <t>23 (3).tif</t>
        </is>
      </c>
      <c r="C205" t="inlineStr">
        <is>
          <t>L1</t>
        </is>
      </c>
      <c r="D205" t="n">
        <v>581</v>
      </c>
      <c r="E205" t="n">
        <v>377</v>
      </c>
      <c r="F205" t="n">
        <v>605</v>
      </c>
      <c r="G205" t="n">
        <v>387</v>
      </c>
      <c r="H205">
        <f>SQRT((F205-D205)^2+(G205-E205)^2)</f>
        <v/>
      </c>
      <c r="I205" t="n">
        <v>0.2173913043478261</v>
      </c>
      <c r="J205">
        <f>H205*I205</f>
        <v/>
      </c>
      <c r="M205">
        <f>IF(OR(K205="",L205=""),"",MAX(K205,L205))</f>
        <v/>
      </c>
      <c r="N205" t="n">
        <v>0.5</v>
      </c>
      <c r="O205" t="inlineStr">
        <is>
          <t>是</t>
        </is>
      </c>
      <c r="P205">
        <f>IF(OR(M205="",M205&lt;=18),"PASS","ANGLE_ALERT")</f>
        <v/>
      </c>
      <c r="Q205" t="inlineStr">
        <is>
          <t>样品23</t>
        </is>
      </c>
    </row>
    <row r="206">
      <c r="A206" t="inlineStr">
        <is>
          <t>23(3)-P01</t>
        </is>
      </c>
      <c r="B206" t="inlineStr">
        <is>
          <t>23 (3).tif</t>
        </is>
      </c>
      <c r="C206" t="inlineStr">
        <is>
          <t>L2</t>
        </is>
      </c>
      <c r="D206" t="n">
        <v>578</v>
      </c>
      <c r="E206" t="n">
        <v>386</v>
      </c>
      <c r="F206" t="n">
        <v>601</v>
      </c>
      <c r="G206" t="n">
        <v>396</v>
      </c>
      <c r="H206">
        <f>SQRT((F206-D206)^2+(G206-E206)^2)</f>
        <v/>
      </c>
      <c r="I206" t="n">
        <v>0.2173913043478261</v>
      </c>
      <c r="J206">
        <f>H206*I206</f>
        <v/>
      </c>
      <c r="M206">
        <f>IF(OR(K206="",L206=""),"",MAX(K206,L206))</f>
        <v/>
      </c>
      <c r="N206" t="n">
        <v>0.5</v>
      </c>
      <c r="O206" t="inlineStr">
        <is>
          <t>是</t>
        </is>
      </c>
      <c r="P206">
        <f>IF(OR(M206="",M206&lt;=18),"PASS","ANGLE_ALERT")</f>
        <v/>
      </c>
      <c r="Q206" t="inlineStr">
        <is>
          <t>样品23</t>
        </is>
      </c>
    </row>
    <row r="207">
      <c r="A207" t="inlineStr">
        <is>
          <t>23(3)-P01</t>
        </is>
      </c>
      <c r="B207" t="inlineStr">
        <is>
          <t>23 (3).tif</t>
        </is>
      </c>
      <c r="C207" t="inlineStr">
        <is>
          <t>L3</t>
        </is>
      </c>
      <c r="D207" t="n">
        <v>574</v>
      </c>
      <c r="E207" t="n">
        <v>395</v>
      </c>
      <c r="F207" t="n">
        <v>598</v>
      </c>
      <c r="G207" t="n">
        <v>405</v>
      </c>
      <c r="H207">
        <f>SQRT((F207-D207)^2+(G207-E207)^2)</f>
        <v/>
      </c>
      <c r="I207" t="n">
        <v>0.2173913043478261</v>
      </c>
      <c r="J207">
        <f>H207*I207</f>
        <v/>
      </c>
      <c r="M207">
        <f>IF(OR(K207="",L207=""),"",MAX(K207,L207))</f>
        <v/>
      </c>
      <c r="N207" t="n">
        <v>0.5</v>
      </c>
      <c r="O207" t="inlineStr">
        <is>
          <t>是</t>
        </is>
      </c>
      <c r="P207">
        <f>IF(OR(M207="",M207&lt;=18),"PASS","ANGLE_ALERT")</f>
        <v/>
      </c>
      <c r="Q207" t="inlineStr">
        <is>
          <t>样品23</t>
        </is>
      </c>
    </row>
    <row r="208">
      <c r="A208" t="inlineStr">
        <is>
          <t>23(5)-P01</t>
        </is>
      </c>
      <c r="B208" t="inlineStr">
        <is>
          <t>23 (5).tif</t>
        </is>
      </c>
      <c r="C208" t="inlineStr">
        <is>
          <t>L1</t>
        </is>
      </c>
      <c r="D208" t="n">
        <v>480</v>
      </c>
      <c r="E208" t="n">
        <v>397</v>
      </c>
      <c r="F208" t="n">
        <v>465</v>
      </c>
      <c r="G208" t="n">
        <v>371</v>
      </c>
      <c r="H208">
        <f>SQRT((F208-D208)^2+(G208-E208)^2)</f>
        <v/>
      </c>
      <c r="I208" t="n">
        <v>0.2173913043478261</v>
      </c>
      <c r="J208">
        <f>H208*I208</f>
        <v/>
      </c>
      <c r="M208">
        <f>IF(OR(K208="",L208=""),"",MAX(K208,L208))</f>
        <v/>
      </c>
      <c r="N208" t="n">
        <v>0.5</v>
      </c>
      <c r="O208" t="inlineStr">
        <is>
          <t>是</t>
        </is>
      </c>
      <c r="P208">
        <f>IF(OR(M208="",M208&lt;=18),"PASS","ANGLE_ALERT")</f>
        <v/>
      </c>
      <c r="Q208" t="inlineStr">
        <is>
          <t>样品23</t>
        </is>
      </c>
    </row>
    <row r="209">
      <c r="A209" t="inlineStr">
        <is>
          <t>23(5)-P01</t>
        </is>
      </c>
      <c r="B209" t="inlineStr">
        <is>
          <t>23 (5).tif</t>
        </is>
      </c>
      <c r="C209" t="inlineStr">
        <is>
          <t>L2</t>
        </is>
      </c>
      <c r="D209" t="n">
        <v>486</v>
      </c>
      <c r="E209" t="n">
        <v>394</v>
      </c>
      <c r="F209" t="n">
        <v>470</v>
      </c>
      <c r="G209" t="n">
        <v>369</v>
      </c>
      <c r="H209">
        <f>SQRT((F209-D209)^2+(G209-E209)^2)</f>
        <v/>
      </c>
      <c r="I209" t="n">
        <v>0.2173913043478261</v>
      </c>
      <c r="J209">
        <f>H209*I209</f>
        <v/>
      </c>
      <c r="M209">
        <f>IF(OR(K209="",L209=""),"",MAX(K209,L209))</f>
        <v/>
      </c>
      <c r="N209" t="n">
        <v>0.5</v>
      </c>
      <c r="O209" t="inlineStr">
        <is>
          <t>是</t>
        </is>
      </c>
      <c r="P209">
        <f>IF(OR(M209="",M209&lt;=18),"PASS","ANGLE_ALERT")</f>
        <v/>
      </c>
      <c r="Q209" t="inlineStr">
        <is>
          <t>样品23</t>
        </is>
      </c>
    </row>
    <row r="210">
      <c r="A210" t="inlineStr">
        <is>
          <t>23(5)-P01</t>
        </is>
      </c>
      <c r="B210" t="inlineStr">
        <is>
          <t>23 (5).tif</t>
        </is>
      </c>
      <c r="C210" t="inlineStr">
        <is>
          <t>L3</t>
        </is>
      </c>
      <c r="D210" t="n">
        <v>495</v>
      </c>
      <c r="E210" t="n">
        <v>390</v>
      </c>
      <c r="F210" t="n">
        <v>482</v>
      </c>
      <c r="G210" t="n">
        <v>362</v>
      </c>
      <c r="H210">
        <f>SQRT((F210-D210)^2+(G210-E210)^2)</f>
        <v/>
      </c>
      <c r="I210" t="n">
        <v>0.2173913043478261</v>
      </c>
      <c r="J210">
        <f>H210*I210</f>
        <v/>
      </c>
      <c r="M210">
        <f>IF(OR(K210="",L210=""),"",MAX(K210,L210))</f>
        <v/>
      </c>
      <c r="N210" t="n">
        <v>0.5</v>
      </c>
      <c r="O210" t="inlineStr">
        <is>
          <t>是</t>
        </is>
      </c>
      <c r="P210">
        <f>IF(OR(M210="",M210&lt;=18),"PASS","ANGLE_ALERT")</f>
        <v/>
      </c>
      <c r="Q210" t="inlineStr">
        <is>
          <t>样品23</t>
        </is>
      </c>
    </row>
    <row r="211">
      <c r="A211" t="inlineStr">
        <is>
          <t>23(7)-P01</t>
        </is>
      </c>
      <c r="B211" t="inlineStr">
        <is>
          <t>23 (7).tif</t>
        </is>
      </c>
      <c r="C211" t="inlineStr">
        <is>
          <t>L1</t>
        </is>
      </c>
      <c r="D211" t="n">
        <v>537</v>
      </c>
      <c r="E211" t="n">
        <v>352</v>
      </c>
      <c r="F211" t="n">
        <v>515</v>
      </c>
      <c r="G211" t="n">
        <v>379</v>
      </c>
      <c r="H211">
        <f>SQRT((F211-D211)^2+(G211-E211)^2)</f>
        <v/>
      </c>
      <c r="I211" t="n">
        <v>0.2173913043478261</v>
      </c>
      <c r="J211">
        <f>H211*I211</f>
        <v/>
      </c>
      <c r="M211">
        <f>IF(OR(K211="",L211=""),"",MAX(K211,L211))</f>
        <v/>
      </c>
      <c r="N211" t="n">
        <v>0.5</v>
      </c>
      <c r="O211" t="inlineStr">
        <is>
          <t>是</t>
        </is>
      </c>
      <c r="P211">
        <f>IF(OR(M211="",M211&lt;=18),"PASS","ANGLE_ALERT")</f>
        <v/>
      </c>
      <c r="Q211" t="inlineStr">
        <is>
          <t>样品23</t>
        </is>
      </c>
    </row>
    <row r="212">
      <c r="A212" t="inlineStr">
        <is>
          <t>23(8)-P01</t>
        </is>
      </c>
      <c r="B212" t="inlineStr">
        <is>
          <t>23 (8).tif</t>
        </is>
      </c>
      <c r="C212" t="inlineStr">
        <is>
          <t>L1</t>
        </is>
      </c>
      <c r="D212" t="n">
        <v>569</v>
      </c>
      <c r="E212" t="n">
        <v>405</v>
      </c>
      <c r="F212" t="n">
        <v>549</v>
      </c>
      <c r="G212" t="n">
        <v>421</v>
      </c>
      <c r="H212">
        <f>SQRT((F212-D212)^2+(G212-E212)^2)</f>
        <v/>
      </c>
      <c r="I212" t="n">
        <v>0.2173913043478261</v>
      </c>
      <c r="J212">
        <f>H212*I212</f>
        <v/>
      </c>
      <c r="M212">
        <f>IF(OR(K212="",L212=""),"",MAX(K212,L212))</f>
        <v/>
      </c>
      <c r="N212" t="n">
        <v>0.5</v>
      </c>
      <c r="O212" t="inlineStr">
        <is>
          <t>是</t>
        </is>
      </c>
      <c r="P212">
        <f>IF(OR(M212="",M212&lt;=18),"PASS","ANGLE_ALERT")</f>
        <v/>
      </c>
      <c r="Q212" t="inlineStr">
        <is>
          <t>样品23</t>
        </is>
      </c>
    </row>
    <row r="213">
      <c r="A213" t="inlineStr">
        <is>
          <t>23(8)-P01</t>
        </is>
      </c>
      <c r="B213" t="inlineStr">
        <is>
          <t>23 (8).tif</t>
        </is>
      </c>
      <c r="C213" t="inlineStr">
        <is>
          <t>L2</t>
        </is>
      </c>
      <c r="D213" t="n">
        <v>561</v>
      </c>
      <c r="E213" t="n">
        <v>398</v>
      </c>
      <c r="F213" t="n">
        <v>544</v>
      </c>
      <c r="G213" t="n">
        <v>415</v>
      </c>
      <c r="H213">
        <f>SQRT((F213-D213)^2+(G213-E213)^2)</f>
        <v/>
      </c>
      <c r="I213" t="n">
        <v>0.2173913043478261</v>
      </c>
      <c r="J213">
        <f>H213*I213</f>
        <v/>
      </c>
      <c r="M213">
        <f>IF(OR(K213="",L213=""),"",MAX(K213,L213))</f>
        <v/>
      </c>
      <c r="N213" t="n">
        <v>0.5</v>
      </c>
      <c r="O213" t="inlineStr">
        <is>
          <t>是</t>
        </is>
      </c>
      <c r="P213">
        <f>IF(OR(M213="",M213&lt;=18),"PASS","ANGLE_ALERT")</f>
        <v/>
      </c>
      <c r="Q213" t="inlineStr">
        <is>
          <t>样品23</t>
        </is>
      </c>
    </row>
    <row r="214">
      <c r="A214" t="inlineStr">
        <is>
          <t>24(1)-P01</t>
        </is>
      </c>
      <c r="B214" t="inlineStr">
        <is>
          <t>24 (1).tif</t>
        </is>
      </c>
      <c r="C214" t="inlineStr">
        <is>
          <t>L1</t>
        </is>
      </c>
      <c r="D214" t="n">
        <v>503</v>
      </c>
      <c r="E214" t="n">
        <v>378</v>
      </c>
      <c r="F214" t="n">
        <v>513</v>
      </c>
      <c r="G214" t="n">
        <v>343</v>
      </c>
      <c r="H214">
        <f>SQRT((F214-D214)^2+(G214-E214)^2)</f>
        <v/>
      </c>
      <c r="I214" t="n">
        <v>0.2173913043478261</v>
      </c>
      <c r="J214">
        <f>H214*I214</f>
        <v/>
      </c>
      <c r="M214">
        <f>IF(OR(K214="",L214=""),"",MAX(K214,L214))</f>
        <v/>
      </c>
      <c r="N214" t="n">
        <v>0.5</v>
      </c>
      <c r="O214" t="inlineStr">
        <is>
          <t>是</t>
        </is>
      </c>
      <c r="P214">
        <f>IF(OR(M214="",M214&lt;=18),"PASS","ANGLE_ALERT")</f>
        <v/>
      </c>
      <c r="Q214" t="inlineStr">
        <is>
          <t>样品24</t>
        </is>
      </c>
    </row>
    <row r="215">
      <c r="A215" t="inlineStr">
        <is>
          <t>24(1)-P01</t>
        </is>
      </c>
      <c r="B215" t="inlineStr">
        <is>
          <t>24 (1).tif</t>
        </is>
      </c>
      <c r="C215" t="inlineStr">
        <is>
          <t>L2</t>
        </is>
      </c>
      <c r="D215" t="n">
        <v>517</v>
      </c>
      <c r="E215" t="n">
        <v>382</v>
      </c>
      <c r="F215" t="n">
        <v>521</v>
      </c>
      <c r="G215" t="n">
        <v>344</v>
      </c>
      <c r="H215">
        <f>SQRT((F215-D215)^2+(G215-E215)^2)</f>
        <v/>
      </c>
      <c r="I215" t="n">
        <v>0.2173913043478261</v>
      </c>
      <c r="J215">
        <f>H215*I215</f>
        <v/>
      </c>
      <c r="M215">
        <f>IF(OR(K215="",L215=""),"",MAX(K215,L215))</f>
        <v/>
      </c>
      <c r="N215" t="n">
        <v>0.5</v>
      </c>
      <c r="O215" t="inlineStr">
        <is>
          <t>是</t>
        </is>
      </c>
      <c r="P215">
        <f>IF(OR(M215="",M215&lt;=18),"PASS","ANGLE_ALERT")</f>
        <v/>
      </c>
      <c r="Q215" t="inlineStr">
        <is>
          <t>样品24</t>
        </is>
      </c>
    </row>
    <row r="216">
      <c r="A216" t="inlineStr">
        <is>
          <t>24(2)-P01</t>
        </is>
      </c>
      <c r="B216" t="inlineStr">
        <is>
          <t>24 (2).tif</t>
        </is>
      </c>
      <c r="C216" t="inlineStr">
        <is>
          <t>L1</t>
        </is>
      </c>
      <c r="D216" t="n">
        <v>534</v>
      </c>
      <c r="E216" t="n">
        <v>373</v>
      </c>
      <c r="F216" t="n">
        <v>520</v>
      </c>
      <c r="G216" t="n">
        <v>387</v>
      </c>
      <c r="H216">
        <f>SQRT((F216-D216)^2+(G216-E216)^2)</f>
        <v/>
      </c>
      <c r="I216" t="n">
        <v>0.2173913043478261</v>
      </c>
      <c r="J216">
        <f>H216*I216</f>
        <v/>
      </c>
      <c r="M216">
        <f>IF(OR(K216="",L216=""),"",MAX(K216,L216))</f>
        <v/>
      </c>
      <c r="N216" t="n">
        <v>0.5</v>
      </c>
      <c r="O216" t="inlineStr">
        <is>
          <t>是</t>
        </is>
      </c>
      <c r="P216">
        <f>IF(OR(M216="",M216&lt;=18),"PASS","ANGLE_ALERT")</f>
        <v/>
      </c>
      <c r="Q216" t="inlineStr">
        <is>
          <t>样品24</t>
        </is>
      </c>
    </row>
    <row r="217">
      <c r="A217" t="inlineStr">
        <is>
          <t>24(3)-P01</t>
        </is>
      </c>
      <c r="B217" t="inlineStr">
        <is>
          <t>24 (3).tif</t>
        </is>
      </c>
      <c r="C217" t="inlineStr">
        <is>
          <t>L1</t>
        </is>
      </c>
      <c r="D217" t="n">
        <v>462</v>
      </c>
      <c r="E217" t="n">
        <v>391</v>
      </c>
      <c r="F217" t="n">
        <v>449</v>
      </c>
      <c r="G217" t="n">
        <v>374</v>
      </c>
      <c r="H217">
        <f>SQRT((F217-D217)^2+(G217-E217)^2)</f>
        <v/>
      </c>
      <c r="I217" t="n">
        <v>0.2173913043478261</v>
      </c>
      <c r="J217">
        <f>H217*I217</f>
        <v/>
      </c>
      <c r="M217">
        <f>IF(OR(K217="",L217=""),"",MAX(K217,L217))</f>
        <v/>
      </c>
      <c r="N217" t="n">
        <v>0.5</v>
      </c>
      <c r="O217" t="inlineStr">
        <is>
          <t>是</t>
        </is>
      </c>
      <c r="P217">
        <f>IF(OR(M217="",M217&lt;=18),"PASS","ANGLE_ALERT")</f>
        <v/>
      </c>
      <c r="Q217" t="inlineStr">
        <is>
          <t>样品24</t>
        </is>
      </c>
    </row>
    <row r="218">
      <c r="A218" t="inlineStr">
        <is>
          <t>24(3)-P01</t>
        </is>
      </c>
      <c r="B218" t="inlineStr">
        <is>
          <t>24 (3).tif</t>
        </is>
      </c>
      <c r="C218" t="inlineStr">
        <is>
          <t>L2</t>
        </is>
      </c>
      <c r="D218" t="n">
        <v>475</v>
      </c>
      <c r="E218" t="n">
        <v>360</v>
      </c>
      <c r="F218" t="n">
        <v>464</v>
      </c>
      <c r="G218" t="n">
        <v>345</v>
      </c>
      <c r="H218">
        <f>SQRT((F218-D218)^2+(G218-E218)^2)</f>
        <v/>
      </c>
      <c r="I218" t="n">
        <v>0.2173913043478261</v>
      </c>
      <c r="J218">
        <f>H218*I218</f>
        <v/>
      </c>
      <c r="M218">
        <f>IF(OR(K218="",L218=""),"",MAX(K218,L218))</f>
        <v/>
      </c>
      <c r="N218" t="n">
        <v>0.5</v>
      </c>
      <c r="O218" t="inlineStr">
        <is>
          <t>是</t>
        </is>
      </c>
      <c r="P218">
        <f>IF(OR(M218="",M218&lt;=18),"PASS","ANGLE_ALERT")</f>
        <v/>
      </c>
      <c r="Q218" t="inlineStr">
        <is>
          <t>样品24</t>
        </is>
      </c>
    </row>
    <row r="219">
      <c r="A219" t="inlineStr">
        <is>
          <t>24(4)-P01</t>
        </is>
      </c>
      <c r="B219" t="inlineStr">
        <is>
          <t>24 (4).tif</t>
        </is>
      </c>
      <c r="C219" t="inlineStr">
        <is>
          <t>L1</t>
        </is>
      </c>
      <c r="D219" t="n">
        <v>480</v>
      </c>
      <c r="E219" t="n">
        <v>421</v>
      </c>
      <c r="F219" t="n">
        <v>470</v>
      </c>
      <c r="G219" t="n">
        <v>440</v>
      </c>
      <c r="H219">
        <f>SQRT((F219-D219)^2+(G219-E219)^2)</f>
        <v/>
      </c>
      <c r="I219" t="n">
        <v>0.2173913043478261</v>
      </c>
      <c r="J219">
        <f>H219*I219</f>
        <v/>
      </c>
      <c r="M219">
        <f>IF(OR(K219="",L219=""),"",MAX(K219,L219))</f>
        <v/>
      </c>
      <c r="N219" t="n">
        <v>0.5</v>
      </c>
      <c r="O219" t="inlineStr">
        <is>
          <t>是</t>
        </is>
      </c>
      <c r="P219">
        <f>IF(OR(M219="",M219&lt;=18),"PASS","ANGLE_ALERT")</f>
        <v/>
      </c>
      <c r="Q219" t="inlineStr">
        <is>
          <t>样品24</t>
        </is>
      </c>
    </row>
    <row r="220">
      <c r="A220" t="inlineStr">
        <is>
          <t>24(4)-P01</t>
        </is>
      </c>
      <c r="B220" t="inlineStr">
        <is>
          <t>24 (4).tif</t>
        </is>
      </c>
      <c r="C220" t="inlineStr">
        <is>
          <t>L2</t>
        </is>
      </c>
      <c r="D220" t="n">
        <v>471</v>
      </c>
      <c r="E220" t="n">
        <v>418</v>
      </c>
      <c r="F220" t="n">
        <v>465</v>
      </c>
      <c r="G220" t="n">
        <v>438</v>
      </c>
      <c r="H220">
        <f>SQRT((F220-D220)^2+(G220-E220)^2)</f>
        <v/>
      </c>
      <c r="I220" t="n">
        <v>0.2173913043478261</v>
      </c>
      <c r="J220">
        <f>H220*I220</f>
        <v/>
      </c>
      <c r="M220">
        <f>IF(OR(K220="",L220=""),"",MAX(K220,L220))</f>
        <v/>
      </c>
      <c r="N220" t="n">
        <v>0.5</v>
      </c>
      <c r="O220" t="inlineStr">
        <is>
          <t>是</t>
        </is>
      </c>
      <c r="P220">
        <f>IF(OR(M220="",M220&lt;=18),"PASS","ANGLE_ALERT")</f>
        <v/>
      </c>
      <c r="Q220" t="inlineStr">
        <is>
          <t>样品24</t>
        </is>
      </c>
    </row>
    <row r="221">
      <c r="A221" t="inlineStr">
        <is>
          <t>24(4)-P01</t>
        </is>
      </c>
      <c r="B221" t="inlineStr">
        <is>
          <t>24 (4).tif</t>
        </is>
      </c>
      <c r="C221" t="inlineStr">
        <is>
          <t>L3</t>
        </is>
      </c>
      <c r="D221" t="n">
        <v>487</v>
      </c>
      <c r="E221" t="n">
        <v>423</v>
      </c>
      <c r="F221" t="n">
        <v>489</v>
      </c>
      <c r="G221" t="n">
        <v>474</v>
      </c>
      <c r="H221">
        <f>SQRT((F221-D221)^2+(G221-E221)^2)</f>
        <v/>
      </c>
      <c r="I221" t="n">
        <v>0.2173913043478261</v>
      </c>
      <c r="J221">
        <f>H221*I221</f>
        <v/>
      </c>
      <c r="M221">
        <f>IF(OR(K221="",L221=""),"",MAX(K221,L221))</f>
        <v/>
      </c>
      <c r="N221" t="n">
        <v>0.5</v>
      </c>
      <c r="O221" t="inlineStr">
        <is>
          <t>是</t>
        </is>
      </c>
      <c r="P221">
        <f>IF(OR(M221="",M221&lt;=18),"PASS","ANGLE_ALERT")</f>
        <v/>
      </c>
      <c r="Q221" t="inlineStr">
        <is>
          <t>样品24</t>
        </is>
      </c>
    </row>
    <row r="222">
      <c r="A222" t="inlineStr">
        <is>
          <t>24(4)-P01</t>
        </is>
      </c>
      <c r="B222" t="inlineStr">
        <is>
          <t>24 (4).tif</t>
        </is>
      </c>
      <c r="C222" t="inlineStr">
        <is>
          <t>L4</t>
        </is>
      </c>
      <c r="D222" t="n">
        <v>465</v>
      </c>
      <c r="E222" t="n">
        <v>415</v>
      </c>
      <c r="F222" t="n">
        <v>458</v>
      </c>
      <c r="G222" t="n">
        <v>435</v>
      </c>
      <c r="H222">
        <f>SQRT((F222-D222)^2+(G222-E222)^2)</f>
        <v/>
      </c>
      <c r="I222" t="n">
        <v>0.2173913043478261</v>
      </c>
      <c r="J222">
        <f>H222*I222</f>
        <v/>
      </c>
      <c r="M222">
        <f>IF(OR(K222="",L222=""),"",MAX(K222,L222))</f>
        <v/>
      </c>
      <c r="N222" t="n">
        <v>0.5</v>
      </c>
      <c r="O222" t="inlineStr">
        <is>
          <t>是</t>
        </is>
      </c>
      <c r="P222">
        <f>IF(OR(M222="",M222&lt;=18),"PASS","ANGLE_ALERT")</f>
        <v/>
      </c>
      <c r="Q222" t="inlineStr">
        <is>
          <t>样品24</t>
        </is>
      </c>
    </row>
    <row r="223">
      <c r="A223" t="inlineStr">
        <is>
          <t>24(5)-P01</t>
        </is>
      </c>
      <c r="B223" t="inlineStr">
        <is>
          <t>24 (5).tif</t>
        </is>
      </c>
      <c r="C223" t="inlineStr">
        <is>
          <t>L1</t>
        </is>
      </c>
      <c r="D223" t="n">
        <v>140</v>
      </c>
      <c r="E223" t="n">
        <v>133</v>
      </c>
      <c r="F223" t="n">
        <v>134</v>
      </c>
      <c r="G223" t="n">
        <v>149</v>
      </c>
      <c r="H223">
        <f>SQRT((F223-D223)^2+(G223-E223)^2)</f>
        <v/>
      </c>
      <c r="I223" t="n">
        <v>0.2173913043478261</v>
      </c>
      <c r="J223">
        <f>H223*I223</f>
        <v/>
      </c>
      <c r="M223">
        <f>IF(OR(K223="",L223=""),"",MAX(K223,L223))</f>
        <v/>
      </c>
      <c r="N223" t="n">
        <v>0.5</v>
      </c>
      <c r="O223" t="inlineStr">
        <is>
          <t>是</t>
        </is>
      </c>
      <c r="P223">
        <f>IF(OR(M223="",M223&lt;=18),"PASS","ANGLE_ALERT")</f>
        <v/>
      </c>
      <c r="Q223" t="inlineStr">
        <is>
          <t>样品24</t>
        </is>
      </c>
    </row>
    <row r="224">
      <c r="A224" t="inlineStr">
        <is>
          <t>24(5)-P01</t>
        </is>
      </c>
      <c r="B224" t="inlineStr">
        <is>
          <t>24 (5).tif</t>
        </is>
      </c>
      <c r="C224" t="inlineStr">
        <is>
          <t>L2</t>
        </is>
      </c>
      <c r="D224" t="n">
        <v>159</v>
      </c>
      <c r="E224" t="n">
        <v>138</v>
      </c>
      <c r="F224" t="n">
        <v>160</v>
      </c>
      <c r="G224" t="n">
        <v>189</v>
      </c>
      <c r="H224">
        <f>SQRT((F224-D224)^2+(G224-E224)^2)</f>
        <v/>
      </c>
      <c r="I224" t="n">
        <v>0.2173913043478261</v>
      </c>
      <c r="J224">
        <f>H224*I224</f>
        <v/>
      </c>
      <c r="M224">
        <f>IF(OR(K224="",L224=""),"",MAX(K224,L224))</f>
        <v/>
      </c>
      <c r="N224" t="n">
        <v>0.5</v>
      </c>
      <c r="O224" t="inlineStr">
        <is>
          <t>是</t>
        </is>
      </c>
      <c r="P224">
        <f>IF(OR(M224="",M224&lt;=18),"PASS","ANGLE_ALERT")</f>
        <v/>
      </c>
      <c r="Q224" t="inlineStr">
        <is>
          <t>样品24</t>
        </is>
      </c>
    </row>
    <row r="225">
      <c r="A225" t="inlineStr">
        <is>
          <t>24(5)-P02</t>
        </is>
      </c>
      <c r="B225" t="inlineStr">
        <is>
          <t>24 (5).tif</t>
        </is>
      </c>
      <c r="C225" t="inlineStr">
        <is>
          <t>L1</t>
        </is>
      </c>
      <c r="D225" t="n">
        <v>517</v>
      </c>
      <c r="E225" t="n">
        <v>343</v>
      </c>
      <c r="F225" t="n">
        <v>537</v>
      </c>
      <c r="G225" t="n">
        <v>320</v>
      </c>
      <c r="H225">
        <f>SQRT((F225-D225)^2+(G225-E225)^2)</f>
        <v/>
      </c>
      <c r="I225" t="n">
        <v>0.2173913043478261</v>
      </c>
      <c r="J225">
        <f>H225*I225</f>
        <v/>
      </c>
      <c r="M225">
        <f>IF(OR(K225="",L225=""),"",MAX(K225,L225))</f>
        <v/>
      </c>
      <c r="N225" t="n">
        <v>0.5</v>
      </c>
      <c r="O225" t="inlineStr">
        <is>
          <t>是</t>
        </is>
      </c>
      <c r="P225">
        <f>IF(OR(M225="",M225&lt;=18),"PASS","ANGLE_ALERT")</f>
        <v/>
      </c>
      <c r="Q225" t="inlineStr">
        <is>
          <t>样品24</t>
        </is>
      </c>
    </row>
    <row r="226">
      <c r="A226" t="inlineStr">
        <is>
          <t>24(5)-P02</t>
        </is>
      </c>
      <c r="B226" t="inlineStr">
        <is>
          <t>24 (5).tif</t>
        </is>
      </c>
      <c r="C226" t="inlineStr">
        <is>
          <t>L2</t>
        </is>
      </c>
      <c r="D226" t="n">
        <v>525</v>
      </c>
      <c r="E226" t="n">
        <v>350</v>
      </c>
      <c r="F226" t="n">
        <v>543</v>
      </c>
      <c r="G226" t="n">
        <v>326</v>
      </c>
      <c r="H226">
        <f>SQRT((F226-D226)^2+(G226-E226)^2)</f>
        <v/>
      </c>
      <c r="I226" t="n">
        <v>0.2173913043478261</v>
      </c>
      <c r="J226">
        <f>H226*I226</f>
        <v/>
      </c>
      <c r="M226">
        <f>IF(OR(K226="",L226=""),"",MAX(K226,L226))</f>
        <v/>
      </c>
      <c r="N226" t="n">
        <v>0.5</v>
      </c>
      <c r="O226" t="inlineStr">
        <is>
          <t>是</t>
        </is>
      </c>
      <c r="P226">
        <f>IF(OR(M226="",M226&lt;=18),"PASS","ANGLE_ALERT")</f>
        <v/>
      </c>
      <c r="Q226" t="inlineStr">
        <is>
          <t>样品24</t>
        </is>
      </c>
    </row>
    <row r="227">
      <c r="A227" t="inlineStr">
        <is>
          <t>24(5)-P02</t>
        </is>
      </c>
      <c r="B227" t="inlineStr">
        <is>
          <t>24 (5).tif</t>
        </is>
      </c>
      <c r="C227" t="inlineStr">
        <is>
          <t>L3</t>
        </is>
      </c>
      <c r="D227" t="n">
        <v>531</v>
      </c>
      <c r="E227" t="n">
        <v>357</v>
      </c>
      <c r="F227" t="n">
        <v>552</v>
      </c>
      <c r="G227" t="n">
        <v>333</v>
      </c>
      <c r="H227">
        <f>SQRT((F227-D227)^2+(G227-E227)^2)</f>
        <v/>
      </c>
      <c r="I227" t="n">
        <v>0.2173913043478261</v>
      </c>
      <c r="J227">
        <f>H227*I227</f>
        <v/>
      </c>
      <c r="M227">
        <f>IF(OR(K227="",L227=""),"",MAX(K227,L227))</f>
        <v/>
      </c>
      <c r="N227" t="n">
        <v>0.5</v>
      </c>
      <c r="O227" t="inlineStr">
        <is>
          <t>是</t>
        </is>
      </c>
      <c r="P227">
        <f>IF(OR(M227="",M227&lt;=18),"PASS","ANGLE_ALERT")</f>
        <v/>
      </c>
      <c r="Q227" t="inlineStr">
        <is>
          <t>样品24</t>
        </is>
      </c>
    </row>
    <row r="228">
      <c r="A228" t="inlineStr">
        <is>
          <t>24(7)-P01</t>
        </is>
      </c>
      <c r="B228" t="inlineStr">
        <is>
          <t>24 (7).tif</t>
        </is>
      </c>
      <c r="C228" t="inlineStr">
        <is>
          <t>L1</t>
        </is>
      </c>
      <c r="D228" t="n">
        <v>475</v>
      </c>
      <c r="E228" t="n">
        <v>380</v>
      </c>
      <c r="F228" t="n">
        <v>531</v>
      </c>
      <c r="G228" t="n">
        <v>334</v>
      </c>
      <c r="H228">
        <f>SQRT((F228-D228)^2+(G228-E228)^2)</f>
        <v/>
      </c>
      <c r="I228" t="n">
        <v>0.2173913043478261</v>
      </c>
      <c r="J228">
        <f>H228*I228</f>
        <v/>
      </c>
      <c r="M228">
        <f>IF(OR(K228="",L228=""),"",MAX(K228,L228))</f>
        <v/>
      </c>
      <c r="N228" t="n">
        <v>0.5</v>
      </c>
      <c r="O228" t="inlineStr">
        <is>
          <t>是</t>
        </is>
      </c>
      <c r="P228">
        <f>IF(OR(M228="",M228&lt;=18),"PASS","ANGLE_ALERT")</f>
        <v/>
      </c>
      <c r="Q228" t="inlineStr">
        <is>
          <t>样品24</t>
        </is>
      </c>
    </row>
    <row r="229">
      <c r="A229" t="inlineStr">
        <is>
          <t>24(8)-P01</t>
        </is>
      </c>
      <c r="B229" t="inlineStr">
        <is>
          <t>24 (8).tif</t>
        </is>
      </c>
      <c r="C229" t="inlineStr">
        <is>
          <t>L1</t>
        </is>
      </c>
      <c r="D229" t="n">
        <v>469</v>
      </c>
      <c r="E229" t="n">
        <v>372</v>
      </c>
      <c r="F229" t="n">
        <v>483</v>
      </c>
      <c r="G229" t="n">
        <v>352</v>
      </c>
      <c r="H229">
        <f>SQRT((F229-D229)^2+(G229-E229)^2)</f>
        <v/>
      </c>
      <c r="I229" t="n">
        <v>0.2173913043478261</v>
      </c>
      <c r="J229">
        <f>H229*I229</f>
        <v/>
      </c>
      <c r="M229">
        <f>IF(OR(K229="",L229=""),"",MAX(K229,L229))</f>
        <v/>
      </c>
      <c r="N229" t="n">
        <v>0.5</v>
      </c>
      <c r="O229" t="inlineStr">
        <is>
          <t>是</t>
        </is>
      </c>
      <c r="P229">
        <f>IF(OR(M229="",M229&lt;=18),"PASS","ANGLE_ALERT")</f>
        <v/>
      </c>
      <c r="Q229" t="inlineStr">
        <is>
          <t>样品24</t>
        </is>
      </c>
    </row>
    <row r="230">
      <c r="A230" t="inlineStr">
        <is>
          <t>24(8)-P01</t>
        </is>
      </c>
      <c r="B230" t="inlineStr">
        <is>
          <t>24 (8).tif</t>
        </is>
      </c>
      <c r="C230" t="inlineStr">
        <is>
          <t>L2</t>
        </is>
      </c>
      <c r="D230" t="n">
        <v>479</v>
      </c>
      <c r="E230" t="n">
        <v>378</v>
      </c>
      <c r="F230" t="n">
        <v>490</v>
      </c>
      <c r="G230" t="n">
        <v>356</v>
      </c>
      <c r="H230">
        <f>SQRT((F230-D230)^2+(G230-E230)^2)</f>
        <v/>
      </c>
      <c r="I230" t="n">
        <v>0.2173913043478261</v>
      </c>
      <c r="J230">
        <f>H230*I230</f>
        <v/>
      </c>
      <c r="M230">
        <f>IF(OR(K230="",L230=""),"",MAX(K230,L230))</f>
        <v/>
      </c>
      <c r="N230" t="n">
        <v>0.5</v>
      </c>
      <c r="O230" t="inlineStr">
        <is>
          <t>是</t>
        </is>
      </c>
      <c r="P230">
        <f>IF(OR(M230="",M230&lt;=18),"PASS","ANGLE_ALERT")</f>
        <v/>
      </c>
      <c r="Q230" t="inlineStr">
        <is>
          <t>样品24</t>
        </is>
      </c>
    </row>
    <row r="231">
      <c r="A231" t="inlineStr">
        <is>
          <t>25(1)-P01</t>
        </is>
      </c>
      <c r="B231" t="inlineStr">
        <is>
          <t>25 (1).tif</t>
        </is>
      </c>
      <c r="C231" t="inlineStr">
        <is>
          <t>L1</t>
        </is>
      </c>
      <c r="D231" t="n">
        <v>466</v>
      </c>
      <c r="E231" t="n">
        <v>329</v>
      </c>
      <c r="F231" t="n">
        <v>450</v>
      </c>
      <c r="G231" t="n">
        <v>320</v>
      </c>
      <c r="H231">
        <f>SQRT((F231-D231)^2+(G231-E231)^2)</f>
        <v/>
      </c>
      <c r="I231" t="n">
        <v>0.2173913043478261</v>
      </c>
      <c r="J231">
        <f>H231*I231</f>
        <v/>
      </c>
      <c r="M231">
        <f>IF(OR(K231="",L231=""),"",MAX(K231,L231))</f>
        <v/>
      </c>
      <c r="N231" t="n">
        <v>0.5</v>
      </c>
      <c r="O231" t="inlineStr">
        <is>
          <t>是</t>
        </is>
      </c>
      <c r="P231">
        <f>IF(OR(M231="",M231&lt;=18),"PASS","ANGLE_ALERT")</f>
        <v/>
      </c>
      <c r="Q231" t="inlineStr">
        <is>
          <t>样品25</t>
        </is>
      </c>
    </row>
    <row r="232">
      <c r="A232" t="inlineStr">
        <is>
          <t>25(4)-P01</t>
        </is>
      </c>
      <c r="B232" t="inlineStr">
        <is>
          <t>25 (4).tif</t>
        </is>
      </c>
      <c r="C232" t="inlineStr">
        <is>
          <t>L1</t>
        </is>
      </c>
      <c r="D232" t="n">
        <v>515</v>
      </c>
      <c r="E232" t="n">
        <v>385</v>
      </c>
      <c r="F232" t="n">
        <v>519</v>
      </c>
      <c r="G232" t="n">
        <v>393</v>
      </c>
      <c r="H232">
        <f>SQRT((F232-D232)^2+(G232-E232)^2)</f>
        <v/>
      </c>
      <c r="I232" t="n">
        <v>0.2173913043478261</v>
      </c>
      <c r="J232">
        <f>H232*I232</f>
        <v/>
      </c>
      <c r="M232">
        <f>IF(OR(K232="",L232=""),"",MAX(K232,L232))</f>
        <v/>
      </c>
      <c r="N232" t="n">
        <v>0.5</v>
      </c>
      <c r="O232" t="inlineStr">
        <is>
          <t>是</t>
        </is>
      </c>
      <c r="P232">
        <f>IF(OR(M232="",M232&lt;=18),"PASS","ANGLE_ALERT")</f>
        <v/>
      </c>
      <c r="Q232" t="inlineStr">
        <is>
          <t>样品25</t>
        </is>
      </c>
    </row>
    <row r="233">
      <c r="A233" t="inlineStr">
        <is>
          <t>25(4)-P01</t>
        </is>
      </c>
      <c r="B233" t="inlineStr">
        <is>
          <t>25 (4).tif</t>
        </is>
      </c>
      <c r="C233" t="inlineStr">
        <is>
          <t>L2</t>
        </is>
      </c>
      <c r="D233" t="n">
        <v>420</v>
      </c>
      <c r="E233" t="n">
        <v>358</v>
      </c>
      <c r="F233" t="n">
        <v>469</v>
      </c>
      <c r="G233" t="n">
        <v>371</v>
      </c>
      <c r="H233">
        <f>SQRT((F233-D233)^2+(G233-E233)^2)</f>
        <v/>
      </c>
      <c r="I233" t="n">
        <v>0.2173913043478261</v>
      </c>
      <c r="J233">
        <f>H233*I233</f>
        <v/>
      </c>
      <c r="M233">
        <f>IF(OR(K233="",L233=""),"",MAX(K233,L233))</f>
        <v/>
      </c>
      <c r="N233" t="n">
        <v>0.5</v>
      </c>
      <c r="O233" t="inlineStr">
        <is>
          <t>是</t>
        </is>
      </c>
      <c r="P233">
        <f>IF(OR(M233="",M233&lt;=18),"PASS","ANGLE_ALERT")</f>
        <v/>
      </c>
      <c r="Q233" t="inlineStr">
        <is>
          <t>样品25</t>
        </is>
      </c>
    </row>
    <row r="234">
      <c r="A234" t="inlineStr">
        <is>
          <t>25(6)-P01</t>
        </is>
      </c>
      <c r="B234" t="inlineStr">
        <is>
          <t>25 (6).tif</t>
        </is>
      </c>
      <c r="C234" t="inlineStr">
        <is>
          <t>L1</t>
        </is>
      </c>
      <c r="D234" t="n">
        <v>494</v>
      </c>
      <c r="E234" t="n">
        <v>374</v>
      </c>
      <c r="F234" t="n">
        <v>494</v>
      </c>
      <c r="G234" t="n">
        <v>374</v>
      </c>
      <c r="H234">
        <f>SQRT((F234-D234)^2+(G234-E234)^2)</f>
        <v/>
      </c>
      <c r="I234" t="n">
        <v>0.2173913043478261</v>
      </c>
      <c r="J234">
        <f>H234*I234</f>
        <v/>
      </c>
      <c r="M234">
        <f>IF(OR(K234="",L234=""),"",MAX(K234,L234))</f>
        <v/>
      </c>
      <c r="N234" t="n">
        <v>0.5</v>
      </c>
      <c r="O234" t="inlineStr">
        <is>
          <t>是</t>
        </is>
      </c>
      <c r="P234">
        <f>IF(OR(M234="",M234&lt;=18),"PASS","ANGLE_ALERT")</f>
        <v/>
      </c>
      <c r="Q234" t="inlineStr">
        <is>
          <t>样品25</t>
        </is>
      </c>
    </row>
    <row r="235">
      <c r="A235" t="inlineStr">
        <is>
          <t>25(7)-P01</t>
        </is>
      </c>
      <c r="B235" t="inlineStr">
        <is>
          <t>25 (7).tif</t>
        </is>
      </c>
      <c r="C235" t="inlineStr">
        <is>
          <t>L1</t>
        </is>
      </c>
      <c r="D235" t="n">
        <v>519</v>
      </c>
      <c r="E235" t="n">
        <v>377</v>
      </c>
      <c r="F235" t="n">
        <v>540</v>
      </c>
      <c r="G235" t="n">
        <v>365</v>
      </c>
      <c r="H235">
        <f>SQRT((F235-D235)^2+(G235-E235)^2)</f>
        <v/>
      </c>
      <c r="I235" t="n">
        <v>0.2173913043478261</v>
      </c>
      <c r="J235">
        <f>H235*I235</f>
        <v/>
      </c>
      <c r="M235">
        <f>IF(OR(K235="",L235=""),"",MAX(K235,L235))</f>
        <v/>
      </c>
      <c r="N235" t="n">
        <v>0.5</v>
      </c>
      <c r="O235" t="inlineStr">
        <is>
          <t>是</t>
        </is>
      </c>
      <c r="P235">
        <f>IF(OR(M235="",M235&lt;=18),"PASS","ANGLE_ALERT")</f>
        <v/>
      </c>
      <c r="Q235" t="inlineStr">
        <is>
          <t>样品25</t>
        </is>
      </c>
    </row>
    <row r="236">
      <c r="A236" t="inlineStr">
        <is>
          <t>26(2)-P01</t>
        </is>
      </c>
      <c r="B236" t="inlineStr">
        <is>
          <t>26 (2).tif</t>
        </is>
      </c>
      <c r="C236" t="inlineStr">
        <is>
          <t>L1</t>
        </is>
      </c>
      <c r="D236" t="n">
        <v>884</v>
      </c>
      <c r="E236" t="n">
        <v>463</v>
      </c>
      <c r="F236" t="n">
        <v>857</v>
      </c>
      <c r="G236" t="n">
        <v>447</v>
      </c>
      <c r="H236">
        <f>SQRT((F236-D236)^2+(G236-E236)^2)</f>
        <v/>
      </c>
      <c r="I236" t="n">
        <v>0.2173913043478261</v>
      </c>
      <c r="J236">
        <f>H236*I236</f>
        <v/>
      </c>
      <c r="M236">
        <f>IF(OR(K236="",L236=""),"",MAX(K236,L236))</f>
        <v/>
      </c>
      <c r="N236" t="n">
        <v>0.5</v>
      </c>
      <c r="O236" t="inlineStr">
        <is>
          <t>是</t>
        </is>
      </c>
      <c r="P236">
        <f>IF(OR(M236="",M236&lt;=18),"PASS","ANGLE_ALERT")</f>
        <v/>
      </c>
      <c r="Q236" t="inlineStr">
        <is>
          <t>样品26</t>
        </is>
      </c>
    </row>
    <row r="237">
      <c r="A237" t="inlineStr">
        <is>
          <t>26(4)-P01</t>
        </is>
      </c>
      <c r="B237" t="inlineStr">
        <is>
          <t>26 (4).tif</t>
        </is>
      </c>
      <c r="C237" t="inlineStr">
        <is>
          <t>L1</t>
        </is>
      </c>
      <c r="D237" t="n">
        <v>327</v>
      </c>
      <c r="E237" t="n">
        <v>580</v>
      </c>
      <c r="F237" t="n">
        <v>328</v>
      </c>
      <c r="G237" t="n">
        <v>584</v>
      </c>
      <c r="H237">
        <f>SQRT((F237-D237)^2+(G237-E237)^2)</f>
        <v/>
      </c>
      <c r="I237" t="n">
        <v>0.2173913043478261</v>
      </c>
      <c r="J237">
        <f>H237*I237</f>
        <v/>
      </c>
      <c r="M237">
        <f>IF(OR(K237="",L237=""),"",MAX(K237,L237))</f>
        <v/>
      </c>
      <c r="N237" t="n">
        <v>0.5</v>
      </c>
      <c r="O237" t="inlineStr">
        <is>
          <t>是</t>
        </is>
      </c>
      <c r="P237">
        <f>IF(OR(M237="",M237&lt;=18),"PASS","ANGLE_ALERT")</f>
        <v/>
      </c>
      <c r="Q237" t="inlineStr">
        <is>
          <t>样品26</t>
        </is>
      </c>
    </row>
    <row r="238">
      <c r="A238" t="inlineStr">
        <is>
          <t>26(4)-P01</t>
        </is>
      </c>
      <c r="B238" t="inlineStr">
        <is>
          <t>26 (4).tif</t>
        </is>
      </c>
      <c r="C238" t="inlineStr">
        <is>
          <t>L2</t>
        </is>
      </c>
      <c r="D238" t="n">
        <v>335</v>
      </c>
      <c r="E238" t="n">
        <v>577</v>
      </c>
      <c r="F238" t="n">
        <v>335</v>
      </c>
      <c r="G238" t="n">
        <v>580</v>
      </c>
      <c r="H238">
        <f>SQRT((F238-D238)^2+(G238-E238)^2)</f>
        <v/>
      </c>
      <c r="I238" t="n">
        <v>0.2173913043478261</v>
      </c>
      <c r="J238">
        <f>H238*I238</f>
        <v/>
      </c>
      <c r="M238">
        <f>IF(OR(K238="",L238=""),"",MAX(K238,L238))</f>
        <v/>
      </c>
      <c r="N238" t="n">
        <v>0.5</v>
      </c>
      <c r="O238" t="inlineStr">
        <is>
          <t>是</t>
        </is>
      </c>
      <c r="P238">
        <f>IF(OR(M238="",M238&lt;=18),"PASS","ANGLE_ALERT")</f>
        <v/>
      </c>
      <c r="Q238" t="inlineStr">
        <is>
          <t>样品26</t>
        </is>
      </c>
    </row>
    <row r="239">
      <c r="A239" t="inlineStr">
        <is>
          <t>26(4)-P01</t>
        </is>
      </c>
      <c r="B239" t="inlineStr">
        <is>
          <t>26 (4).tif</t>
        </is>
      </c>
      <c r="C239" t="inlineStr">
        <is>
          <t>L3</t>
        </is>
      </c>
      <c r="D239" t="n">
        <v>347</v>
      </c>
      <c r="E239" t="n">
        <v>574</v>
      </c>
      <c r="F239" t="n">
        <v>347</v>
      </c>
      <c r="G239" t="n">
        <v>577</v>
      </c>
      <c r="H239">
        <f>SQRT((F239-D239)^2+(G239-E239)^2)</f>
        <v/>
      </c>
      <c r="I239" t="n">
        <v>0.2173913043478261</v>
      </c>
      <c r="J239">
        <f>H239*I239</f>
        <v/>
      </c>
      <c r="M239">
        <f>IF(OR(K239="",L239=""),"",MAX(K239,L239))</f>
        <v/>
      </c>
      <c r="N239" t="n">
        <v>0.5</v>
      </c>
      <c r="O239" t="inlineStr">
        <is>
          <t>是</t>
        </is>
      </c>
      <c r="P239">
        <f>IF(OR(M239="",M239&lt;=18),"PASS","ANGLE_ALERT")</f>
        <v/>
      </c>
      <c r="Q239" t="inlineStr">
        <is>
          <t>样品26</t>
        </is>
      </c>
    </row>
    <row r="240">
      <c r="A240" t="inlineStr">
        <is>
          <t>26(5)-P01</t>
        </is>
      </c>
      <c r="B240" t="inlineStr">
        <is>
          <t>26 (5).tif</t>
        </is>
      </c>
      <c r="C240" t="inlineStr">
        <is>
          <t>L1</t>
        </is>
      </c>
      <c r="D240" t="n">
        <v>538</v>
      </c>
      <c r="E240" t="n">
        <v>390</v>
      </c>
      <c r="F240" t="n">
        <v>534</v>
      </c>
      <c r="G240" t="n">
        <v>413</v>
      </c>
      <c r="H240">
        <f>SQRT((F240-D240)^2+(G240-E240)^2)</f>
        <v/>
      </c>
      <c r="I240" t="n">
        <v>0.2173913043478261</v>
      </c>
      <c r="J240">
        <f>H240*I240</f>
        <v/>
      </c>
      <c r="M240">
        <f>IF(OR(K240="",L240=""),"",MAX(K240,L240))</f>
        <v/>
      </c>
      <c r="N240" t="n">
        <v>0.5</v>
      </c>
      <c r="O240" t="inlineStr">
        <is>
          <t>是</t>
        </is>
      </c>
      <c r="P240">
        <f>IF(OR(M240="",M240&lt;=18),"PASS","ANGLE_ALERT")</f>
        <v/>
      </c>
      <c r="Q240" t="inlineStr">
        <is>
          <t>样品26</t>
        </is>
      </c>
    </row>
    <row r="241">
      <c r="A241" t="inlineStr">
        <is>
          <t>26(6)-P01</t>
        </is>
      </c>
      <c r="B241" t="inlineStr">
        <is>
          <t>26 (6).tif</t>
        </is>
      </c>
      <c r="C241" t="inlineStr">
        <is>
          <t>L1</t>
        </is>
      </c>
      <c r="D241" t="n">
        <v>514</v>
      </c>
      <c r="E241" t="n">
        <v>348</v>
      </c>
      <c r="F241" t="n">
        <v>503</v>
      </c>
      <c r="G241" t="n">
        <v>344</v>
      </c>
      <c r="H241">
        <f>SQRT((F241-D241)^2+(G241-E241)^2)</f>
        <v/>
      </c>
      <c r="I241" t="n">
        <v>0.2173913043478261</v>
      </c>
      <c r="J241">
        <f>H241*I241</f>
        <v/>
      </c>
      <c r="M241">
        <f>IF(OR(K241="",L241=""),"",MAX(K241,L241))</f>
        <v/>
      </c>
      <c r="N241" t="n">
        <v>0.5</v>
      </c>
      <c r="O241" t="inlineStr">
        <is>
          <t>是</t>
        </is>
      </c>
      <c r="P241">
        <f>IF(OR(M241="",M241&lt;=18),"PASS","ANGLE_ALERT")</f>
        <v/>
      </c>
      <c r="Q241" t="inlineStr">
        <is>
          <t>样品26</t>
        </is>
      </c>
    </row>
    <row r="242">
      <c r="A242" t="inlineStr">
        <is>
          <t>26(6)-P01</t>
        </is>
      </c>
      <c r="B242" t="inlineStr">
        <is>
          <t>26 (6).tif</t>
        </is>
      </c>
      <c r="C242" t="inlineStr">
        <is>
          <t>L2</t>
        </is>
      </c>
      <c r="D242" t="n">
        <v>569</v>
      </c>
      <c r="E242" t="n">
        <v>327</v>
      </c>
      <c r="F242" t="n">
        <v>503</v>
      </c>
      <c r="G242" t="n">
        <v>343</v>
      </c>
      <c r="H242">
        <f>SQRT((F242-D242)^2+(G242-E242)^2)</f>
        <v/>
      </c>
      <c r="I242" t="n">
        <v>0.2173913043478261</v>
      </c>
      <c r="J242">
        <f>H242*I242</f>
        <v/>
      </c>
      <c r="M242">
        <f>IF(OR(K242="",L242=""),"",MAX(K242,L242))</f>
        <v/>
      </c>
      <c r="N242" t="n">
        <v>0.5</v>
      </c>
      <c r="O242" t="inlineStr">
        <is>
          <t>是</t>
        </is>
      </c>
      <c r="P242">
        <f>IF(OR(M242="",M242&lt;=18),"PASS","ANGLE_ALERT")</f>
        <v/>
      </c>
      <c r="Q242" t="inlineStr">
        <is>
          <t>样品26</t>
        </is>
      </c>
    </row>
    <row r="243">
      <c r="A243" t="inlineStr">
        <is>
          <t>27(6)-P01</t>
        </is>
      </c>
      <c r="B243" t="inlineStr">
        <is>
          <t>27 (6).tif</t>
        </is>
      </c>
      <c r="C243" t="inlineStr">
        <is>
          <t>L1</t>
        </is>
      </c>
      <c r="D243" t="n">
        <v>511</v>
      </c>
      <c r="E243" t="n">
        <v>367</v>
      </c>
      <c r="F243" t="n">
        <v>527</v>
      </c>
      <c r="G243" t="n">
        <v>400</v>
      </c>
      <c r="H243">
        <f>SQRT((F243-D243)^2+(G243-E243)^2)</f>
        <v/>
      </c>
      <c r="I243" t="n">
        <v>0.2173913043478261</v>
      </c>
      <c r="J243">
        <f>H243*I243</f>
        <v/>
      </c>
      <c r="M243">
        <f>IF(OR(K243="",L243=""),"",MAX(K243,L243))</f>
        <v/>
      </c>
      <c r="N243" t="n">
        <v>0.5</v>
      </c>
      <c r="O243" t="inlineStr">
        <is>
          <t>是</t>
        </is>
      </c>
      <c r="P243">
        <f>IF(OR(M243="",M243&lt;=18),"PASS","ANGLE_ALERT")</f>
        <v/>
      </c>
      <c r="Q243" t="inlineStr">
        <is>
          <t>样品27</t>
        </is>
      </c>
    </row>
    <row r="244">
      <c r="A244" t="inlineStr">
        <is>
          <t>27(6)-P01</t>
        </is>
      </c>
      <c r="B244" t="inlineStr">
        <is>
          <t>27 (6).tif</t>
        </is>
      </c>
      <c r="C244" t="inlineStr">
        <is>
          <t>L2</t>
        </is>
      </c>
      <c r="D244" t="n">
        <v>502</v>
      </c>
      <c r="E244" t="n">
        <v>374</v>
      </c>
      <c r="F244" t="n">
        <v>519</v>
      </c>
      <c r="G244" t="n">
        <v>404</v>
      </c>
      <c r="H244">
        <f>SQRT((F244-D244)^2+(G244-E244)^2)</f>
        <v/>
      </c>
      <c r="I244" t="n">
        <v>0.2173913043478261</v>
      </c>
      <c r="J244">
        <f>H244*I244</f>
        <v/>
      </c>
      <c r="M244">
        <f>IF(OR(K244="",L244=""),"",MAX(K244,L244))</f>
        <v/>
      </c>
      <c r="N244" t="n">
        <v>0.5</v>
      </c>
      <c r="O244" t="inlineStr">
        <is>
          <t>是</t>
        </is>
      </c>
      <c r="P244">
        <f>IF(OR(M244="",M244&lt;=18),"PASS","ANGLE_ALERT")</f>
        <v/>
      </c>
      <c r="Q244" t="inlineStr">
        <is>
          <t>样品27</t>
        </is>
      </c>
    </row>
    <row r="245">
      <c r="A245" t="inlineStr">
        <is>
          <t>27(6)-P01</t>
        </is>
      </c>
      <c r="B245" t="inlineStr">
        <is>
          <t>27 (6).tif</t>
        </is>
      </c>
      <c r="C245" t="inlineStr">
        <is>
          <t>L3</t>
        </is>
      </c>
      <c r="D245" t="n">
        <v>494</v>
      </c>
      <c r="E245" t="n">
        <v>379</v>
      </c>
      <c r="F245" t="n">
        <v>513</v>
      </c>
      <c r="G245" t="n">
        <v>408</v>
      </c>
      <c r="H245">
        <f>SQRT((F245-D245)^2+(G245-E245)^2)</f>
        <v/>
      </c>
      <c r="I245" t="n">
        <v>0.2173913043478261</v>
      </c>
      <c r="J245">
        <f>H245*I245</f>
        <v/>
      </c>
      <c r="M245">
        <f>IF(OR(K245="",L245=""),"",MAX(K245,L245))</f>
        <v/>
      </c>
      <c r="N245" t="n">
        <v>0.5</v>
      </c>
      <c r="O245" t="inlineStr">
        <is>
          <t>是</t>
        </is>
      </c>
      <c r="P245">
        <f>IF(OR(M245="",M245&lt;=18),"PASS","ANGLE_ALERT")</f>
        <v/>
      </c>
      <c r="Q245" t="inlineStr">
        <is>
          <t>样品27</t>
        </is>
      </c>
    </row>
    <row r="246">
      <c r="A246" t="inlineStr">
        <is>
          <t>28(2)-P01</t>
        </is>
      </c>
      <c r="B246" t="inlineStr">
        <is>
          <t>28 (2).tif</t>
        </is>
      </c>
      <c r="C246" t="inlineStr">
        <is>
          <t>L1</t>
        </is>
      </c>
      <c r="D246" t="n">
        <v>473</v>
      </c>
      <c r="E246" t="n">
        <v>366</v>
      </c>
      <c r="F246" t="n">
        <v>458</v>
      </c>
      <c r="G246" t="n">
        <v>333</v>
      </c>
      <c r="H246">
        <f>SQRT((F246-D246)^2+(G246-E246)^2)</f>
        <v/>
      </c>
      <c r="I246" t="n">
        <v>0.2173913043478261</v>
      </c>
      <c r="J246">
        <f>H246*I246</f>
        <v/>
      </c>
      <c r="M246">
        <f>IF(OR(K246="",L246=""),"",MAX(K246,L246))</f>
        <v/>
      </c>
      <c r="N246" t="n">
        <v>0.5</v>
      </c>
      <c r="O246" t="inlineStr">
        <is>
          <t>是</t>
        </is>
      </c>
      <c r="P246">
        <f>IF(OR(M246="",M246&lt;=18),"PASS","ANGLE_ALERT")</f>
        <v/>
      </c>
      <c r="Q246" t="inlineStr">
        <is>
          <t>样品28</t>
        </is>
      </c>
    </row>
    <row r="247">
      <c r="A247" t="inlineStr">
        <is>
          <t>28(3)-P01</t>
        </is>
      </c>
      <c r="B247" t="inlineStr">
        <is>
          <t>28 (3).tif</t>
        </is>
      </c>
      <c r="C247" t="inlineStr">
        <is>
          <t>L1</t>
        </is>
      </c>
      <c r="D247" t="n">
        <v>510</v>
      </c>
      <c r="E247" t="n">
        <v>362</v>
      </c>
      <c r="F247" t="n">
        <v>519</v>
      </c>
      <c r="G247" t="n">
        <v>334</v>
      </c>
      <c r="H247">
        <f>SQRT((F247-D247)^2+(G247-E247)^2)</f>
        <v/>
      </c>
      <c r="I247" t="n">
        <v>0.2173913043478261</v>
      </c>
      <c r="J247">
        <f>H247*I247</f>
        <v/>
      </c>
      <c r="M247">
        <f>IF(OR(K247="",L247=""),"",MAX(K247,L247))</f>
        <v/>
      </c>
      <c r="N247" t="n">
        <v>0.5</v>
      </c>
      <c r="O247" t="inlineStr">
        <is>
          <t>是</t>
        </is>
      </c>
      <c r="P247">
        <f>IF(OR(M247="",M247&lt;=18),"PASS","ANGLE_ALERT")</f>
        <v/>
      </c>
      <c r="Q247" t="inlineStr">
        <is>
          <t>样品28</t>
        </is>
      </c>
    </row>
    <row r="248">
      <c r="A248" t="inlineStr">
        <is>
          <t>28(3)-P01</t>
        </is>
      </c>
      <c r="B248" t="inlineStr">
        <is>
          <t>28 (3).tif</t>
        </is>
      </c>
      <c r="C248" t="inlineStr">
        <is>
          <t>L2</t>
        </is>
      </c>
      <c r="D248" t="n">
        <v>510</v>
      </c>
      <c r="E248" t="n">
        <v>362</v>
      </c>
      <c r="F248" t="n">
        <v>514</v>
      </c>
      <c r="G248" t="n">
        <v>335</v>
      </c>
      <c r="H248">
        <f>SQRT((F248-D248)^2+(G248-E248)^2)</f>
        <v/>
      </c>
      <c r="I248" t="n">
        <v>0.2173913043478261</v>
      </c>
      <c r="J248">
        <f>H248*I248</f>
        <v/>
      </c>
      <c r="M248">
        <f>IF(OR(K248="",L248=""),"",MAX(K248,L248))</f>
        <v/>
      </c>
      <c r="N248" t="n">
        <v>0.5</v>
      </c>
      <c r="O248" t="inlineStr">
        <is>
          <t>是</t>
        </is>
      </c>
      <c r="P248">
        <f>IF(OR(M248="",M248&lt;=18),"PASS","ANGLE_ALERT")</f>
        <v/>
      </c>
      <c r="Q248" t="inlineStr">
        <is>
          <t>样品28</t>
        </is>
      </c>
    </row>
    <row r="249">
      <c r="A249" t="inlineStr">
        <is>
          <t>28(8)-P01</t>
        </is>
      </c>
      <c r="B249" t="inlineStr">
        <is>
          <t>28 (8).tif</t>
        </is>
      </c>
      <c r="C249" t="inlineStr">
        <is>
          <t>L1</t>
        </is>
      </c>
      <c r="D249" t="n">
        <v>497</v>
      </c>
      <c r="E249" t="n">
        <v>395</v>
      </c>
      <c r="F249" t="n">
        <v>520</v>
      </c>
      <c r="G249" t="n">
        <v>377</v>
      </c>
      <c r="H249">
        <f>SQRT((F249-D249)^2+(G249-E249)^2)</f>
        <v/>
      </c>
      <c r="I249" t="n">
        <v>0.2173913043478261</v>
      </c>
      <c r="J249">
        <f>H249*I249</f>
        <v/>
      </c>
      <c r="M249">
        <f>IF(OR(K249="",L249=""),"",MAX(K249,L249))</f>
        <v/>
      </c>
      <c r="N249" t="n">
        <v>0.5</v>
      </c>
      <c r="O249" t="inlineStr">
        <is>
          <t>是</t>
        </is>
      </c>
      <c r="P249">
        <f>IF(OR(M249="",M249&lt;=18),"PASS","ANGLE_ALERT")</f>
        <v/>
      </c>
      <c r="Q249" t="inlineStr">
        <is>
          <t>样品28</t>
        </is>
      </c>
    </row>
    <row r="250">
      <c r="A250" t="inlineStr">
        <is>
          <t>28(8)-P01</t>
        </is>
      </c>
      <c r="B250" t="inlineStr">
        <is>
          <t>28 (8).tif</t>
        </is>
      </c>
      <c r="C250" t="inlineStr">
        <is>
          <t>L2</t>
        </is>
      </c>
      <c r="D250" t="n">
        <v>505</v>
      </c>
      <c r="E250" t="n">
        <v>404</v>
      </c>
      <c r="F250" t="n">
        <v>527</v>
      </c>
      <c r="G250" t="n">
        <v>388</v>
      </c>
      <c r="H250">
        <f>SQRT((F250-D250)^2+(G250-E250)^2)</f>
        <v/>
      </c>
      <c r="I250" t="n">
        <v>0.2173913043478261</v>
      </c>
      <c r="J250">
        <f>H250*I250</f>
        <v/>
      </c>
      <c r="M250">
        <f>IF(OR(K250="",L250=""),"",MAX(K250,L250))</f>
        <v/>
      </c>
      <c r="N250" t="n">
        <v>0.5</v>
      </c>
      <c r="O250" t="inlineStr">
        <is>
          <t>是</t>
        </is>
      </c>
      <c r="P250">
        <f>IF(OR(M250="",M250&lt;=18),"PASS","ANGLE_ALERT")</f>
        <v/>
      </c>
      <c r="Q250" t="inlineStr">
        <is>
          <t>样品28</t>
        </is>
      </c>
    </row>
    <row r="251">
      <c r="A251" t="inlineStr">
        <is>
          <t>28(8)-P01</t>
        </is>
      </c>
      <c r="B251" t="inlineStr">
        <is>
          <t>28 (8).tif</t>
        </is>
      </c>
      <c r="C251" t="inlineStr">
        <is>
          <t>L3</t>
        </is>
      </c>
      <c r="D251" t="n">
        <v>510</v>
      </c>
      <c r="E251" t="n">
        <v>414</v>
      </c>
      <c r="F251" t="n">
        <v>534</v>
      </c>
      <c r="G251" t="n">
        <v>396</v>
      </c>
      <c r="H251">
        <f>SQRT((F251-D251)^2+(G251-E251)^2)</f>
        <v/>
      </c>
      <c r="I251" t="n">
        <v>0.2173913043478261</v>
      </c>
      <c r="J251">
        <f>H251*I251</f>
        <v/>
      </c>
      <c r="M251">
        <f>IF(OR(K251="",L251=""),"",MAX(K251,L251))</f>
        <v/>
      </c>
      <c r="N251" t="n">
        <v>0.5</v>
      </c>
      <c r="O251" t="inlineStr">
        <is>
          <t>是</t>
        </is>
      </c>
      <c r="P251">
        <f>IF(OR(M251="",M251&lt;=18),"PASS","ANGLE_ALERT")</f>
        <v/>
      </c>
      <c r="Q251" t="inlineStr">
        <is>
          <t>样品28</t>
        </is>
      </c>
    </row>
    <row r="252">
      <c r="A252" t="inlineStr">
        <is>
          <t>29(1)-P01</t>
        </is>
      </c>
      <c r="B252" t="inlineStr">
        <is>
          <t>29 (1).tif</t>
        </is>
      </c>
      <c r="C252" t="inlineStr">
        <is>
          <t>L1</t>
        </is>
      </c>
      <c r="D252" t="n">
        <v>484</v>
      </c>
      <c r="E252" t="n">
        <v>350</v>
      </c>
      <c r="F252" t="n">
        <v>505</v>
      </c>
      <c r="G252" t="n">
        <v>339</v>
      </c>
      <c r="H252">
        <f>SQRT((F252-D252)^2+(G252-E252)^2)</f>
        <v/>
      </c>
      <c r="I252" t="n">
        <v>0.2173913043478261</v>
      </c>
      <c r="J252">
        <f>H252*I252</f>
        <v/>
      </c>
      <c r="M252">
        <f>IF(OR(K252="",L252=""),"",MAX(K252,L252))</f>
        <v/>
      </c>
      <c r="N252" t="n">
        <v>0.5</v>
      </c>
      <c r="O252" t="inlineStr">
        <is>
          <t>是</t>
        </is>
      </c>
      <c r="P252">
        <f>IF(OR(M252="",M252&lt;=18),"PASS","ANGLE_ALERT")</f>
        <v/>
      </c>
      <c r="Q252" t="inlineStr">
        <is>
          <t>样品29</t>
        </is>
      </c>
    </row>
    <row r="253">
      <c r="A253" t="inlineStr">
        <is>
          <t>29(1)-P01</t>
        </is>
      </c>
      <c r="B253" t="inlineStr">
        <is>
          <t>29 (1).tif</t>
        </is>
      </c>
      <c r="C253" t="inlineStr">
        <is>
          <t>L2</t>
        </is>
      </c>
      <c r="D253" t="n">
        <v>444</v>
      </c>
      <c r="E253" t="n">
        <v>321</v>
      </c>
      <c r="F253" t="n">
        <v>502</v>
      </c>
      <c r="G253" t="n">
        <v>328</v>
      </c>
      <c r="H253">
        <f>SQRT((F253-D253)^2+(G253-E253)^2)</f>
        <v/>
      </c>
      <c r="I253" t="n">
        <v>0.2173913043478261</v>
      </c>
      <c r="J253">
        <f>H253*I253</f>
        <v/>
      </c>
      <c r="M253">
        <f>IF(OR(K253="",L253=""),"",MAX(K253,L253))</f>
        <v/>
      </c>
      <c r="N253" t="n">
        <v>0.5</v>
      </c>
      <c r="O253" t="inlineStr">
        <is>
          <t>是</t>
        </is>
      </c>
      <c r="P253">
        <f>IF(OR(M253="",M253&lt;=18),"PASS","ANGLE_ALERT")</f>
        <v/>
      </c>
      <c r="Q253" t="inlineStr">
        <is>
          <t>样品29</t>
        </is>
      </c>
    </row>
    <row r="254">
      <c r="A254" t="inlineStr">
        <is>
          <t>29(1)-P01</t>
        </is>
      </c>
      <c r="B254" t="inlineStr">
        <is>
          <t>29 (1).tif</t>
        </is>
      </c>
      <c r="C254" t="inlineStr">
        <is>
          <t>L3</t>
        </is>
      </c>
      <c r="D254" t="n">
        <v>494</v>
      </c>
      <c r="E254" t="n">
        <v>374</v>
      </c>
      <c r="F254" t="n">
        <v>551</v>
      </c>
      <c r="G254" t="n">
        <v>365</v>
      </c>
      <c r="H254">
        <f>SQRT((F254-D254)^2+(G254-E254)^2)</f>
        <v/>
      </c>
      <c r="I254" t="n">
        <v>0.2173913043478261</v>
      </c>
      <c r="J254">
        <f>H254*I254</f>
        <v/>
      </c>
      <c r="M254">
        <f>IF(OR(K254="",L254=""),"",MAX(K254,L254))</f>
        <v/>
      </c>
      <c r="N254" t="n">
        <v>0.5</v>
      </c>
      <c r="O254" t="inlineStr">
        <is>
          <t>是</t>
        </is>
      </c>
      <c r="P254">
        <f>IF(OR(M254="",M254&lt;=18),"PASS","ANGLE_ALERT")</f>
        <v/>
      </c>
      <c r="Q254" t="inlineStr">
        <is>
          <t>样品29</t>
        </is>
      </c>
    </row>
    <row r="255">
      <c r="A255" t="inlineStr">
        <is>
          <t>29(1)-P01</t>
        </is>
      </c>
      <c r="B255" t="inlineStr">
        <is>
          <t>29 (1).tif</t>
        </is>
      </c>
      <c r="C255" t="inlineStr">
        <is>
          <t>L4</t>
        </is>
      </c>
      <c r="D255" t="n">
        <v>487</v>
      </c>
      <c r="E255" t="n">
        <v>356</v>
      </c>
      <c r="F255" t="n">
        <v>508</v>
      </c>
      <c r="G255" t="n">
        <v>345</v>
      </c>
      <c r="H255">
        <f>SQRT((F255-D255)^2+(G255-E255)^2)</f>
        <v/>
      </c>
      <c r="I255" t="n">
        <v>0.2173913043478261</v>
      </c>
      <c r="J255">
        <f>H255*I255</f>
        <v/>
      </c>
      <c r="M255">
        <f>IF(OR(K255="",L255=""),"",MAX(K255,L255))</f>
        <v/>
      </c>
      <c r="N255" t="n">
        <v>0.5</v>
      </c>
      <c r="O255" t="inlineStr">
        <is>
          <t>是</t>
        </is>
      </c>
      <c r="P255">
        <f>IF(OR(M255="",M255&lt;=18),"PASS","ANGLE_ALERT")</f>
        <v/>
      </c>
      <c r="Q255" t="inlineStr">
        <is>
          <t>样品29</t>
        </is>
      </c>
    </row>
    <row r="256">
      <c r="A256" t="inlineStr">
        <is>
          <t>29(1)-P01</t>
        </is>
      </c>
      <c r="B256" t="inlineStr">
        <is>
          <t>29 (1).tif</t>
        </is>
      </c>
      <c r="C256" t="inlineStr">
        <is>
          <t>L5</t>
        </is>
      </c>
      <c r="D256" t="n">
        <v>490</v>
      </c>
      <c r="E256" t="n">
        <v>362</v>
      </c>
      <c r="F256" t="n">
        <v>510</v>
      </c>
      <c r="G256" t="n">
        <v>349</v>
      </c>
      <c r="H256">
        <f>SQRT((F256-D256)^2+(G256-E256)^2)</f>
        <v/>
      </c>
      <c r="I256" t="n">
        <v>0.2173913043478261</v>
      </c>
      <c r="J256">
        <f>H256*I256</f>
        <v/>
      </c>
      <c r="M256">
        <f>IF(OR(K256="",L256=""),"",MAX(K256,L256))</f>
        <v/>
      </c>
      <c r="N256" t="n">
        <v>0.5</v>
      </c>
      <c r="O256" t="inlineStr">
        <is>
          <t>是</t>
        </is>
      </c>
      <c r="P256">
        <f>IF(OR(M256="",M256&lt;=18),"PASS","ANGLE_ALERT")</f>
        <v/>
      </c>
      <c r="Q256" t="inlineStr">
        <is>
          <t>样品29</t>
        </is>
      </c>
    </row>
    <row r="257">
      <c r="A257" t="inlineStr">
        <is>
          <t>29(2)-P01</t>
        </is>
      </c>
      <c r="B257" t="inlineStr">
        <is>
          <t>29 (2).tif</t>
        </is>
      </c>
      <c r="C257" t="inlineStr">
        <is>
          <t>L1</t>
        </is>
      </c>
      <c r="D257" t="n">
        <v>492</v>
      </c>
      <c r="E257" t="n">
        <v>393</v>
      </c>
      <c r="F257" t="n">
        <v>486</v>
      </c>
      <c r="G257" t="n">
        <v>361</v>
      </c>
      <c r="H257">
        <f>SQRT((F257-D257)^2+(G257-E257)^2)</f>
        <v/>
      </c>
      <c r="I257" t="n">
        <v>0.2173913043478261</v>
      </c>
      <c r="J257">
        <f>H257*I257</f>
        <v/>
      </c>
      <c r="M257">
        <f>IF(OR(K257="",L257=""),"",MAX(K257,L257))</f>
        <v/>
      </c>
      <c r="N257" t="n">
        <v>0.5</v>
      </c>
      <c r="O257" t="inlineStr">
        <is>
          <t>是</t>
        </is>
      </c>
      <c r="P257">
        <f>IF(OR(M257="",M257&lt;=18),"PASS","ANGLE_ALERT")</f>
        <v/>
      </c>
      <c r="Q257" t="inlineStr">
        <is>
          <t>样品29</t>
        </is>
      </c>
    </row>
    <row r="258">
      <c r="A258" t="inlineStr">
        <is>
          <t>29(2)-P01</t>
        </is>
      </c>
      <c r="B258" t="inlineStr">
        <is>
          <t>29 (2).tif</t>
        </is>
      </c>
      <c r="C258" t="inlineStr">
        <is>
          <t>L2</t>
        </is>
      </c>
      <c r="D258" t="n">
        <v>514</v>
      </c>
      <c r="E258" t="n">
        <v>390</v>
      </c>
      <c r="F258" t="n">
        <v>537</v>
      </c>
      <c r="G258" t="n">
        <v>337</v>
      </c>
      <c r="H258">
        <f>SQRT((F258-D258)^2+(G258-E258)^2)</f>
        <v/>
      </c>
      <c r="I258" t="n">
        <v>0.2173913043478261</v>
      </c>
      <c r="J258">
        <f>H258*I258</f>
        <v/>
      </c>
      <c r="M258">
        <f>IF(OR(K258="",L258=""),"",MAX(K258,L258))</f>
        <v/>
      </c>
      <c r="N258" t="n">
        <v>0.5</v>
      </c>
      <c r="O258" t="inlineStr">
        <is>
          <t>是</t>
        </is>
      </c>
      <c r="P258">
        <f>IF(OR(M258="",M258&lt;=18),"PASS","ANGLE_ALERT")</f>
        <v/>
      </c>
      <c r="Q258" t="inlineStr">
        <is>
          <t>样品29</t>
        </is>
      </c>
    </row>
    <row r="259">
      <c r="A259" t="inlineStr">
        <is>
          <t>29(5)-P01</t>
        </is>
      </c>
      <c r="B259" t="inlineStr">
        <is>
          <t>29 (5).tif</t>
        </is>
      </c>
      <c r="C259" t="inlineStr">
        <is>
          <t>L1</t>
        </is>
      </c>
      <c r="D259" t="n">
        <v>427</v>
      </c>
      <c r="E259" t="n">
        <v>332</v>
      </c>
      <c r="F259" t="n">
        <v>406</v>
      </c>
      <c r="G259" t="n">
        <v>329</v>
      </c>
      <c r="H259">
        <f>SQRT((F259-D259)^2+(G259-E259)^2)</f>
        <v/>
      </c>
      <c r="I259" t="n">
        <v>0.2173913043478261</v>
      </c>
      <c r="J259">
        <f>H259*I259</f>
        <v/>
      </c>
      <c r="M259">
        <f>IF(OR(K259="",L259=""),"",MAX(K259,L259))</f>
        <v/>
      </c>
      <c r="N259" t="n">
        <v>0.5</v>
      </c>
      <c r="O259" t="inlineStr">
        <is>
          <t>是</t>
        </is>
      </c>
      <c r="P259">
        <f>IF(OR(M259="",M259&lt;=18),"PASS","ANGLE_ALERT")</f>
        <v/>
      </c>
      <c r="Q259" t="inlineStr">
        <is>
          <t>样品29</t>
        </is>
      </c>
    </row>
    <row r="260">
      <c r="A260" t="inlineStr">
        <is>
          <t>29(9)-P01</t>
        </is>
      </c>
      <c r="B260" t="inlineStr">
        <is>
          <t>29 (9).tif</t>
        </is>
      </c>
      <c r="C260" t="inlineStr">
        <is>
          <t>L1</t>
        </is>
      </c>
      <c r="D260" t="n">
        <v>479</v>
      </c>
      <c r="E260" t="n">
        <v>330</v>
      </c>
      <c r="F260" t="n">
        <v>501</v>
      </c>
      <c r="G260" t="n">
        <v>337</v>
      </c>
      <c r="H260">
        <f>SQRT((F260-D260)^2+(G260-E260)^2)</f>
        <v/>
      </c>
      <c r="I260" t="n">
        <v>0.2173913043478261</v>
      </c>
      <c r="J260">
        <f>H260*I260</f>
        <v/>
      </c>
      <c r="M260">
        <f>IF(OR(K260="",L260=""),"",MAX(K260,L260))</f>
        <v/>
      </c>
      <c r="N260" t="n">
        <v>0.5</v>
      </c>
      <c r="O260" t="inlineStr">
        <is>
          <t>是</t>
        </is>
      </c>
      <c r="P260">
        <f>IF(OR(M260="",M260&lt;=18),"PASS","ANGLE_ALERT")</f>
        <v/>
      </c>
      <c r="Q260" t="inlineStr">
        <is>
          <t>样品29</t>
        </is>
      </c>
    </row>
    <row r="261">
      <c r="A261" t="inlineStr">
        <is>
          <t>29(9)-P01</t>
        </is>
      </c>
      <c r="B261" t="inlineStr">
        <is>
          <t>29 (9).tif</t>
        </is>
      </c>
      <c r="C261" t="inlineStr">
        <is>
          <t>L2</t>
        </is>
      </c>
      <c r="D261" t="n">
        <v>477</v>
      </c>
      <c r="E261" t="n">
        <v>339</v>
      </c>
      <c r="F261" t="n">
        <v>498</v>
      </c>
      <c r="G261" t="n">
        <v>342</v>
      </c>
      <c r="H261">
        <f>SQRT((F261-D261)^2+(G261-E261)^2)</f>
        <v/>
      </c>
      <c r="I261" t="n">
        <v>0.2173913043478261</v>
      </c>
      <c r="J261">
        <f>H261*I261</f>
        <v/>
      </c>
      <c r="M261">
        <f>IF(OR(K261="",L261=""),"",MAX(K261,L261))</f>
        <v/>
      </c>
      <c r="N261" t="n">
        <v>0.5</v>
      </c>
      <c r="O261" t="inlineStr">
        <is>
          <t>是</t>
        </is>
      </c>
      <c r="P261">
        <f>IF(OR(M261="",M261&lt;=18),"PASS","ANGLE_ALERT")</f>
        <v/>
      </c>
      <c r="Q261" t="inlineStr">
        <is>
          <t>样品29</t>
        </is>
      </c>
    </row>
    <row r="262">
      <c r="A262" t="inlineStr">
        <is>
          <t>29(9)-P01</t>
        </is>
      </c>
      <c r="B262" t="inlineStr">
        <is>
          <t>29 (9).tif</t>
        </is>
      </c>
      <c r="C262" t="inlineStr">
        <is>
          <t>L3</t>
        </is>
      </c>
      <c r="D262" t="n">
        <v>475</v>
      </c>
      <c r="E262" t="n">
        <v>344</v>
      </c>
      <c r="F262" t="n">
        <v>495</v>
      </c>
      <c r="G262" t="n">
        <v>350</v>
      </c>
      <c r="H262">
        <f>SQRT((F262-D262)^2+(G262-E262)^2)</f>
        <v/>
      </c>
      <c r="I262" t="n">
        <v>0.2173913043478261</v>
      </c>
      <c r="J262">
        <f>H262*I262</f>
        <v/>
      </c>
      <c r="M262">
        <f>IF(OR(K262="",L262=""),"",MAX(K262,L262))</f>
        <v/>
      </c>
      <c r="N262" t="n">
        <v>0.5</v>
      </c>
      <c r="O262" t="inlineStr">
        <is>
          <t>是</t>
        </is>
      </c>
      <c r="P262">
        <f>IF(OR(M262="",M262&lt;=18),"PASS","ANGLE_ALERT")</f>
        <v/>
      </c>
      <c r="Q262" t="inlineStr">
        <is>
          <t>样品29</t>
        </is>
      </c>
    </row>
    <row r="263">
      <c r="A263" t="inlineStr">
        <is>
          <t>30(1)-P01</t>
        </is>
      </c>
      <c r="B263" t="inlineStr">
        <is>
          <t>30 (1).tif</t>
        </is>
      </c>
      <c r="C263" t="inlineStr">
        <is>
          <t>L1</t>
        </is>
      </c>
      <c r="D263" t="n">
        <v>489</v>
      </c>
      <c r="E263" t="n">
        <v>342</v>
      </c>
      <c r="F263" t="n">
        <v>471</v>
      </c>
      <c r="G263" t="n">
        <v>330</v>
      </c>
      <c r="H263">
        <f>SQRT((F263-D263)^2+(G263-E263)^2)</f>
        <v/>
      </c>
      <c r="I263" t="n">
        <v>0.2173913043478261</v>
      </c>
      <c r="J263">
        <f>H263*I263</f>
        <v/>
      </c>
      <c r="M263">
        <f>IF(OR(K263="",L263=""),"",MAX(K263,L263))</f>
        <v/>
      </c>
      <c r="N263" t="n">
        <v>0.5</v>
      </c>
      <c r="O263" t="inlineStr">
        <is>
          <t>是</t>
        </is>
      </c>
      <c r="P263">
        <f>IF(OR(M263="",M263&lt;=18),"PASS","ANGLE_ALERT")</f>
        <v/>
      </c>
      <c r="Q263" t="inlineStr">
        <is>
          <t>样品30</t>
        </is>
      </c>
    </row>
    <row r="264">
      <c r="A264" t="inlineStr">
        <is>
          <t>30(2)-P01</t>
        </is>
      </c>
      <c r="B264" t="inlineStr">
        <is>
          <t>30 (2).tif</t>
        </is>
      </c>
      <c r="C264" t="inlineStr">
        <is>
          <t>L1</t>
        </is>
      </c>
      <c r="D264" t="n">
        <v>505</v>
      </c>
      <c r="E264" t="n">
        <v>401</v>
      </c>
      <c r="F264" t="n">
        <v>484</v>
      </c>
      <c r="G264" t="n">
        <v>385</v>
      </c>
      <c r="H264">
        <f>SQRT((F264-D264)^2+(G264-E264)^2)</f>
        <v/>
      </c>
      <c r="I264" t="n">
        <v>0.2173913043478261</v>
      </c>
      <c r="J264">
        <f>H264*I264</f>
        <v/>
      </c>
      <c r="M264">
        <f>IF(OR(K264="",L264=""),"",MAX(K264,L264))</f>
        <v/>
      </c>
      <c r="N264" t="n">
        <v>0.5</v>
      </c>
      <c r="O264" t="inlineStr">
        <is>
          <t>是</t>
        </is>
      </c>
      <c r="P264">
        <f>IF(OR(M264="",M264&lt;=18),"PASS","ANGLE_ALERT")</f>
        <v/>
      </c>
      <c r="Q264" t="inlineStr">
        <is>
          <t>样品30</t>
        </is>
      </c>
    </row>
    <row r="265">
      <c r="A265" t="inlineStr">
        <is>
          <t>30(4)-P01</t>
        </is>
      </c>
      <c r="B265" t="inlineStr">
        <is>
          <t>30 (4).tif</t>
        </is>
      </c>
      <c r="C265" t="inlineStr">
        <is>
          <t>L1</t>
        </is>
      </c>
      <c r="D265" t="n">
        <v>476</v>
      </c>
      <c r="E265" t="n">
        <v>350</v>
      </c>
      <c r="F265" t="n">
        <v>485</v>
      </c>
      <c r="G265" t="n">
        <v>367</v>
      </c>
      <c r="H265">
        <f>SQRT((F265-D265)^2+(G265-E265)^2)</f>
        <v/>
      </c>
      <c r="I265" t="n">
        <v>0.2173913043478261</v>
      </c>
      <c r="J265">
        <f>H265*I265</f>
        <v/>
      </c>
      <c r="M265">
        <f>IF(OR(K265="",L265=""),"",MAX(K265,L265))</f>
        <v/>
      </c>
      <c r="N265" t="n">
        <v>0.5</v>
      </c>
      <c r="O265" t="inlineStr">
        <is>
          <t>是</t>
        </is>
      </c>
      <c r="P265">
        <f>IF(OR(M265="",M265&lt;=18),"PASS","ANGLE_ALERT")</f>
        <v/>
      </c>
      <c r="Q265" t="inlineStr">
        <is>
          <t>样品30</t>
        </is>
      </c>
    </row>
    <row r="266">
      <c r="A266" t="inlineStr">
        <is>
          <t>30(4)-P01</t>
        </is>
      </c>
      <c r="B266" t="inlineStr">
        <is>
          <t>30 (4).tif</t>
        </is>
      </c>
      <c r="C266" t="inlineStr">
        <is>
          <t>L2</t>
        </is>
      </c>
      <c r="D266" t="n">
        <v>464</v>
      </c>
      <c r="E266" t="n">
        <v>358</v>
      </c>
      <c r="F266" t="n">
        <v>473</v>
      </c>
      <c r="G266" t="n">
        <v>374</v>
      </c>
      <c r="H266">
        <f>SQRT((F266-D266)^2+(G266-E266)^2)</f>
        <v/>
      </c>
      <c r="I266" t="n">
        <v>0.2173913043478261</v>
      </c>
      <c r="J266">
        <f>H266*I266</f>
        <v/>
      </c>
      <c r="M266">
        <f>IF(OR(K266="",L266=""),"",MAX(K266,L266))</f>
        <v/>
      </c>
      <c r="N266" t="n">
        <v>0.5</v>
      </c>
      <c r="O266" t="inlineStr">
        <is>
          <t>是</t>
        </is>
      </c>
      <c r="P266">
        <f>IF(OR(M266="",M266&lt;=18),"PASS","ANGLE_ALERT")</f>
        <v/>
      </c>
      <c r="Q266" t="inlineStr">
        <is>
          <t>样品30</t>
        </is>
      </c>
    </row>
    <row r="267">
      <c r="A267" t="inlineStr">
        <is>
          <t>30(4)-P01</t>
        </is>
      </c>
      <c r="B267" t="inlineStr">
        <is>
          <t>30 (4).tif</t>
        </is>
      </c>
      <c r="C267" t="inlineStr">
        <is>
          <t>L3</t>
        </is>
      </c>
      <c r="D267" t="n">
        <v>454</v>
      </c>
      <c r="E267" t="n">
        <v>362</v>
      </c>
      <c r="F267" t="n">
        <v>466</v>
      </c>
      <c r="G267" t="n">
        <v>380</v>
      </c>
      <c r="H267">
        <f>SQRT((F267-D267)^2+(G267-E267)^2)</f>
        <v/>
      </c>
      <c r="I267" t="n">
        <v>0.2173913043478261</v>
      </c>
      <c r="J267">
        <f>H267*I267</f>
        <v/>
      </c>
      <c r="M267">
        <f>IF(OR(K267="",L267=""),"",MAX(K267,L267))</f>
        <v/>
      </c>
      <c r="N267" t="n">
        <v>0.5</v>
      </c>
      <c r="O267" t="inlineStr">
        <is>
          <t>是</t>
        </is>
      </c>
      <c r="P267">
        <f>IF(OR(M267="",M267&lt;=18),"PASS","ANGLE_ALERT")</f>
        <v/>
      </c>
      <c r="Q267" t="inlineStr">
        <is>
          <t>样品30</t>
        </is>
      </c>
    </row>
    <row r="268">
      <c r="A268" t="inlineStr">
        <is>
          <t>30(6)-P01</t>
        </is>
      </c>
      <c r="B268" t="inlineStr">
        <is>
          <t>30 (6).tif</t>
        </is>
      </c>
      <c r="C268" t="inlineStr">
        <is>
          <t>L1</t>
        </is>
      </c>
      <c r="D268" t="n">
        <v>501</v>
      </c>
      <c r="E268" t="n">
        <v>369</v>
      </c>
      <c r="F268" t="n">
        <v>514</v>
      </c>
      <c r="G268" t="n">
        <v>373</v>
      </c>
      <c r="H268">
        <f>SQRT((F268-D268)^2+(G268-E268)^2)</f>
        <v/>
      </c>
      <c r="I268" t="n">
        <v>0.2173913043478261</v>
      </c>
      <c r="J268">
        <f>H268*I268</f>
        <v/>
      </c>
      <c r="M268">
        <f>IF(OR(K268="",L268=""),"",MAX(K268,L268))</f>
        <v/>
      </c>
      <c r="N268" t="n">
        <v>0.5</v>
      </c>
      <c r="O268" t="inlineStr">
        <is>
          <t>是</t>
        </is>
      </c>
      <c r="P268">
        <f>IF(OR(M268="",M268&lt;=18),"PASS","ANGLE_ALERT")</f>
        <v/>
      </c>
      <c r="Q268" t="inlineStr">
        <is>
          <t>样品30</t>
        </is>
      </c>
    </row>
    <row r="269">
      <c r="A269" t="inlineStr">
        <is>
          <t>30(6)-P01</t>
        </is>
      </c>
      <c r="B269" t="inlineStr">
        <is>
          <t>30 (6).tif</t>
        </is>
      </c>
      <c r="C269" t="inlineStr">
        <is>
          <t>L2</t>
        </is>
      </c>
      <c r="D269" t="n">
        <v>501</v>
      </c>
      <c r="E269" t="n">
        <v>367</v>
      </c>
      <c r="F269" t="n">
        <v>570</v>
      </c>
      <c r="G269" t="n">
        <v>356</v>
      </c>
      <c r="H269">
        <f>SQRT((F269-D269)^2+(G269-E269)^2)</f>
        <v/>
      </c>
      <c r="I269" t="n">
        <v>0.2173913043478261</v>
      </c>
      <c r="J269">
        <f>H269*I269</f>
        <v/>
      </c>
      <c r="M269">
        <f>IF(OR(K269="",L269=""),"",MAX(K269,L269))</f>
        <v/>
      </c>
      <c r="N269" t="n">
        <v>0.5</v>
      </c>
      <c r="O269" t="inlineStr">
        <is>
          <t>是</t>
        </is>
      </c>
      <c r="P269">
        <f>IF(OR(M269="",M269&lt;=18),"PASS","ANGLE_ALERT")</f>
        <v/>
      </c>
      <c r="Q269" t="inlineStr">
        <is>
          <t>样品30</t>
        </is>
      </c>
    </row>
    <row r="270">
      <c r="A270" t="inlineStr">
        <is>
          <t>30(7)-P01</t>
        </is>
      </c>
      <c r="B270" t="inlineStr">
        <is>
          <t>30 (7).tif</t>
        </is>
      </c>
      <c r="C270" t="inlineStr">
        <is>
          <t>L1</t>
        </is>
      </c>
      <c r="D270" t="n">
        <v>515</v>
      </c>
      <c r="E270" t="n">
        <v>355</v>
      </c>
      <c r="F270" t="n">
        <v>585</v>
      </c>
      <c r="G270" t="n">
        <v>336</v>
      </c>
      <c r="H270">
        <f>SQRT((F270-D270)^2+(G270-E270)^2)</f>
        <v/>
      </c>
      <c r="I270" t="n">
        <v>0.2173913043478261</v>
      </c>
      <c r="J270">
        <f>H270*I270</f>
        <v/>
      </c>
      <c r="M270">
        <f>IF(OR(K270="",L270=""),"",MAX(K270,L270))</f>
        <v/>
      </c>
      <c r="N270" t="n">
        <v>0.5</v>
      </c>
      <c r="O270" t="inlineStr">
        <is>
          <t>是</t>
        </is>
      </c>
      <c r="P270">
        <f>IF(OR(M270="",M270&lt;=18),"PASS","ANGLE_ALERT")</f>
        <v/>
      </c>
      <c r="Q270" t="inlineStr">
        <is>
          <t>样品30</t>
        </is>
      </c>
    </row>
    <row r="271">
      <c r="A271" t="inlineStr">
        <is>
          <t>30(7)-P01</t>
        </is>
      </c>
      <c r="B271" t="inlineStr">
        <is>
          <t>30 (7).tif</t>
        </is>
      </c>
      <c r="C271" t="inlineStr">
        <is>
          <t>L2</t>
        </is>
      </c>
      <c r="D271" t="n">
        <v>515</v>
      </c>
      <c r="E271" t="n">
        <v>379</v>
      </c>
      <c r="F271" t="n">
        <v>526</v>
      </c>
      <c r="G271" t="n">
        <v>381</v>
      </c>
      <c r="H271">
        <f>SQRT((F271-D271)^2+(G271-E271)^2)</f>
        <v/>
      </c>
      <c r="I271" t="n">
        <v>0.2173913043478261</v>
      </c>
      <c r="J271">
        <f>H271*I271</f>
        <v/>
      </c>
      <c r="M271">
        <f>IF(OR(K271="",L271=""),"",MAX(K271,L271))</f>
        <v/>
      </c>
      <c r="N271" t="n">
        <v>0.5</v>
      </c>
      <c r="O271" t="inlineStr">
        <is>
          <t>是</t>
        </is>
      </c>
      <c r="P271">
        <f>IF(OR(M271="",M271&lt;=18),"PASS","ANGLE_ALERT")</f>
        <v/>
      </c>
      <c r="Q271" t="inlineStr">
        <is>
          <t>样品30</t>
        </is>
      </c>
    </row>
    <row r="272">
      <c r="A272" t="inlineStr">
        <is>
          <t>30(8)-P01</t>
        </is>
      </c>
      <c r="B272" t="inlineStr">
        <is>
          <t>30 (8).tif</t>
        </is>
      </c>
      <c r="C272" t="inlineStr">
        <is>
          <t>L1</t>
        </is>
      </c>
      <c r="D272" t="n">
        <v>560</v>
      </c>
      <c r="E272" t="n">
        <v>368</v>
      </c>
      <c r="F272" t="n">
        <v>550</v>
      </c>
      <c r="G272" t="n">
        <v>370</v>
      </c>
      <c r="H272">
        <f>SQRT((F272-D272)^2+(G272-E272)^2)</f>
        <v/>
      </c>
      <c r="I272" t="n">
        <v>0.2173913043478261</v>
      </c>
      <c r="J272">
        <f>H272*I272</f>
        <v/>
      </c>
      <c r="M272">
        <f>IF(OR(K272="",L272=""),"",MAX(K272,L272))</f>
        <v/>
      </c>
      <c r="N272" t="n">
        <v>0.5</v>
      </c>
      <c r="O272" t="inlineStr">
        <is>
          <t>是</t>
        </is>
      </c>
      <c r="P272">
        <f>IF(OR(M272="",M272&lt;=18),"PASS","ANGLE_ALERT")</f>
        <v/>
      </c>
      <c r="Q272" t="inlineStr">
        <is>
          <t>样品30</t>
        </is>
      </c>
    </row>
    <row r="273">
      <c r="A273" t="inlineStr">
        <is>
          <t>30(8)-P01</t>
        </is>
      </c>
      <c r="B273" t="inlineStr">
        <is>
          <t>30 (8).tif</t>
        </is>
      </c>
      <c r="C273" t="inlineStr">
        <is>
          <t>L2</t>
        </is>
      </c>
      <c r="D273" t="n">
        <v>556</v>
      </c>
      <c r="E273" t="n">
        <v>358</v>
      </c>
      <c r="F273" t="n">
        <v>552</v>
      </c>
      <c r="G273" t="n">
        <v>361</v>
      </c>
      <c r="H273">
        <f>SQRT((F273-D273)^2+(G273-E273)^2)</f>
        <v/>
      </c>
      <c r="I273" t="n">
        <v>0.2173913043478261</v>
      </c>
      <c r="J273">
        <f>H273*I273</f>
        <v/>
      </c>
      <c r="M273">
        <f>IF(OR(K273="",L273=""),"",MAX(K273,L273))</f>
        <v/>
      </c>
      <c r="N273" t="n">
        <v>0.5</v>
      </c>
      <c r="O273" t="inlineStr">
        <is>
          <t>是</t>
        </is>
      </c>
      <c r="P273">
        <f>IF(OR(M273="",M273&lt;=18),"PASS","ANGLE_ALERT")</f>
        <v/>
      </c>
      <c r="Q273" t="inlineStr">
        <is>
          <t>样品30</t>
        </is>
      </c>
    </row>
    <row r="274">
      <c r="A274" t="inlineStr">
        <is>
          <t>30(9)-P01</t>
        </is>
      </c>
      <c r="B274" t="inlineStr">
        <is>
          <t>30 (9).tif</t>
        </is>
      </c>
      <c r="C274" t="inlineStr">
        <is>
          <t>L1</t>
        </is>
      </c>
      <c r="D274" t="n">
        <v>502</v>
      </c>
      <c r="E274" t="n">
        <v>341</v>
      </c>
      <c r="F274" t="n">
        <v>522</v>
      </c>
      <c r="G274" t="n">
        <v>342</v>
      </c>
      <c r="H274">
        <f>SQRT((F274-D274)^2+(G274-E274)^2)</f>
        <v/>
      </c>
      <c r="I274" t="n">
        <v>0.2173913043478261</v>
      </c>
      <c r="J274">
        <f>H274*I274</f>
        <v/>
      </c>
      <c r="M274">
        <f>IF(OR(K274="",L274=""),"",MAX(K274,L274))</f>
        <v/>
      </c>
      <c r="N274" t="n">
        <v>0.5</v>
      </c>
      <c r="O274" t="inlineStr">
        <is>
          <t>是</t>
        </is>
      </c>
      <c r="P274">
        <f>IF(OR(M274="",M274&lt;=18),"PASS","ANGLE_ALERT")</f>
        <v/>
      </c>
      <c r="Q274" t="inlineStr">
        <is>
          <t>样品30</t>
        </is>
      </c>
    </row>
    <row r="275">
      <c r="A275" t="inlineStr">
        <is>
          <t>30(9)-P01</t>
        </is>
      </c>
      <c r="B275" t="inlineStr">
        <is>
          <t>30 (9).tif</t>
        </is>
      </c>
      <c r="C275" t="inlineStr">
        <is>
          <t>L2</t>
        </is>
      </c>
      <c r="D275" t="n">
        <v>452</v>
      </c>
      <c r="E275" t="n">
        <v>416</v>
      </c>
      <c r="F275" t="n">
        <v>518</v>
      </c>
      <c r="G275" t="n">
        <v>379</v>
      </c>
      <c r="H275">
        <f>SQRT((F275-D275)^2+(G275-E275)^2)</f>
        <v/>
      </c>
      <c r="I275" t="n">
        <v>0.2173913043478261</v>
      </c>
      <c r="J275">
        <f>H275*I275</f>
        <v/>
      </c>
      <c r="M275">
        <f>IF(OR(K275="",L275=""),"",MAX(K275,L275))</f>
        <v/>
      </c>
      <c r="N275" t="n">
        <v>0.5</v>
      </c>
      <c r="O275" t="inlineStr">
        <is>
          <t>是</t>
        </is>
      </c>
      <c r="P275">
        <f>IF(OR(M275="",M275&lt;=18),"PASS","ANGLE_ALERT")</f>
        <v/>
      </c>
      <c r="Q275" t="inlineStr">
        <is>
          <t>样品30</t>
        </is>
      </c>
    </row>
    <row r="276">
      <c r="A276" t="inlineStr">
        <is>
          <t>30(9)-P01</t>
        </is>
      </c>
      <c r="B276" t="inlineStr">
        <is>
          <t>30 (9).tif</t>
        </is>
      </c>
      <c r="C276" t="inlineStr">
        <is>
          <t>L3</t>
        </is>
      </c>
      <c r="D276" t="n">
        <v>501</v>
      </c>
      <c r="E276" t="n">
        <v>336</v>
      </c>
      <c r="F276" t="n">
        <v>575</v>
      </c>
      <c r="G276" t="n">
        <v>311</v>
      </c>
      <c r="H276">
        <f>SQRT((F276-D276)^2+(G276-E276)^2)</f>
        <v/>
      </c>
      <c r="I276" t="n">
        <v>0.2173913043478261</v>
      </c>
      <c r="J276">
        <f>H276*I276</f>
        <v/>
      </c>
      <c r="M276">
        <f>IF(OR(K276="",L276=""),"",MAX(K276,L276))</f>
        <v/>
      </c>
      <c r="N276" t="n">
        <v>0.5</v>
      </c>
      <c r="O276" t="inlineStr">
        <is>
          <t>是</t>
        </is>
      </c>
      <c r="P276">
        <f>IF(OR(M276="",M276&lt;=18),"PASS","ANGLE_ALERT")</f>
        <v/>
      </c>
      <c r="Q276" t="inlineStr">
        <is>
          <t>样品30</t>
        </is>
      </c>
    </row>
    <row r="277">
      <c r="A277" t="inlineStr">
        <is>
          <t>31(1)-P01</t>
        </is>
      </c>
      <c r="B277" t="inlineStr">
        <is>
          <t>31 (1).tif</t>
        </is>
      </c>
      <c r="C277" t="inlineStr">
        <is>
          <t>L1</t>
        </is>
      </c>
      <c r="D277" t="n">
        <v>493</v>
      </c>
      <c r="E277" t="n">
        <v>368</v>
      </c>
      <c r="F277" t="n">
        <v>503</v>
      </c>
      <c r="G277" t="n">
        <v>350</v>
      </c>
      <c r="H277">
        <f>SQRT((F277-D277)^2+(G277-E277)^2)</f>
        <v/>
      </c>
      <c r="I277" t="n">
        <v>0.2173913043478261</v>
      </c>
      <c r="J277">
        <f>H277*I277</f>
        <v/>
      </c>
      <c r="M277">
        <f>IF(OR(K277="",L277=""),"",MAX(K277,L277))</f>
        <v/>
      </c>
      <c r="N277" t="n">
        <v>0.5</v>
      </c>
      <c r="O277" t="inlineStr">
        <is>
          <t>是</t>
        </is>
      </c>
      <c r="P277">
        <f>IF(OR(M277="",M277&lt;=18),"PASS","ANGLE_ALERT")</f>
        <v/>
      </c>
      <c r="Q277" t="inlineStr">
        <is>
          <t>样品31</t>
        </is>
      </c>
    </row>
    <row r="278">
      <c r="A278" t="inlineStr">
        <is>
          <t>31(1)-P01</t>
        </is>
      </c>
      <c r="B278" t="inlineStr">
        <is>
          <t>31 (1).tif</t>
        </is>
      </c>
      <c r="C278" t="inlineStr">
        <is>
          <t>L2</t>
        </is>
      </c>
      <c r="D278" t="n">
        <v>508</v>
      </c>
      <c r="E278" t="n">
        <v>378</v>
      </c>
      <c r="F278" t="n">
        <v>517</v>
      </c>
      <c r="G278" t="n">
        <v>356</v>
      </c>
      <c r="H278">
        <f>SQRT((F278-D278)^2+(G278-E278)^2)</f>
        <v/>
      </c>
      <c r="I278" t="n">
        <v>0.2173913043478261</v>
      </c>
      <c r="J278">
        <f>H278*I278</f>
        <v/>
      </c>
      <c r="M278">
        <f>IF(OR(K278="",L278=""),"",MAX(K278,L278))</f>
        <v/>
      </c>
      <c r="N278" t="n">
        <v>0.5</v>
      </c>
      <c r="O278" t="inlineStr">
        <is>
          <t>是</t>
        </is>
      </c>
      <c r="P278">
        <f>IF(OR(M278="",M278&lt;=18),"PASS","ANGLE_ALERT")</f>
        <v/>
      </c>
      <c r="Q278" t="inlineStr">
        <is>
          <t>样品31</t>
        </is>
      </c>
    </row>
    <row r="279">
      <c r="A279" t="inlineStr">
        <is>
          <t>31(3)-P01</t>
        </is>
      </c>
      <c r="B279" t="inlineStr">
        <is>
          <t>31 (3).tif</t>
        </is>
      </c>
      <c r="C279" t="inlineStr">
        <is>
          <t>L1</t>
        </is>
      </c>
      <c r="D279" t="n">
        <v>499</v>
      </c>
      <c r="E279" t="n">
        <v>423</v>
      </c>
      <c r="F279" t="n">
        <v>462</v>
      </c>
      <c r="G279" t="n">
        <v>407</v>
      </c>
      <c r="H279">
        <f>SQRT((F279-D279)^2+(G279-E279)^2)</f>
        <v/>
      </c>
      <c r="I279" t="n">
        <v>0.2173913043478261</v>
      </c>
      <c r="J279">
        <f>H279*I279</f>
        <v/>
      </c>
      <c r="M279">
        <f>IF(OR(K279="",L279=""),"",MAX(K279,L279))</f>
        <v/>
      </c>
      <c r="N279" t="n">
        <v>0.5</v>
      </c>
      <c r="O279" t="inlineStr">
        <is>
          <t>是</t>
        </is>
      </c>
      <c r="P279">
        <f>IF(OR(M279="",M279&lt;=18),"PASS","ANGLE_ALERT")</f>
        <v/>
      </c>
      <c r="Q279" t="inlineStr">
        <is>
          <t>样品31</t>
        </is>
      </c>
    </row>
    <row r="280">
      <c r="A280" t="inlineStr">
        <is>
          <t>31(5)-P01</t>
        </is>
      </c>
      <c r="B280" t="inlineStr">
        <is>
          <t>31 (5).tif</t>
        </is>
      </c>
      <c r="C280" t="inlineStr">
        <is>
          <t>L1</t>
        </is>
      </c>
      <c r="D280" t="n">
        <v>543</v>
      </c>
      <c r="E280" t="n">
        <v>392</v>
      </c>
      <c r="F280" t="n">
        <v>533</v>
      </c>
      <c r="G280" t="n">
        <v>418</v>
      </c>
      <c r="H280">
        <f>SQRT((F280-D280)^2+(G280-E280)^2)</f>
        <v/>
      </c>
      <c r="I280" t="n">
        <v>0.2173913043478261</v>
      </c>
      <c r="J280">
        <f>H280*I280</f>
        <v/>
      </c>
      <c r="M280">
        <f>IF(OR(K280="",L280=""),"",MAX(K280,L280))</f>
        <v/>
      </c>
      <c r="N280" t="n">
        <v>0.5</v>
      </c>
      <c r="O280" t="inlineStr">
        <is>
          <t>是</t>
        </is>
      </c>
      <c r="P280">
        <f>IF(OR(M280="",M280&lt;=18),"PASS","ANGLE_ALERT")</f>
        <v/>
      </c>
      <c r="Q280" t="inlineStr">
        <is>
          <t>样品31</t>
        </is>
      </c>
    </row>
    <row r="281">
      <c r="A281" t="inlineStr">
        <is>
          <t>31(5)-P01</t>
        </is>
      </c>
      <c r="B281" t="inlineStr">
        <is>
          <t>31 (5).tif</t>
        </is>
      </c>
      <c r="C281" t="inlineStr">
        <is>
          <t>L2</t>
        </is>
      </c>
      <c r="D281" t="n">
        <v>535</v>
      </c>
      <c r="E281" t="n">
        <v>389</v>
      </c>
      <c r="F281" t="n">
        <v>525</v>
      </c>
      <c r="G281" t="n">
        <v>415</v>
      </c>
      <c r="H281">
        <f>SQRT((F281-D281)^2+(G281-E281)^2)</f>
        <v/>
      </c>
      <c r="I281" t="n">
        <v>0.2173913043478261</v>
      </c>
      <c r="J281">
        <f>H281*I281</f>
        <v/>
      </c>
      <c r="M281">
        <f>IF(OR(K281="",L281=""),"",MAX(K281,L281))</f>
        <v/>
      </c>
      <c r="N281" t="n">
        <v>0.5</v>
      </c>
      <c r="O281" t="inlineStr">
        <is>
          <t>是</t>
        </is>
      </c>
      <c r="P281">
        <f>IF(OR(M281="",M281&lt;=18),"PASS","ANGLE_ALERT")</f>
        <v/>
      </c>
      <c r="Q281" t="inlineStr">
        <is>
          <t>样品31</t>
        </is>
      </c>
    </row>
    <row r="282">
      <c r="A282" t="inlineStr">
        <is>
          <t>31(6)-P01</t>
        </is>
      </c>
      <c r="B282" t="inlineStr">
        <is>
          <t>31 (6).tif</t>
        </is>
      </c>
      <c r="C282" t="inlineStr">
        <is>
          <t>L1</t>
        </is>
      </c>
      <c r="D282" t="n">
        <v>496</v>
      </c>
      <c r="E282" t="n">
        <v>367</v>
      </c>
      <c r="F282" t="n">
        <v>509</v>
      </c>
      <c r="G282" t="n">
        <v>379</v>
      </c>
      <c r="H282">
        <f>SQRT((F282-D282)^2+(G282-E282)^2)</f>
        <v/>
      </c>
      <c r="I282" t="n">
        <v>0.2173913043478261</v>
      </c>
      <c r="J282">
        <f>H282*I282</f>
        <v/>
      </c>
      <c r="M282">
        <f>IF(OR(K282="",L282=""),"",MAX(K282,L282))</f>
        <v/>
      </c>
      <c r="N282" t="n">
        <v>0.5</v>
      </c>
      <c r="O282" t="inlineStr">
        <is>
          <t>是</t>
        </is>
      </c>
      <c r="P282">
        <f>IF(OR(M282="",M282&lt;=18),"PASS","ANGLE_ALERT")</f>
        <v/>
      </c>
      <c r="Q282" t="inlineStr">
        <is>
          <t>样品31</t>
        </is>
      </c>
    </row>
    <row r="283">
      <c r="A283" t="inlineStr">
        <is>
          <t>31(6)-P01</t>
        </is>
      </c>
      <c r="B283" t="inlineStr">
        <is>
          <t>31 (6).tif</t>
        </is>
      </c>
      <c r="C283" t="inlineStr">
        <is>
          <t>L2</t>
        </is>
      </c>
      <c r="D283" t="n">
        <v>480</v>
      </c>
      <c r="E283" t="n">
        <v>387</v>
      </c>
      <c r="F283" t="n">
        <v>494</v>
      </c>
      <c r="G283" t="n">
        <v>409</v>
      </c>
      <c r="H283">
        <f>SQRT((F283-D283)^2+(G283-E283)^2)</f>
        <v/>
      </c>
      <c r="I283" t="n">
        <v>0.2173913043478261</v>
      </c>
      <c r="J283">
        <f>H283*I283</f>
        <v/>
      </c>
      <c r="M283">
        <f>IF(OR(K283="",L283=""),"",MAX(K283,L283))</f>
        <v/>
      </c>
      <c r="N283" t="n">
        <v>0.5</v>
      </c>
      <c r="O283" t="inlineStr">
        <is>
          <t>是</t>
        </is>
      </c>
      <c r="P283">
        <f>IF(OR(M283="",M283&lt;=18),"PASS","ANGLE_ALERT")</f>
        <v/>
      </c>
      <c r="Q283" t="inlineStr">
        <is>
          <t>样品31</t>
        </is>
      </c>
    </row>
    <row r="284">
      <c r="A284" t="inlineStr">
        <is>
          <t>31(6)-P01</t>
        </is>
      </c>
      <c r="B284" t="inlineStr">
        <is>
          <t>31 (6).tif</t>
        </is>
      </c>
      <c r="C284" t="inlineStr">
        <is>
          <t>L3</t>
        </is>
      </c>
      <c r="D284" t="n">
        <v>483</v>
      </c>
      <c r="E284" t="n">
        <v>384</v>
      </c>
      <c r="F284" t="n">
        <v>499</v>
      </c>
      <c r="G284" t="n">
        <v>394</v>
      </c>
      <c r="H284">
        <f>SQRT((F284-D284)^2+(G284-E284)^2)</f>
        <v/>
      </c>
      <c r="I284" t="n">
        <v>0.2173913043478261</v>
      </c>
      <c r="J284">
        <f>H284*I284</f>
        <v/>
      </c>
      <c r="M284">
        <f>IF(OR(K284="",L284=""),"",MAX(K284,L284))</f>
        <v/>
      </c>
      <c r="N284" t="n">
        <v>0.5</v>
      </c>
      <c r="O284" t="inlineStr">
        <is>
          <t>是</t>
        </is>
      </c>
      <c r="P284">
        <f>IF(OR(M284="",M284&lt;=18),"PASS","ANGLE_ALERT")</f>
        <v/>
      </c>
      <c r="Q284" t="inlineStr">
        <is>
          <t>样品31</t>
        </is>
      </c>
    </row>
    <row r="285">
      <c r="A285" t="inlineStr">
        <is>
          <t>31(6)-P02</t>
        </is>
      </c>
      <c r="B285" t="inlineStr">
        <is>
          <t>31 (6).tif</t>
        </is>
      </c>
      <c r="C285" t="inlineStr">
        <is>
          <t>L1</t>
        </is>
      </c>
      <c r="D285" t="n">
        <v>857</v>
      </c>
      <c r="E285" t="n">
        <v>124</v>
      </c>
      <c r="F285" t="n">
        <v>862</v>
      </c>
      <c r="G285" t="n">
        <v>140</v>
      </c>
      <c r="H285">
        <f>SQRT((F285-D285)^2+(G285-E285)^2)</f>
        <v/>
      </c>
      <c r="I285" t="n">
        <v>0.2173913043478261</v>
      </c>
      <c r="J285">
        <f>H285*I285</f>
        <v/>
      </c>
      <c r="M285">
        <f>IF(OR(K285="",L285=""),"",MAX(K285,L285))</f>
        <v/>
      </c>
      <c r="N285" t="n">
        <v>0.5</v>
      </c>
      <c r="O285" t="inlineStr">
        <is>
          <t>是</t>
        </is>
      </c>
      <c r="P285">
        <f>IF(OR(M285="",M285&lt;=18),"PASS","ANGLE_ALERT")</f>
        <v/>
      </c>
      <c r="Q285" t="inlineStr">
        <is>
          <t>样品31</t>
        </is>
      </c>
    </row>
    <row r="286">
      <c r="A286" t="inlineStr">
        <is>
          <t>31(7)-P01</t>
        </is>
      </c>
      <c r="B286" t="inlineStr">
        <is>
          <t>31 (7).tif</t>
        </is>
      </c>
      <c r="C286" t="inlineStr">
        <is>
          <t>L1</t>
        </is>
      </c>
      <c r="D286" t="n">
        <v>487</v>
      </c>
      <c r="E286" t="n">
        <v>377</v>
      </c>
      <c r="F286" t="n">
        <v>489</v>
      </c>
      <c r="G286" t="n">
        <v>404</v>
      </c>
      <c r="H286">
        <f>SQRT((F286-D286)^2+(G286-E286)^2)</f>
        <v/>
      </c>
      <c r="I286" t="n">
        <v>0.2173913043478261</v>
      </c>
      <c r="J286">
        <f>H286*I286</f>
        <v/>
      </c>
      <c r="M286">
        <f>IF(OR(K286="",L286=""),"",MAX(K286,L286))</f>
        <v/>
      </c>
      <c r="N286" t="n">
        <v>0.5</v>
      </c>
      <c r="O286" t="inlineStr">
        <is>
          <t>是</t>
        </is>
      </c>
      <c r="P286">
        <f>IF(OR(M286="",M286&lt;=18),"PASS","ANGLE_ALERT")</f>
        <v/>
      </c>
      <c r="Q286" t="inlineStr">
        <is>
          <t>样品31</t>
        </is>
      </c>
    </row>
    <row r="287">
      <c r="A287" t="inlineStr">
        <is>
          <t>31(7)-P01</t>
        </is>
      </c>
      <c r="B287" t="inlineStr">
        <is>
          <t>31 (7).tif</t>
        </is>
      </c>
      <c r="C287" t="inlineStr">
        <is>
          <t>L2</t>
        </is>
      </c>
      <c r="D287" t="n">
        <v>475</v>
      </c>
      <c r="E287" t="n">
        <v>379</v>
      </c>
      <c r="F287" t="n">
        <v>476</v>
      </c>
      <c r="G287" t="n">
        <v>404</v>
      </c>
      <c r="H287">
        <f>SQRT((F287-D287)^2+(G287-E287)^2)</f>
        <v/>
      </c>
      <c r="I287" t="n">
        <v>0.2173913043478261</v>
      </c>
      <c r="J287">
        <f>H287*I287</f>
        <v/>
      </c>
      <c r="M287">
        <f>IF(OR(K287="",L287=""),"",MAX(K287,L287))</f>
        <v/>
      </c>
      <c r="N287" t="n">
        <v>0.5</v>
      </c>
      <c r="O287" t="inlineStr">
        <is>
          <t>是</t>
        </is>
      </c>
      <c r="P287">
        <f>IF(OR(M287="",M287&lt;=18),"PASS","ANGLE_ALERT")</f>
        <v/>
      </c>
      <c r="Q287" t="inlineStr">
        <is>
          <t>样品31</t>
        </is>
      </c>
    </row>
    <row r="288">
      <c r="A288" t="inlineStr">
        <is>
          <t>31(8)-P01</t>
        </is>
      </c>
      <c r="B288" t="inlineStr">
        <is>
          <t>31 (8).tif</t>
        </is>
      </c>
      <c r="C288" t="inlineStr">
        <is>
          <t>L1</t>
        </is>
      </c>
      <c r="D288" t="n">
        <v>484</v>
      </c>
      <c r="E288" t="n">
        <v>431</v>
      </c>
      <c r="F288" t="n">
        <v>493</v>
      </c>
      <c r="G288" t="n">
        <v>409</v>
      </c>
      <c r="H288">
        <f>SQRT((F288-D288)^2+(G288-E288)^2)</f>
        <v/>
      </c>
      <c r="I288" t="n">
        <v>0.2173913043478261</v>
      </c>
      <c r="J288">
        <f>H288*I288</f>
        <v/>
      </c>
      <c r="M288">
        <f>IF(OR(K288="",L288=""),"",MAX(K288,L288))</f>
        <v/>
      </c>
      <c r="N288" t="n">
        <v>0.5</v>
      </c>
      <c r="O288" t="inlineStr">
        <is>
          <t>是</t>
        </is>
      </c>
      <c r="P288">
        <f>IF(OR(M288="",M288&lt;=18),"PASS","ANGLE_ALERT")</f>
        <v/>
      </c>
      <c r="Q288" t="inlineStr">
        <is>
          <t>样品31</t>
        </is>
      </c>
    </row>
    <row r="289">
      <c r="A289" t="inlineStr">
        <is>
          <t>31(8)-P01</t>
        </is>
      </c>
      <c r="B289" t="inlineStr">
        <is>
          <t>31 (8).tif</t>
        </is>
      </c>
      <c r="C289" t="inlineStr">
        <is>
          <t>L2</t>
        </is>
      </c>
      <c r="D289" t="n">
        <v>496</v>
      </c>
      <c r="E289" t="n">
        <v>436</v>
      </c>
      <c r="F289" t="n">
        <v>507</v>
      </c>
      <c r="G289" t="n">
        <v>416</v>
      </c>
      <c r="H289">
        <f>SQRT((F289-D289)^2+(G289-E289)^2)</f>
        <v/>
      </c>
      <c r="I289" t="n">
        <v>0.2173913043478261</v>
      </c>
      <c r="J289">
        <f>H289*I289</f>
        <v/>
      </c>
      <c r="M289">
        <f>IF(OR(K289="",L289=""),"",MAX(K289,L289))</f>
        <v/>
      </c>
      <c r="N289" t="n">
        <v>0.5</v>
      </c>
      <c r="O289" t="inlineStr">
        <is>
          <t>是</t>
        </is>
      </c>
      <c r="P289">
        <f>IF(OR(M289="",M289&lt;=18),"PASS","ANGLE_ALERT")</f>
        <v/>
      </c>
      <c r="Q289" t="inlineStr">
        <is>
          <t>样品31</t>
        </is>
      </c>
    </row>
    <row r="290">
      <c r="A290" t="inlineStr">
        <is>
          <t>31(8)-P01</t>
        </is>
      </c>
      <c r="B290" t="inlineStr">
        <is>
          <t>31 (8).tif</t>
        </is>
      </c>
      <c r="C290" t="inlineStr">
        <is>
          <t>L3</t>
        </is>
      </c>
      <c r="D290" t="n">
        <v>473</v>
      </c>
      <c r="E290" t="n">
        <v>428</v>
      </c>
      <c r="F290" t="n">
        <v>479</v>
      </c>
      <c r="G290" t="n">
        <v>398</v>
      </c>
      <c r="H290">
        <f>SQRT((F290-D290)^2+(G290-E290)^2)</f>
        <v/>
      </c>
      <c r="I290" t="n">
        <v>0.2173913043478261</v>
      </c>
      <c r="J290">
        <f>H290*I290</f>
        <v/>
      </c>
      <c r="M290">
        <f>IF(OR(K290="",L290=""),"",MAX(K290,L290))</f>
        <v/>
      </c>
      <c r="N290" t="n">
        <v>0.5</v>
      </c>
      <c r="O290" t="inlineStr">
        <is>
          <t>是</t>
        </is>
      </c>
      <c r="P290">
        <f>IF(OR(M290="",M290&lt;=18),"PASS","ANGLE_ALERT")</f>
        <v/>
      </c>
      <c r="Q290" t="inlineStr">
        <is>
          <t>样品31</t>
        </is>
      </c>
    </row>
    <row r="291">
      <c r="A291" t="inlineStr">
        <is>
          <t>31(8)-P01</t>
        </is>
      </c>
      <c r="B291" t="inlineStr">
        <is>
          <t>31 (8).tif</t>
        </is>
      </c>
      <c r="C291" t="inlineStr">
        <is>
          <t>L4</t>
        </is>
      </c>
      <c r="D291" t="n">
        <v>506</v>
      </c>
      <c r="E291" t="n">
        <v>443</v>
      </c>
      <c r="F291" t="n">
        <v>519</v>
      </c>
      <c r="G291" t="n">
        <v>421</v>
      </c>
      <c r="H291">
        <f>SQRT((F291-D291)^2+(G291-E291)^2)</f>
        <v/>
      </c>
      <c r="I291" t="n">
        <v>0.2173913043478261</v>
      </c>
      <c r="J291">
        <f>H291*I291</f>
        <v/>
      </c>
      <c r="M291">
        <f>IF(OR(K291="",L291=""),"",MAX(K291,L291))</f>
        <v/>
      </c>
      <c r="N291" t="n">
        <v>0.5</v>
      </c>
      <c r="O291" t="inlineStr">
        <is>
          <t>是</t>
        </is>
      </c>
      <c r="P291">
        <f>IF(OR(M291="",M291&lt;=18),"PASS","ANGLE_ALERT")</f>
        <v/>
      </c>
      <c r="Q291" t="inlineStr">
        <is>
          <t>样品31</t>
        </is>
      </c>
    </row>
    <row r="292">
      <c r="A292" t="inlineStr">
        <is>
          <t>32(1)-P01</t>
        </is>
      </c>
      <c r="B292" t="inlineStr">
        <is>
          <t>32 (1).tif</t>
        </is>
      </c>
      <c r="C292" t="inlineStr">
        <is>
          <t>L1</t>
        </is>
      </c>
      <c r="D292" t="n">
        <v>507</v>
      </c>
      <c r="E292" t="n">
        <v>360</v>
      </c>
      <c r="F292" t="n">
        <v>525</v>
      </c>
      <c r="G292" t="n">
        <v>367</v>
      </c>
      <c r="H292">
        <f>SQRT((F292-D292)^2+(G292-E292)^2)</f>
        <v/>
      </c>
      <c r="I292" t="n">
        <v>0.2173913043478261</v>
      </c>
      <c r="J292">
        <f>H292*I292</f>
        <v/>
      </c>
      <c r="M292">
        <f>IF(OR(K292="",L292=""),"",MAX(K292,L292))</f>
        <v/>
      </c>
      <c r="N292" t="n">
        <v>0.5</v>
      </c>
      <c r="O292" t="inlineStr">
        <is>
          <t>是</t>
        </is>
      </c>
      <c r="P292">
        <f>IF(OR(M292="",M292&lt;=18),"PASS","ANGLE_ALERT")</f>
        <v/>
      </c>
      <c r="Q292" t="inlineStr">
        <is>
          <t>样品32</t>
        </is>
      </c>
    </row>
    <row r="293">
      <c r="A293" t="inlineStr">
        <is>
          <t>32(2)-P01</t>
        </is>
      </c>
      <c r="B293" t="inlineStr">
        <is>
          <t>32 (2).tif</t>
        </is>
      </c>
      <c r="C293" t="inlineStr">
        <is>
          <t>L1</t>
        </is>
      </c>
      <c r="D293" t="n">
        <v>524</v>
      </c>
      <c r="E293" t="n">
        <v>389</v>
      </c>
      <c r="F293" t="n">
        <v>532</v>
      </c>
      <c r="G293" t="n">
        <v>382</v>
      </c>
      <c r="H293">
        <f>SQRT((F293-D293)^2+(G293-E293)^2)</f>
        <v/>
      </c>
      <c r="I293" t="n">
        <v>0.2173913043478261</v>
      </c>
      <c r="J293">
        <f>H293*I293</f>
        <v/>
      </c>
      <c r="M293">
        <f>IF(OR(K293="",L293=""),"",MAX(K293,L293))</f>
        <v/>
      </c>
      <c r="N293" t="n">
        <v>0.5</v>
      </c>
      <c r="O293" t="inlineStr">
        <is>
          <t>是</t>
        </is>
      </c>
      <c r="P293">
        <f>IF(OR(M293="",M293&lt;=18),"PASS","ANGLE_ALERT")</f>
        <v/>
      </c>
      <c r="Q293" t="inlineStr">
        <is>
          <t>样品32</t>
        </is>
      </c>
    </row>
    <row r="294">
      <c r="A294" t="inlineStr">
        <is>
          <t>32(2)-P01</t>
        </is>
      </c>
      <c r="B294" t="inlineStr">
        <is>
          <t>32 (2).tif</t>
        </is>
      </c>
      <c r="C294" t="inlineStr">
        <is>
          <t>L2</t>
        </is>
      </c>
      <c r="D294" t="n">
        <v>479</v>
      </c>
      <c r="E294" t="n">
        <v>363</v>
      </c>
      <c r="F294" t="n">
        <v>524</v>
      </c>
      <c r="G294" t="n">
        <v>362</v>
      </c>
      <c r="H294">
        <f>SQRT((F294-D294)^2+(G294-E294)^2)</f>
        <v/>
      </c>
      <c r="I294" t="n">
        <v>0.2173913043478261</v>
      </c>
      <c r="J294">
        <f>H294*I294</f>
        <v/>
      </c>
      <c r="M294">
        <f>IF(OR(K294="",L294=""),"",MAX(K294,L294))</f>
        <v/>
      </c>
      <c r="N294" t="n">
        <v>0.5</v>
      </c>
      <c r="O294" t="inlineStr">
        <is>
          <t>是</t>
        </is>
      </c>
      <c r="P294">
        <f>IF(OR(M294="",M294&lt;=18),"PASS","ANGLE_ALERT")</f>
        <v/>
      </c>
      <c r="Q294" t="inlineStr">
        <is>
          <t>样品32</t>
        </is>
      </c>
    </row>
    <row r="295">
      <c r="A295" t="inlineStr">
        <is>
          <t>32(2)-P01</t>
        </is>
      </c>
      <c r="B295" t="inlineStr">
        <is>
          <t>32 (2).tif</t>
        </is>
      </c>
      <c r="C295" t="inlineStr">
        <is>
          <t>L3</t>
        </is>
      </c>
      <c r="D295" t="n">
        <v>536</v>
      </c>
      <c r="E295" t="n">
        <v>414</v>
      </c>
      <c r="F295" t="n">
        <v>580</v>
      </c>
      <c r="G295" t="n">
        <v>414</v>
      </c>
      <c r="H295">
        <f>SQRT((F295-D295)^2+(G295-E295)^2)</f>
        <v/>
      </c>
      <c r="I295" t="n">
        <v>0.2173913043478261</v>
      </c>
      <c r="J295">
        <f>H295*I295</f>
        <v/>
      </c>
      <c r="M295">
        <f>IF(OR(K295="",L295=""),"",MAX(K295,L295))</f>
        <v/>
      </c>
      <c r="N295" t="n">
        <v>0.5</v>
      </c>
      <c r="O295" t="inlineStr">
        <is>
          <t>是</t>
        </is>
      </c>
      <c r="P295">
        <f>IF(OR(M295="",M295&lt;=18),"PASS","ANGLE_ALERT")</f>
        <v/>
      </c>
      <c r="Q295" t="inlineStr">
        <is>
          <t>样品32</t>
        </is>
      </c>
    </row>
    <row r="296">
      <c r="A296" t="inlineStr">
        <is>
          <t>32(3)-P01</t>
        </is>
      </c>
      <c r="B296" t="inlineStr">
        <is>
          <t>32 (3).tif</t>
        </is>
      </c>
      <c r="C296" t="inlineStr">
        <is>
          <t>L1</t>
        </is>
      </c>
      <c r="D296" t="n">
        <v>463</v>
      </c>
      <c r="E296" t="n">
        <v>365</v>
      </c>
      <c r="F296" t="n">
        <v>452</v>
      </c>
      <c r="G296" t="n">
        <v>373</v>
      </c>
      <c r="H296">
        <f>SQRT((F296-D296)^2+(G296-E296)^2)</f>
        <v/>
      </c>
      <c r="I296" t="n">
        <v>0.2173913043478261</v>
      </c>
      <c r="J296">
        <f>H296*I296</f>
        <v/>
      </c>
      <c r="M296">
        <f>IF(OR(K296="",L296=""),"",MAX(K296,L296))</f>
        <v/>
      </c>
      <c r="N296" t="n">
        <v>0.5</v>
      </c>
      <c r="O296" t="inlineStr">
        <is>
          <t>是</t>
        </is>
      </c>
      <c r="P296">
        <f>IF(OR(M296="",M296&lt;=18),"PASS","ANGLE_ALERT")</f>
        <v/>
      </c>
      <c r="Q296" t="inlineStr">
        <is>
          <t>样品32</t>
        </is>
      </c>
    </row>
    <row r="297">
      <c r="A297" t="inlineStr">
        <is>
          <t>32(5)-P01</t>
        </is>
      </c>
      <c r="B297" t="inlineStr">
        <is>
          <t>32 (5).tif</t>
        </is>
      </c>
      <c r="C297" t="inlineStr">
        <is>
          <t>L1</t>
        </is>
      </c>
      <c r="D297" t="n">
        <v>864</v>
      </c>
      <c r="E297" t="n">
        <v>435</v>
      </c>
      <c r="F297" t="n">
        <v>864</v>
      </c>
      <c r="G297" t="n">
        <v>435</v>
      </c>
      <c r="H297">
        <f>SQRT((F297-D297)^2+(G297-E297)^2)</f>
        <v/>
      </c>
      <c r="I297" t="n">
        <v>0.2173913043478261</v>
      </c>
      <c r="J297">
        <f>H297*I297</f>
        <v/>
      </c>
      <c r="M297">
        <f>IF(OR(K297="",L297=""),"",MAX(K297,L297))</f>
        <v/>
      </c>
      <c r="N297" t="n">
        <v>0.5</v>
      </c>
      <c r="O297" t="inlineStr">
        <is>
          <t>是</t>
        </is>
      </c>
      <c r="P297">
        <f>IF(OR(M297="",M297&lt;=18),"PASS","ANGLE_ALERT")</f>
        <v/>
      </c>
      <c r="Q297" t="inlineStr">
        <is>
          <t>样品32</t>
        </is>
      </c>
    </row>
    <row r="298">
      <c r="A298" t="inlineStr">
        <is>
          <t>32(6)-P01</t>
        </is>
      </c>
      <c r="B298" t="inlineStr">
        <is>
          <t>32 (6).tif</t>
        </is>
      </c>
      <c r="C298" t="inlineStr">
        <is>
          <t>L1</t>
        </is>
      </c>
      <c r="D298" t="n">
        <v>510</v>
      </c>
      <c r="E298" t="n">
        <v>384</v>
      </c>
      <c r="F298" t="n">
        <v>530</v>
      </c>
      <c r="G298" t="n">
        <v>364</v>
      </c>
      <c r="H298">
        <f>SQRT((F298-D298)^2+(G298-E298)^2)</f>
        <v/>
      </c>
      <c r="I298" t="n">
        <v>0.2173913043478261</v>
      </c>
      <c r="J298">
        <f>H298*I298</f>
        <v/>
      </c>
      <c r="M298">
        <f>IF(OR(K298="",L298=""),"",MAX(K298,L298))</f>
        <v/>
      </c>
      <c r="N298" t="n">
        <v>0.5</v>
      </c>
      <c r="O298" t="inlineStr">
        <is>
          <t>是</t>
        </is>
      </c>
      <c r="P298">
        <f>IF(OR(M298="",M298&lt;=18),"PASS","ANGLE_ALERT")</f>
        <v/>
      </c>
      <c r="Q298" t="inlineStr">
        <is>
          <t>样品32</t>
        </is>
      </c>
    </row>
    <row r="299">
      <c r="A299" t="inlineStr">
        <is>
          <t>32(6)-P01</t>
        </is>
      </c>
      <c r="B299" t="inlineStr">
        <is>
          <t>32 (6).tif</t>
        </is>
      </c>
      <c r="C299" t="inlineStr">
        <is>
          <t>L2</t>
        </is>
      </c>
      <c r="D299" t="n">
        <v>519</v>
      </c>
      <c r="E299" t="n">
        <v>393</v>
      </c>
      <c r="F299" t="n">
        <v>536</v>
      </c>
      <c r="G299" t="n">
        <v>368</v>
      </c>
      <c r="H299">
        <f>SQRT((F299-D299)^2+(G299-E299)^2)</f>
        <v/>
      </c>
      <c r="I299" t="n">
        <v>0.2173913043478261</v>
      </c>
      <c r="J299">
        <f>H299*I299</f>
        <v/>
      </c>
      <c r="M299">
        <f>IF(OR(K299="",L299=""),"",MAX(K299,L299))</f>
        <v/>
      </c>
      <c r="N299" t="n">
        <v>0.5</v>
      </c>
      <c r="O299" t="inlineStr">
        <is>
          <t>是</t>
        </is>
      </c>
      <c r="P299">
        <f>IF(OR(M299="",M299&lt;=18),"PASS","ANGLE_ALERT")</f>
        <v/>
      </c>
      <c r="Q299" t="inlineStr">
        <is>
          <t>样品32</t>
        </is>
      </c>
    </row>
    <row r="300">
      <c r="A300" t="inlineStr">
        <is>
          <t>32(6)-P01</t>
        </is>
      </c>
      <c r="B300" t="inlineStr">
        <is>
          <t>32 (6).tif</t>
        </is>
      </c>
      <c r="C300" t="inlineStr">
        <is>
          <t>L3</t>
        </is>
      </c>
      <c r="D300" t="n">
        <v>527</v>
      </c>
      <c r="E300" t="n">
        <v>404</v>
      </c>
      <c r="F300" t="n">
        <v>562</v>
      </c>
      <c r="G300" t="n">
        <v>376</v>
      </c>
      <c r="H300">
        <f>SQRT((F300-D300)^2+(G300-E300)^2)</f>
        <v/>
      </c>
      <c r="I300" t="n">
        <v>0.2173913043478261</v>
      </c>
      <c r="J300">
        <f>H300*I300</f>
        <v/>
      </c>
      <c r="M300">
        <f>IF(OR(K300="",L300=""),"",MAX(K300,L300))</f>
        <v/>
      </c>
      <c r="N300" t="n">
        <v>0.5</v>
      </c>
      <c r="O300" t="inlineStr">
        <is>
          <t>是</t>
        </is>
      </c>
      <c r="P300">
        <f>IF(OR(M300="",M300&lt;=18),"PASS","ANGLE_ALERT")</f>
        <v/>
      </c>
      <c r="Q300" t="inlineStr">
        <is>
          <t>样品32</t>
        </is>
      </c>
    </row>
    <row r="301">
      <c r="A301" t="inlineStr">
        <is>
          <t>32(8)-P01</t>
        </is>
      </c>
      <c r="B301" t="inlineStr">
        <is>
          <t>32 (8).tif</t>
        </is>
      </c>
      <c r="C301" t="inlineStr">
        <is>
          <t>L1</t>
        </is>
      </c>
      <c r="D301" t="n">
        <v>424</v>
      </c>
      <c r="E301" t="n">
        <v>394</v>
      </c>
      <c r="F301" t="n">
        <v>444</v>
      </c>
      <c r="G301" t="n">
        <v>404</v>
      </c>
      <c r="H301">
        <f>SQRT((F301-D301)^2+(G301-E301)^2)</f>
        <v/>
      </c>
      <c r="I301" t="n">
        <v>0.2173913043478261</v>
      </c>
      <c r="J301">
        <f>H301*I301</f>
        <v/>
      </c>
      <c r="M301">
        <f>IF(OR(K301="",L301=""),"",MAX(K301,L301))</f>
        <v/>
      </c>
      <c r="N301" t="n">
        <v>0.5</v>
      </c>
      <c r="O301" t="inlineStr">
        <is>
          <t>是</t>
        </is>
      </c>
      <c r="P301">
        <f>IF(OR(M301="",M301&lt;=18),"PASS","ANGLE_ALERT")</f>
        <v/>
      </c>
      <c r="Q301" t="inlineStr">
        <is>
          <t>样品32</t>
        </is>
      </c>
    </row>
    <row r="302">
      <c r="A302" t="inlineStr">
        <is>
          <t>32(8)-P01</t>
        </is>
      </c>
      <c r="B302" t="inlineStr">
        <is>
          <t>32 (8).tif</t>
        </is>
      </c>
      <c r="C302" t="inlineStr">
        <is>
          <t>L2</t>
        </is>
      </c>
      <c r="D302" t="n">
        <v>429</v>
      </c>
      <c r="E302" t="n">
        <v>373</v>
      </c>
      <c r="F302" t="n">
        <v>494</v>
      </c>
      <c r="G302" t="n">
        <v>365</v>
      </c>
      <c r="H302">
        <f>SQRT((F302-D302)^2+(G302-E302)^2)</f>
        <v/>
      </c>
      <c r="I302" t="n">
        <v>0.2173913043478261</v>
      </c>
      <c r="J302">
        <f>H302*I302</f>
        <v/>
      </c>
      <c r="M302">
        <f>IF(OR(K302="",L302=""),"",MAX(K302,L302))</f>
        <v/>
      </c>
      <c r="N302" t="n">
        <v>0.5</v>
      </c>
      <c r="O302" t="inlineStr">
        <is>
          <t>是</t>
        </is>
      </c>
      <c r="P302">
        <f>IF(OR(M302="",M302&lt;=18),"PASS","ANGLE_ALERT")</f>
        <v/>
      </c>
      <c r="Q302" t="inlineStr">
        <is>
          <t>样品32</t>
        </is>
      </c>
    </row>
    <row r="303">
      <c r="A303" t="inlineStr">
        <is>
          <t>32(8)-P01</t>
        </is>
      </c>
      <c r="B303" t="inlineStr">
        <is>
          <t>32 (8).tif</t>
        </is>
      </c>
      <c r="C303" t="inlineStr">
        <is>
          <t>L3</t>
        </is>
      </c>
      <c r="D303" t="n">
        <v>416</v>
      </c>
      <c r="E303" t="n">
        <v>409</v>
      </c>
      <c r="F303" t="n">
        <v>439</v>
      </c>
      <c r="G303" t="n">
        <v>417</v>
      </c>
      <c r="H303">
        <f>SQRT((F303-D303)^2+(G303-E303)^2)</f>
        <v/>
      </c>
      <c r="I303" t="n">
        <v>0.2173913043478261</v>
      </c>
      <c r="J303">
        <f>H303*I303</f>
        <v/>
      </c>
      <c r="M303">
        <f>IF(OR(K303="",L303=""),"",MAX(K303,L303))</f>
        <v/>
      </c>
      <c r="N303" t="n">
        <v>0.5</v>
      </c>
      <c r="O303" t="inlineStr">
        <is>
          <t>是</t>
        </is>
      </c>
      <c r="P303">
        <f>IF(OR(M303="",M303&lt;=18),"PASS","ANGLE_ALERT")</f>
        <v/>
      </c>
      <c r="Q303" t="inlineStr">
        <is>
          <t>样品32</t>
        </is>
      </c>
    </row>
    <row r="304">
      <c r="A304" t="inlineStr">
        <is>
          <t>33(1)-P01</t>
        </is>
      </c>
      <c r="B304" t="inlineStr">
        <is>
          <t>33 (1).tif</t>
        </is>
      </c>
      <c r="C304" t="inlineStr">
        <is>
          <t>L1</t>
        </is>
      </c>
      <c r="D304" t="n">
        <v>475</v>
      </c>
      <c r="E304" t="n">
        <v>362</v>
      </c>
      <c r="F304" t="n">
        <v>441</v>
      </c>
      <c r="G304" t="n">
        <v>366</v>
      </c>
      <c r="H304">
        <f>SQRT((F304-D304)^2+(G304-E304)^2)</f>
        <v/>
      </c>
      <c r="I304" t="n">
        <v>0.2173913043478261</v>
      </c>
      <c r="J304">
        <f>H304*I304</f>
        <v/>
      </c>
      <c r="M304">
        <f>IF(OR(K304="",L304=""),"",MAX(K304,L304))</f>
        <v/>
      </c>
      <c r="N304" t="n">
        <v>0.5</v>
      </c>
      <c r="O304" t="inlineStr">
        <is>
          <t>是</t>
        </is>
      </c>
      <c r="P304">
        <f>IF(OR(M304="",M304&lt;=18),"PASS","ANGLE_ALERT")</f>
        <v/>
      </c>
      <c r="Q304" t="inlineStr">
        <is>
          <t>样品33</t>
        </is>
      </c>
    </row>
    <row r="305">
      <c r="A305" t="inlineStr">
        <is>
          <t>33(1)-P01</t>
        </is>
      </c>
      <c r="B305" t="inlineStr">
        <is>
          <t>33 (1).tif</t>
        </is>
      </c>
      <c r="C305" t="inlineStr">
        <is>
          <t>L2</t>
        </is>
      </c>
      <c r="D305" t="n">
        <v>475</v>
      </c>
      <c r="E305" t="n">
        <v>349</v>
      </c>
      <c r="F305" t="n">
        <v>440</v>
      </c>
      <c r="G305" t="n">
        <v>353</v>
      </c>
      <c r="H305">
        <f>SQRT((F305-D305)^2+(G305-E305)^2)</f>
        <v/>
      </c>
      <c r="I305" t="n">
        <v>0.2173913043478261</v>
      </c>
      <c r="J305">
        <f>H305*I305</f>
        <v/>
      </c>
      <c r="M305">
        <f>IF(OR(K305="",L305=""),"",MAX(K305,L305))</f>
        <v/>
      </c>
      <c r="N305" t="n">
        <v>0.5</v>
      </c>
      <c r="O305" t="inlineStr">
        <is>
          <t>是</t>
        </is>
      </c>
      <c r="P305">
        <f>IF(OR(M305="",M305&lt;=18),"PASS","ANGLE_ALERT")</f>
        <v/>
      </c>
      <c r="Q305" t="inlineStr">
        <is>
          <t>样品33</t>
        </is>
      </c>
    </row>
    <row r="306">
      <c r="A306" t="inlineStr">
        <is>
          <t>33(6)-P01</t>
        </is>
      </c>
      <c r="B306" t="inlineStr">
        <is>
          <t>33 (6).tif</t>
        </is>
      </c>
      <c r="C306" t="inlineStr">
        <is>
          <t>L1</t>
        </is>
      </c>
      <c r="D306" t="n">
        <v>611</v>
      </c>
      <c r="E306" t="n">
        <v>148</v>
      </c>
      <c r="F306" t="n">
        <v>585</v>
      </c>
      <c r="G306" t="n">
        <v>145</v>
      </c>
      <c r="H306">
        <f>SQRT((F306-D306)^2+(G306-E306)^2)</f>
        <v/>
      </c>
      <c r="I306" t="n">
        <v>0.2173913043478261</v>
      </c>
      <c r="J306">
        <f>H306*I306</f>
        <v/>
      </c>
      <c r="M306">
        <f>IF(OR(K306="",L306=""),"",MAX(K306,L306))</f>
        <v/>
      </c>
      <c r="N306" t="n">
        <v>0.5</v>
      </c>
      <c r="O306" t="inlineStr">
        <is>
          <t>是</t>
        </is>
      </c>
      <c r="P306">
        <f>IF(OR(M306="",M306&lt;=18),"PASS","ANGLE_ALERT")</f>
        <v/>
      </c>
      <c r="Q306" t="inlineStr">
        <is>
          <t>样品33</t>
        </is>
      </c>
    </row>
    <row r="307">
      <c r="A307" t="inlineStr">
        <is>
          <t>33(6)-P01</t>
        </is>
      </c>
      <c r="B307" t="inlineStr">
        <is>
          <t>33 (6).tif</t>
        </is>
      </c>
      <c r="C307" t="inlineStr">
        <is>
          <t>L2</t>
        </is>
      </c>
      <c r="D307" t="n">
        <v>610</v>
      </c>
      <c r="E307" t="n">
        <v>157</v>
      </c>
      <c r="F307" t="n">
        <v>539</v>
      </c>
      <c r="G307" t="n">
        <v>164</v>
      </c>
      <c r="H307">
        <f>SQRT((F307-D307)^2+(G307-E307)^2)</f>
        <v/>
      </c>
      <c r="I307" t="n">
        <v>0.2173913043478261</v>
      </c>
      <c r="J307">
        <f>H307*I307</f>
        <v/>
      </c>
      <c r="M307">
        <f>IF(OR(K307="",L307=""),"",MAX(K307,L307))</f>
        <v/>
      </c>
      <c r="N307" t="n">
        <v>0.5</v>
      </c>
      <c r="O307" t="inlineStr">
        <is>
          <t>是</t>
        </is>
      </c>
      <c r="P307">
        <f>IF(OR(M307="",M307&lt;=18),"PASS","ANGLE_ALERT")</f>
        <v/>
      </c>
      <c r="Q307" t="inlineStr">
        <is>
          <t>样品33</t>
        </is>
      </c>
    </row>
    <row r="308">
      <c r="A308" t="inlineStr">
        <is>
          <t>33(6)-P01</t>
        </is>
      </c>
      <c r="B308" t="inlineStr">
        <is>
          <t>33 (6).tif</t>
        </is>
      </c>
      <c r="C308" t="inlineStr">
        <is>
          <t>L3</t>
        </is>
      </c>
      <c r="D308" t="n">
        <v>612</v>
      </c>
      <c r="E308" t="n">
        <v>142</v>
      </c>
      <c r="F308" t="n">
        <v>588</v>
      </c>
      <c r="G308" t="n">
        <v>136</v>
      </c>
      <c r="H308">
        <f>SQRT((F308-D308)^2+(G308-E308)^2)</f>
        <v/>
      </c>
      <c r="I308" t="n">
        <v>0.2173913043478261</v>
      </c>
      <c r="J308">
        <f>H308*I308</f>
        <v/>
      </c>
      <c r="M308">
        <f>IF(OR(K308="",L308=""),"",MAX(K308,L308))</f>
        <v/>
      </c>
      <c r="N308" t="n">
        <v>0.5</v>
      </c>
      <c r="O308" t="inlineStr">
        <is>
          <t>是</t>
        </is>
      </c>
      <c r="P308">
        <f>IF(OR(M308="",M308&lt;=18),"PASS","ANGLE_ALERT")</f>
        <v/>
      </c>
      <c r="Q308" t="inlineStr">
        <is>
          <t>样品33</t>
        </is>
      </c>
    </row>
    <row r="309">
      <c r="A309" t="inlineStr">
        <is>
          <t>33(6)-P01</t>
        </is>
      </c>
      <c r="B309" t="inlineStr">
        <is>
          <t>33 (6).tif</t>
        </is>
      </c>
      <c r="C309" t="inlineStr">
        <is>
          <t>L4</t>
        </is>
      </c>
      <c r="D309" t="n">
        <v>614</v>
      </c>
      <c r="E309" t="n">
        <v>135</v>
      </c>
      <c r="F309" t="n">
        <v>589</v>
      </c>
      <c r="G309" t="n">
        <v>129</v>
      </c>
      <c r="H309">
        <f>SQRT((F309-D309)^2+(G309-E309)^2)</f>
        <v/>
      </c>
      <c r="I309" t="n">
        <v>0.2173913043478261</v>
      </c>
      <c r="J309">
        <f>H309*I309</f>
        <v/>
      </c>
      <c r="M309">
        <f>IF(OR(K309="",L309=""),"",MAX(K309,L309))</f>
        <v/>
      </c>
      <c r="N309" t="n">
        <v>0.5</v>
      </c>
      <c r="O309" t="inlineStr">
        <is>
          <t>是</t>
        </is>
      </c>
      <c r="P309">
        <f>IF(OR(M309="",M309&lt;=18),"PASS","ANGLE_ALERT")</f>
        <v/>
      </c>
      <c r="Q309" t="inlineStr">
        <is>
          <t>样品33</t>
        </is>
      </c>
    </row>
    <row r="310">
      <c r="A310" t="inlineStr">
        <is>
          <t>33(7)-P01</t>
        </is>
      </c>
      <c r="B310" t="inlineStr">
        <is>
          <t>33 (7).tif</t>
        </is>
      </c>
      <c r="C310" t="inlineStr">
        <is>
          <t>L1</t>
        </is>
      </c>
      <c r="D310" t="n">
        <v>501</v>
      </c>
      <c r="E310" t="n">
        <v>412</v>
      </c>
      <c r="F310" t="n">
        <v>499</v>
      </c>
      <c r="G310" t="n">
        <v>388</v>
      </c>
      <c r="H310">
        <f>SQRT((F310-D310)^2+(G310-E310)^2)</f>
        <v/>
      </c>
      <c r="I310" t="n">
        <v>0.2173913043478261</v>
      </c>
      <c r="J310">
        <f>H310*I310</f>
        <v/>
      </c>
      <c r="M310">
        <f>IF(OR(K310="",L310=""),"",MAX(K310,L310))</f>
        <v/>
      </c>
      <c r="N310" t="n">
        <v>0.5</v>
      </c>
      <c r="O310" t="inlineStr">
        <is>
          <t>是</t>
        </is>
      </c>
      <c r="P310">
        <f>IF(OR(M310="",M310&lt;=18),"PASS","ANGLE_ALERT")</f>
        <v/>
      </c>
      <c r="Q310" t="inlineStr">
        <is>
          <t>样品33</t>
        </is>
      </c>
    </row>
    <row r="311">
      <c r="A311" t="inlineStr">
        <is>
          <t>33(7)-P01</t>
        </is>
      </c>
      <c r="B311" t="inlineStr">
        <is>
          <t>33 (7).tif</t>
        </is>
      </c>
      <c r="C311" t="inlineStr">
        <is>
          <t>L2</t>
        </is>
      </c>
      <c r="D311" t="n">
        <v>518</v>
      </c>
      <c r="E311" t="n">
        <v>411</v>
      </c>
      <c r="F311" t="n">
        <v>518</v>
      </c>
      <c r="G311" t="n">
        <v>387</v>
      </c>
      <c r="H311">
        <f>SQRT((F311-D311)^2+(G311-E311)^2)</f>
        <v/>
      </c>
      <c r="I311" t="n">
        <v>0.2173913043478261</v>
      </c>
      <c r="J311">
        <f>H311*I311</f>
        <v/>
      </c>
      <c r="M311">
        <f>IF(OR(K311="",L311=""),"",MAX(K311,L311))</f>
        <v/>
      </c>
      <c r="N311" t="n">
        <v>0.5</v>
      </c>
      <c r="O311" t="inlineStr">
        <is>
          <t>是</t>
        </is>
      </c>
      <c r="P311">
        <f>IF(OR(M311="",M311&lt;=18),"PASS","ANGLE_ALERT")</f>
        <v/>
      </c>
      <c r="Q311" t="inlineStr">
        <is>
          <t>样品33</t>
        </is>
      </c>
    </row>
    <row r="312">
      <c r="A312" t="inlineStr">
        <is>
          <t>34(2)-P01</t>
        </is>
      </c>
      <c r="B312" t="inlineStr">
        <is>
          <t>34 (2).tif</t>
        </is>
      </c>
      <c r="C312" t="inlineStr">
        <is>
          <t>L1</t>
        </is>
      </c>
      <c r="D312" t="n">
        <v>487</v>
      </c>
      <c r="E312" t="n">
        <v>388</v>
      </c>
      <c r="F312" t="n">
        <v>489</v>
      </c>
      <c r="G312" t="n">
        <v>349</v>
      </c>
      <c r="H312">
        <f>SQRT((F312-D312)^2+(G312-E312)^2)</f>
        <v/>
      </c>
      <c r="I312" t="n">
        <v>0.2173913043478261</v>
      </c>
      <c r="J312">
        <f>H312*I312</f>
        <v/>
      </c>
      <c r="M312">
        <f>IF(OR(K312="",L312=""),"",MAX(K312,L312))</f>
        <v/>
      </c>
      <c r="N312" t="n">
        <v>0.5</v>
      </c>
      <c r="O312" t="inlineStr">
        <is>
          <t>是</t>
        </is>
      </c>
      <c r="P312">
        <f>IF(OR(M312="",M312&lt;=18),"PASS","ANGLE_ALERT")</f>
        <v/>
      </c>
      <c r="Q312" t="inlineStr">
        <is>
          <t>样品34</t>
        </is>
      </c>
    </row>
    <row r="313">
      <c r="A313" t="inlineStr">
        <is>
          <t>34(2)-P01</t>
        </is>
      </c>
      <c r="B313" t="inlineStr">
        <is>
          <t>34 (2).tif</t>
        </is>
      </c>
      <c r="C313" t="inlineStr">
        <is>
          <t>L2</t>
        </is>
      </c>
      <c r="D313" t="n">
        <v>499</v>
      </c>
      <c r="E313" t="n">
        <v>388</v>
      </c>
      <c r="F313" t="n">
        <v>496</v>
      </c>
      <c r="G313" t="n">
        <v>349</v>
      </c>
      <c r="H313">
        <f>SQRT((F313-D313)^2+(G313-E313)^2)</f>
        <v/>
      </c>
      <c r="I313" t="n">
        <v>0.2173913043478261</v>
      </c>
      <c r="J313">
        <f>H313*I313</f>
        <v/>
      </c>
      <c r="M313">
        <f>IF(OR(K313="",L313=""),"",MAX(K313,L313))</f>
        <v/>
      </c>
      <c r="N313" t="n">
        <v>0.5</v>
      </c>
      <c r="O313" t="inlineStr">
        <is>
          <t>是</t>
        </is>
      </c>
      <c r="P313">
        <f>IF(OR(M313="",M313&lt;=18),"PASS","ANGLE_ALERT")</f>
        <v/>
      </c>
      <c r="Q313" t="inlineStr">
        <is>
          <t>样品34</t>
        </is>
      </c>
    </row>
    <row r="314">
      <c r="A314" t="inlineStr">
        <is>
          <t>34(5)-P01</t>
        </is>
      </c>
      <c r="B314" t="inlineStr">
        <is>
          <t>34 (5).tif</t>
        </is>
      </c>
      <c r="C314" t="inlineStr">
        <is>
          <t>L1</t>
        </is>
      </c>
      <c r="D314" t="n">
        <v>502</v>
      </c>
      <c r="E314" t="n">
        <v>347</v>
      </c>
      <c r="F314" t="n">
        <v>531</v>
      </c>
      <c r="G314" t="n">
        <v>337</v>
      </c>
      <c r="H314">
        <f>SQRT((F314-D314)^2+(G314-E314)^2)</f>
        <v/>
      </c>
      <c r="I314" t="n">
        <v>0.2173913043478261</v>
      </c>
      <c r="J314">
        <f>H314*I314</f>
        <v/>
      </c>
      <c r="M314">
        <f>IF(OR(K314="",L314=""),"",MAX(K314,L314))</f>
        <v/>
      </c>
      <c r="N314" t="n">
        <v>0.5</v>
      </c>
      <c r="O314" t="inlineStr">
        <is>
          <t>是</t>
        </is>
      </c>
      <c r="P314">
        <f>IF(OR(M314="",M314&lt;=18),"PASS","ANGLE_ALERT")</f>
        <v/>
      </c>
      <c r="Q314" t="inlineStr">
        <is>
          <t>样品34</t>
        </is>
      </c>
    </row>
    <row r="315">
      <c r="A315" t="inlineStr">
        <is>
          <t>34(6)-P01</t>
        </is>
      </c>
      <c r="B315" t="inlineStr">
        <is>
          <t>34 (6).tif</t>
        </is>
      </c>
      <c r="C315" t="inlineStr">
        <is>
          <t>L1</t>
        </is>
      </c>
      <c r="D315" t="n">
        <v>453</v>
      </c>
      <c r="E315" t="n">
        <v>346</v>
      </c>
      <c r="F315" t="n">
        <v>483</v>
      </c>
      <c r="G315" t="n">
        <v>336</v>
      </c>
      <c r="H315">
        <f>SQRT((F315-D315)^2+(G315-E315)^2)</f>
        <v/>
      </c>
      <c r="I315" t="n">
        <v>0.2173913043478261</v>
      </c>
      <c r="J315">
        <f>H315*I315</f>
        <v/>
      </c>
      <c r="M315">
        <f>IF(OR(K315="",L315=""),"",MAX(K315,L315))</f>
        <v/>
      </c>
      <c r="N315" t="n">
        <v>0.5</v>
      </c>
      <c r="O315" t="inlineStr">
        <is>
          <t>是</t>
        </is>
      </c>
      <c r="P315">
        <f>IF(OR(M315="",M315&lt;=18),"PASS","ANGLE_ALERT")</f>
        <v/>
      </c>
      <c r="Q315" t="inlineStr">
        <is>
          <t>样品34</t>
        </is>
      </c>
    </row>
    <row r="316">
      <c r="A316" t="inlineStr">
        <is>
          <t>34(6)-P01</t>
        </is>
      </c>
      <c r="B316" t="inlineStr">
        <is>
          <t>34 (6).tif</t>
        </is>
      </c>
      <c r="C316" t="inlineStr">
        <is>
          <t>L2</t>
        </is>
      </c>
      <c r="D316" t="n">
        <v>458</v>
      </c>
      <c r="E316" t="n">
        <v>363</v>
      </c>
      <c r="F316" t="n">
        <v>488</v>
      </c>
      <c r="G316" t="n">
        <v>351</v>
      </c>
      <c r="H316">
        <f>SQRT((F316-D316)^2+(G316-E316)^2)</f>
        <v/>
      </c>
      <c r="I316" t="n">
        <v>0.2173913043478261</v>
      </c>
      <c r="J316">
        <f>H316*I316</f>
        <v/>
      </c>
      <c r="M316">
        <f>IF(OR(K316="",L316=""),"",MAX(K316,L316))</f>
        <v/>
      </c>
      <c r="N316" t="n">
        <v>0.5</v>
      </c>
      <c r="O316" t="inlineStr">
        <is>
          <t>是</t>
        </is>
      </c>
      <c r="P316">
        <f>IF(OR(M316="",M316&lt;=18),"PASS","ANGLE_ALERT")</f>
        <v/>
      </c>
      <c r="Q316" t="inlineStr">
        <is>
          <t>样品34</t>
        </is>
      </c>
    </row>
    <row r="317">
      <c r="A317" t="inlineStr">
        <is>
          <t>34(7)-P01</t>
        </is>
      </c>
      <c r="B317" t="inlineStr">
        <is>
          <t>34 (7).tif</t>
        </is>
      </c>
      <c r="C317" t="inlineStr">
        <is>
          <t>L1</t>
        </is>
      </c>
      <c r="D317" t="n">
        <v>467</v>
      </c>
      <c r="E317" t="n">
        <v>348</v>
      </c>
      <c r="F317" t="n">
        <v>441</v>
      </c>
      <c r="G317" t="n">
        <v>344</v>
      </c>
      <c r="H317">
        <f>SQRT((F317-D317)^2+(G317-E317)^2)</f>
        <v/>
      </c>
      <c r="I317" t="n">
        <v>0.2173913043478261</v>
      </c>
      <c r="J317">
        <f>H317*I317</f>
        <v/>
      </c>
      <c r="M317">
        <f>IF(OR(K317="",L317=""),"",MAX(K317,L317))</f>
        <v/>
      </c>
      <c r="N317" t="n">
        <v>0.5</v>
      </c>
      <c r="O317" t="inlineStr">
        <is>
          <t>是</t>
        </is>
      </c>
      <c r="P317">
        <f>IF(OR(M317="",M317&lt;=18),"PASS","ANGLE_ALERT")</f>
        <v/>
      </c>
      <c r="Q317" t="inlineStr">
        <is>
          <t>样品34</t>
        </is>
      </c>
    </row>
    <row r="318">
      <c r="A318" t="inlineStr">
        <is>
          <t>34(7)-P01</t>
        </is>
      </c>
      <c r="B318" t="inlineStr">
        <is>
          <t>34 (7).tif</t>
        </is>
      </c>
      <c r="C318" t="inlineStr">
        <is>
          <t>L2</t>
        </is>
      </c>
      <c r="D318" t="n">
        <v>468</v>
      </c>
      <c r="E318" t="n">
        <v>342</v>
      </c>
      <c r="F318" t="n">
        <v>445</v>
      </c>
      <c r="G318" t="n">
        <v>333</v>
      </c>
      <c r="H318">
        <f>SQRT((F318-D318)^2+(G318-E318)^2)</f>
        <v/>
      </c>
      <c r="I318" t="n">
        <v>0.2173913043478261</v>
      </c>
      <c r="J318">
        <f>H318*I318</f>
        <v/>
      </c>
      <c r="M318">
        <f>IF(OR(K318="",L318=""),"",MAX(K318,L318))</f>
        <v/>
      </c>
      <c r="N318" t="n">
        <v>0.5</v>
      </c>
      <c r="O318" t="inlineStr">
        <is>
          <t>是</t>
        </is>
      </c>
      <c r="P318">
        <f>IF(OR(M318="",M318&lt;=18),"PASS","ANGLE_ALERT")</f>
        <v/>
      </c>
      <c r="Q318" t="inlineStr">
        <is>
          <t>样品34</t>
        </is>
      </c>
    </row>
    <row r="319">
      <c r="A319" t="inlineStr">
        <is>
          <t>34(7)-P01</t>
        </is>
      </c>
      <c r="B319" t="inlineStr">
        <is>
          <t>34 (7).tif</t>
        </is>
      </c>
      <c r="C319" t="inlineStr">
        <is>
          <t>L3</t>
        </is>
      </c>
      <c r="D319" t="n">
        <v>472</v>
      </c>
      <c r="E319" t="n">
        <v>330</v>
      </c>
      <c r="F319" t="n">
        <v>447</v>
      </c>
      <c r="G319" t="n">
        <v>325</v>
      </c>
      <c r="H319">
        <f>SQRT((F319-D319)^2+(G319-E319)^2)</f>
        <v/>
      </c>
      <c r="I319" t="n">
        <v>0.2173913043478261</v>
      </c>
      <c r="J319">
        <f>H319*I319</f>
        <v/>
      </c>
      <c r="M319">
        <f>IF(OR(K319="",L319=""),"",MAX(K319,L319))</f>
        <v/>
      </c>
      <c r="N319" t="n">
        <v>0.5</v>
      </c>
      <c r="O319" t="inlineStr">
        <is>
          <t>是</t>
        </is>
      </c>
      <c r="P319">
        <f>IF(OR(M319="",M319&lt;=18),"PASS","ANGLE_ALERT")</f>
        <v/>
      </c>
      <c r="Q319" t="inlineStr">
        <is>
          <t>样品34</t>
        </is>
      </c>
    </row>
    <row r="320">
      <c r="A320" t="inlineStr">
        <is>
          <t>34(8)-P01</t>
        </is>
      </c>
      <c r="B320" t="inlineStr">
        <is>
          <t>34 (8).tif</t>
        </is>
      </c>
      <c r="C320" t="inlineStr">
        <is>
          <t>L1</t>
        </is>
      </c>
      <c r="D320" t="n">
        <v>531</v>
      </c>
      <c r="E320" t="n">
        <v>368</v>
      </c>
      <c r="F320" t="n">
        <v>542</v>
      </c>
      <c r="G320" t="n">
        <v>384</v>
      </c>
      <c r="H320">
        <f>SQRT((F320-D320)^2+(G320-E320)^2)</f>
        <v/>
      </c>
      <c r="I320" t="n">
        <v>0.2173913043478261</v>
      </c>
      <c r="J320">
        <f>H320*I320</f>
        <v/>
      </c>
      <c r="M320">
        <f>IF(OR(K320="",L320=""),"",MAX(K320,L320))</f>
        <v/>
      </c>
      <c r="N320" t="n">
        <v>0.5</v>
      </c>
      <c r="O320" t="inlineStr">
        <is>
          <t>是</t>
        </is>
      </c>
      <c r="P320">
        <f>IF(OR(M320="",M320&lt;=18),"PASS","ANGLE_ALERT")</f>
        <v/>
      </c>
      <c r="Q320" t="inlineStr">
        <is>
          <t>样品34</t>
        </is>
      </c>
    </row>
    <row r="321">
      <c r="A321" t="inlineStr">
        <is>
          <t>35(2)-P01</t>
        </is>
      </c>
      <c r="B321" t="inlineStr">
        <is>
          <t>35 (2).tif</t>
        </is>
      </c>
      <c r="C321" t="inlineStr">
        <is>
          <t>L1</t>
        </is>
      </c>
      <c r="D321" t="n">
        <v>468</v>
      </c>
      <c r="E321" t="n">
        <v>362</v>
      </c>
      <c r="F321" t="n">
        <v>485</v>
      </c>
      <c r="G321" t="n">
        <v>364</v>
      </c>
      <c r="H321">
        <f>SQRT((F321-D321)^2+(G321-E321)^2)</f>
        <v/>
      </c>
      <c r="I321" t="n">
        <v>0.2173913043478261</v>
      </c>
      <c r="J321">
        <f>H321*I321</f>
        <v/>
      </c>
      <c r="M321">
        <f>IF(OR(K321="",L321=""),"",MAX(K321,L321))</f>
        <v/>
      </c>
      <c r="N321" t="n">
        <v>0.5</v>
      </c>
      <c r="O321" t="inlineStr">
        <is>
          <t>是</t>
        </is>
      </c>
      <c r="P321">
        <f>IF(OR(M321="",M321&lt;=18),"PASS","ANGLE_ALERT")</f>
        <v/>
      </c>
      <c r="Q321" t="inlineStr">
        <is>
          <t>样品35</t>
        </is>
      </c>
    </row>
    <row r="322">
      <c r="A322" t="inlineStr">
        <is>
          <t>35(2)-P01</t>
        </is>
      </c>
      <c r="B322" t="inlineStr">
        <is>
          <t>35 (2).tif</t>
        </is>
      </c>
      <c r="C322" t="inlineStr">
        <is>
          <t>L2</t>
        </is>
      </c>
      <c r="D322" t="n">
        <v>467</v>
      </c>
      <c r="E322" t="n">
        <v>369</v>
      </c>
      <c r="F322" t="n">
        <v>484</v>
      </c>
      <c r="G322" t="n">
        <v>373</v>
      </c>
      <c r="H322">
        <f>SQRT((F322-D322)^2+(G322-E322)^2)</f>
        <v/>
      </c>
      <c r="I322" t="n">
        <v>0.2173913043478261</v>
      </c>
      <c r="J322">
        <f>H322*I322</f>
        <v/>
      </c>
      <c r="M322">
        <f>IF(OR(K322="",L322=""),"",MAX(K322,L322))</f>
        <v/>
      </c>
      <c r="N322" t="n">
        <v>0.5</v>
      </c>
      <c r="O322" t="inlineStr">
        <is>
          <t>是</t>
        </is>
      </c>
      <c r="P322">
        <f>IF(OR(M322="",M322&lt;=18),"PASS","ANGLE_ALERT")</f>
        <v/>
      </c>
      <c r="Q322" t="inlineStr">
        <is>
          <t>样品35</t>
        </is>
      </c>
    </row>
    <row r="323">
      <c r="A323" t="inlineStr">
        <is>
          <t>35(3)-P01</t>
        </is>
      </c>
      <c r="B323" t="inlineStr">
        <is>
          <t>35 (3).tif</t>
        </is>
      </c>
      <c r="C323" t="inlineStr">
        <is>
          <t>L1</t>
        </is>
      </c>
      <c r="D323" t="n">
        <v>361</v>
      </c>
      <c r="E323" t="n">
        <v>393</v>
      </c>
      <c r="F323" t="n">
        <v>348</v>
      </c>
      <c r="G323" t="n">
        <v>396</v>
      </c>
      <c r="H323">
        <f>SQRT((F323-D323)^2+(G323-E323)^2)</f>
        <v/>
      </c>
      <c r="I323" t="n">
        <v>0.2173913043478261</v>
      </c>
      <c r="J323">
        <f>H323*I323</f>
        <v/>
      </c>
      <c r="M323">
        <f>IF(OR(K323="",L323=""),"",MAX(K323,L323))</f>
        <v/>
      </c>
      <c r="N323" t="n">
        <v>0.5</v>
      </c>
      <c r="O323" t="inlineStr">
        <is>
          <t>是</t>
        </is>
      </c>
      <c r="P323">
        <f>IF(OR(M323="",M323&lt;=18),"PASS","ANGLE_ALERT")</f>
        <v/>
      </c>
      <c r="Q323" t="inlineStr">
        <is>
          <t>样品35</t>
        </is>
      </c>
    </row>
    <row r="324">
      <c r="A324" t="inlineStr">
        <is>
          <t>35(3)-P01</t>
        </is>
      </c>
      <c r="B324" t="inlineStr">
        <is>
          <t>35 (3).tif</t>
        </is>
      </c>
      <c r="C324" t="inlineStr">
        <is>
          <t>L2</t>
        </is>
      </c>
      <c r="D324" t="n">
        <v>359</v>
      </c>
      <c r="E324" t="n">
        <v>375</v>
      </c>
      <c r="F324" t="n">
        <v>345</v>
      </c>
      <c r="G324" t="n">
        <v>376</v>
      </c>
      <c r="H324">
        <f>SQRT((F324-D324)^2+(G324-E324)^2)</f>
        <v/>
      </c>
      <c r="I324" t="n">
        <v>0.2173913043478261</v>
      </c>
      <c r="J324">
        <f>H324*I324</f>
        <v/>
      </c>
      <c r="M324">
        <f>IF(OR(K324="",L324=""),"",MAX(K324,L324))</f>
        <v/>
      </c>
      <c r="N324" t="n">
        <v>0.5</v>
      </c>
      <c r="O324" t="inlineStr">
        <is>
          <t>是</t>
        </is>
      </c>
      <c r="P324">
        <f>IF(OR(M324="",M324&lt;=18),"PASS","ANGLE_ALERT")</f>
        <v/>
      </c>
      <c r="Q324" t="inlineStr">
        <is>
          <t>样品35</t>
        </is>
      </c>
    </row>
    <row r="325">
      <c r="A325" t="inlineStr">
        <is>
          <t>35(4)-P01</t>
        </is>
      </c>
      <c r="B325" t="inlineStr">
        <is>
          <t>35 (4).tif</t>
        </is>
      </c>
      <c r="C325" t="inlineStr">
        <is>
          <t>L1</t>
        </is>
      </c>
      <c r="D325" t="n">
        <v>491</v>
      </c>
      <c r="E325" t="n">
        <v>368</v>
      </c>
      <c r="F325" t="n">
        <v>523</v>
      </c>
      <c r="G325" t="n">
        <v>388</v>
      </c>
      <c r="H325">
        <f>SQRT((F325-D325)^2+(G325-E325)^2)</f>
        <v/>
      </c>
      <c r="I325" t="n">
        <v>0.2173913043478261</v>
      </c>
      <c r="J325">
        <f>H325*I325</f>
        <v/>
      </c>
      <c r="M325">
        <f>IF(OR(K325="",L325=""),"",MAX(K325,L325))</f>
        <v/>
      </c>
      <c r="N325" t="n">
        <v>0.5</v>
      </c>
      <c r="O325" t="inlineStr">
        <is>
          <t>是</t>
        </is>
      </c>
      <c r="P325">
        <f>IF(OR(M325="",M325&lt;=18),"PASS","ANGLE_ALERT")</f>
        <v/>
      </c>
      <c r="Q325" t="inlineStr">
        <is>
          <t>样品35</t>
        </is>
      </c>
    </row>
    <row r="326">
      <c r="A326" t="inlineStr">
        <is>
          <t>35(4)-P01</t>
        </is>
      </c>
      <c r="B326" t="inlineStr">
        <is>
          <t>35 (4).tif</t>
        </is>
      </c>
      <c r="C326" t="inlineStr">
        <is>
          <t>L2</t>
        </is>
      </c>
      <c r="D326" t="n">
        <v>483</v>
      </c>
      <c r="E326" t="n">
        <v>380</v>
      </c>
      <c r="F326" t="n">
        <v>515</v>
      </c>
      <c r="G326" t="n">
        <v>400</v>
      </c>
      <c r="H326">
        <f>SQRT((F326-D326)^2+(G326-E326)^2)</f>
        <v/>
      </c>
      <c r="I326" t="n">
        <v>0.2173913043478261</v>
      </c>
      <c r="J326">
        <f>H326*I326</f>
        <v/>
      </c>
      <c r="M326">
        <f>IF(OR(K326="",L326=""),"",MAX(K326,L326))</f>
        <v/>
      </c>
      <c r="N326" t="n">
        <v>0.5</v>
      </c>
      <c r="O326" t="inlineStr">
        <is>
          <t>是</t>
        </is>
      </c>
      <c r="P326">
        <f>IF(OR(M326="",M326&lt;=18),"PASS","ANGLE_ALERT")</f>
        <v/>
      </c>
      <c r="Q326" t="inlineStr">
        <is>
          <t>样品35</t>
        </is>
      </c>
    </row>
    <row r="327">
      <c r="A327" t="inlineStr">
        <is>
          <t>35(6)-P01</t>
        </is>
      </c>
      <c r="B327" t="inlineStr">
        <is>
          <t>35 (6).tif</t>
        </is>
      </c>
      <c r="C327" t="inlineStr">
        <is>
          <t>L1</t>
        </is>
      </c>
      <c r="D327" t="n">
        <v>487</v>
      </c>
      <c r="E327" t="n">
        <v>366</v>
      </c>
      <c r="F327" t="n">
        <v>485</v>
      </c>
      <c r="G327" t="n">
        <v>381</v>
      </c>
      <c r="H327">
        <f>SQRT((F327-D327)^2+(G327-E327)^2)</f>
        <v/>
      </c>
      <c r="I327" t="n">
        <v>0.2173913043478261</v>
      </c>
      <c r="J327">
        <f>H327*I327</f>
        <v/>
      </c>
      <c r="M327">
        <f>IF(OR(K327="",L327=""),"",MAX(K327,L327))</f>
        <v/>
      </c>
      <c r="N327" t="n">
        <v>0.5</v>
      </c>
      <c r="O327" t="inlineStr">
        <is>
          <t>是</t>
        </is>
      </c>
      <c r="P327">
        <f>IF(OR(M327="",M327&lt;=18),"PASS","ANGLE_ALERT")</f>
        <v/>
      </c>
      <c r="Q327" t="inlineStr">
        <is>
          <t>样品35</t>
        </is>
      </c>
    </row>
    <row r="328">
      <c r="A328" t="inlineStr">
        <is>
          <t>35(6)-P01</t>
        </is>
      </c>
      <c r="B328" t="inlineStr">
        <is>
          <t>35 (6).tif</t>
        </is>
      </c>
      <c r="C328" t="inlineStr">
        <is>
          <t>L2</t>
        </is>
      </c>
      <c r="D328" t="n">
        <v>482</v>
      </c>
      <c r="E328" t="n">
        <v>365</v>
      </c>
      <c r="F328" t="n">
        <v>479</v>
      </c>
      <c r="G328" t="n">
        <v>380</v>
      </c>
      <c r="H328">
        <f>SQRT((F328-D328)^2+(G328-E328)^2)</f>
        <v/>
      </c>
      <c r="I328" t="n">
        <v>0.2173913043478261</v>
      </c>
      <c r="J328">
        <f>H328*I328</f>
        <v/>
      </c>
      <c r="M328">
        <f>IF(OR(K328="",L328=""),"",MAX(K328,L328))</f>
        <v/>
      </c>
      <c r="N328" t="n">
        <v>0.5</v>
      </c>
      <c r="O328" t="inlineStr">
        <is>
          <t>是</t>
        </is>
      </c>
      <c r="P328">
        <f>IF(OR(M328="",M328&lt;=18),"PASS","ANGLE_ALERT")</f>
        <v/>
      </c>
      <c r="Q328" t="inlineStr">
        <is>
          <t>样品35</t>
        </is>
      </c>
    </row>
    <row r="329">
      <c r="A329" t="inlineStr">
        <is>
          <t>35(7)-P01</t>
        </is>
      </c>
      <c r="B329" t="inlineStr">
        <is>
          <t>35 (7).tif</t>
        </is>
      </c>
      <c r="C329" t="inlineStr">
        <is>
          <t>L1</t>
        </is>
      </c>
      <c r="D329" t="n">
        <v>478</v>
      </c>
      <c r="E329" t="n">
        <v>366</v>
      </c>
      <c r="F329" t="n">
        <v>494</v>
      </c>
      <c r="G329" t="n">
        <v>427</v>
      </c>
      <c r="H329">
        <f>SQRT((F329-D329)^2+(G329-E329)^2)</f>
        <v/>
      </c>
      <c r="I329" t="n">
        <v>0.2173913043478261</v>
      </c>
      <c r="J329">
        <f>H329*I329</f>
        <v/>
      </c>
      <c r="M329">
        <f>IF(OR(K329="",L329=""),"",MAX(K329,L329))</f>
        <v/>
      </c>
      <c r="N329" t="n">
        <v>0.5</v>
      </c>
      <c r="O329" t="inlineStr">
        <is>
          <t>是</t>
        </is>
      </c>
      <c r="P329">
        <f>IF(OR(M329="",M329&lt;=18),"PASS","ANGLE_ALERT")</f>
        <v/>
      </c>
      <c r="Q329" t="inlineStr">
        <is>
          <t>样品35</t>
        </is>
      </c>
    </row>
    <row r="330">
      <c r="A330" t="inlineStr">
        <is>
          <t>35(7)-P01</t>
        </is>
      </c>
      <c r="B330" t="inlineStr">
        <is>
          <t>35 (7).tif</t>
        </is>
      </c>
      <c r="C330" t="inlineStr">
        <is>
          <t>L2</t>
        </is>
      </c>
      <c r="D330" t="n">
        <v>424</v>
      </c>
      <c r="E330" t="n">
        <v>355</v>
      </c>
      <c r="F330" t="n">
        <v>419</v>
      </c>
      <c r="G330" t="n">
        <v>366</v>
      </c>
      <c r="H330">
        <f>SQRT((F330-D330)^2+(G330-E330)^2)</f>
        <v/>
      </c>
      <c r="I330" t="n">
        <v>0.2173913043478261</v>
      </c>
      <c r="J330">
        <f>H330*I330</f>
        <v/>
      </c>
      <c r="M330">
        <f>IF(OR(K330="",L330=""),"",MAX(K330,L330))</f>
        <v/>
      </c>
      <c r="N330" t="n">
        <v>0.5</v>
      </c>
      <c r="O330" t="inlineStr">
        <is>
          <t>是</t>
        </is>
      </c>
      <c r="P330">
        <f>IF(OR(M330="",M330&lt;=18),"PASS","ANGLE_ALERT")</f>
        <v/>
      </c>
      <c r="Q330" t="inlineStr">
        <is>
          <t>样品35</t>
        </is>
      </c>
    </row>
    <row r="331">
      <c r="A331" t="inlineStr">
        <is>
          <t>35(8)-P01</t>
        </is>
      </c>
      <c r="B331" t="inlineStr">
        <is>
          <t>35 (8).tif</t>
        </is>
      </c>
      <c r="C331" t="inlineStr">
        <is>
          <t>L1</t>
        </is>
      </c>
      <c r="D331" t="n">
        <v>521</v>
      </c>
      <c r="E331" t="n">
        <v>362</v>
      </c>
      <c r="F331" t="n">
        <v>521</v>
      </c>
      <c r="G331" t="n">
        <v>348</v>
      </c>
      <c r="H331">
        <f>SQRT((F331-D331)^2+(G331-E331)^2)</f>
        <v/>
      </c>
      <c r="I331" t="n">
        <v>0.2173913043478261</v>
      </c>
      <c r="J331">
        <f>H331*I331</f>
        <v/>
      </c>
      <c r="M331">
        <f>IF(OR(K331="",L331=""),"",MAX(K331,L331))</f>
        <v/>
      </c>
      <c r="N331" t="n">
        <v>0.5</v>
      </c>
      <c r="O331" t="inlineStr">
        <is>
          <t>是</t>
        </is>
      </c>
      <c r="P331">
        <f>IF(OR(M331="",M331&lt;=18),"PASS","ANGLE_ALERT")</f>
        <v/>
      </c>
      <c r="Q331" t="inlineStr">
        <is>
          <t>样品35</t>
        </is>
      </c>
    </row>
    <row r="332">
      <c r="A332" t="inlineStr">
        <is>
          <t>35(8)-P01</t>
        </is>
      </c>
      <c r="B332" t="inlineStr">
        <is>
          <t>35 (8).tif</t>
        </is>
      </c>
      <c r="C332" t="inlineStr">
        <is>
          <t>L2</t>
        </is>
      </c>
      <c r="D332" t="n">
        <v>538</v>
      </c>
      <c r="E332" t="n">
        <v>362</v>
      </c>
      <c r="F332" t="n">
        <v>537</v>
      </c>
      <c r="G332" t="n">
        <v>347</v>
      </c>
      <c r="H332">
        <f>SQRT((F332-D332)^2+(G332-E332)^2)</f>
        <v/>
      </c>
      <c r="I332" t="n">
        <v>0.2173913043478261</v>
      </c>
      <c r="J332">
        <f>H332*I332</f>
        <v/>
      </c>
      <c r="M332">
        <f>IF(OR(K332="",L332=""),"",MAX(K332,L332))</f>
        <v/>
      </c>
      <c r="N332" t="n">
        <v>0.5</v>
      </c>
      <c r="O332" t="inlineStr">
        <is>
          <t>是</t>
        </is>
      </c>
      <c r="P332">
        <f>IF(OR(M332="",M332&lt;=18),"PASS","ANGLE_ALERT")</f>
        <v/>
      </c>
      <c r="Q332" t="inlineStr">
        <is>
          <t>样品35</t>
        </is>
      </c>
    </row>
    <row r="333">
      <c r="A333" t="inlineStr">
        <is>
          <t>36(1)-P01</t>
        </is>
      </c>
      <c r="B333" t="inlineStr">
        <is>
          <t>36 (1).tif</t>
        </is>
      </c>
      <c r="C333" t="inlineStr">
        <is>
          <t>L1</t>
        </is>
      </c>
      <c r="D333" t="n">
        <v>560</v>
      </c>
      <c r="E333" t="n">
        <v>323</v>
      </c>
      <c r="F333" t="n">
        <v>533</v>
      </c>
      <c r="G333" t="n">
        <v>342</v>
      </c>
      <c r="H333">
        <f>SQRT((F333-D333)^2+(G333-E333)^2)</f>
        <v/>
      </c>
      <c r="I333" t="n">
        <v>0.2173913043478261</v>
      </c>
      <c r="J333">
        <f>H333*I333</f>
        <v/>
      </c>
      <c r="M333">
        <f>IF(OR(K333="",L333=""),"",MAX(K333,L333))</f>
        <v/>
      </c>
      <c r="N333" t="n">
        <v>0.5</v>
      </c>
      <c r="O333" t="inlineStr">
        <is>
          <t>是</t>
        </is>
      </c>
      <c r="P333">
        <f>IF(OR(M333="",M333&lt;=18),"PASS","ANGLE_ALERT")</f>
        <v/>
      </c>
      <c r="Q333" t="inlineStr">
        <is>
          <t>样品36</t>
        </is>
      </c>
    </row>
    <row r="334">
      <c r="A334" t="inlineStr">
        <is>
          <t>36(1)-P01</t>
        </is>
      </c>
      <c r="B334" t="inlineStr">
        <is>
          <t>36 (1).tif</t>
        </is>
      </c>
      <c r="C334" t="inlineStr">
        <is>
          <t>L2</t>
        </is>
      </c>
      <c r="D334" t="n">
        <v>555</v>
      </c>
      <c r="E334" t="n">
        <v>317</v>
      </c>
      <c r="F334" t="n">
        <v>530</v>
      </c>
      <c r="G334" t="n">
        <v>337</v>
      </c>
      <c r="H334">
        <f>SQRT((F334-D334)^2+(G334-E334)^2)</f>
        <v/>
      </c>
      <c r="I334" t="n">
        <v>0.2173913043478261</v>
      </c>
      <c r="J334">
        <f>H334*I334</f>
        <v/>
      </c>
      <c r="M334">
        <f>IF(OR(K334="",L334=""),"",MAX(K334,L334))</f>
        <v/>
      </c>
      <c r="N334" t="n">
        <v>0.5</v>
      </c>
      <c r="O334" t="inlineStr">
        <is>
          <t>是</t>
        </is>
      </c>
      <c r="P334">
        <f>IF(OR(M334="",M334&lt;=18),"PASS","ANGLE_ALERT")</f>
        <v/>
      </c>
      <c r="Q334" t="inlineStr">
        <is>
          <t>样品36</t>
        </is>
      </c>
    </row>
    <row r="335">
      <c r="A335" t="inlineStr">
        <is>
          <t>36(1)-P01</t>
        </is>
      </c>
      <c r="B335" t="inlineStr">
        <is>
          <t>36 (1).tif</t>
        </is>
      </c>
      <c r="C335" t="inlineStr">
        <is>
          <t>L3</t>
        </is>
      </c>
      <c r="D335" t="n">
        <v>552</v>
      </c>
      <c r="E335" t="n">
        <v>312</v>
      </c>
      <c r="F335" t="n">
        <v>526</v>
      </c>
      <c r="G335" t="n">
        <v>331</v>
      </c>
      <c r="H335">
        <f>SQRT((F335-D335)^2+(G335-E335)^2)</f>
        <v/>
      </c>
      <c r="I335" t="n">
        <v>0.2173913043478261</v>
      </c>
      <c r="J335">
        <f>H335*I335</f>
        <v/>
      </c>
      <c r="M335">
        <f>IF(OR(K335="",L335=""),"",MAX(K335,L335))</f>
        <v/>
      </c>
      <c r="N335" t="n">
        <v>0.5</v>
      </c>
      <c r="O335" t="inlineStr">
        <is>
          <t>是</t>
        </is>
      </c>
      <c r="P335">
        <f>IF(OR(M335="",M335&lt;=18),"PASS","ANGLE_ALERT")</f>
        <v/>
      </c>
      <c r="Q335" t="inlineStr">
        <is>
          <t>样品36</t>
        </is>
      </c>
    </row>
    <row r="336">
      <c r="A336" t="inlineStr">
        <is>
          <t>36(2)-P01</t>
        </is>
      </c>
      <c r="B336" t="inlineStr">
        <is>
          <t>36 (2).tif</t>
        </is>
      </c>
      <c r="C336" t="inlineStr">
        <is>
          <t>L1</t>
        </is>
      </c>
      <c r="D336" t="n">
        <v>480</v>
      </c>
      <c r="E336" t="n">
        <v>382</v>
      </c>
      <c r="F336" t="n">
        <v>503</v>
      </c>
      <c r="G336" t="n">
        <v>360</v>
      </c>
      <c r="H336">
        <f>SQRT((F336-D336)^2+(G336-E336)^2)</f>
        <v/>
      </c>
      <c r="I336" t="n">
        <v>0.2173913043478261</v>
      </c>
      <c r="J336">
        <f>H336*I336</f>
        <v/>
      </c>
      <c r="M336">
        <f>IF(OR(K336="",L336=""),"",MAX(K336,L336))</f>
        <v/>
      </c>
      <c r="N336" t="n">
        <v>0.5</v>
      </c>
      <c r="O336" t="inlineStr">
        <is>
          <t>是</t>
        </is>
      </c>
      <c r="P336">
        <f>IF(OR(M336="",M336&lt;=18),"PASS","ANGLE_ALERT")</f>
        <v/>
      </c>
      <c r="Q336" t="inlineStr">
        <is>
          <t>样品36</t>
        </is>
      </c>
    </row>
    <row r="337">
      <c r="A337" t="inlineStr">
        <is>
          <t>36(2)-P01</t>
        </is>
      </c>
      <c r="B337" t="inlineStr">
        <is>
          <t>36 (2).tif</t>
        </is>
      </c>
      <c r="C337" t="inlineStr">
        <is>
          <t>L2</t>
        </is>
      </c>
      <c r="D337" t="n">
        <v>502</v>
      </c>
      <c r="E337" t="n">
        <v>408</v>
      </c>
      <c r="F337" t="n">
        <v>521</v>
      </c>
      <c r="G337" t="n">
        <v>375</v>
      </c>
      <c r="H337">
        <f>SQRT((F337-D337)^2+(G337-E337)^2)</f>
        <v/>
      </c>
      <c r="I337" t="n">
        <v>0.2173913043478261</v>
      </c>
      <c r="J337">
        <f>H337*I337</f>
        <v/>
      </c>
      <c r="M337">
        <f>IF(OR(K337="",L337=""),"",MAX(K337,L337))</f>
        <v/>
      </c>
      <c r="N337" t="n">
        <v>0.5</v>
      </c>
      <c r="O337" t="inlineStr">
        <is>
          <t>是</t>
        </is>
      </c>
      <c r="P337">
        <f>IF(OR(M337="",M337&lt;=18),"PASS","ANGLE_ALERT")</f>
        <v/>
      </c>
      <c r="Q337" t="inlineStr">
        <is>
          <t>样品36</t>
        </is>
      </c>
    </row>
    <row r="338">
      <c r="A338" t="inlineStr">
        <is>
          <t>36(2)-P01</t>
        </is>
      </c>
      <c r="B338" t="inlineStr">
        <is>
          <t>36 (2).tif</t>
        </is>
      </c>
      <c r="C338" t="inlineStr">
        <is>
          <t>L3</t>
        </is>
      </c>
      <c r="D338" t="n">
        <v>491</v>
      </c>
      <c r="E338" t="n">
        <v>393</v>
      </c>
      <c r="F338" t="n">
        <v>510</v>
      </c>
      <c r="G338" t="n">
        <v>367</v>
      </c>
      <c r="H338">
        <f>SQRT((F338-D338)^2+(G338-E338)^2)</f>
        <v/>
      </c>
      <c r="I338" t="n">
        <v>0.2173913043478261</v>
      </c>
      <c r="J338">
        <f>H338*I338</f>
        <v/>
      </c>
      <c r="M338">
        <f>IF(OR(K338="",L338=""),"",MAX(K338,L338))</f>
        <v/>
      </c>
      <c r="N338" t="n">
        <v>0.5</v>
      </c>
      <c r="O338" t="inlineStr">
        <is>
          <t>是</t>
        </is>
      </c>
      <c r="P338">
        <f>IF(OR(M338="",M338&lt;=18),"PASS","ANGLE_ALERT")</f>
        <v/>
      </c>
      <c r="Q338" t="inlineStr">
        <is>
          <t>样品36</t>
        </is>
      </c>
    </row>
    <row r="339">
      <c r="A339" t="inlineStr">
        <is>
          <t>36(2)-P01</t>
        </is>
      </c>
      <c r="B339" t="inlineStr">
        <is>
          <t>36 (2).tif</t>
        </is>
      </c>
      <c r="C339" t="inlineStr">
        <is>
          <t>L4</t>
        </is>
      </c>
      <c r="D339" t="n">
        <v>496</v>
      </c>
      <c r="E339" t="n">
        <v>398</v>
      </c>
      <c r="F339" t="n">
        <v>518</v>
      </c>
      <c r="G339" t="n">
        <v>373</v>
      </c>
      <c r="H339">
        <f>SQRT((F339-D339)^2+(G339-E339)^2)</f>
        <v/>
      </c>
      <c r="I339" t="n">
        <v>0.2173913043478261</v>
      </c>
      <c r="J339">
        <f>H339*I339</f>
        <v/>
      </c>
      <c r="M339">
        <f>IF(OR(K339="",L339=""),"",MAX(K339,L339))</f>
        <v/>
      </c>
      <c r="N339" t="n">
        <v>0.5</v>
      </c>
      <c r="O339" t="inlineStr">
        <is>
          <t>是</t>
        </is>
      </c>
      <c r="P339">
        <f>IF(OR(M339="",M339&lt;=18),"PASS","ANGLE_ALERT")</f>
        <v/>
      </c>
      <c r="Q339" t="inlineStr">
        <is>
          <t>样品36</t>
        </is>
      </c>
    </row>
    <row r="340">
      <c r="A340" t="inlineStr">
        <is>
          <t>36(3)-P01</t>
        </is>
      </c>
      <c r="B340" t="inlineStr">
        <is>
          <t>36 (3).tif</t>
        </is>
      </c>
      <c r="C340" t="inlineStr">
        <is>
          <t>L1</t>
        </is>
      </c>
      <c r="D340" t="n">
        <v>541</v>
      </c>
      <c r="E340" t="n">
        <v>369</v>
      </c>
      <c r="F340" t="n">
        <v>517</v>
      </c>
      <c r="G340" t="n">
        <v>365</v>
      </c>
      <c r="H340">
        <f>SQRT((F340-D340)^2+(G340-E340)^2)</f>
        <v/>
      </c>
      <c r="I340" t="n">
        <v>0.2173913043478261</v>
      </c>
      <c r="J340">
        <f>H340*I340</f>
        <v/>
      </c>
      <c r="M340">
        <f>IF(OR(K340="",L340=""),"",MAX(K340,L340))</f>
        <v/>
      </c>
      <c r="N340" t="n">
        <v>0.5</v>
      </c>
      <c r="O340" t="inlineStr">
        <is>
          <t>是</t>
        </is>
      </c>
      <c r="P340">
        <f>IF(OR(M340="",M340&lt;=18),"PASS","ANGLE_ALERT")</f>
        <v/>
      </c>
      <c r="Q340" t="inlineStr">
        <is>
          <t>样品36</t>
        </is>
      </c>
    </row>
    <row r="341">
      <c r="A341" t="inlineStr">
        <is>
          <t>36(3)-P01</t>
        </is>
      </c>
      <c r="B341" t="inlineStr">
        <is>
          <t>36 (3).tif</t>
        </is>
      </c>
      <c r="C341" t="inlineStr">
        <is>
          <t>L2</t>
        </is>
      </c>
      <c r="D341" t="n">
        <v>541</v>
      </c>
      <c r="E341" t="n">
        <v>370</v>
      </c>
      <c r="F341" t="n">
        <v>516</v>
      </c>
      <c r="G341" t="n">
        <v>370</v>
      </c>
      <c r="H341">
        <f>SQRT((F341-D341)^2+(G341-E341)^2)</f>
        <v/>
      </c>
      <c r="I341" t="n">
        <v>0.2173913043478261</v>
      </c>
      <c r="J341">
        <f>H341*I341</f>
        <v/>
      </c>
      <c r="M341">
        <f>IF(OR(K341="",L341=""),"",MAX(K341,L341))</f>
        <v/>
      </c>
      <c r="N341" t="n">
        <v>0.5</v>
      </c>
      <c r="O341" t="inlineStr">
        <is>
          <t>是</t>
        </is>
      </c>
      <c r="P341">
        <f>IF(OR(M341="",M341&lt;=18),"PASS","ANGLE_ALERT")</f>
        <v/>
      </c>
      <c r="Q341" t="inlineStr">
        <is>
          <t>样品36</t>
        </is>
      </c>
    </row>
    <row r="342">
      <c r="A342" t="inlineStr">
        <is>
          <t>36(3)-P01</t>
        </is>
      </c>
      <c r="B342" t="inlineStr">
        <is>
          <t>36 (3).tif</t>
        </is>
      </c>
      <c r="C342" t="inlineStr">
        <is>
          <t>L3</t>
        </is>
      </c>
      <c r="D342" t="n">
        <v>543</v>
      </c>
      <c r="E342" t="n">
        <v>351</v>
      </c>
      <c r="F342" t="n">
        <v>527</v>
      </c>
      <c r="G342" t="n">
        <v>346</v>
      </c>
      <c r="H342">
        <f>SQRT((F342-D342)^2+(G342-E342)^2)</f>
        <v/>
      </c>
      <c r="I342" t="n">
        <v>0.2173913043478261</v>
      </c>
      <c r="J342">
        <f>H342*I342</f>
        <v/>
      </c>
      <c r="M342">
        <f>IF(OR(K342="",L342=""),"",MAX(K342,L342))</f>
        <v/>
      </c>
      <c r="N342" t="n">
        <v>0.5</v>
      </c>
      <c r="O342" t="inlineStr">
        <is>
          <t>是</t>
        </is>
      </c>
      <c r="P342">
        <f>IF(OR(M342="",M342&lt;=18),"PASS","ANGLE_ALERT")</f>
        <v/>
      </c>
      <c r="Q342" t="inlineStr">
        <is>
          <t>样品36</t>
        </is>
      </c>
    </row>
    <row r="343">
      <c r="A343" t="inlineStr">
        <is>
          <t>36(5)-P01</t>
        </is>
      </c>
      <c r="B343" t="inlineStr">
        <is>
          <t>36 (5).tif</t>
        </is>
      </c>
      <c r="C343" t="inlineStr">
        <is>
          <t>L1</t>
        </is>
      </c>
      <c r="D343" t="n">
        <v>490</v>
      </c>
      <c r="E343" t="n">
        <v>382</v>
      </c>
      <c r="F343" t="n">
        <v>498</v>
      </c>
      <c r="G343" t="n">
        <v>355</v>
      </c>
      <c r="H343">
        <f>SQRT((F343-D343)^2+(G343-E343)^2)</f>
        <v/>
      </c>
      <c r="I343" t="n">
        <v>0.2173913043478261</v>
      </c>
      <c r="J343">
        <f>H343*I343</f>
        <v/>
      </c>
      <c r="M343">
        <f>IF(OR(K343="",L343=""),"",MAX(K343,L343))</f>
        <v/>
      </c>
      <c r="N343" t="n">
        <v>0.5</v>
      </c>
      <c r="O343" t="inlineStr">
        <is>
          <t>是</t>
        </is>
      </c>
      <c r="P343">
        <f>IF(OR(M343="",M343&lt;=18),"PASS","ANGLE_ALERT")</f>
        <v/>
      </c>
      <c r="Q343" t="inlineStr">
        <is>
          <t>样品36</t>
        </is>
      </c>
    </row>
    <row r="344">
      <c r="A344" t="inlineStr">
        <is>
          <t>36(5)-P01</t>
        </is>
      </c>
      <c r="B344" t="inlineStr">
        <is>
          <t>36 (5).tif</t>
        </is>
      </c>
      <c r="C344" t="inlineStr">
        <is>
          <t>L2</t>
        </is>
      </c>
      <c r="D344" t="n">
        <v>502</v>
      </c>
      <c r="E344" t="n">
        <v>387</v>
      </c>
      <c r="F344" t="n">
        <v>518</v>
      </c>
      <c r="G344" t="n">
        <v>358</v>
      </c>
      <c r="H344">
        <f>SQRT((F344-D344)^2+(G344-E344)^2)</f>
        <v/>
      </c>
      <c r="I344" t="n">
        <v>0.2173913043478261</v>
      </c>
      <c r="J344">
        <f>H344*I344</f>
        <v/>
      </c>
      <c r="M344">
        <f>IF(OR(K344="",L344=""),"",MAX(K344,L344))</f>
        <v/>
      </c>
      <c r="N344" t="n">
        <v>0.5</v>
      </c>
      <c r="O344" t="inlineStr">
        <is>
          <t>是</t>
        </is>
      </c>
      <c r="P344">
        <f>IF(OR(M344="",M344&lt;=18),"PASS","ANGLE_ALERT")</f>
        <v/>
      </c>
      <c r="Q344" t="inlineStr">
        <is>
          <t>样品36</t>
        </is>
      </c>
    </row>
    <row r="345">
      <c r="A345" t="inlineStr">
        <is>
          <t>36(8)-P01</t>
        </is>
      </c>
      <c r="B345" t="inlineStr">
        <is>
          <t>36 (8).tif</t>
        </is>
      </c>
      <c r="C345" t="inlineStr">
        <is>
          <t>L1</t>
        </is>
      </c>
      <c r="D345" t="n">
        <v>506</v>
      </c>
      <c r="E345" t="n">
        <v>350</v>
      </c>
      <c r="F345" t="n">
        <v>517</v>
      </c>
      <c r="G345" t="n">
        <v>373</v>
      </c>
      <c r="H345">
        <f>SQRT((F345-D345)^2+(G345-E345)^2)</f>
        <v/>
      </c>
      <c r="I345" t="n">
        <v>0.2173913043478261</v>
      </c>
      <c r="J345">
        <f>H345*I345</f>
        <v/>
      </c>
      <c r="M345">
        <f>IF(OR(K345="",L345=""),"",MAX(K345,L345))</f>
        <v/>
      </c>
      <c r="N345" t="n">
        <v>0.5</v>
      </c>
      <c r="O345" t="inlineStr">
        <is>
          <t>是</t>
        </is>
      </c>
      <c r="P345">
        <f>IF(OR(M345="",M345&lt;=18),"PASS","ANGLE_ALERT")</f>
        <v/>
      </c>
      <c r="Q345" t="inlineStr">
        <is>
          <t>样品36</t>
        </is>
      </c>
    </row>
    <row r="346">
      <c r="A346" t="inlineStr">
        <is>
          <t>36(8)-P01</t>
        </is>
      </c>
      <c r="B346" t="inlineStr">
        <is>
          <t>36 (8).tif</t>
        </is>
      </c>
      <c r="C346" t="inlineStr">
        <is>
          <t>L2</t>
        </is>
      </c>
      <c r="D346" t="n">
        <v>500</v>
      </c>
      <c r="E346" t="n">
        <v>353</v>
      </c>
      <c r="F346" t="n">
        <v>508</v>
      </c>
      <c r="G346" t="n">
        <v>377</v>
      </c>
      <c r="H346">
        <f>SQRT((F346-D346)^2+(G346-E346)^2)</f>
        <v/>
      </c>
      <c r="I346" t="n">
        <v>0.2173913043478261</v>
      </c>
      <c r="J346">
        <f>H346*I346</f>
        <v/>
      </c>
      <c r="M346">
        <f>IF(OR(K346="",L346=""),"",MAX(K346,L346))</f>
        <v/>
      </c>
      <c r="N346" t="n">
        <v>0.5</v>
      </c>
      <c r="O346" t="inlineStr">
        <is>
          <t>是</t>
        </is>
      </c>
      <c r="P346">
        <f>IF(OR(M346="",M346&lt;=18),"PASS","ANGLE_ALERT")</f>
        <v/>
      </c>
      <c r="Q346" t="inlineStr">
        <is>
          <t>样品36</t>
        </is>
      </c>
    </row>
    <row r="347">
      <c r="A347" t="inlineStr">
        <is>
          <t>37(4)-P01</t>
        </is>
      </c>
      <c r="B347" t="inlineStr">
        <is>
          <t>37 (4).tif</t>
        </is>
      </c>
      <c r="C347" t="inlineStr">
        <is>
          <t>L1</t>
        </is>
      </c>
      <c r="D347" t="n">
        <v>498</v>
      </c>
      <c r="E347" t="n">
        <v>341</v>
      </c>
      <c r="F347" t="n">
        <v>482</v>
      </c>
      <c r="G347" t="n">
        <v>354</v>
      </c>
      <c r="H347">
        <f>SQRT((F347-D347)^2+(G347-E347)^2)</f>
        <v/>
      </c>
      <c r="I347" t="n">
        <v>0.2173913043478261</v>
      </c>
      <c r="J347">
        <f>H347*I347</f>
        <v/>
      </c>
      <c r="M347">
        <f>IF(OR(K347="",L347=""),"",MAX(K347,L347))</f>
        <v/>
      </c>
      <c r="N347" t="n">
        <v>0.5</v>
      </c>
      <c r="O347" t="inlineStr">
        <is>
          <t>是</t>
        </is>
      </c>
      <c r="P347">
        <f>IF(OR(M347="",M347&lt;=18),"PASS","ANGLE_ALERT")</f>
        <v/>
      </c>
      <c r="Q347" t="inlineStr">
        <is>
          <t>样品37</t>
        </is>
      </c>
    </row>
    <row r="348">
      <c r="A348" t="inlineStr">
        <is>
          <t>37(6)-P01</t>
        </is>
      </c>
      <c r="B348" t="inlineStr">
        <is>
          <t>37 (6).tif</t>
        </is>
      </c>
      <c r="C348" t="inlineStr">
        <is>
          <t>L1</t>
        </is>
      </c>
      <c r="D348" t="n">
        <v>483</v>
      </c>
      <c r="E348" t="n">
        <v>404</v>
      </c>
      <c r="F348" t="n">
        <v>449</v>
      </c>
      <c r="G348" t="n">
        <v>421</v>
      </c>
      <c r="H348">
        <f>SQRT((F348-D348)^2+(G348-E348)^2)</f>
        <v/>
      </c>
      <c r="I348" t="n">
        <v>0.2173913043478261</v>
      </c>
      <c r="J348">
        <f>H348*I348</f>
        <v/>
      </c>
      <c r="M348">
        <f>IF(OR(K348="",L348=""),"",MAX(K348,L348))</f>
        <v/>
      </c>
      <c r="N348" t="n">
        <v>0.5</v>
      </c>
      <c r="O348" t="inlineStr">
        <is>
          <t>是</t>
        </is>
      </c>
      <c r="P348">
        <f>IF(OR(M348="",M348&lt;=18),"PASS","ANGLE_ALERT")</f>
        <v/>
      </c>
      <c r="Q348" t="inlineStr">
        <is>
          <t>样品37</t>
        </is>
      </c>
    </row>
    <row r="349">
      <c r="A349" t="inlineStr">
        <is>
          <t>37(6)-P01</t>
        </is>
      </c>
      <c r="B349" t="inlineStr">
        <is>
          <t>37 (6).tif</t>
        </is>
      </c>
      <c r="C349" t="inlineStr">
        <is>
          <t>L2</t>
        </is>
      </c>
      <c r="D349" t="n">
        <v>486</v>
      </c>
      <c r="E349" t="n">
        <v>366</v>
      </c>
      <c r="F349" t="n">
        <v>470</v>
      </c>
      <c r="G349" t="n">
        <v>364</v>
      </c>
      <c r="H349">
        <f>SQRT((F349-D349)^2+(G349-E349)^2)</f>
        <v/>
      </c>
      <c r="I349" t="n">
        <v>0.2173913043478261</v>
      </c>
      <c r="J349">
        <f>H349*I349</f>
        <v/>
      </c>
      <c r="M349">
        <f>IF(OR(K349="",L349=""),"",MAX(K349,L349))</f>
        <v/>
      </c>
      <c r="N349" t="n">
        <v>0.5</v>
      </c>
      <c r="O349" t="inlineStr">
        <is>
          <t>是</t>
        </is>
      </c>
      <c r="P349">
        <f>IF(OR(M349="",M349&lt;=18),"PASS","ANGLE_ALERT")</f>
        <v/>
      </c>
      <c r="Q349" t="inlineStr">
        <is>
          <t>样品37</t>
        </is>
      </c>
    </row>
    <row r="350">
      <c r="A350" t="inlineStr">
        <is>
          <t>37(7)-P01</t>
        </is>
      </c>
      <c r="B350" t="inlineStr">
        <is>
          <t>37 (7).tif</t>
        </is>
      </c>
      <c r="C350" t="inlineStr">
        <is>
          <t>L1</t>
        </is>
      </c>
      <c r="D350" t="n">
        <v>506</v>
      </c>
      <c r="E350" t="n">
        <v>387</v>
      </c>
      <c r="F350" t="n">
        <v>525</v>
      </c>
      <c r="G350" t="n">
        <v>415</v>
      </c>
      <c r="H350">
        <f>SQRT((F350-D350)^2+(G350-E350)^2)</f>
        <v/>
      </c>
      <c r="I350" t="n">
        <v>0.2173913043478261</v>
      </c>
      <c r="J350">
        <f>H350*I350</f>
        <v/>
      </c>
      <c r="M350">
        <f>IF(OR(K350="",L350=""),"",MAX(K350,L350))</f>
        <v/>
      </c>
      <c r="N350" t="n">
        <v>0.5</v>
      </c>
      <c r="O350" t="inlineStr">
        <is>
          <t>是</t>
        </is>
      </c>
      <c r="P350">
        <f>IF(OR(M350="",M350&lt;=18),"PASS","ANGLE_ALERT")</f>
        <v/>
      </c>
      <c r="Q350" t="inlineStr">
        <is>
          <t>样品37</t>
        </is>
      </c>
    </row>
    <row r="351">
      <c r="A351" t="inlineStr">
        <is>
          <t>37(7)-P01</t>
        </is>
      </c>
      <c r="B351" t="inlineStr">
        <is>
          <t>37 (7).tif</t>
        </is>
      </c>
      <c r="C351" t="inlineStr">
        <is>
          <t>L2</t>
        </is>
      </c>
      <c r="D351" t="n">
        <v>496</v>
      </c>
      <c r="E351" t="n">
        <v>396</v>
      </c>
      <c r="F351" t="n">
        <v>516</v>
      </c>
      <c r="G351" t="n">
        <v>420</v>
      </c>
      <c r="H351">
        <f>SQRT((F351-D351)^2+(G351-E351)^2)</f>
        <v/>
      </c>
      <c r="I351" t="n">
        <v>0.2173913043478261</v>
      </c>
      <c r="J351">
        <f>H351*I351</f>
        <v/>
      </c>
      <c r="M351">
        <f>IF(OR(K351="",L351=""),"",MAX(K351,L351))</f>
        <v/>
      </c>
      <c r="N351" t="n">
        <v>0.5</v>
      </c>
      <c r="O351" t="inlineStr">
        <is>
          <t>是</t>
        </is>
      </c>
      <c r="P351">
        <f>IF(OR(M351="",M351&lt;=18),"PASS","ANGLE_ALERT")</f>
        <v/>
      </c>
      <c r="Q351" t="inlineStr">
        <is>
          <t>样品37</t>
        </is>
      </c>
    </row>
    <row r="352">
      <c r="A352" t="inlineStr">
        <is>
          <t>37(7)-P01</t>
        </is>
      </c>
      <c r="B352" t="inlineStr">
        <is>
          <t>37 (7).tif</t>
        </is>
      </c>
      <c r="C352" t="inlineStr">
        <is>
          <t>L3</t>
        </is>
      </c>
      <c r="D352" t="n">
        <v>490</v>
      </c>
      <c r="E352" t="n">
        <v>400</v>
      </c>
      <c r="F352" t="n">
        <v>509</v>
      </c>
      <c r="G352" t="n">
        <v>426</v>
      </c>
      <c r="H352">
        <f>SQRT((F352-D352)^2+(G352-E352)^2)</f>
        <v/>
      </c>
      <c r="I352" t="n">
        <v>0.2173913043478261</v>
      </c>
      <c r="J352">
        <f>H352*I352</f>
        <v/>
      </c>
      <c r="M352">
        <f>IF(OR(K352="",L352=""),"",MAX(K352,L352))</f>
        <v/>
      </c>
      <c r="N352" t="n">
        <v>0.5</v>
      </c>
      <c r="O352" t="inlineStr">
        <is>
          <t>是</t>
        </is>
      </c>
      <c r="P352">
        <f>IF(OR(M352="",M352&lt;=18),"PASS","ANGLE_ALERT")</f>
        <v/>
      </c>
      <c r="Q352" t="inlineStr">
        <is>
          <t>样品37</t>
        </is>
      </c>
    </row>
    <row r="353">
      <c r="A353" t="inlineStr">
        <is>
          <t>37(8)-P01</t>
        </is>
      </c>
      <c r="B353" t="inlineStr">
        <is>
          <t>37 (8).tif</t>
        </is>
      </c>
      <c r="C353" t="inlineStr">
        <is>
          <t>L1</t>
        </is>
      </c>
      <c r="D353" t="n">
        <v>435</v>
      </c>
      <c r="E353" t="n">
        <v>337</v>
      </c>
      <c r="F353" t="n">
        <v>435</v>
      </c>
      <c r="G353" t="n">
        <v>326</v>
      </c>
      <c r="H353">
        <f>SQRT((F353-D353)^2+(G353-E353)^2)</f>
        <v/>
      </c>
      <c r="I353" t="n">
        <v>0.2173913043478261</v>
      </c>
      <c r="J353">
        <f>H353*I353</f>
        <v/>
      </c>
      <c r="M353">
        <f>IF(OR(K353="",L353=""),"",MAX(K353,L353))</f>
        <v/>
      </c>
      <c r="N353" t="n">
        <v>0.5</v>
      </c>
      <c r="O353" t="inlineStr">
        <is>
          <t>是</t>
        </is>
      </c>
      <c r="P353">
        <f>IF(OR(M353="",M353&lt;=18),"PASS","ANGLE_ALERT")</f>
        <v/>
      </c>
      <c r="Q353" t="inlineStr">
        <is>
          <t>样品37</t>
        </is>
      </c>
    </row>
    <row r="354">
      <c r="A354" t="inlineStr">
        <is>
          <t>38(1)-P01</t>
        </is>
      </c>
      <c r="B354" t="inlineStr">
        <is>
          <t>38 (1).tif</t>
        </is>
      </c>
      <c r="C354" t="inlineStr">
        <is>
          <t>L1</t>
        </is>
      </c>
      <c r="D354" t="n">
        <v>511</v>
      </c>
      <c r="E354" t="n">
        <v>407</v>
      </c>
      <c r="F354" t="n">
        <v>526</v>
      </c>
      <c r="G354" t="n">
        <v>400</v>
      </c>
      <c r="H354">
        <f>SQRT((F354-D354)^2+(G354-E354)^2)</f>
        <v/>
      </c>
      <c r="I354" t="n">
        <v>0.2173913043478261</v>
      </c>
      <c r="J354">
        <f>H354*I354</f>
        <v/>
      </c>
      <c r="M354">
        <f>IF(OR(K354="",L354=""),"",MAX(K354,L354))</f>
        <v/>
      </c>
      <c r="N354" t="n">
        <v>0.5</v>
      </c>
      <c r="O354" t="inlineStr">
        <is>
          <t>是</t>
        </is>
      </c>
      <c r="P354">
        <f>IF(OR(M354="",M354&lt;=18),"PASS","ANGLE_ALERT")</f>
        <v/>
      </c>
      <c r="Q354" t="inlineStr">
        <is>
          <t>样品38</t>
        </is>
      </c>
    </row>
    <row r="355">
      <c r="A355" t="inlineStr">
        <is>
          <t>38(1)-P01</t>
        </is>
      </c>
      <c r="B355" t="inlineStr">
        <is>
          <t>38 (1).tif</t>
        </is>
      </c>
      <c r="C355" t="inlineStr">
        <is>
          <t>L2</t>
        </is>
      </c>
      <c r="D355" t="n">
        <v>515</v>
      </c>
      <c r="E355" t="n">
        <v>417</v>
      </c>
      <c r="F355" t="n">
        <v>531</v>
      </c>
      <c r="G355" t="n">
        <v>408</v>
      </c>
      <c r="H355">
        <f>SQRT((F355-D355)^2+(G355-E355)^2)</f>
        <v/>
      </c>
      <c r="I355" t="n">
        <v>0.2173913043478261</v>
      </c>
      <c r="J355">
        <f>H355*I355</f>
        <v/>
      </c>
      <c r="M355">
        <f>IF(OR(K355="",L355=""),"",MAX(K355,L355))</f>
        <v/>
      </c>
      <c r="N355" t="n">
        <v>0.5</v>
      </c>
      <c r="O355" t="inlineStr">
        <is>
          <t>是</t>
        </is>
      </c>
      <c r="P355">
        <f>IF(OR(M355="",M355&lt;=18),"PASS","ANGLE_ALERT")</f>
        <v/>
      </c>
      <c r="Q355" t="inlineStr">
        <is>
          <t>样品38</t>
        </is>
      </c>
    </row>
    <row r="356">
      <c r="A356" t="inlineStr">
        <is>
          <t>38(3)-P01</t>
        </is>
      </c>
      <c r="B356" t="inlineStr">
        <is>
          <t>38 (3).tif</t>
        </is>
      </c>
      <c r="C356" t="inlineStr">
        <is>
          <t>L1</t>
        </is>
      </c>
      <c r="D356" t="n">
        <v>459</v>
      </c>
      <c r="E356" t="n">
        <v>345</v>
      </c>
      <c r="F356" t="n">
        <v>454</v>
      </c>
      <c r="G356" t="n">
        <v>355</v>
      </c>
      <c r="H356">
        <f>SQRT((F356-D356)^2+(G356-E356)^2)</f>
        <v/>
      </c>
      <c r="I356" t="n">
        <v>0.2173913043478261</v>
      </c>
      <c r="J356">
        <f>H356*I356</f>
        <v/>
      </c>
      <c r="M356">
        <f>IF(OR(K356="",L356=""),"",MAX(K356,L356))</f>
        <v/>
      </c>
      <c r="N356" t="n">
        <v>0</v>
      </c>
      <c r="O356" t="inlineStr">
        <is>
          <t>是</t>
        </is>
      </c>
      <c r="P356">
        <f>IF(OR(M356="",M356&lt;=18),"PASS","ANGLE_ALERT")</f>
        <v/>
      </c>
      <c r="Q356" t="inlineStr">
        <is>
          <t>样品38</t>
        </is>
      </c>
    </row>
    <row r="357">
      <c r="A357" t="inlineStr">
        <is>
          <t>38(3)-P01</t>
        </is>
      </c>
      <c r="B357" t="inlineStr">
        <is>
          <t>38 (3).tif</t>
        </is>
      </c>
      <c r="C357" t="inlineStr">
        <is>
          <t>L2</t>
        </is>
      </c>
      <c r="D357" t="n">
        <v>463</v>
      </c>
      <c r="E357" t="n">
        <v>346</v>
      </c>
      <c r="F357" t="n">
        <v>462</v>
      </c>
      <c r="G357" t="n">
        <v>356</v>
      </c>
      <c r="H357">
        <f>SQRT((F357-D357)^2+(G357-E357)^2)</f>
        <v/>
      </c>
      <c r="I357" t="n">
        <v>0.2173913043478261</v>
      </c>
      <c r="J357">
        <f>H357*I357</f>
        <v/>
      </c>
      <c r="M357">
        <f>IF(OR(K357="",L357=""),"",MAX(K357,L357))</f>
        <v/>
      </c>
      <c r="N357" t="n">
        <v>0.5</v>
      </c>
      <c r="O357" t="inlineStr">
        <is>
          <t>是</t>
        </is>
      </c>
      <c r="P357">
        <f>IF(OR(M357="",M357&lt;=18),"PASS","ANGLE_ALERT")</f>
        <v/>
      </c>
      <c r="Q357" t="inlineStr">
        <is>
          <t>样品38</t>
        </is>
      </c>
    </row>
    <row r="358">
      <c r="A358" t="inlineStr">
        <is>
          <t>38(3)-P01</t>
        </is>
      </c>
      <c r="B358" t="inlineStr">
        <is>
          <t>38 (3).tif</t>
        </is>
      </c>
      <c r="C358" t="inlineStr">
        <is>
          <t>L3</t>
        </is>
      </c>
      <c r="D358" t="n">
        <v>470</v>
      </c>
      <c r="E358" t="n">
        <v>347</v>
      </c>
      <c r="F358" t="n">
        <v>470</v>
      </c>
      <c r="G358" t="n">
        <v>358</v>
      </c>
      <c r="H358">
        <f>SQRT((F358-D358)^2+(G358-E358)^2)</f>
        <v/>
      </c>
      <c r="I358" t="n">
        <v>0.2173913043478261</v>
      </c>
      <c r="J358">
        <f>H358*I358</f>
        <v/>
      </c>
      <c r="M358">
        <f>IF(OR(K358="",L358=""),"",MAX(K358,L358))</f>
        <v/>
      </c>
      <c r="N358" t="n">
        <v>1</v>
      </c>
      <c r="O358" t="inlineStr">
        <is>
          <t>是</t>
        </is>
      </c>
      <c r="P358">
        <f>IF(OR(M358="",M358&lt;=18),"PASS","ANGLE_ALERT")</f>
        <v/>
      </c>
      <c r="Q358" t="inlineStr">
        <is>
          <t>样品38</t>
        </is>
      </c>
    </row>
    <row r="359">
      <c r="A359" t="inlineStr">
        <is>
          <t>38(6)-P01</t>
        </is>
      </c>
      <c r="B359" t="inlineStr">
        <is>
          <t>38 (6).tif</t>
        </is>
      </c>
      <c r="C359" t="inlineStr">
        <is>
          <t>L1</t>
        </is>
      </c>
      <c r="D359" t="n">
        <v>441</v>
      </c>
      <c r="E359" t="n">
        <v>364</v>
      </c>
      <c r="F359" t="n">
        <v>431</v>
      </c>
      <c r="G359" t="n">
        <v>364</v>
      </c>
      <c r="H359">
        <f>SQRT((F359-D359)^2+(G359-E359)^2)</f>
        <v/>
      </c>
      <c r="I359" t="n">
        <v>0.2173913043478261</v>
      </c>
      <c r="J359">
        <f>H359*I359</f>
        <v/>
      </c>
      <c r="M359">
        <f>IF(OR(K359="",L359=""),"",MAX(K359,L359))</f>
        <v/>
      </c>
      <c r="N359" t="n">
        <v>0</v>
      </c>
      <c r="O359" t="inlineStr">
        <is>
          <t>是</t>
        </is>
      </c>
      <c r="P359">
        <f>IF(OR(M359="",M359&lt;=18),"PASS","ANGLE_ALERT")</f>
        <v/>
      </c>
      <c r="Q359" t="inlineStr">
        <is>
          <t>样品38</t>
        </is>
      </c>
    </row>
    <row r="360">
      <c r="A360" t="inlineStr">
        <is>
          <t>38(6)-P01</t>
        </is>
      </c>
      <c r="B360" t="inlineStr">
        <is>
          <t>38 (6).tif</t>
        </is>
      </c>
      <c r="C360" t="inlineStr">
        <is>
          <t>L2</t>
        </is>
      </c>
      <c r="D360" t="n">
        <v>439</v>
      </c>
      <c r="E360" t="n">
        <v>372</v>
      </c>
      <c r="F360" t="n">
        <v>430</v>
      </c>
      <c r="G360" t="n">
        <v>372</v>
      </c>
      <c r="H360">
        <f>SQRT((F360-D360)^2+(G360-E360)^2)</f>
        <v/>
      </c>
      <c r="I360" t="n">
        <v>0.2173913043478261</v>
      </c>
      <c r="J360">
        <f>H360*I360</f>
        <v/>
      </c>
      <c r="M360">
        <f>IF(OR(K360="",L360=""),"",MAX(K360,L360))</f>
        <v/>
      </c>
      <c r="N360" t="n">
        <v>0.5</v>
      </c>
      <c r="O360" t="inlineStr">
        <is>
          <t>是</t>
        </is>
      </c>
      <c r="P360">
        <f>IF(OR(M360="",M360&lt;=18),"PASS","ANGLE_ALERT")</f>
        <v/>
      </c>
      <c r="Q360" t="inlineStr">
        <is>
          <t>样品38</t>
        </is>
      </c>
    </row>
    <row r="361">
      <c r="A361" t="inlineStr">
        <is>
          <t>38(6)-P01</t>
        </is>
      </c>
      <c r="B361" t="inlineStr">
        <is>
          <t>38 (6).tif</t>
        </is>
      </c>
      <c r="C361" t="inlineStr">
        <is>
          <t>L3</t>
        </is>
      </c>
      <c r="D361" t="n">
        <v>438</v>
      </c>
      <c r="E361" t="n">
        <v>382</v>
      </c>
      <c r="F361" t="n">
        <v>429</v>
      </c>
      <c r="G361" t="n">
        <v>378</v>
      </c>
      <c r="H361">
        <f>SQRT((F361-D361)^2+(G361-E361)^2)</f>
        <v/>
      </c>
      <c r="I361" t="n">
        <v>0.2173913043478261</v>
      </c>
      <c r="J361">
        <f>H361*I361</f>
        <v/>
      </c>
      <c r="M361">
        <f>IF(OR(K361="",L361=""),"",MAX(K361,L361))</f>
        <v/>
      </c>
      <c r="N361" t="n">
        <v>1</v>
      </c>
      <c r="O361" t="inlineStr">
        <is>
          <t>是</t>
        </is>
      </c>
      <c r="P361">
        <f>IF(OR(M361="",M361&lt;=18),"PASS","ANGLE_ALERT")</f>
        <v/>
      </c>
      <c r="Q361" t="inlineStr">
        <is>
          <t>样品38</t>
        </is>
      </c>
    </row>
    <row r="362">
      <c r="A362" t="inlineStr">
        <is>
          <t>39(2)-P01</t>
        </is>
      </c>
      <c r="B362" t="inlineStr">
        <is>
          <t>39 (2).tif</t>
        </is>
      </c>
      <c r="C362" t="inlineStr">
        <is>
          <t>L1</t>
        </is>
      </c>
      <c r="D362" t="n">
        <v>535</v>
      </c>
      <c r="E362" t="n">
        <v>356</v>
      </c>
      <c r="F362" t="n">
        <v>525</v>
      </c>
      <c r="G362" t="n">
        <v>376</v>
      </c>
      <c r="H362">
        <f>SQRT((F362-D362)^2+(G362-E362)^2)</f>
        <v/>
      </c>
      <c r="I362" t="n">
        <v>0.2173913043478261</v>
      </c>
      <c r="J362">
        <f>H362*I362</f>
        <v/>
      </c>
      <c r="M362">
        <f>IF(OR(K362="",L362=""),"",MAX(K362,L362))</f>
        <v/>
      </c>
      <c r="N362" t="n">
        <v>0.5</v>
      </c>
      <c r="O362" t="inlineStr">
        <is>
          <t>是</t>
        </is>
      </c>
      <c r="P362">
        <f>IF(OR(M362="",M362&lt;=18),"PASS","ANGLE_ALERT")</f>
        <v/>
      </c>
      <c r="Q362" t="inlineStr">
        <is>
          <t>样品39</t>
        </is>
      </c>
    </row>
    <row r="363">
      <c r="A363" t="inlineStr">
        <is>
          <t>39(2)-P01</t>
        </is>
      </c>
      <c r="B363" t="inlineStr">
        <is>
          <t>39 (2).tif</t>
        </is>
      </c>
      <c r="C363" t="inlineStr">
        <is>
          <t>L2</t>
        </is>
      </c>
      <c r="D363" t="n">
        <v>524</v>
      </c>
      <c r="E363" t="n">
        <v>352</v>
      </c>
      <c r="F363" t="n">
        <v>514</v>
      </c>
      <c r="G363" t="n">
        <v>369</v>
      </c>
      <c r="H363">
        <f>SQRT((F363-D363)^2+(G363-E363)^2)</f>
        <v/>
      </c>
      <c r="I363" t="n">
        <v>0.2173913043478261</v>
      </c>
      <c r="J363">
        <f>H363*I363</f>
        <v/>
      </c>
      <c r="M363">
        <f>IF(OR(K363="",L363=""),"",MAX(K363,L363))</f>
        <v/>
      </c>
      <c r="N363" t="n">
        <v>0.5</v>
      </c>
      <c r="O363" t="inlineStr">
        <is>
          <t>是</t>
        </is>
      </c>
      <c r="P363">
        <f>IF(OR(M363="",M363&lt;=18),"PASS","ANGLE_ALERT")</f>
        <v/>
      </c>
      <c r="Q363" t="inlineStr">
        <is>
          <t>样品39</t>
        </is>
      </c>
    </row>
    <row r="364">
      <c r="A364" t="inlineStr">
        <is>
          <t>39(2)-P01</t>
        </is>
      </c>
      <c r="B364" t="inlineStr">
        <is>
          <t>39 (2).tif</t>
        </is>
      </c>
      <c r="C364" t="inlineStr">
        <is>
          <t>L3</t>
        </is>
      </c>
      <c r="D364" t="n">
        <v>513</v>
      </c>
      <c r="E364" t="n">
        <v>346</v>
      </c>
      <c r="F364" t="n">
        <v>504</v>
      </c>
      <c r="G364" t="n">
        <v>365</v>
      </c>
      <c r="H364">
        <f>SQRT((F364-D364)^2+(G364-E364)^2)</f>
        <v/>
      </c>
      <c r="I364" t="n">
        <v>0.2173913043478261</v>
      </c>
      <c r="J364">
        <f>H364*I364</f>
        <v/>
      </c>
      <c r="M364">
        <f>IF(OR(K364="",L364=""),"",MAX(K364,L364))</f>
        <v/>
      </c>
      <c r="N364" t="n">
        <v>0.5</v>
      </c>
      <c r="O364" t="inlineStr">
        <is>
          <t>是</t>
        </is>
      </c>
      <c r="P364">
        <f>IF(OR(M364="",M364&lt;=18),"PASS","ANGLE_ALERT")</f>
        <v/>
      </c>
      <c r="Q364" t="inlineStr">
        <is>
          <t>样品39</t>
        </is>
      </c>
    </row>
    <row r="365">
      <c r="A365" t="inlineStr">
        <is>
          <t>39(4)-P01</t>
        </is>
      </c>
      <c r="B365" t="inlineStr">
        <is>
          <t>39 (4).tif</t>
        </is>
      </c>
      <c r="C365" t="inlineStr">
        <is>
          <t>L1</t>
        </is>
      </c>
      <c r="D365" t="n">
        <v>529</v>
      </c>
      <c r="E365" t="n">
        <v>367</v>
      </c>
      <c r="F365" t="n">
        <v>514</v>
      </c>
      <c r="G365" t="n">
        <v>355</v>
      </c>
      <c r="H365">
        <f>SQRT((F365-D365)^2+(G365-E365)^2)</f>
        <v/>
      </c>
      <c r="I365" t="n">
        <v>0.2173913043478261</v>
      </c>
      <c r="J365">
        <f>H365*I365</f>
        <v/>
      </c>
      <c r="M365">
        <f>IF(OR(K365="",L365=""),"",MAX(K365,L365))</f>
        <v/>
      </c>
      <c r="N365" t="n">
        <v>0.5</v>
      </c>
      <c r="O365" t="inlineStr">
        <is>
          <t>是</t>
        </is>
      </c>
      <c r="P365">
        <f>IF(OR(M365="",M365&lt;=18),"PASS","ANGLE_ALERT")</f>
        <v/>
      </c>
      <c r="Q365" t="inlineStr">
        <is>
          <t>样品39</t>
        </is>
      </c>
    </row>
    <row r="366">
      <c r="A366" t="inlineStr">
        <is>
          <t>39(4)-P01</t>
        </is>
      </c>
      <c r="B366" t="inlineStr">
        <is>
          <t>39 (4).tif</t>
        </is>
      </c>
      <c r="C366" t="inlineStr">
        <is>
          <t>L2</t>
        </is>
      </c>
      <c r="D366" t="n">
        <v>518</v>
      </c>
      <c r="E366" t="n">
        <v>383</v>
      </c>
      <c r="F366" t="n">
        <v>472</v>
      </c>
      <c r="G366" t="n">
        <v>371</v>
      </c>
      <c r="H366">
        <f>SQRT((F366-D366)^2+(G366-E366)^2)</f>
        <v/>
      </c>
      <c r="I366" t="n">
        <v>0.2173913043478261</v>
      </c>
      <c r="J366">
        <f>H366*I366</f>
        <v/>
      </c>
      <c r="M366">
        <f>IF(OR(K366="",L366=""),"",MAX(K366,L366))</f>
        <v/>
      </c>
      <c r="N366" t="n">
        <v>0.5</v>
      </c>
      <c r="O366" t="inlineStr">
        <is>
          <t>是</t>
        </is>
      </c>
      <c r="P366">
        <f>IF(OR(M366="",M366&lt;=18),"PASS","ANGLE_ALERT")</f>
        <v/>
      </c>
      <c r="Q366" t="inlineStr">
        <is>
          <t>样品39</t>
        </is>
      </c>
    </row>
    <row r="367">
      <c r="A367" t="inlineStr">
        <is>
          <t>39(4)-P01</t>
        </is>
      </c>
      <c r="B367" t="inlineStr">
        <is>
          <t>39 (4).tif</t>
        </is>
      </c>
      <c r="C367" t="inlineStr">
        <is>
          <t>L3</t>
        </is>
      </c>
      <c r="D367" t="n">
        <v>565</v>
      </c>
      <c r="E367" t="n">
        <v>349</v>
      </c>
      <c r="F367" t="n">
        <v>525</v>
      </c>
      <c r="G367" t="n">
        <v>338</v>
      </c>
      <c r="H367">
        <f>SQRT((F367-D367)^2+(G367-E367)^2)</f>
        <v/>
      </c>
      <c r="I367" t="n">
        <v>0.2173913043478261</v>
      </c>
      <c r="J367">
        <f>H367*I367</f>
        <v/>
      </c>
      <c r="M367">
        <f>IF(OR(K367="",L367=""),"",MAX(K367,L367))</f>
        <v/>
      </c>
      <c r="N367" t="n">
        <v>0.5</v>
      </c>
      <c r="O367" t="inlineStr">
        <is>
          <t>是</t>
        </is>
      </c>
      <c r="P367">
        <f>IF(OR(M367="",M367&lt;=18),"PASS","ANGLE_ALERT")</f>
        <v/>
      </c>
      <c r="Q367" t="inlineStr">
        <is>
          <t>样品39</t>
        </is>
      </c>
    </row>
    <row r="368">
      <c r="A368" t="inlineStr">
        <is>
          <t>39(7)-P01</t>
        </is>
      </c>
      <c r="B368" t="inlineStr">
        <is>
          <t>39 (7).tif</t>
        </is>
      </c>
      <c r="C368" t="inlineStr">
        <is>
          <t>L1</t>
        </is>
      </c>
      <c r="D368" t="n">
        <v>482</v>
      </c>
      <c r="E368" t="n">
        <v>391</v>
      </c>
      <c r="F368" t="n">
        <v>464</v>
      </c>
      <c r="G368" t="n">
        <v>402</v>
      </c>
      <c r="H368">
        <f>SQRT((F368-D368)^2+(G368-E368)^2)</f>
        <v/>
      </c>
      <c r="I368" t="n">
        <v>0.2173913043478261</v>
      </c>
      <c r="J368">
        <f>H368*I368</f>
        <v/>
      </c>
      <c r="M368">
        <f>IF(OR(K368="",L368=""),"",MAX(K368,L368))</f>
        <v/>
      </c>
      <c r="N368" t="n">
        <v>0.5</v>
      </c>
      <c r="O368" t="inlineStr">
        <is>
          <t>是</t>
        </is>
      </c>
      <c r="P368">
        <f>IF(OR(M368="",M368&lt;=18),"PASS","ANGLE_ALERT")</f>
        <v/>
      </c>
      <c r="Q368" t="inlineStr">
        <is>
          <t>样品39</t>
        </is>
      </c>
    </row>
    <row r="369">
      <c r="A369" t="inlineStr">
        <is>
          <t>39(7)-P01</t>
        </is>
      </c>
      <c r="B369" t="inlineStr">
        <is>
          <t>39 (7).tif</t>
        </is>
      </c>
      <c r="C369" t="inlineStr">
        <is>
          <t>L2</t>
        </is>
      </c>
      <c r="D369" t="n">
        <v>484</v>
      </c>
      <c r="E369" t="n">
        <v>394</v>
      </c>
      <c r="F369" t="n">
        <v>468</v>
      </c>
      <c r="G369" t="n">
        <v>419</v>
      </c>
      <c r="H369">
        <f>SQRT((F369-D369)^2+(G369-E369)^2)</f>
        <v/>
      </c>
      <c r="I369" t="n">
        <v>0.2173913043478261</v>
      </c>
      <c r="J369">
        <f>H369*I369</f>
        <v/>
      </c>
      <c r="M369">
        <f>IF(OR(K369="",L369=""),"",MAX(K369,L369))</f>
        <v/>
      </c>
      <c r="N369" t="n">
        <v>0.5</v>
      </c>
      <c r="O369" t="inlineStr">
        <is>
          <t>是</t>
        </is>
      </c>
      <c r="P369">
        <f>IF(OR(M369="",M369&lt;=18),"PASS","ANGLE_ALERT")</f>
        <v/>
      </c>
      <c r="Q369" t="inlineStr">
        <is>
          <t>样品39</t>
        </is>
      </c>
    </row>
    <row r="370">
      <c r="A370" t="inlineStr">
        <is>
          <t>39(7)-P01</t>
        </is>
      </c>
      <c r="B370" t="inlineStr">
        <is>
          <t>39 (7).tif</t>
        </is>
      </c>
      <c r="C370" t="inlineStr">
        <is>
          <t>L3</t>
        </is>
      </c>
      <c r="D370" t="n">
        <v>477</v>
      </c>
      <c r="E370" t="n">
        <v>382</v>
      </c>
      <c r="F370" t="n">
        <v>459</v>
      </c>
      <c r="G370" t="n">
        <v>393</v>
      </c>
      <c r="H370">
        <f>SQRT((F370-D370)^2+(G370-E370)^2)</f>
        <v/>
      </c>
      <c r="I370" t="n">
        <v>0.2173913043478261</v>
      </c>
      <c r="J370">
        <f>H370*I370</f>
        <v/>
      </c>
      <c r="M370">
        <f>IF(OR(K370="",L370=""),"",MAX(K370,L370))</f>
        <v/>
      </c>
      <c r="N370" t="n">
        <v>0.5</v>
      </c>
      <c r="O370" t="inlineStr">
        <is>
          <t>是</t>
        </is>
      </c>
      <c r="P370">
        <f>IF(OR(M370="",M370&lt;=18),"PASS","ANGLE_ALERT")</f>
        <v/>
      </c>
      <c r="Q370" t="inlineStr">
        <is>
          <t>样品39</t>
        </is>
      </c>
    </row>
    <row r="371">
      <c r="A371" t="inlineStr">
        <is>
          <t>40(1)-P01</t>
        </is>
      </c>
      <c r="B371" t="inlineStr">
        <is>
          <t>40 (1).tif</t>
        </is>
      </c>
      <c r="C371" t="inlineStr">
        <is>
          <t>L1</t>
        </is>
      </c>
      <c r="D371" t="n">
        <v>504</v>
      </c>
      <c r="E371" t="n">
        <v>390</v>
      </c>
      <c r="F371" t="n">
        <v>492</v>
      </c>
      <c r="G371" t="n">
        <v>373</v>
      </c>
      <c r="H371">
        <f>SQRT((F371-D371)^2+(G371-E371)^2)</f>
        <v/>
      </c>
      <c r="I371" t="n">
        <v>0.2173913043478261</v>
      </c>
      <c r="J371">
        <f>H371*I371</f>
        <v/>
      </c>
      <c r="M371">
        <f>IF(OR(K371="",L371=""),"",MAX(K371,L371))</f>
        <v/>
      </c>
      <c r="N371" t="n">
        <v>0.5</v>
      </c>
      <c r="O371" t="inlineStr">
        <is>
          <t>是</t>
        </is>
      </c>
      <c r="P371">
        <f>IF(OR(M371="",M371&lt;=18),"PASS","ANGLE_ALERT")</f>
        <v/>
      </c>
      <c r="Q371" t="inlineStr">
        <is>
          <t>样品40</t>
        </is>
      </c>
    </row>
    <row r="372">
      <c r="A372" t="inlineStr">
        <is>
          <t>40(1)-P01</t>
        </is>
      </c>
      <c r="B372" t="inlineStr">
        <is>
          <t>40 (1).tif</t>
        </is>
      </c>
      <c r="C372" t="inlineStr">
        <is>
          <t>L2</t>
        </is>
      </c>
      <c r="D372" t="n">
        <v>493</v>
      </c>
      <c r="E372" t="n">
        <v>408</v>
      </c>
      <c r="F372" t="n">
        <v>464</v>
      </c>
      <c r="G372" t="n">
        <v>386</v>
      </c>
      <c r="H372">
        <f>SQRT((F372-D372)^2+(G372-E372)^2)</f>
        <v/>
      </c>
      <c r="I372" t="n">
        <v>0.2173913043478261</v>
      </c>
      <c r="J372">
        <f>H372*I372</f>
        <v/>
      </c>
      <c r="M372">
        <f>IF(OR(K372="",L372=""),"",MAX(K372,L372))</f>
        <v/>
      </c>
      <c r="N372" t="n">
        <v>0.5</v>
      </c>
      <c r="O372" t="inlineStr">
        <is>
          <t>是</t>
        </is>
      </c>
      <c r="P372">
        <f>IF(OR(M372="",M372&lt;=18),"PASS","ANGLE_ALERT")</f>
        <v/>
      </c>
      <c r="Q372" t="inlineStr">
        <is>
          <t>样品40</t>
        </is>
      </c>
    </row>
    <row r="373">
      <c r="A373" t="inlineStr">
        <is>
          <t>40(1)-P01</t>
        </is>
      </c>
      <c r="B373" t="inlineStr">
        <is>
          <t>40 (1).tif</t>
        </is>
      </c>
      <c r="C373" t="inlineStr">
        <is>
          <t>L3</t>
        </is>
      </c>
      <c r="D373" t="n">
        <v>514</v>
      </c>
      <c r="E373" t="n">
        <v>380</v>
      </c>
      <c r="F373" t="n">
        <v>498</v>
      </c>
      <c r="G373" t="n">
        <v>367</v>
      </c>
      <c r="H373">
        <f>SQRT((F373-D373)^2+(G373-E373)^2)</f>
        <v/>
      </c>
      <c r="I373" t="n">
        <v>0.2173913043478261</v>
      </c>
      <c r="J373">
        <f>H373*I373</f>
        <v/>
      </c>
      <c r="M373">
        <f>IF(OR(K373="",L373=""),"",MAX(K373,L373))</f>
        <v/>
      </c>
      <c r="N373" t="n">
        <v>0.5</v>
      </c>
      <c r="O373" t="inlineStr">
        <is>
          <t>是</t>
        </is>
      </c>
      <c r="P373">
        <f>IF(OR(M373="",M373&lt;=18),"PASS","ANGLE_ALERT")</f>
        <v/>
      </c>
      <c r="Q373" t="inlineStr">
        <is>
          <t>样品40</t>
        </is>
      </c>
    </row>
    <row r="374">
      <c r="A374" t="inlineStr">
        <is>
          <t>40(3)-P01</t>
        </is>
      </c>
      <c r="B374" t="inlineStr">
        <is>
          <t>40 (3).tif</t>
        </is>
      </c>
      <c r="C374" t="inlineStr">
        <is>
          <t>L1</t>
        </is>
      </c>
      <c r="D374" t="n">
        <v>453</v>
      </c>
      <c r="E374" t="n">
        <v>306</v>
      </c>
      <c r="F374" t="n">
        <v>454</v>
      </c>
      <c r="G374" t="n">
        <v>319</v>
      </c>
      <c r="H374">
        <f>SQRT((F374-D374)^2+(G374-E374)^2)</f>
        <v/>
      </c>
      <c r="I374" t="n">
        <v>0.2173913043478261</v>
      </c>
      <c r="J374">
        <f>H374*I374</f>
        <v/>
      </c>
      <c r="M374">
        <f>IF(OR(K374="",L374=""),"",MAX(K374,L374))</f>
        <v/>
      </c>
      <c r="N374" t="n">
        <v>0.5</v>
      </c>
      <c r="O374" t="inlineStr">
        <is>
          <t>是</t>
        </is>
      </c>
      <c r="P374">
        <f>IF(OR(M374="",M374&lt;=18),"PASS","ANGLE_ALERT")</f>
        <v/>
      </c>
      <c r="Q374" t="inlineStr">
        <is>
          <t>样品40</t>
        </is>
      </c>
    </row>
    <row r="375">
      <c r="A375" t="inlineStr">
        <is>
          <t>40(3)-P01</t>
        </is>
      </c>
      <c r="B375" t="inlineStr">
        <is>
          <t>40 (3).tif</t>
        </is>
      </c>
      <c r="C375" t="inlineStr">
        <is>
          <t>L2</t>
        </is>
      </c>
      <c r="D375" t="n">
        <v>444</v>
      </c>
      <c r="E375" t="n">
        <v>305</v>
      </c>
      <c r="F375" t="n">
        <v>444</v>
      </c>
      <c r="G375" t="n">
        <v>318</v>
      </c>
      <c r="H375">
        <f>SQRT((F375-D375)^2+(G375-E375)^2)</f>
        <v/>
      </c>
      <c r="I375" t="n">
        <v>0.2173913043478261</v>
      </c>
      <c r="J375">
        <f>H375*I375</f>
        <v/>
      </c>
      <c r="M375">
        <f>IF(OR(K375="",L375=""),"",MAX(K375,L375))</f>
        <v/>
      </c>
      <c r="N375" t="n">
        <v>0.5</v>
      </c>
      <c r="O375" t="inlineStr">
        <is>
          <t>是</t>
        </is>
      </c>
      <c r="P375">
        <f>IF(OR(M375="",M375&lt;=18),"PASS","ANGLE_ALERT")</f>
        <v/>
      </c>
      <c r="Q375" t="inlineStr">
        <is>
          <t>样品40</t>
        </is>
      </c>
    </row>
    <row r="376">
      <c r="A376" t="inlineStr">
        <is>
          <t>40(4)-P01</t>
        </is>
      </c>
      <c r="B376" t="inlineStr">
        <is>
          <t>40 (4).tif</t>
        </is>
      </c>
      <c r="C376" t="inlineStr">
        <is>
          <t>L1</t>
        </is>
      </c>
      <c r="D376" t="n">
        <v>452</v>
      </c>
      <c r="E376" t="n">
        <v>401</v>
      </c>
      <c r="F376" t="n">
        <v>475</v>
      </c>
      <c r="G376" t="n">
        <v>429</v>
      </c>
      <c r="H376">
        <f>SQRT((F376-D376)^2+(G376-E376)^2)</f>
        <v/>
      </c>
      <c r="I376" t="n">
        <v>0.2173913043478261</v>
      </c>
      <c r="J376">
        <f>H376*I376</f>
        <v/>
      </c>
      <c r="M376">
        <f>IF(OR(K376="",L376=""),"",MAX(K376,L376))</f>
        <v/>
      </c>
      <c r="N376" t="n">
        <v>0.5</v>
      </c>
      <c r="O376" t="inlineStr">
        <is>
          <t>是</t>
        </is>
      </c>
      <c r="P376">
        <f>IF(OR(M376="",M376&lt;=18),"PASS","ANGLE_ALERT")</f>
        <v/>
      </c>
      <c r="Q376" t="inlineStr">
        <is>
          <t>样品40</t>
        </is>
      </c>
    </row>
    <row r="377">
      <c r="A377" t="inlineStr">
        <is>
          <t>40(4)-P01</t>
        </is>
      </c>
      <c r="B377" t="inlineStr">
        <is>
          <t>40 (4).tif</t>
        </is>
      </c>
      <c r="C377" t="inlineStr">
        <is>
          <t>L2</t>
        </is>
      </c>
      <c r="D377" t="n">
        <v>459</v>
      </c>
      <c r="E377" t="n">
        <v>394</v>
      </c>
      <c r="F377" t="n">
        <v>495</v>
      </c>
      <c r="G377" t="n">
        <v>421</v>
      </c>
      <c r="H377">
        <f>SQRT((F377-D377)^2+(G377-E377)^2)</f>
        <v/>
      </c>
      <c r="I377" t="n">
        <v>0.2173913043478261</v>
      </c>
      <c r="J377">
        <f>H377*I377</f>
        <v/>
      </c>
      <c r="M377">
        <f>IF(OR(K377="",L377=""),"",MAX(K377,L377))</f>
        <v/>
      </c>
      <c r="N377" t="n">
        <v>0.5</v>
      </c>
      <c r="O377" t="inlineStr">
        <is>
          <t>是</t>
        </is>
      </c>
      <c r="P377">
        <f>IF(OR(M377="",M377&lt;=18),"PASS","ANGLE_ALERT")</f>
        <v/>
      </c>
      <c r="Q377" t="inlineStr">
        <is>
          <t>样品40</t>
        </is>
      </c>
    </row>
    <row r="378">
      <c r="A378" t="inlineStr">
        <is>
          <t>40(4)-P01</t>
        </is>
      </c>
      <c r="B378" t="inlineStr">
        <is>
          <t>40 (4).tif</t>
        </is>
      </c>
      <c r="C378" t="inlineStr">
        <is>
          <t>L3</t>
        </is>
      </c>
      <c r="D378" t="n">
        <v>443</v>
      </c>
      <c r="E378" t="n">
        <v>409</v>
      </c>
      <c r="F378" t="n">
        <v>466</v>
      </c>
      <c r="G378" t="n">
        <v>436</v>
      </c>
      <c r="H378">
        <f>SQRT((F378-D378)^2+(G378-E378)^2)</f>
        <v/>
      </c>
      <c r="I378" t="n">
        <v>0.2173913043478261</v>
      </c>
      <c r="J378">
        <f>H378*I378</f>
        <v/>
      </c>
      <c r="M378">
        <f>IF(OR(K378="",L378=""),"",MAX(K378,L378))</f>
        <v/>
      </c>
      <c r="N378" t="n">
        <v>0.5</v>
      </c>
      <c r="O378" t="inlineStr">
        <is>
          <t>是</t>
        </is>
      </c>
      <c r="P378">
        <f>IF(OR(M378="",M378&lt;=18),"PASS","ANGLE_ALERT")</f>
        <v/>
      </c>
      <c r="Q378" t="inlineStr">
        <is>
          <t>样品40</t>
        </is>
      </c>
    </row>
    <row r="379">
      <c r="A379" t="inlineStr">
        <is>
          <t>40(5)-P01</t>
        </is>
      </c>
      <c r="B379" t="inlineStr">
        <is>
          <t>40 (5).tif</t>
        </is>
      </c>
      <c r="C379" t="inlineStr">
        <is>
          <t>L1</t>
        </is>
      </c>
      <c r="D379" t="n">
        <v>895</v>
      </c>
      <c r="E379" t="n">
        <v>345</v>
      </c>
      <c r="F379" t="n">
        <v>918</v>
      </c>
      <c r="G379" t="n">
        <v>376</v>
      </c>
      <c r="H379">
        <f>SQRT((F379-D379)^2+(G379-E379)^2)</f>
        <v/>
      </c>
      <c r="I379" t="n">
        <v>0.2173913043478261</v>
      </c>
      <c r="J379">
        <f>H379*I379</f>
        <v/>
      </c>
      <c r="M379">
        <f>IF(OR(K379="",L379=""),"",MAX(K379,L379))</f>
        <v/>
      </c>
      <c r="N379" t="n">
        <v>0.5</v>
      </c>
      <c r="O379" t="inlineStr">
        <is>
          <t>是</t>
        </is>
      </c>
      <c r="P379">
        <f>IF(OR(M379="",M379&lt;=18),"PASS","ANGLE_ALERT")</f>
        <v/>
      </c>
      <c r="Q379" t="inlineStr">
        <is>
          <t>样品40</t>
        </is>
      </c>
    </row>
    <row r="380">
      <c r="A380" t="inlineStr">
        <is>
          <t>40(5)-P01</t>
        </is>
      </c>
      <c r="B380" t="inlineStr">
        <is>
          <t>40 (5).tif</t>
        </is>
      </c>
      <c r="C380" t="inlineStr">
        <is>
          <t>L2</t>
        </is>
      </c>
      <c r="D380" t="n">
        <v>875</v>
      </c>
      <c r="E380" t="n">
        <v>361</v>
      </c>
      <c r="F380" t="n">
        <v>900</v>
      </c>
      <c r="G380" t="n">
        <v>390</v>
      </c>
      <c r="H380">
        <f>SQRT((F380-D380)^2+(G380-E380)^2)</f>
        <v/>
      </c>
      <c r="I380" t="n">
        <v>0.2173913043478261</v>
      </c>
      <c r="J380">
        <f>H380*I380</f>
        <v/>
      </c>
      <c r="M380">
        <f>IF(OR(K380="",L380=""),"",MAX(K380,L380))</f>
        <v/>
      </c>
      <c r="N380" t="n">
        <v>0.5</v>
      </c>
      <c r="O380" t="inlineStr">
        <is>
          <t>是</t>
        </is>
      </c>
      <c r="P380">
        <f>IF(OR(M380="",M380&lt;=18),"PASS","ANGLE_ALERT")</f>
        <v/>
      </c>
      <c r="Q380" t="inlineStr">
        <is>
          <t>样品40</t>
        </is>
      </c>
    </row>
    <row r="381">
      <c r="A381" t="inlineStr">
        <is>
          <t>40(6)-P01</t>
        </is>
      </c>
      <c r="B381" t="inlineStr">
        <is>
          <t>40 (6).tif</t>
        </is>
      </c>
      <c r="C381" t="inlineStr">
        <is>
          <t>L1</t>
        </is>
      </c>
      <c r="D381" t="n">
        <v>484</v>
      </c>
      <c r="E381" t="n">
        <v>392</v>
      </c>
      <c r="F381" t="n">
        <v>508</v>
      </c>
      <c r="G381" t="n">
        <v>399</v>
      </c>
      <c r="H381">
        <f>SQRT((F381-D381)^2+(G381-E381)^2)</f>
        <v/>
      </c>
      <c r="I381" t="n">
        <v>0.2173913043478261</v>
      </c>
      <c r="J381">
        <f>H381*I381</f>
        <v/>
      </c>
      <c r="M381">
        <f>IF(OR(K381="",L381=""),"",MAX(K381,L381))</f>
        <v/>
      </c>
      <c r="N381" t="n">
        <v>0.5</v>
      </c>
      <c r="O381" t="inlineStr">
        <is>
          <t>是</t>
        </is>
      </c>
      <c r="P381">
        <f>IF(OR(M381="",M381&lt;=18),"PASS","ANGLE_ALERT")</f>
        <v/>
      </c>
      <c r="Q381" t="inlineStr">
        <is>
          <t>样品40</t>
        </is>
      </c>
    </row>
    <row r="382">
      <c r="A382" t="inlineStr">
        <is>
          <t>40(7)-P01</t>
        </is>
      </c>
      <c r="B382" t="inlineStr">
        <is>
          <t>40 (7).tif</t>
        </is>
      </c>
      <c r="C382" t="inlineStr">
        <is>
          <t>L1</t>
        </is>
      </c>
      <c r="D382" t="n">
        <v>510</v>
      </c>
      <c r="E382" t="n">
        <v>368</v>
      </c>
      <c r="F382" t="n">
        <v>492</v>
      </c>
      <c r="G382" t="n">
        <v>391</v>
      </c>
      <c r="H382">
        <f>SQRT((F382-D382)^2+(G382-E382)^2)</f>
        <v/>
      </c>
      <c r="I382" t="n">
        <v>0.2173913043478261</v>
      </c>
      <c r="J382">
        <f>H382*I382</f>
        <v/>
      </c>
      <c r="M382">
        <f>IF(OR(K382="",L382=""),"",MAX(K382,L382))</f>
        <v/>
      </c>
      <c r="N382" t="n">
        <v>0.5</v>
      </c>
      <c r="O382" t="inlineStr">
        <is>
          <t>是</t>
        </is>
      </c>
      <c r="P382">
        <f>IF(OR(M382="",M382&lt;=18),"PASS","ANGLE_ALERT")</f>
        <v/>
      </c>
      <c r="Q382" t="inlineStr">
        <is>
          <t>样品40</t>
        </is>
      </c>
    </row>
    <row r="383">
      <c r="A383" t="inlineStr">
        <is>
          <t>40(7)-P01</t>
        </is>
      </c>
      <c r="B383" t="inlineStr">
        <is>
          <t>40 (7).tif</t>
        </is>
      </c>
      <c r="C383" t="inlineStr">
        <is>
          <t>L2</t>
        </is>
      </c>
      <c r="D383" t="n">
        <v>498</v>
      </c>
      <c r="E383" t="n">
        <v>362</v>
      </c>
      <c r="F383" t="n">
        <v>481</v>
      </c>
      <c r="G383" t="n">
        <v>383</v>
      </c>
      <c r="H383">
        <f>SQRT((F383-D383)^2+(G383-E383)^2)</f>
        <v/>
      </c>
      <c r="I383" t="n">
        <v>0.2173913043478261</v>
      </c>
      <c r="J383">
        <f>H383*I383</f>
        <v/>
      </c>
      <c r="M383">
        <f>IF(OR(K383="",L383=""),"",MAX(K383,L383))</f>
        <v/>
      </c>
      <c r="N383" t="n">
        <v>0.5</v>
      </c>
      <c r="O383" t="inlineStr">
        <is>
          <t>是</t>
        </is>
      </c>
      <c r="P383">
        <f>IF(OR(M383="",M383&lt;=18),"PASS","ANGLE_ALERT")</f>
        <v/>
      </c>
      <c r="Q383" t="inlineStr">
        <is>
          <t>样品40</t>
        </is>
      </c>
    </row>
    <row r="384">
      <c r="A384" t="inlineStr">
        <is>
          <t>40(7)-P01</t>
        </is>
      </c>
      <c r="B384" t="inlineStr">
        <is>
          <t>40 (7).tif</t>
        </is>
      </c>
      <c r="C384" t="inlineStr">
        <is>
          <t>L3</t>
        </is>
      </c>
      <c r="D384" t="n">
        <v>485</v>
      </c>
      <c r="E384" t="n">
        <v>353</v>
      </c>
      <c r="F384" t="n">
        <v>472</v>
      </c>
      <c r="G384" t="n">
        <v>378</v>
      </c>
      <c r="H384">
        <f>SQRT((F384-D384)^2+(G384-E384)^2)</f>
        <v/>
      </c>
      <c r="I384" t="n">
        <v>0.2173913043478261</v>
      </c>
      <c r="J384">
        <f>H384*I384</f>
        <v/>
      </c>
      <c r="M384">
        <f>IF(OR(K384="",L384=""),"",MAX(K384,L384))</f>
        <v/>
      </c>
      <c r="N384" t="n">
        <v>0.5</v>
      </c>
      <c r="O384" t="inlineStr">
        <is>
          <t>是</t>
        </is>
      </c>
      <c r="P384">
        <f>IF(OR(M384="",M384&lt;=18),"PASS","ANGLE_ALERT")</f>
        <v/>
      </c>
      <c r="Q384" t="inlineStr">
        <is>
          <t>样品40</t>
        </is>
      </c>
    </row>
    <row r="385">
      <c r="A385" t="inlineStr">
        <is>
          <t>40(8)-P01</t>
        </is>
      </c>
      <c r="B385" t="inlineStr">
        <is>
          <t>40 (8).tif</t>
        </is>
      </c>
      <c r="C385" t="inlineStr">
        <is>
          <t>L1</t>
        </is>
      </c>
      <c r="D385" t="n">
        <v>538</v>
      </c>
      <c r="E385" t="n">
        <v>343</v>
      </c>
      <c r="F385" t="n">
        <v>530</v>
      </c>
      <c r="G385" t="n">
        <v>368</v>
      </c>
      <c r="H385">
        <f>SQRT((F385-D385)^2+(G385-E385)^2)</f>
        <v/>
      </c>
      <c r="I385" t="n">
        <v>0.2173913043478261</v>
      </c>
      <c r="J385">
        <f>H385*I385</f>
        <v/>
      </c>
      <c r="M385">
        <f>IF(OR(K385="",L385=""),"",MAX(K385,L385))</f>
        <v/>
      </c>
      <c r="N385" t="n">
        <v>0.5</v>
      </c>
      <c r="O385" t="inlineStr">
        <is>
          <t>是</t>
        </is>
      </c>
      <c r="P385">
        <f>IF(OR(M385="",M385&lt;=18),"PASS","ANGLE_ALERT")</f>
        <v/>
      </c>
      <c r="Q385" t="inlineStr">
        <is>
          <t>样品40</t>
        </is>
      </c>
    </row>
    <row r="386">
      <c r="A386" t="inlineStr">
        <is>
          <t>40(8)-P01</t>
        </is>
      </c>
      <c r="B386" t="inlineStr">
        <is>
          <t>40 (8).tif</t>
        </is>
      </c>
      <c r="C386" t="inlineStr">
        <is>
          <t>L2</t>
        </is>
      </c>
      <c r="D386" t="n">
        <v>525</v>
      </c>
      <c r="E386" t="n">
        <v>339</v>
      </c>
      <c r="F386" t="n">
        <v>515</v>
      </c>
      <c r="G386" t="n">
        <v>362</v>
      </c>
      <c r="H386">
        <f>SQRT((F386-D386)^2+(G386-E386)^2)</f>
        <v/>
      </c>
      <c r="I386" t="n">
        <v>0.2173913043478261</v>
      </c>
      <c r="J386">
        <f>H386*I386</f>
        <v/>
      </c>
      <c r="M386">
        <f>IF(OR(K386="",L386=""),"",MAX(K386,L386))</f>
        <v/>
      </c>
      <c r="N386" t="n">
        <v>0.5</v>
      </c>
      <c r="O386" t="inlineStr">
        <is>
          <t>是</t>
        </is>
      </c>
      <c r="P386">
        <f>IF(OR(M386="",M386&lt;=18),"PASS","ANGLE_ALERT")</f>
        <v/>
      </c>
      <c r="Q386" t="inlineStr">
        <is>
          <t>样品40</t>
        </is>
      </c>
    </row>
    <row r="387">
      <c r="A387" t="inlineStr">
        <is>
          <t>40(8)-P01</t>
        </is>
      </c>
      <c r="B387" t="inlineStr">
        <is>
          <t>40 (8).tif</t>
        </is>
      </c>
      <c r="C387" t="inlineStr">
        <is>
          <t>L3</t>
        </is>
      </c>
      <c r="D387" t="n">
        <v>516</v>
      </c>
      <c r="E387" t="n">
        <v>335</v>
      </c>
      <c r="F387" t="n">
        <v>506</v>
      </c>
      <c r="G387" t="n">
        <v>360</v>
      </c>
      <c r="H387">
        <f>SQRT((F387-D387)^2+(G387-E387)^2)</f>
        <v/>
      </c>
      <c r="I387" t="n">
        <v>0.2173913043478261</v>
      </c>
      <c r="J387">
        <f>H387*I387</f>
        <v/>
      </c>
      <c r="M387">
        <f>IF(OR(K387="",L387=""),"",MAX(K387,L387))</f>
        <v/>
      </c>
      <c r="N387" t="n">
        <v>0.5</v>
      </c>
      <c r="O387" t="inlineStr">
        <is>
          <t>是</t>
        </is>
      </c>
      <c r="P387">
        <f>IF(OR(M387="",M387&lt;=18),"PASS","ANGLE_ALERT")</f>
        <v/>
      </c>
      <c r="Q387" t="inlineStr">
        <is>
          <t>样品40</t>
        </is>
      </c>
    </row>
    <row r="388">
      <c r="A388" t="inlineStr">
        <is>
          <t>40(9)-P01</t>
        </is>
      </c>
      <c r="B388" t="inlineStr">
        <is>
          <t>40 (9).tif</t>
        </is>
      </c>
      <c r="C388" t="inlineStr">
        <is>
          <t>L1</t>
        </is>
      </c>
      <c r="D388" t="n">
        <v>512</v>
      </c>
      <c r="E388" t="n">
        <v>382</v>
      </c>
      <c r="F388" t="n">
        <v>504</v>
      </c>
      <c r="G388" t="n">
        <v>363</v>
      </c>
      <c r="H388">
        <f>SQRT((F388-D388)^2+(G388-E388)^2)</f>
        <v/>
      </c>
      <c r="I388" t="n">
        <v>0.2173913043478261</v>
      </c>
      <c r="J388">
        <f>H388*I388</f>
        <v/>
      </c>
      <c r="M388">
        <f>IF(OR(K388="",L388=""),"",MAX(K388,L388))</f>
        <v/>
      </c>
      <c r="N388" t="n">
        <v>0.5</v>
      </c>
      <c r="O388" t="inlineStr">
        <is>
          <t>是</t>
        </is>
      </c>
      <c r="P388">
        <f>IF(OR(M388="",M388&lt;=18),"PASS","ANGLE_ALERT")</f>
        <v/>
      </c>
      <c r="Q388" t="inlineStr">
        <is>
          <t>样品40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16" customWidth="1" min="4" max="4"/>
    <col width="16" customWidth="1" min="5" max="5"/>
    <col width="3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0" customWidth="1" min="14" max="14"/>
  </cols>
  <sheetData>
    <row r="1">
      <c r="A1" t="inlineStr">
        <is>
          <t>样品序号</t>
        </is>
      </c>
      <c r="B1" t="inlineStr">
        <is>
          <t>导管腔面积 Ai (μm2)（可记录多个）</t>
        </is>
      </c>
      <c r="C1" t="inlineStr">
        <is>
          <t>最大导管腔面积 Amax (μm2)</t>
        </is>
      </c>
      <c r="D1" t="inlineStr">
        <is>
          <t>最小导管腔面积 Amin (μm2)</t>
        </is>
      </c>
      <c r="E1" t="inlineStr">
        <is>
          <t>平均导管腔面积 Amean (μm2)</t>
        </is>
      </c>
      <c r="F1" t="inlineStr">
        <is>
          <t>等效圆直径 Di (μm)（可记录多个）</t>
        </is>
      </c>
      <c r="G1" t="inlineStr">
        <is>
          <t>最大等效圆直径 Dmax (μm)</t>
        </is>
      </c>
      <c r="H1" t="inlineStr">
        <is>
          <t>最小等效圆直径 Dmin (μm)</t>
        </is>
      </c>
      <c r="I1" t="inlineStr">
        <is>
          <t>平均等效圆直径 Dmean (μm)</t>
        </is>
      </c>
      <c r="J1" t="inlineStr">
        <is>
          <t>水力加权直径 Dh(μm)</t>
        </is>
      </c>
      <c r="K1" t="inlineStr">
        <is>
          <t>双导管壁厚 TVW (μm)</t>
        </is>
      </c>
      <c r="L1" t="inlineStr">
        <is>
          <t>壁强化指数 CWR</t>
        </is>
      </c>
      <c r="M1" t="inlineStr"/>
      <c r="N1" t="inlineStr">
        <is>
          <t>黄色统计 绿色计算</t>
        </is>
      </c>
    </row>
    <row r="2">
      <c r="A2" t="inlineStr">
        <is>
          <t>样品1</t>
        </is>
      </c>
      <c r="B2" t="inlineStr">
        <is>
          <t>见“导管母表_1781”F2:F45（全部44个合格导管）</t>
        </is>
      </c>
      <c r="C2">
        <f>MAX(导管母表_1781!F2:F45)</f>
        <v/>
      </c>
      <c r="D2">
        <f>MIN(导管母表_1781!F2:F45)</f>
        <v/>
      </c>
      <c r="E2">
        <f>AVERAGE(导管母表_1781!F2:F45)</f>
        <v/>
      </c>
      <c r="F2" t="inlineStr">
        <is>
          <t>见“导管母表_1781”G2:G45（44个逐导管Di）</t>
        </is>
      </c>
      <c r="G2">
        <f>MAX(导管母表_1781!G2:G45)</f>
        <v/>
      </c>
      <c r="H2">
        <f>MIN(导管母表_1781!G2:G45)</f>
        <v/>
      </c>
      <c r="I2">
        <f>AVERAGE(导管母表_1781!G2:G45)</f>
        <v/>
      </c>
      <c r="J2">
        <f>SUMPRODUCT(导管母表_1781!G2:G45^5)/SUMPRODUCT(导管母表_1781!G2:G45^4)</f>
        <v/>
      </c>
      <c r="K2">
        <f>AVERAGE(导管对_CWR_172!K2:K7)</f>
        <v/>
      </c>
      <c r="L2">
        <f>AVERAGE(导管对_CWR_172!S2:S7)</f>
        <v/>
      </c>
      <c r="M2" t="inlineStr"/>
      <c r="N2" t="inlineStr">
        <is>
          <t>自动管线：A/D/Dh用全部44个合格导管；CWR用6个相贴导管对。每壁3–5条局部法线TVW取均值为主值，再算CWR_pair；Ai=不规则闭合轮廓。</t>
        </is>
      </c>
    </row>
    <row r="3">
      <c r="A3" t="inlineStr">
        <is>
          <t>样品2</t>
        </is>
      </c>
      <c r="B3" t="inlineStr">
        <is>
          <t>见“导管母表_1781”F46:F127（全部82个合格导管）</t>
        </is>
      </c>
      <c r="C3">
        <f>MAX(导管母表_1781!F46:F127)</f>
        <v/>
      </c>
      <c r="D3">
        <f>MIN(导管母表_1781!F46:F127)</f>
        <v/>
      </c>
      <c r="E3">
        <f>AVERAGE(导管母表_1781!F46:F127)</f>
        <v/>
      </c>
      <c r="F3" t="inlineStr">
        <is>
          <t>见“导管母表_1781”G46:G127（82个逐导管Di）</t>
        </is>
      </c>
      <c r="G3">
        <f>MAX(导管母表_1781!G46:G127)</f>
        <v/>
      </c>
      <c r="H3">
        <f>MIN(导管母表_1781!G46:G127)</f>
        <v/>
      </c>
      <c r="I3">
        <f>AVERAGE(导管母表_1781!G46:G127)</f>
        <v/>
      </c>
      <c r="J3">
        <f>SUMPRODUCT(导管母表_1781!G46:G127^5)/SUMPRODUCT(导管母表_1781!G46:G127^4)</f>
        <v/>
      </c>
      <c r="K3">
        <f>AVERAGE(导管对_CWR_172!K8:K16)</f>
        <v/>
      </c>
      <c r="L3">
        <f>AVERAGE(导管对_CWR_172!S8:S16)</f>
        <v/>
      </c>
      <c r="M3" t="inlineStr"/>
      <c r="N3" t="inlineStr">
        <is>
          <t>自动管线：A/D/Dh用全部82个合格导管；CWR用9个相贴导管对。每壁3–5条局部法线TVW取均值为主值，再算CWR_pair；Ai=不规则闭合轮廓。</t>
        </is>
      </c>
    </row>
    <row r="4">
      <c r="A4" t="inlineStr">
        <is>
          <t>样品3</t>
        </is>
      </c>
      <c r="B4" t="inlineStr">
        <is>
          <t>见“导管母表_1781”F128:F174（全部47个合格导管）</t>
        </is>
      </c>
      <c r="C4">
        <f>MAX(导管母表_1781!F128:F174)</f>
        <v/>
      </c>
      <c r="D4">
        <f>MIN(导管母表_1781!F128:F174)</f>
        <v/>
      </c>
      <c r="E4">
        <f>AVERAGE(导管母表_1781!F128:F174)</f>
        <v/>
      </c>
      <c r="F4" t="inlineStr">
        <is>
          <t>见“导管母表_1781”G128:G174（47个逐导管Di）</t>
        </is>
      </c>
      <c r="G4">
        <f>MAX(导管母表_1781!G128:G174)</f>
        <v/>
      </c>
      <c r="H4">
        <f>MIN(导管母表_1781!G128:G174)</f>
        <v/>
      </c>
      <c r="I4">
        <f>AVERAGE(导管母表_1781!G128:G174)</f>
        <v/>
      </c>
      <c r="J4">
        <f>SUMPRODUCT(导管母表_1781!G128:G174^5)/SUMPRODUCT(导管母表_1781!G128:G174^4)</f>
        <v/>
      </c>
      <c r="K4">
        <f>AVERAGE(导管对_CWR_172!K17:K22)</f>
        <v/>
      </c>
      <c r="L4">
        <f>AVERAGE(导管对_CWR_172!S17:S22)</f>
        <v/>
      </c>
      <c r="M4" t="inlineStr"/>
      <c r="N4" t="inlineStr">
        <is>
          <t>自动管线：A/D/Dh用全部47个合格导管；CWR用6个相贴导管对。每壁3–5条局部法线TVW取均值为主值，再算CWR_pair；Ai=不规则闭合轮廓。</t>
        </is>
      </c>
    </row>
    <row r="5">
      <c r="A5" t="inlineStr">
        <is>
          <t>样品4</t>
        </is>
      </c>
      <c r="B5" t="inlineStr">
        <is>
          <t>见“导管母表_1781”F175:F211（全部37个合格导管）</t>
        </is>
      </c>
      <c r="C5">
        <f>MAX(导管母表_1781!F175:F211)</f>
        <v/>
      </c>
      <c r="D5">
        <f>MIN(导管母表_1781!F175:F211)</f>
        <v/>
      </c>
      <c r="E5">
        <f>AVERAGE(导管母表_1781!F175:F211)</f>
        <v/>
      </c>
      <c r="F5" t="inlineStr">
        <is>
          <t>见“导管母表_1781”G175:G211（37个逐导管Di）</t>
        </is>
      </c>
      <c r="G5">
        <f>MAX(导管母表_1781!G175:G211)</f>
        <v/>
      </c>
      <c r="H5">
        <f>MIN(导管母表_1781!G175:G211)</f>
        <v/>
      </c>
      <c r="I5">
        <f>AVERAGE(导管母表_1781!G175:G211)</f>
        <v/>
      </c>
      <c r="J5">
        <f>SUMPRODUCT(导管母表_1781!G175:G211^5)/SUMPRODUCT(导管母表_1781!G175:G211^4)</f>
        <v/>
      </c>
      <c r="K5">
        <f>AVERAGE(导管对_CWR_172!K23:K26)</f>
        <v/>
      </c>
      <c r="L5">
        <f>AVERAGE(导管对_CWR_172!S23:S26)</f>
        <v/>
      </c>
      <c r="M5" t="inlineStr"/>
      <c r="N5" t="inlineStr">
        <is>
          <t>自动管线：A/D/Dh用全部37个合格导管；CWR用4个相贴导管对。每壁3–5条局部法线TVW取均值为主值，再算CWR_pair；Ai=不规则闭合轮廓。</t>
        </is>
      </c>
    </row>
    <row r="6">
      <c r="A6" t="inlineStr">
        <is>
          <t>样品5</t>
        </is>
      </c>
      <c r="B6" t="inlineStr">
        <is>
          <t>见“导管母表_1781”F212:F245（全部34个合格导管）</t>
        </is>
      </c>
      <c r="C6">
        <f>MAX(导管母表_1781!F212:F245)</f>
        <v/>
      </c>
      <c r="D6">
        <f>MIN(导管母表_1781!F212:F245)</f>
        <v/>
      </c>
      <c r="E6">
        <f>AVERAGE(导管母表_1781!F212:F245)</f>
        <v/>
      </c>
      <c r="F6" t="inlineStr">
        <is>
          <t>见“导管母表_1781”G212:G245（34个逐导管Di）</t>
        </is>
      </c>
      <c r="G6">
        <f>MAX(导管母表_1781!G212:G245)</f>
        <v/>
      </c>
      <c r="H6">
        <f>MIN(导管母表_1781!G212:G245)</f>
        <v/>
      </c>
      <c r="I6">
        <f>AVERAGE(导管母表_1781!G212:G245)</f>
        <v/>
      </c>
      <c r="J6">
        <f>SUMPRODUCT(导管母表_1781!G212:G245^5)/SUMPRODUCT(导管母表_1781!G212:G245^4)</f>
        <v/>
      </c>
      <c r="K6">
        <f>AVERAGE(导管对_CWR_172!K27:K28)</f>
        <v/>
      </c>
      <c r="L6">
        <f>AVERAGE(导管对_CWR_172!S27:S28)</f>
        <v/>
      </c>
      <c r="M6" t="inlineStr"/>
      <c r="N6" t="inlineStr">
        <is>
          <t>自动管线：A/D/Dh用全部34个合格导管；CWR用2个相贴导管对。每壁3–5条局部法线TVW取均值为主值，再算CWR_pair；Ai=不规则闭合轮廓。</t>
        </is>
      </c>
    </row>
    <row r="7">
      <c r="A7" t="inlineStr">
        <is>
          <t>样品6</t>
        </is>
      </c>
      <c r="B7" t="inlineStr">
        <is>
          <t>见“导管母表_1781”F246:F332（全部87个合格导管）</t>
        </is>
      </c>
      <c r="C7">
        <f>MAX(导管母表_1781!F246:F332)</f>
        <v/>
      </c>
      <c r="D7">
        <f>MIN(导管母表_1781!F246:F332)</f>
        <v/>
      </c>
      <c r="E7">
        <f>AVERAGE(导管母表_1781!F246:F332)</f>
        <v/>
      </c>
      <c r="F7" t="inlineStr">
        <is>
          <t>见“导管母表_1781”G246:G332（87个逐导管Di）</t>
        </is>
      </c>
      <c r="G7">
        <f>MAX(导管母表_1781!G246:G332)</f>
        <v/>
      </c>
      <c r="H7">
        <f>MIN(导管母表_1781!G246:G332)</f>
        <v/>
      </c>
      <c r="I7">
        <f>AVERAGE(导管母表_1781!G246:G332)</f>
        <v/>
      </c>
      <c r="J7">
        <f>SUMPRODUCT(导管母表_1781!G246:G332^5)/SUMPRODUCT(导管母表_1781!G246:G332^4)</f>
        <v/>
      </c>
      <c r="K7">
        <f>AVERAGE(导管对_CWR_172!K29:K36)</f>
        <v/>
      </c>
      <c r="L7">
        <f>AVERAGE(导管对_CWR_172!S29:S36)</f>
        <v/>
      </c>
      <c r="M7" t="inlineStr"/>
      <c r="N7" t="inlineStr">
        <is>
          <t>自动管线：A/D/Dh用全部87个合格导管；CWR用8个相贴导管对。每壁3–5条局部法线TVW取均值为主值，再算CWR_pair；Ai=不规则闭合轮廓。</t>
        </is>
      </c>
    </row>
    <row r="8">
      <c r="A8" t="inlineStr">
        <is>
          <t>样品7</t>
        </is>
      </c>
      <c r="B8" t="inlineStr">
        <is>
          <t>见“导管母表_1781”F333:F361（全部29个合格导管）</t>
        </is>
      </c>
      <c r="C8">
        <f>MAX(导管母表_1781!F333:F361)</f>
        <v/>
      </c>
      <c r="D8">
        <f>MIN(导管母表_1781!F333:F361)</f>
        <v/>
      </c>
      <c r="E8">
        <f>AVERAGE(导管母表_1781!F333:F361)</f>
        <v/>
      </c>
      <c r="F8" t="inlineStr">
        <is>
          <t>见“导管母表_1781”G333:G361（29个逐导管Di）</t>
        </is>
      </c>
      <c r="G8">
        <f>MAX(导管母表_1781!G333:G361)</f>
        <v/>
      </c>
      <c r="H8">
        <f>MIN(导管母表_1781!G333:G361)</f>
        <v/>
      </c>
      <c r="I8">
        <f>AVERAGE(导管母表_1781!G333:G361)</f>
        <v/>
      </c>
      <c r="J8">
        <f>SUMPRODUCT(导管母表_1781!G333:G361^5)/SUMPRODUCT(导管母表_1781!G333:G361^4)</f>
        <v/>
      </c>
      <c r="K8">
        <f>AVERAGE(导管对_CWR_172!K37:K39)</f>
        <v/>
      </c>
      <c r="L8">
        <f>AVERAGE(导管对_CWR_172!S37:S39)</f>
        <v/>
      </c>
      <c r="M8" t="inlineStr"/>
      <c r="N8" t="inlineStr">
        <is>
          <t>自动管线：A/D/Dh用全部29个合格导管；CWR用3个相贴导管对。每壁3–5条局部法线TVW取均值为主值，再算CWR_pair；Ai=不规则闭合轮廓。</t>
        </is>
      </c>
    </row>
    <row r="9">
      <c r="A9" t="inlineStr">
        <is>
          <t>样品8</t>
        </is>
      </c>
      <c r="B9" t="inlineStr">
        <is>
          <t>见“导管母表_1781”F362:F398（全部37个合格导管）</t>
        </is>
      </c>
      <c r="C9">
        <f>MAX(导管母表_1781!F362:F398)</f>
        <v/>
      </c>
      <c r="D9">
        <f>MIN(导管母表_1781!F362:F398)</f>
        <v/>
      </c>
      <c r="E9">
        <f>AVERAGE(导管母表_1781!F362:F398)</f>
        <v/>
      </c>
      <c r="F9" t="inlineStr">
        <is>
          <t>见“导管母表_1781”G362:G398（37个逐导管Di）</t>
        </is>
      </c>
      <c r="G9">
        <f>MAX(导管母表_1781!G362:G398)</f>
        <v/>
      </c>
      <c r="H9">
        <f>MIN(导管母表_1781!G362:G398)</f>
        <v/>
      </c>
      <c r="I9">
        <f>AVERAGE(导管母表_1781!G362:G398)</f>
        <v/>
      </c>
      <c r="J9">
        <f>SUMPRODUCT(导管母表_1781!G362:G398^5)/SUMPRODUCT(导管母表_1781!G362:G398^4)</f>
        <v/>
      </c>
      <c r="K9">
        <f>AVERAGE(导管对_CWR_172!K40:K40)</f>
        <v/>
      </c>
      <c r="L9">
        <f>AVERAGE(导管对_CWR_172!S40:S40)</f>
        <v/>
      </c>
      <c r="M9" t="inlineStr"/>
      <c r="N9" t="inlineStr">
        <is>
          <t>自动管线：A/D/Dh用全部37个合格导管；CWR用1个相贴导管对。每壁3–5条局部法线TVW取均值为主值，再算CWR_pair；Ai=不规则闭合轮廓。</t>
        </is>
      </c>
    </row>
    <row r="10">
      <c r="A10" t="inlineStr">
        <is>
          <t>样品9</t>
        </is>
      </c>
      <c r="B10" t="inlineStr">
        <is>
          <t>见“导管母表_1781”F399:F445（全部47个合格导管）</t>
        </is>
      </c>
      <c r="C10">
        <f>MAX(导管母表_1781!F399:F445)</f>
        <v/>
      </c>
      <c r="D10">
        <f>MIN(导管母表_1781!F399:F445)</f>
        <v/>
      </c>
      <c r="E10">
        <f>AVERAGE(导管母表_1781!F399:F445)</f>
        <v/>
      </c>
      <c r="F10" t="inlineStr">
        <is>
          <t>见“导管母表_1781”G399:G445（47个逐导管Di）</t>
        </is>
      </c>
      <c r="G10">
        <f>MAX(导管母表_1781!G399:G445)</f>
        <v/>
      </c>
      <c r="H10">
        <f>MIN(导管母表_1781!G399:G445)</f>
        <v/>
      </c>
      <c r="I10">
        <f>AVERAGE(导管母表_1781!G399:G445)</f>
        <v/>
      </c>
      <c r="J10">
        <f>SUMPRODUCT(导管母表_1781!G399:G445^5)/SUMPRODUCT(导管母表_1781!G399:G445^4)</f>
        <v/>
      </c>
      <c r="K10">
        <f>AVERAGE(导管对_CWR_172!K41:K44)</f>
        <v/>
      </c>
      <c r="L10">
        <f>AVERAGE(导管对_CWR_172!S41:S44)</f>
        <v/>
      </c>
      <c r="M10" t="inlineStr"/>
      <c r="N10" t="inlineStr">
        <is>
          <t>自动管线：A/D/Dh用全部47个合格导管；CWR用4个相贴导管对。每壁3–5条局部法线TVW取均值为主值，再算CWR_pair；Ai=不规则闭合轮廓。</t>
        </is>
      </c>
    </row>
    <row r="11">
      <c r="A11" t="inlineStr">
        <is>
          <t>样品10</t>
        </is>
      </c>
      <c r="B11" t="inlineStr">
        <is>
          <t>见“导管母表_1781”F446:F480（全部35个合格导管）</t>
        </is>
      </c>
      <c r="C11">
        <f>MAX(导管母表_1781!F446:F480)</f>
        <v/>
      </c>
      <c r="D11">
        <f>MIN(导管母表_1781!F446:F480)</f>
        <v/>
      </c>
      <c r="E11">
        <f>AVERAGE(导管母表_1781!F446:F480)</f>
        <v/>
      </c>
      <c r="F11" t="inlineStr">
        <is>
          <t>见“导管母表_1781”G446:G480（35个逐导管Di）</t>
        </is>
      </c>
      <c r="G11">
        <f>MAX(导管母表_1781!G446:G480)</f>
        <v/>
      </c>
      <c r="H11">
        <f>MIN(导管母表_1781!G446:G480)</f>
        <v/>
      </c>
      <c r="I11">
        <f>AVERAGE(导管母表_1781!G446:G480)</f>
        <v/>
      </c>
      <c r="J11">
        <f>SUMPRODUCT(导管母表_1781!G446:G480^5)/SUMPRODUCT(导管母表_1781!G446:G480^4)</f>
        <v/>
      </c>
      <c r="K11">
        <f>AVERAGE(导管对_CWR_172!K45:K45)</f>
        <v/>
      </c>
      <c r="L11">
        <f>AVERAGE(导管对_CWR_172!S45:S45)</f>
        <v/>
      </c>
      <c r="M11" t="inlineStr"/>
      <c r="N11" t="inlineStr">
        <is>
          <t>自动管线：A/D/Dh用全部35个合格导管；CWR用1个相贴导管对。每壁3–5条局部法线TVW取均值为主值，再算CWR_pair；Ai=不规则闭合轮廓。</t>
        </is>
      </c>
    </row>
    <row r="12">
      <c r="A12" t="inlineStr">
        <is>
          <t>样品11</t>
        </is>
      </c>
      <c r="B12" t="inlineStr">
        <is>
          <t>见“导管母表_1781”F481:F530（全部50个合格导管）</t>
        </is>
      </c>
      <c r="C12">
        <f>MAX(导管母表_1781!F481:F530)</f>
        <v/>
      </c>
      <c r="D12">
        <f>MIN(导管母表_1781!F481:F530)</f>
        <v/>
      </c>
      <c r="E12">
        <f>AVERAGE(导管母表_1781!F481:F530)</f>
        <v/>
      </c>
      <c r="F12" t="inlineStr">
        <is>
          <t>见“导管母表_1781”G481:G530（50个逐导管Di）</t>
        </is>
      </c>
      <c r="G12">
        <f>MAX(导管母表_1781!G481:G530)</f>
        <v/>
      </c>
      <c r="H12">
        <f>MIN(导管母表_1781!G481:G530)</f>
        <v/>
      </c>
      <c r="I12">
        <f>AVERAGE(导管母表_1781!G481:G530)</f>
        <v/>
      </c>
      <c r="J12">
        <f>SUMPRODUCT(导管母表_1781!G481:G530^5)/SUMPRODUCT(导管母表_1781!G481:G530^4)</f>
        <v/>
      </c>
      <c r="K12">
        <f>AVERAGE(导管对_CWR_172!K46:K48)</f>
        <v/>
      </c>
      <c r="L12">
        <f>AVERAGE(导管对_CWR_172!S46:S48)</f>
        <v/>
      </c>
      <c r="M12" t="inlineStr"/>
      <c r="N12" t="inlineStr">
        <is>
          <t>自动管线：A/D/Dh用全部50个合格导管；CWR用3个相贴导管对。每壁3–5条局部法线TVW取均值为主值，再算CWR_pair；Ai=不规则闭合轮廓。</t>
        </is>
      </c>
    </row>
    <row r="13">
      <c r="A13" t="inlineStr">
        <is>
          <t>样品12</t>
        </is>
      </c>
      <c r="B13" t="inlineStr">
        <is>
          <t>见“导管母表_1781”F531:F566（全部36个合格导管）</t>
        </is>
      </c>
      <c r="C13">
        <f>MAX(导管母表_1781!F531:F566)</f>
        <v/>
      </c>
      <c r="D13">
        <f>MIN(导管母表_1781!F531:F566)</f>
        <v/>
      </c>
      <c r="E13">
        <f>AVERAGE(导管母表_1781!F531:F566)</f>
        <v/>
      </c>
      <c r="F13" t="inlineStr">
        <is>
          <t>见“导管母表_1781”G531:G566（36个逐导管Di）</t>
        </is>
      </c>
      <c r="G13">
        <f>MAX(导管母表_1781!G531:G566)</f>
        <v/>
      </c>
      <c r="H13">
        <f>MIN(导管母表_1781!G531:G566)</f>
        <v/>
      </c>
      <c r="I13">
        <f>AVERAGE(导管母表_1781!G531:G566)</f>
        <v/>
      </c>
      <c r="J13">
        <f>SUMPRODUCT(导管母表_1781!G531:G566^5)/SUMPRODUCT(导管母表_1781!G531:G566^4)</f>
        <v/>
      </c>
      <c r="K13">
        <f>AVERAGE(导管对_CWR_172!K49:K50)</f>
        <v/>
      </c>
      <c r="L13">
        <f>AVERAGE(导管对_CWR_172!S49:S50)</f>
        <v/>
      </c>
      <c r="M13" t="inlineStr"/>
      <c r="N13" t="inlineStr">
        <is>
          <t>自动管线：A/D/Dh用全部36个合格导管；CWR用2个相贴导管对。每壁3–5条局部法线TVW取均值为主值，再算CWR_pair；Ai=不规则闭合轮廓。</t>
        </is>
      </c>
    </row>
    <row r="14">
      <c r="A14" t="inlineStr">
        <is>
          <t>样品13</t>
        </is>
      </c>
      <c r="B14" t="inlineStr">
        <is>
          <t>见“导管母表_1781”F567:F601（全部35个合格导管）</t>
        </is>
      </c>
      <c r="C14">
        <f>MAX(导管母表_1781!F567:F601)</f>
        <v/>
      </c>
      <c r="D14">
        <f>MIN(导管母表_1781!F567:F601)</f>
        <v/>
      </c>
      <c r="E14">
        <f>AVERAGE(导管母表_1781!F567:F601)</f>
        <v/>
      </c>
      <c r="F14" t="inlineStr">
        <is>
          <t>见“导管母表_1781”G567:G601（35个逐导管Di）</t>
        </is>
      </c>
      <c r="G14">
        <f>MAX(导管母表_1781!G567:G601)</f>
        <v/>
      </c>
      <c r="H14">
        <f>MIN(导管母表_1781!G567:G601)</f>
        <v/>
      </c>
      <c r="I14">
        <f>AVERAGE(导管母表_1781!G567:G601)</f>
        <v/>
      </c>
      <c r="J14">
        <f>SUMPRODUCT(导管母表_1781!G567:G601^5)/SUMPRODUCT(导管母表_1781!G567:G601^4)</f>
        <v/>
      </c>
      <c r="K14">
        <f>AVERAGE(导管对_CWR_172!K51:K52)</f>
        <v/>
      </c>
      <c r="L14">
        <f>AVERAGE(导管对_CWR_172!S51:S52)</f>
        <v/>
      </c>
      <c r="M14" t="inlineStr"/>
      <c r="N14" t="inlineStr">
        <is>
          <t>自动管线：A/D/Dh用全部35个合格导管；CWR用2个相贴导管对。每壁3–5条局部法线TVW取均值为主值，再算CWR_pair；Ai=不规则闭合轮廓。</t>
        </is>
      </c>
    </row>
    <row r="15">
      <c r="A15" t="inlineStr">
        <is>
          <t>样品14</t>
        </is>
      </c>
      <c r="B15" t="inlineStr">
        <is>
          <t>见“导管母表_1781”F602:F638（全部37个合格导管）</t>
        </is>
      </c>
      <c r="C15">
        <f>MAX(导管母表_1781!F602:F638)</f>
        <v/>
      </c>
      <c r="D15">
        <f>MIN(导管母表_1781!F602:F638)</f>
        <v/>
      </c>
      <c r="E15">
        <f>AVERAGE(导管母表_1781!F602:F638)</f>
        <v/>
      </c>
      <c r="F15" t="inlineStr">
        <is>
          <t>见“导管母表_1781”G602:G638（37个逐导管Di）</t>
        </is>
      </c>
      <c r="G15">
        <f>MAX(导管母表_1781!G602:G638)</f>
        <v/>
      </c>
      <c r="H15">
        <f>MIN(导管母表_1781!G602:G638)</f>
        <v/>
      </c>
      <c r="I15">
        <f>AVERAGE(导管母表_1781!G602:G638)</f>
        <v/>
      </c>
      <c r="J15">
        <f>SUMPRODUCT(导管母表_1781!G602:G638^5)/SUMPRODUCT(导管母表_1781!G602:G638^4)</f>
        <v/>
      </c>
      <c r="K15">
        <f>AVERAGE(导管对_CWR_172!K53:K53)</f>
        <v/>
      </c>
      <c r="L15">
        <f>AVERAGE(导管对_CWR_172!S53:S53)</f>
        <v/>
      </c>
      <c r="M15" t="inlineStr"/>
      <c r="N15" t="inlineStr">
        <is>
          <t>自动管线：A/D/Dh用全部37个合格导管；CWR用1个相贴导管对。每壁3–5条局部法线TVW取均值为主值，再算CWR_pair；Ai=不规则闭合轮廓。</t>
        </is>
      </c>
    </row>
    <row r="16">
      <c r="A16" t="inlineStr">
        <is>
          <t>样品15</t>
        </is>
      </c>
      <c r="B16" t="inlineStr">
        <is>
          <t>见“导管母表_1781”F639:F677（全部39个合格导管）</t>
        </is>
      </c>
      <c r="C16">
        <f>MAX(导管母表_1781!F639:F677)</f>
        <v/>
      </c>
      <c r="D16">
        <f>MIN(导管母表_1781!F639:F677)</f>
        <v/>
      </c>
      <c r="E16">
        <f>AVERAGE(导管母表_1781!F639:F677)</f>
        <v/>
      </c>
      <c r="F16" t="inlineStr">
        <is>
          <t>见“导管母表_1781”G639:G677（39个逐导管Di）</t>
        </is>
      </c>
      <c r="G16">
        <f>MAX(导管母表_1781!G639:G677)</f>
        <v/>
      </c>
      <c r="H16">
        <f>MIN(导管母表_1781!G639:G677)</f>
        <v/>
      </c>
      <c r="I16">
        <f>AVERAGE(导管母表_1781!G639:G677)</f>
        <v/>
      </c>
      <c r="J16">
        <f>SUMPRODUCT(导管母表_1781!G639:G677^5)/SUMPRODUCT(导管母表_1781!G639:G677^4)</f>
        <v/>
      </c>
      <c r="K16">
        <f>AVERAGE(导管对_CWR_172!K54:K54)</f>
        <v/>
      </c>
      <c r="L16">
        <f>AVERAGE(导管对_CWR_172!S54:S54)</f>
        <v/>
      </c>
      <c r="M16" t="inlineStr"/>
      <c r="N16" t="inlineStr">
        <is>
          <t>自动管线：A/D/Dh用全部39个合格导管；CWR用1个相贴导管对。每壁3–5条局部法线TVW取均值为主值，再算CWR_pair；Ai=不规则闭合轮廓。</t>
        </is>
      </c>
    </row>
    <row r="17">
      <c r="A17" t="inlineStr">
        <is>
          <t>样品16</t>
        </is>
      </c>
      <c r="B17" t="inlineStr">
        <is>
          <t>见“导管母表_1781”F678:F714（全部37个合格导管）</t>
        </is>
      </c>
      <c r="C17">
        <f>MAX(导管母表_1781!F678:F714)</f>
        <v/>
      </c>
      <c r="D17">
        <f>MIN(导管母表_1781!F678:F714)</f>
        <v/>
      </c>
      <c r="E17">
        <f>AVERAGE(导管母表_1781!F678:F714)</f>
        <v/>
      </c>
      <c r="F17" t="inlineStr">
        <is>
          <t>见“导管母表_1781”G678:G714（37个逐导管Di）</t>
        </is>
      </c>
      <c r="G17">
        <f>MAX(导管母表_1781!G678:G714)</f>
        <v/>
      </c>
      <c r="H17">
        <f>MIN(导管母表_1781!G678:G714)</f>
        <v/>
      </c>
      <c r="I17">
        <f>AVERAGE(导管母表_1781!G678:G714)</f>
        <v/>
      </c>
      <c r="J17">
        <f>SUMPRODUCT(导管母表_1781!G678:G714^5)/SUMPRODUCT(导管母表_1781!G678:G714^4)</f>
        <v/>
      </c>
      <c r="K17">
        <f>AVERAGE(导管对_CWR_172!K55:K58)</f>
        <v/>
      </c>
      <c r="L17">
        <f>AVERAGE(导管对_CWR_172!S55:S58)</f>
        <v/>
      </c>
      <c r="M17" t="inlineStr"/>
      <c r="N17" t="inlineStr">
        <is>
          <t>自动管线：A/D/Dh用全部37个合格导管；CWR用4个相贴导管对。每壁3–5条局部法线TVW取均值为主值，再算CWR_pair；Ai=不规则闭合轮廓。</t>
        </is>
      </c>
    </row>
    <row r="18">
      <c r="A18" t="inlineStr">
        <is>
          <t>样品17</t>
        </is>
      </c>
      <c r="B18" t="inlineStr">
        <is>
          <t>见“导管母表_1781”F715:F751（全部37个合格导管）</t>
        </is>
      </c>
      <c r="C18">
        <f>MAX(导管母表_1781!F715:F751)</f>
        <v/>
      </c>
      <c r="D18">
        <f>MIN(导管母表_1781!F715:F751)</f>
        <v/>
      </c>
      <c r="E18">
        <f>AVERAGE(导管母表_1781!F715:F751)</f>
        <v/>
      </c>
      <c r="F18" t="inlineStr">
        <is>
          <t>见“导管母表_1781”G715:G751（37个逐导管Di）</t>
        </is>
      </c>
      <c r="G18">
        <f>MAX(导管母表_1781!G715:G751)</f>
        <v/>
      </c>
      <c r="H18">
        <f>MIN(导管母表_1781!G715:G751)</f>
        <v/>
      </c>
      <c r="I18">
        <f>AVERAGE(导管母表_1781!G715:G751)</f>
        <v/>
      </c>
      <c r="J18">
        <f>SUMPRODUCT(导管母表_1781!G715:G751^5)/SUMPRODUCT(导管母表_1781!G715:G751^4)</f>
        <v/>
      </c>
      <c r="K18">
        <f>AVERAGE(导管对_CWR_172!K59:K61)</f>
        <v/>
      </c>
      <c r="L18">
        <f>AVERAGE(导管对_CWR_172!S59:S61)</f>
        <v/>
      </c>
      <c r="M18" t="inlineStr"/>
      <c r="N18" t="inlineStr">
        <is>
          <t>自动管线：A/D/Dh用全部37个合格导管；CWR用3个相贴导管对。每壁3–5条局部法线TVW取均值为主值，再算CWR_pair；Ai=不规则闭合轮廓。</t>
        </is>
      </c>
    </row>
    <row r="19">
      <c r="A19" t="inlineStr">
        <is>
          <t>样品18</t>
        </is>
      </c>
      <c r="B19" t="inlineStr">
        <is>
          <t>见“导管母表_1781”F752:F797（全部46个合格导管）</t>
        </is>
      </c>
      <c r="C19">
        <f>MAX(导管母表_1781!F752:F797)</f>
        <v/>
      </c>
      <c r="D19">
        <f>MIN(导管母表_1781!F752:F797)</f>
        <v/>
      </c>
      <c r="E19">
        <f>AVERAGE(导管母表_1781!F752:F797)</f>
        <v/>
      </c>
      <c r="F19" t="inlineStr">
        <is>
          <t>见“导管母表_1781”G752:G797（46个逐导管Di）</t>
        </is>
      </c>
      <c r="G19">
        <f>MAX(导管母表_1781!G752:G797)</f>
        <v/>
      </c>
      <c r="H19">
        <f>MIN(导管母表_1781!G752:G797)</f>
        <v/>
      </c>
      <c r="I19">
        <f>AVERAGE(导管母表_1781!G752:G797)</f>
        <v/>
      </c>
      <c r="J19">
        <f>SUMPRODUCT(导管母表_1781!G752:G797^5)/SUMPRODUCT(导管母表_1781!G752:G797^4)</f>
        <v/>
      </c>
      <c r="K19">
        <f>AVERAGE(导管对_CWR_172!K62:K68)</f>
        <v/>
      </c>
      <c r="L19">
        <f>AVERAGE(导管对_CWR_172!S62:S68)</f>
        <v/>
      </c>
      <c r="M19" t="inlineStr"/>
      <c r="N19" t="inlineStr">
        <is>
          <t>自动管线：A/D/Dh用全部46个合格导管；CWR用7个相贴导管对。每壁3–5条局部法线TVW取均值为主值，再算CWR_pair；Ai=不规则闭合轮廓。</t>
        </is>
      </c>
    </row>
    <row r="20">
      <c r="A20" t="inlineStr">
        <is>
          <t>样品19</t>
        </is>
      </c>
      <c r="B20" t="inlineStr">
        <is>
          <t>见“导管母表_1781”F798:F892（全部95个合格导管）</t>
        </is>
      </c>
      <c r="C20">
        <f>MAX(导管母表_1781!F798:F892)</f>
        <v/>
      </c>
      <c r="D20">
        <f>MIN(导管母表_1781!F798:F892)</f>
        <v/>
      </c>
      <c r="E20">
        <f>AVERAGE(导管母表_1781!F798:F892)</f>
        <v/>
      </c>
      <c r="F20" t="inlineStr">
        <is>
          <t>见“导管母表_1781”G798:G892（95个逐导管Di）</t>
        </is>
      </c>
      <c r="G20">
        <f>MAX(导管母表_1781!G798:G892)</f>
        <v/>
      </c>
      <c r="H20">
        <f>MIN(导管母表_1781!G798:G892)</f>
        <v/>
      </c>
      <c r="I20">
        <f>AVERAGE(导管母表_1781!G798:G892)</f>
        <v/>
      </c>
      <c r="J20">
        <f>SUMPRODUCT(导管母表_1781!G798:G892^5)/SUMPRODUCT(导管母表_1781!G798:G892^4)</f>
        <v/>
      </c>
      <c r="K20">
        <f>AVERAGE(导管对_CWR_172!K69:K79)</f>
        <v/>
      </c>
      <c r="L20">
        <f>AVERAGE(导管对_CWR_172!S69:S79)</f>
        <v/>
      </c>
      <c r="M20" t="inlineStr"/>
      <c r="N20" t="inlineStr">
        <is>
          <t>自动管线：A/D/Dh用全部95个合格导管；CWR用11个相贴导管对。每壁3–5条局部法线TVW取均值为主值，再算CWR_pair；Ai=不规则闭合轮廓。</t>
        </is>
      </c>
    </row>
    <row r="21">
      <c r="A21" t="inlineStr">
        <is>
          <t>样品20</t>
        </is>
      </c>
      <c r="B21" t="inlineStr">
        <is>
          <t>见“导管母表_1781”F893:F930（全部38个合格导管）</t>
        </is>
      </c>
      <c r="C21">
        <f>MAX(导管母表_1781!F893:F930)</f>
        <v/>
      </c>
      <c r="D21">
        <f>MIN(导管母表_1781!F893:F930)</f>
        <v/>
      </c>
      <c r="E21">
        <f>AVERAGE(导管母表_1781!F893:F930)</f>
        <v/>
      </c>
      <c r="F21" t="inlineStr">
        <is>
          <t>见“导管母表_1781”G893:G930（38个逐导管Di）</t>
        </is>
      </c>
      <c r="G21">
        <f>MAX(导管母表_1781!G893:G930)</f>
        <v/>
      </c>
      <c r="H21">
        <f>MIN(导管母表_1781!G893:G930)</f>
        <v/>
      </c>
      <c r="I21">
        <f>AVERAGE(导管母表_1781!G893:G930)</f>
        <v/>
      </c>
      <c r="J21">
        <f>SUMPRODUCT(导管母表_1781!G893:G930^5)/SUMPRODUCT(导管母表_1781!G893:G930^4)</f>
        <v/>
      </c>
      <c r="K21">
        <f>AVERAGE(导管对_CWR_172!K80:K81)</f>
        <v/>
      </c>
      <c r="L21">
        <f>AVERAGE(导管对_CWR_172!S80:S81)</f>
        <v/>
      </c>
      <c r="M21" t="inlineStr"/>
      <c r="N21" t="inlineStr">
        <is>
          <t>自动管线：A/D/Dh用全部38个合格导管；CWR用2个相贴导管对。每壁3–5条局部法线TVW取均值为主值，再算CWR_pair；Ai=不规则闭合轮廓。</t>
        </is>
      </c>
    </row>
    <row r="22">
      <c r="A22" t="inlineStr">
        <is>
          <t>样品21</t>
        </is>
      </c>
      <c r="B22" t="inlineStr">
        <is>
          <t>见“导管母表_1781”F931:F972（全部42个合格导管）</t>
        </is>
      </c>
      <c r="C22">
        <f>MAX(导管母表_1781!F931:F972)</f>
        <v/>
      </c>
      <c r="D22">
        <f>MIN(导管母表_1781!F931:F972)</f>
        <v/>
      </c>
      <c r="E22">
        <f>AVERAGE(导管母表_1781!F931:F972)</f>
        <v/>
      </c>
      <c r="F22" t="inlineStr">
        <is>
          <t>见“导管母表_1781”G931:G972（42个逐导管Di）</t>
        </is>
      </c>
      <c r="G22">
        <f>MAX(导管母表_1781!G931:G972)</f>
        <v/>
      </c>
      <c r="H22">
        <f>MIN(导管母表_1781!G931:G972)</f>
        <v/>
      </c>
      <c r="I22">
        <f>AVERAGE(导管母表_1781!G931:G972)</f>
        <v/>
      </c>
      <c r="J22">
        <f>SUMPRODUCT(导管母表_1781!G931:G972^5)/SUMPRODUCT(导管母表_1781!G931:G972^4)</f>
        <v/>
      </c>
      <c r="K22">
        <f>AVERAGE(导管对_CWR_172!K82:K85)</f>
        <v/>
      </c>
      <c r="L22">
        <f>AVERAGE(导管对_CWR_172!S82:S85)</f>
        <v/>
      </c>
      <c r="M22" t="inlineStr"/>
      <c r="N22" t="inlineStr">
        <is>
          <t>自动管线：A/D/Dh用全部42个合格导管；CWR用4个相贴导管对。每壁3–5条局部法线TVW取均值为主值，再算CWR_pair；Ai=不规则闭合轮廓。</t>
        </is>
      </c>
    </row>
    <row r="23">
      <c r="A23" t="inlineStr">
        <is>
          <t>样品22</t>
        </is>
      </c>
      <c r="B23" t="inlineStr">
        <is>
          <t>见“导管母表_1781”F973:F1021（全部49个合格导管）</t>
        </is>
      </c>
      <c r="C23">
        <f>MAX(导管母表_1781!F973:F1021)</f>
        <v/>
      </c>
      <c r="D23">
        <f>MIN(导管母表_1781!F973:F1021)</f>
        <v/>
      </c>
      <c r="E23">
        <f>AVERAGE(导管母表_1781!F973:F1021)</f>
        <v/>
      </c>
      <c r="F23" t="inlineStr">
        <is>
          <t>见“导管母表_1781”G973:G1021（49个逐导管Di）</t>
        </is>
      </c>
      <c r="G23">
        <f>MAX(导管母表_1781!G973:G1021)</f>
        <v/>
      </c>
      <c r="H23">
        <f>MIN(导管母表_1781!G973:G1021)</f>
        <v/>
      </c>
      <c r="I23">
        <f>AVERAGE(导管母表_1781!G973:G1021)</f>
        <v/>
      </c>
      <c r="J23">
        <f>SUMPRODUCT(导管母表_1781!G973:G1021^5)/SUMPRODUCT(导管母表_1781!G973:G1021^4)</f>
        <v/>
      </c>
      <c r="K23">
        <f>AVERAGE(导管对_CWR_172!K86:K88)</f>
        <v/>
      </c>
      <c r="L23">
        <f>AVERAGE(导管对_CWR_172!S86:S88)</f>
        <v/>
      </c>
      <c r="M23" t="inlineStr"/>
      <c r="N23" t="inlineStr">
        <is>
          <t>自动管线：A/D/Dh用全部49个合格导管；CWR用3个相贴导管对。每壁3–5条局部法线TVW取均值为主值，再算CWR_pair；Ai=不规则闭合轮廓。</t>
        </is>
      </c>
    </row>
    <row r="24">
      <c r="A24" t="inlineStr">
        <is>
          <t>样品23</t>
        </is>
      </c>
      <c r="B24" t="inlineStr">
        <is>
          <t>见“导管母表_1781”F1022:F1064（全部43个合格导管）</t>
        </is>
      </c>
      <c r="C24">
        <f>MAX(导管母表_1781!F1022:F1064)</f>
        <v/>
      </c>
      <c r="D24">
        <f>MIN(导管母表_1781!F1022:F1064)</f>
        <v/>
      </c>
      <c r="E24">
        <f>AVERAGE(导管母表_1781!F1022:F1064)</f>
        <v/>
      </c>
      <c r="F24" t="inlineStr">
        <is>
          <t>见“导管母表_1781”G1022:G1064（43个逐导管Di）</t>
        </is>
      </c>
      <c r="G24">
        <f>MAX(导管母表_1781!G1022:G1064)</f>
        <v/>
      </c>
      <c r="H24">
        <f>MIN(导管母表_1781!G1022:G1064)</f>
        <v/>
      </c>
      <c r="I24">
        <f>AVERAGE(导管母表_1781!G1022:G1064)</f>
        <v/>
      </c>
      <c r="J24">
        <f>SUMPRODUCT(导管母表_1781!G1022:G1064^5)/SUMPRODUCT(导管母表_1781!G1022:G1064^4)</f>
        <v/>
      </c>
      <c r="K24">
        <f>AVERAGE(导管对_CWR_172!K89:K92)</f>
        <v/>
      </c>
      <c r="L24">
        <f>AVERAGE(导管对_CWR_172!S89:S92)</f>
        <v/>
      </c>
      <c r="M24" t="inlineStr"/>
      <c r="N24" t="inlineStr">
        <is>
          <t>自动管线：A/D/Dh用全部43个合格导管；CWR用4个相贴导管对。每壁3–5条局部法线TVW取均值为主值，再算CWR_pair；Ai=不规则闭合轮廓。</t>
        </is>
      </c>
    </row>
    <row r="25">
      <c r="A25" t="inlineStr">
        <is>
          <t>样品24</t>
        </is>
      </c>
      <c r="B25" t="inlineStr">
        <is>
          <t>见“导管母表_1781”F1065:F1121（全部57个合格导管）</t>
        </is>
      </c>
      <c r="C25">
        <f>MAX(导管母表_1781!F1065:F1121)</f>
        <v/>
      </c>
      <c r="D25">
        <f>MIN(导管母表_1781!F1065:F1121)</f>
        <v/>
      </c>
      <c r="E25">
        <f>AVERAGE(导管母表_1781!F1065:F1121)</f>
        <v/>
      </c>
      <c r="F25" t="inlineStr">
        <is>
          <t>见“导管母表_1781”G1065:G1121（57个逐导管Di）</t>
        </is>
      </c>
      <c r="G25">
        <f>MAX(导管母表_1781!G1065:G1121)</f>
        <v/>
      </c>
      <c r="H25">
        <f>MIN(导管母表_1781!G1065:G1121)</f>
        <v/>
      </c>
      <c r="I25">
        <f>AVERAGE(导管母表_1781!G1065:G1121)</f>
        <v/>
      </c>
      <c r="J25">
        <f>SUMPRODUCT(导管母表_1781!G1065:G1121^5)/SUMPRODUCT(导管母表_1781!G1065:G1121^4)</f>
        <v/>
      </c>
      <c r="K25">
        <f>AVERAGE(导管对_CWR_172!K93:K100)</f>
        <v/>
      </c>
      <c r="L25">
        <f>AVERAGE(导管对_CWR_172!S93:S100)</f>
        <v/>
      </c>
      <c r="M25" t="inlineStr"/>
      <c r="N25" t="inlineStr">
        <is>
          <t>自动管线：A/D/Dh用全部57个合格导管；CWR用8个相贴导管对。每壁3–5条局部法线TVW取均值为主值，再算CWR_pair；Ai=不规则闭合轮廓。</t>
        </is>
      </c>
    </row>
    <row r="26">
      <c r="A26" t="inlineStr">
        <is>
          <t>样品25</t>
        </is>
      </c>
      <c r="B26" t="inlineStr">
        <is>
          <t>见“导管母表_1781”F1122:F1152（全部31个合格导管）</t>
        </is>
      </c>
      <c r="C26">
        <f>MAX(导管母表_1781!F1122:F1152)</f>
        <v/>
      </c>
      <c r="D26">
        <f>MIN(导管母表_1781!F1122:F1152)</f>
        <v/>
      </c>
      <c r="E26">
        <f>AVERAGE(导管母表_1781!F1122:F1152)</f>
        <v/>
      </c>
      <c r="F26" t="inlineStr">
        <is>
          <t>见“导管母表_1781”G1122:G1152（31个逐导管Di）</t>
        </is>
      </c>
      <c r="G26">
        <f>MAX(导管母表_1781!G1122:G1152)</f>
        <v/>
      </c>
      <c r="H26">
        <f>MIN(导管母表_1781!G1122:G1152)</f>
        <v/>
      </c>
      <c r="I26">
        <f>AVERAGE(导管母表_1781!G1122:G1152)</f>
        <v/>
      </c>
      <c r="J26">
        <f>SUMPRODUCT(导管母表_1781!G1122:G1152^5)/SUMPRODUCT(导管母表_1781!G1122:G1152^4)</f>
        <v/>
      </c>
      <c r="K26">
        <f>AVERAGE(导管对_CWR_172!K101:K104)</f>
        <v/>
      </c>
      <c r="L26">
        <f>AVERAGE(导管对_CWR_172!S101:S104)</f>
        <v/>
      </c>
      <c r="M26" t="inlineStr"/>
      <c r="N26" t="inlineStr">
        <is>
          <t>自动管线：A/D/Dh用全部31个合格导管；CWR用4个相贴导管对。每壁3–5条局部法线TVW取均值为主值，再算CWR_pair；Ai=不规则闭合轮廓。</t>
        </is>
      </c>
    </row>
    <row r="27">
      <c r="A27" t="inlineStr">
        <is>
          <t>样品26</t>
        </is>
      </c>
      <c r="B27" t="inlineStr">
        <is>
          <t>见“导管母表_1781”F1153:F1198（全部46个合格导管）</t>
        </is>
      </c>
      <c r="C27">
        <f>MAX(导管母表_1781!F1153:F1198)</f>
        <v/>
      </c>
      <c r="D27">
        <f>MIN(导管母表_1781!F1153:F1198)</f>
        <v/>
      </c>
      <c r="E27">
        <f>AVERAGE(导管母表_1781!F1153:F1198)</f>
        <v/>
      </c>
      <c r="F27" t="inlineStr">
        <is>
          <t>见“导管母表_1781”G1153:G1198（46个逐导管Di）</t>
        </is>
      </c>
      <c r="G27">
        <f>MAX(导管母表_1781!G1153:G1198)</f>
        <v/>
      </c>
      <c r="H27">
        <f>MIN(导管母表_1781!G1153:G1198)</f>
        <v/>
      </c>
      <c r="I27">
        <f>AVERAGE(导管母表_1781!G1153:G1198)</f>
        <v/>
      </c>
      <c r="J27">
        <f>SUMPRODUCT(导管母表_1781!G1153:G1198^5)/SUMPRODUCT(导管母表_1781!G1153:G1198^4)</f>
        <v/>
      </c>
      <c r="K27">
        <f>AVERAGE(导管对_CWR_172!K105:K108)</f>
        <v/>
      </c>
      <c r="L27">
        <f>AVERAGE(导管对_CWR_172!S105:S108)</f>
        <v/>
      </c>
      <c r="M27" t="inlineStr"/>
      <c r="N27" t="inlineStr">
        <is>
          <t>自动管线：A/D/Dh用全部46个合格导管；CWR用4个相贴导管对。每壁3–5条局部法线TVW取均值为主值，再算CWR_pair；Ai=不规则闭合轮廓。</t>
        </is>
      </c>
    </row>
    <row r="28">
      <c r="A28" t="inlineStr">
        <is>
          <t>样品27</t>
        </is>
      </c>
      <c r="B28" t="inlineStr">
        <is>
          <t>见“导管母表_1781”F1199:F1237（全部39个合格导管）</t>
        </is>
      </c>
      <c r="C28">
        <f>MAX(导管母表_1781!F1199:F1237)</f>
        <v/>
      </c>
      <c r="D28">
        <f>MIN(导管母表_1781!F1199:F1237)</f>
        <v/>
      </c>
      <c r="E28">
        <f>AVERAGE(导管母表_1781!F1199:F1237)</f>
        <v/>
      </c>
      <c r="F28" t="inlineStr">
        <is>
          <t>见“导管母表_1781”G1199:G1237（39个逐导管Di）</t>
        </is>
      </c>
      <c r="G28">
        <f>MAX(导管母表_1781!G1199:G1237)</f>
        <v/>
      </c>
      <c r="H28">
        <f>MIN(导管母表_1781!G1199:G1237)</f>
        <v/>
      </c>
      <c r="I28">
        <f>AVERAGE(导管母表_1781!G1199:G1237)</f>
        <v/>
      </c>
      <c r="J28">
        <f>SUMPRODUCT(导管母表_1781!G1199:G1237^5)/SUMPRODUCT(导管母表_1781!G1199:G1237^4)</f>
        <v/>
      </c>
      <c r="K28">
        <f>AVERAGE(导管对_CWR_172!K109:K109)</f>
        <v/>
      </c>
      <c r="L28">
        <f>AVERAGE(导管对_CWR_172!S109:S109)</f>
        <v/>
      </c>
      <c r="M28" t="inlineStr"/>
      <c r="N28" t="inlineStr">
        <is>
          <t>自动管线：A/D/Dh用全部39个合格导管；CWR用1个相贴导管对。每壁3–5条局部法线TVW取均值为主值，再算CWR_pair；Ai=不规则闭合轮廓。</t>
        </is>
      </c>
    </row>
    <row r="29">
      <c r="A29" t="inlineStr">
        <is>
          <t>样品28</t>
        </is>
      </c>
      <c r="B29" t="inlineStr">
        <is>
          <t>见“导管母表_1781”F1238:F1255（全部18个合格导管）</t>
        </is>
      </c>
      <c r="C29">
        <f>MAX(导管母表_1781!F1238:F1255)</f>
        <v/>
      </c>
      <c r="D29">
        <f>MIN(导管母表_1781!F1238:F1255)</f>
        <v/>
      </c>
      <c r="E29">
        <f>AVERAGE(导管母表_1781!F1238:F1255)</f>
        <v/>
      </c>
      <c r="F29" t="inlineStr">
        <is>
          <t>见“导管母表_1781”G1238:G1255（18个逐导管Di）</t>
        </is>
      </c>
      <c r="G29">
        <f>MAX(导管母表_1781!G1238:G1255)</f>
        <v/>
      </c>
      <c r="H29">
        <f>MIN(导管母表_1781!G1238:G1255)</f>
        <v/>
      </c>
      <c r="I29">
        <f>AVERAGE(导管母表_1781!G1238:G1255)</f>
        <v/>
      </c>
      <c r="J29">
        <f>SUMPRODUCT(导管母表_1781!G1238:G1255^5)/SUMPRODUCT(导管母表_1781!G1238:G1255^4)</f>
        <v/>
      </c>
      <c r="K29">
        <f>AVERAGE(导管对_CWR_172!K110:K112)</f>
        <v/>
      </c>
      <c r="L29">
        <f>AVERAGE(导管对_CWR_172!S110:S112)</f>
        <v/>
      </c>
      <c r="M29" t="inlineStr"/>
      <c r="N29" t="inlineStr">
        <is>
          <t>自动管线：A/D/Dh用全部18个合格导管；CWR用3个相贴导管对。每壁3–5条局部法线TVW取均值为主值，再算CWR_pair；Ai=不规则闭合轮廓。</t>
        </is>
      </c>
    </row>
    <row r="30">
      <c r="A30" t="inlineStr">
        <is>
          <t>样品29</t>
        </is>
      </c>
      <c r="B30" t="inlineStr">
        <is>
          <t>见“导管母表_1781”F1256:F1299（全部44个合格导管）</t>
        </is>
      </c>
      <c r="C30">
        <f>MAX(导管母表_1781!F1256:F1299)</f>
        <v/>
      </c>
      <c r="D30">
        <f>MIN(导管母表_1781!F1256:F1299)</f>
        <v/>
      </c>
      <c r="E30">
        <f>AVERAGE(导管母表_1781!F1256:F1299)</f>
        <v/>
      </c>
      <c r="F30" t="inlineStr">
        <is>
          <t>见“导管母表_1781”G1256:G1299（44个逐导管Di）</t>
        </is>
      </c>
      <c r="G30">
        <f>MAX(导管母表_1781!G1256:G1299)</f>
        <v/>
      </c>
      <c r="H30">
        <f>MIN(导管母表_1781!G1256:G1299)</f>
        <v/>
      </c>
      <c r="I30">
        <f>AVERAGE(导管母表_1781!G1256:G1299)</f>
        <v/>
      </c>
      <c r="J30">
        <f>SUMPRODUCT(导管母表_1781!G1256:G1299^5)/SUMPRODUCT(导管母表_1781!G1256:G1299^4)</f>
        <v/>
      </c>
      <c r="K30">
        <f>AVERAGE(导管对_CWR_172!K113:K116)</f>
        <v/>
      </c>
      <c r="L30">
        <f>AVERAGE(导管对_CWR_172!S113:S116)</f>
        <v/>
      </c>
      <c r="M30" t="inlineStr"/>
      <c r="N30" t="inlineStr">
        <is>
          <t>自动管线：A/D/Dh用全部44个合格导管；CWR用4个相贴导管对。每壁3–5条局部法线TVW取均值为主值，再算CWR_pair；Ai=不规则闭合轮廓。</t>
        </is>
      </c>
    </row>
    <row r="31">
      <c r="A31" t="inlineStr">
        <is>
          <t>样品30</t>
        </is>
      </c>
      <c r="B31" t="inlineStr">
        <is>
          <t>见“导管母表_1781”F1300:F1353（全部54个合格导管）</t>
        </is>
      </c>
      <c r="C31">
        <f>MAX(导管母表_1781!F1300:F1353)</f>
        <v/>
      </c>
      <c r="D31">
        <f>MIN(导管母表_1781!F1300:F1353)</f>
        <v/>
      </c>
      <c r="E31">
        <f>AVERAGE(导管母表_1781!F1300:F1353)</f>
        <v/>
      </c>
      <c r="F31" t="inlineStr">
        <is>
          <t>见“导管母表_1781”G1300:G1353（54个逐导管Di）</t>
        </is>
      </c>
      <c r="G31">
        <f>MAX(导管母表_1781!G1300:G1353)</f>
        <v/>
      </c>
      <c r="H31">
        <f>MIN(导管母表_1781!G1300:G1353)</f>
        <v/>
      </c>
      <c r="I31">
        <f>AVERAGE(导管母表_1781!G1300:G1353)</f>
        <v/>
      </c>
      <c r="J31">
        <f>SUMPRODUCT(导管母表_1781!G1300:G1353^5)/SUMPRODUCT(导管母表_1781!G1300:G1353^4)</f>
        <v/>
      </c>
      <c r="K31">
        <f>AVERAGE(导管对_CWR_172!K117:K123)</f>
        <v/>
      </c>
      <c r="L31">
        <f>AVERAGE(导管对_CWR_172!S117:S123)</f>
        <v/>
      </c>
      <c r="M31" t="inlineStr"/>
      <c r="N31" t="inlineStr">
        <is>
          <t>自动管线：A/D/Dh用全部54个合格导管；CWR用7个相贴导管对。每壁3–5条局部法线TVW取均值为主值，再算CWR_pair；Ai=不规则闭合轮廓。</t>
        </is>
      </c>
    </row>
    <row r="32">
      <c r="A32" t="inlineStr">
        <is>
          <t>样品31</t>
        </is>
      </c>
      <c r="B32" t="inlineStr">
        <is>
          <t>见“导管母表_1781”F1354:F1394（全部41个合格导管）</t>
        </is>
      </c>
      <c r="C32">
        <f>MAX(导管母表_1781!F1354:F1394)</f>
        <v/>
      </c>
      <c r="D32">
        <f>MIN(导管母表_1781!F1354:F1394)</f>
        <v/>
      </c>
      <c r="E32">
        <f>AVERAGE(导管母表_1781!F1354:F1394)</f>
        <v/>
      </c>
      <c r="F32" t="inlineStr">
        <is>
          <t>见“导管母表_1781”G1354:G1394（41个逐导管Di）</t>
        </is>
      </c>
      <c r="G32">
        <f>MAX(导管母表_1781!G1354:G1394)</f>
        <v/>
      </c>
      <c r="H32">
        <f>MIN(导管母表_1781!G1354:G1394)</f>
        <v/>
      </c>
      <c r="I32">
        <f>AVERAGE(导管母表_1781!G1354:G1394)</f>
        <v/>
      </c>
      <c r="J32">
        <f>SUMPRODUCT(导管母表_1781!G1354:G1394^5)/SUMPRODUCT(导管母表_1781!G1354:G1394^4)</f>
        <v/>
      </c>
      <c r="K32">
        <f>AVERAGE(导管对_CWR_172!K124:K130)</f>
        <v/>
      </c>
      <c r="L32">
        <f>AVERAGE(导管对_CWR_172!S124:S130)</f>
        <v/>
      </c>
      <c r="M32" t="inlineStr"/>
      <c r="N32" t="inlineStr">
        <is>
          <t>自动管线：A/D/Dh用全部41个合格导管；CWR用7个相贴导管对。每壁3–5条局部法线TVW取均值为主值，再算CWR_pair；Ai=不规则闭合轮廓。</t>
        </is>
      </c>
    </row>
    <row r="33">
      <c r="A33" t="inlineStr">
        <is>
          <t>样品32</t>
        </is>
      </c>
      <c r="B33" t="inlineStr">
        <is>
          <t>见“导管母表_1781”F1395:F1430（全部36个合格导管）</t>
        </is>
      </c>
      <c r="C33">
        <f>MAX(导管母表_1781!F1395:F1430)</f>
        <v/>
      </c>
      <c r="D33">
        <f>MIN(导管母表_1781!F1395:F1430)</f>
        <v/>
      </c>
      <c r="E33">
        <f>AVERAGE(导管母表_1781!F1395:F1430)</f>
        <v/>
      </c>
      <c r="F33" t="inlineStr">
        <is>
          <t>见“导管母表_1781”G1395:G1430（36个逐导管Di）</t>
        </is>
      </c>
      <c r="G33">
        <f>MAX(导管母表_1781!G1395:G1430)</f>
        <v/>
      </c>
      <c r="H33">
        <f>MIN(导管母表_1781!G1395:G1430)</f>
        <v/>
      </c>
      <c r="I33">
        <f>AVERAGE(导管母表_1781!G1395:G1430)</f>
        <v/>
      </c>
      <c r="J33">
        <f>SUMPRODUCT(导管母表_1781!G1395:G1430^5)/SUMPRODUCT(导管母表_1781!G1395:G1430^4)</f>
        <v/>
      </c>
      <c r="K33">
        <f>AVERAGE(导管对_CWR_172!K131:K136)</f>
        <v/>
      </c>
      <c r="L33">
        <f>AVERAGE(导管对_CWR_172!S131:S136)</f>
        <v/>
      </c>
      <c r="M33" t="inlineStr"/>
      <c r="N33" t="inlineStr">
        <is>
          <t>自动管线：A/D/Dh用全部36个合格导管；CWR用6个相贴导管对。每壁3–5条局部法线TVW取均值为主值，再算CWR_pair；Ai=不规则闭合轮廓。</t>
        </is>
      </c>
    </row>
    <row r="34">
      <c r="A34" t="inlineStr">
        <is>
          <t>样品33</t>
        </is>
      </c>
      <c r="B34" t="inlineStr">
        <is>
          <t>见“导管母表_1781”F1431:F1478（全部48个合格导管）</t>
        </is>
      </c>
      <c r="C34">
        <f>MAX(导管母表_1781!F1431:F1478)</f>
        <v/>
      </c>
      <c r="D34">
        <f>MIN(导管母表_1781!F1431:F1478)</f>
        <v/>
      </c>
      <c r="E34">
        <f>AVERAGE(导管母表_1781!F1431:F1478)</f>
        <v/>
      </c>
      <c r="F34" t="inlineStr">
        <is>
          <t>见“导管母表_1781”G1431:G1478（48个逐导管Di）</t>
        </is>
      </c>
      <c r="G34">
        <f>MAX(导管母表_1781!G1431:G1478)</f>
        <v/>
      </c>
      <c r="H34">
        <f>MIN(导管母表_1781!G1431:G1478)</f>
        <v/>
      </c>
      <c r="I34">
        <f>AVERAGE(导管母表_1781!G1431:G1478)</f>
        <v/>
      </c>
      <c r="J34">
        <f>SUMPRODUCT(导管母表_1781!G1431:G1478^5)/SUMPRODUCT(导管母表_1781!G1431:G1478^4)</f>
        <v/>
      </c>
      <c r="K34">
        <f>AVERAGE(导管对_CWR_172!K137:K139)</f>
        <v/>
      </c>
      <c r="L34">
        <f>AVERAGE(导管对_CWR_172!S137:S139)</f>
        <v/>
      </c>
      <c r="M34" t="inlineStr"/>
      <c r="N34" t="inlineStr">
        <is>
          <t>自动管线：A/D/Dh用全部48个合格导管；CWR用3个相贴导管对。每壁3–5条局部法线TVW取均值为主值，再算CWR_pair；Ai=不规则闭合轮廓。</t>
        </is>
      </c>
    </row>
    <row r="35">
      <c r="A35" t="inlineStr">
        <is>
          <t>样品34</t>
        </is>
      </c>
      <c r="B35" t="inlineStr">
        <is>
          <t>见“导管母表_1781”F1479:F1519（全部41个合格导管）</t>
        </is>
      </c>
      <c r="C35">
        <f>MAX(导管母表_1781!F1479:F1519)</f>
        <v/>
      </c>
      <c r="D35">
        <f>MIN(导管母表_1781!F1479:F1519)</f>
        <v/>
      </c>
      <c r="E35">
        <f>AVERAGE(导管母表_1781!F1479:F1519)</f>
        <v/>
      </c>
      <c r="F35" t="inlineStr">
        <is>
          <t>见“导管母表_1781”G1479:G1519（41个逐导管Di）</t>
        </is>
      </c>
      <c r="G35">
        <f>MAX(导管母表_1781!G1479:G1519)</f>
        <v/>
      </c>
      <c r="H35">
        <f>MIN(导管母表_1781!G1479:G1519)</f>
        <v/>
      </c>
      <c r="I35">
        <f>AVERAGE(导管母表_1781!G1479:G1519)</f>
        <v/>
      </c>
      <c r="J35">
        <f>SUMPRODUCT(导管母表_1781!G1479:G1519^5)/SUMPRODUCT(导管母表_1781!G1479:G1519^4)</f>
        <v/>
      </c>
      <c r="K35">
        <f>AVERAGE(导管对_CWR_172!K140:K144)</f>
        <v/>
      </c>
      <c r="L35">
        <f>AVERAGE(导管对_CWR_172!S140:S144)</f>
        <v/>
      </c>
      <c r="M35" t="inlineStr"/>
      <c r="N35" t="inlineStr">
        <is>
          <t>自动管线：A/D/Dh用全部41个合格导管；CWR用5个相贴导管对。每壁3–5条局部法线TVW取均值为主值，再算CWR_pair；Ai=不规则闭合轮廓。</t>
        </is>
      </c>
    </row>
    <row r="36">
      <c r="A36" t="inlineStr">
        <is>
          <t>样品35</t>
        </is>
      </c>
      <c r="B36" t="inlineStr">
        <is>
          <t>见“导管母表_1781”F1520:F1564（全部45个合格导管）</t>
        </is>
      </c>
      <c r="C36">
        <f>MAX(导管母表_1781!F1520:F1564)</f>
        <v/>
      </c>
      <c r="D36">
        <f>MIN(导管母表_1781!F1520:F1564)</f>
        <v/>
      </c>
      <c r="E36">
        <f>AVERAGE(导管母表_1781!F1520:F1564)</f>
        <v/>
      </c>
      <c r="F36" t="inlineStr">
        <is>
          <t>见“导管母表_1781”G1520:G1564（45个逐导管Di）</t>
        </is>
      </c>
      <c r="G36">
        <f>MAX(导管母表_1781!G1520:G1564)</f>
        <v/>
      </c>
      <c r="H36">
        <f>MIN(导管母表_1781!G1520:G1564)</f>
        <v/>
      </c>
      <c r="I36">
        <f>AVERAGE(导管母表_1781!G1520:G1564)</f>
        <v/>
      </c>
      <c r="J36">
        <f>SUMPRODUCT(导管母表_1781!G1520:G1564^5)/SUMPRODUCT(导管母表_1781!G1520:G1564^4)</f>
        <v/>
      </c>
      <c r="K36">
        <f>AVERAGE(导管对_CWR_172!K145:K150)</f>
        <v/>
      </c>
      <c r="L36">
        <f>AVERAGE(导管对_CWR_172!S145:S150)</f>
        <v/>
      </c>
      <c r="M36" t="inlineStr"/>
      <c r="N36" t="inlineStr">
        <is>
          <t>自动管线：A/D/Dh用全部45个合格导管；CWR用6个相贴导管对。每壁3–5条局部法线TVW取均值为主值，再算CWR_pair；Ai=不规则闭合轮廓。</t>
        </is>
      </c>
    </row>
    <row r="37">
      <c r="A37" t="inlineStr">
        <is>
          <t>样品36</t>
        </is>
      </c>
      <c r="B37" t="inlineStr">
        <is>
          <t>见“导管母表_1781”F1565:F1608（全部44个合格导管）</t>
        </is>
      </c>
      <c r="C37">
        <f>MAX(导管母表_1781!F1565:F1608)</f>
        <v/>
      </c>
      <c r="D37">
        <f>MIN(导管母表_1781!F1565:F1608)</f>
        <v/>
      </c>
      <c r="E37">
        <f>AVERAGE(导管母表_1781!F1565:F1608)</f>
        <v/>
      </c>
      <c r="F37" t="inlineStr">
        <is>
          <t>见“导管母表_1781”G1565:G1608（44个逐导管Di）</t>
        </is>
      </c>
      <c r="G37">
        <f>MAX(导管母表_1781!G1565:G1608)</f>
        <v/>
      </c>
      <c r="H37">
        <f>MIN(导管母表_1781!G1565:G1608)</f>
        <v/>
      </c>
      <c r="I37">
        <f>AVERAGE(导管母表_1781!G1565:G1608)</f>
        <v/>
      </c>
      <c r="J37">
        <f>SUMPRODUCT(导管母表_1781!G1565:G1608^5)/SUMPRODUCT(导管母表_1781!G1565:G1608^4)</f>
        <v/>
      </c>
      <c r="K37">
        <f>AVERAGE(导管对_CWR_172!K151:K155)</f>
        <v/>
      </c>
      <c r="L37">
        <f>AVERAGE(导管对_CWR_172!S151:S155)</f>
        <v/>
      </c>
      <c r="M37" t="inlineStr"/>
      <c r="N37" t="inlineStr">
        <is>
          <t>自动管线：A/D/Dh用全部44个合格导管；CWR用5个相贴导管对。每壁3–5条局部法线TVW取均值为主值，再算CWR_pair；Ai=不规则闭合轮廓。</t>
        </is>
      </c>
    </row>
    <row r="38">
      <c r="A38" t="inlineStr">
        <is>
          <t>样品37</t>
        </is>
      </c>
      <c r="B38" t="inlineStr">
        <is>
          <t>见“导管母表_1781”F1609:F1643（全部35个合格导管）</t>
        </is>
      </c>
      <c r="C38">
        <f>MAX(导管母表_1781!F1609:F1643)</f>
        <v/>
      </c>
      <c r="D38">
        <f>MIN(导管母表_1781!F1609:F1643)</f>
        <v/>
      </c>
      <c r="E38">
        <f>AVERAGE(导管母表_1781!F1609:F1643)</f>
        <v/>
      </c>
      <c r="F38" t="inlineStr">
        <is>
          <t>见“导管母表_1781”G1609:G1643（35个逐导管Di）</t>
        </is>
      </c>
      <c r="G38">
        <f>MAX(导管母表_1781!G1609:G1643)</f>
        <v/>
      </c>
      <c r="H38">
        <f>MIN(导管母表_1781!G1609:G1643)</f>
        <v/>
      </c>
      <c r="I38">
        <f>AVERAGE(导管母表_1781!G1609:G1643)</f>
        <v/>
      </c>
      <c r="J38">
        <f>SUMPRODUCT(导管母表_1781!G1609:G1643^5)/SUMPRODUCT(导管母表_1781!G1609:G1643^4)</f>
        <v/>
      </c>
      <c r="K38">
        <f>AVERAGE(导管对_CWR_172!K156:K159)</f>
        <v/>
      </c>
      <c r="L38">
        <f>AVERAGE(导管对_CWR_172!S156:S159)</f>
        <v/>
      </c>
      <c r="M38" t="inlineStr"/>
      <c r="N38" t="inlineStr">
        <is>
          <t>自动管线：A/D/Dh用全部35个合格导管；CWR用4个相贴导管对。每壁3–5条局部法线TVW取均值为主值，再算CWR_pair；Ai=不规则闭合轮廓。</t>
        </is>
      </c>
    </row>
    <row r="39">
      <c r="A39" t="inlineStr">
        <is>
          <t>样品38</t>
        </is>
      </c>
      <c r="B39" t="inlineStr">
        <is>
          <t>见“导管母表_1781”F1644:F1693（全部50个合格导管）</t>
        </is>
      </c>
      <c r="C39">
        <f>MAX(导管母表_1781!F1644:F1693)</f>
        <v/>
      </c>
      <c r="D39">
        <f>MIN(导管母表_1781!F1644:F1693)</f>
        <v/>
      </c>
      <c r="E39">
        <f>AVERAGE(导管母表_1781!F1644:F1693)</f>
        <v/>
      </c>
      <c r="F39" t="inlineStr">
        <is>
          <t>见“导管母表_1781”G1644:G1693（50个逐导管Di）</t>
        </is>
      </c>
      <c r="G39">
        <f>MAX(导管母表_1781!G1644:G1693)</f>
        <v/>
      </c>
      <c r="H39">
        <f>MIN(导管母表_1781!G1644:G1693)</f>
        <v/>
      </c>
      <c r="I39">
        <f>AVERAGE(导管母表_1781!G1644:G1693)</f>
        <v/>
      </c>
      <c r="J39">
        <f>SUMPRODUCT(导管母表_1781!G1644:G1693^5)/SUMPRODUCT(导管母表_1781!G1644:G1693^4)</f>
        <v/>
      </c>
      <c r="K39">
        <f>AVERAGE(导管对_CWR_172!K160:K162)</f>
        <v/>
      </c>
      <c r="L39">
        <f>AVERAGE(导管对_CWR_172!S160:S162)</f>
        <v/>
      </c>
      <c r="M39" t="inlineStr"/>
      <c r="N39" t="inlineStr">
        <is>
          <t>自动管线：A/D/Dh用全部50个合格导管；CWR用3个相贴导管对。每壁3–5条局部法线TVW取均值为主值，再算CWR_pair；Ai=不规则闭合轮廓。</t>
        </is>
      </c>
    </row>
    <row r="40">
      <c r="A40" t="inlineStr">
        <is>
          <t>样品39</t>
        </is>
      </c>
      <c r="B40" t="inlineStr">
        <is>
          <t>见“导管母表_1781”F1694:F1738（全部45个合格导管）</t>
        </is>
      </c>
      <c r="C40">
        <f>MAX(导管母表_1781!F1694:F1738)</f>
        <v/>
      </c>
      <c r="D40">
        <f>MIN(导管母表_1781!F1694:F1738)</f>
        <v/>
      </c>
      <c r="E40">
        <f>AVERAGE(导管母表_1781!F1694:F1738)</f>
        <v/>
      </c>
      <c r="F40" t="inlineStr">
        <is>
          <t>见“导管母表_1781”G1694:G1738（45个逐导管Di）</t>
        </is>
      </c>
      <c r="G40">
        <f>MAX(导管母表_1781!G1694:G1738)</f>
        <v/>
      </c>
      <c r="H40">
        <f>MIN(导管母表_1781!G1694:G1738)</f>
        <v/>
      </c>
      <c r="I40">
        <f>AVERAGE(导管母表_1781!G1694:G1738)</f>
        <v/>
      </c>
      <c r="J40">
        <f>SUMPRODUCT(导管母表_1781!G1694:G1738^5)/SUMPRODUCT(导管母表_1781!G1694:G1738^4)</f>
        <v/>
      </c>
      <c r="K40">
        <f>AVERAGE(导管对_CWR_172!K163:K165)</f>
        <v/>
      </c>
      <c r="L40">
        <f>AVERAGE(导管对_CWR_172!S163:S165)</f>
        <v/>
      </c>
      <c r="M40" t="inlineStr"/>
      <c r="N40" t="inlineStr">
        <is>
          <t>自动管线：A/D/Dh用全部45个合格导管；CWR用3个相贴导管对。每壁3–5条局部法线TVW取均值为主值，再算CWR_pair；Ai=不规则闭合轮廓。</t>
        </is>
      </c>
    </row>
    <row r="41">
      <c r="A41" t="inlineStr">
        <is>
          <t>样品40</t>
        </is>
      </c>
      <c r="B41" t="inlineStr">
        <is>
          <t>见“导管母表_1781”F1739:F1782（全部44个合格导管）</t>
        </is>
      </c>
      <c r="C41">
        <f>MAX(导管母表_1781!F1739:F1782)</f>
        <v/>
      </c>
      <c r="D41">
        <f>MIN(导管母表_1781!F1739:F1782)</f>
        <v/>
      </c>
      <c r="E41">
        <f>AVERAGE(导管母表_1781!F1739:F1782)</f>
        <v/>
      </c>
      <c r="F41" t="inlineStr">
        <is>
          <t>见“导管母表_1781”G1739:G1782（44个逐导管Di）</t>
        </is>
      </c>
      <c r="G41">
        <f>MAX(导管母表_1781!G1739:G1782)</f>
        <v/>
      </c>
      <c r="H41">
        <f>MIN(导管母表_1781!G1739:G1782)</f>
        <v/>
      </c>
      <c r="I41">
        <f>AVERAGE(导管母表_1781!G1739:G1782)</f>
        <v/>
      </c>
      <c r="J41">
        <f>SUMPRODUCT(导管母表_1781!G1739:G1782^5)/SUMPRODUCT(导管母表_1781!G1739:G1782^4)</f>
        <v/>
      </c>
      <c r="K41">
        <f>AVERAGE(导管对_CWR_172!K166:K173)</f>
        <v/>
      </c>
      <c r="L41">
        <f>AVERAGE(导管对_CWR_172!S166:S173)</f>
        <v/>
      </c>
      <c r="M41" t="inlineStr"/>
      <c r="N41" t="inlineStr">
        <is>
          <t>自动管线：A/D/Dh用全部44个合格导管；CWR用8个相贴导管对。每壁3–5条局部法线TVW取均值为主值，再算CWR_pair；Ai=不规则闭合轮廓。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2026-08-29T10:23:53Z</dcterms:created>
  <dcterms:modified xsi:type="dcterms:W3CDTF">2026-08-29T10:23:53Z</dcterms:modified>
</cp:coreProperties>
</file>